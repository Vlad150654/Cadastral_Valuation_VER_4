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kyo\Cadastral_Valuation_VER_4\Win32\Debug\PATTERNS\TelDa\"/>
    </mc:Choice>
  </mc:AlternateContent>
  <xr:revisionPtr revIDLastSave="0" documentId="13_ncr:1_{60C520A6-51F7-4D52-B803-9C9D8B5B0667}" xr6:coauthVersionLast="45" xr6:coauthVersionMax="45" xr10:uidLastSave="{00000000-0000-0000-0000-000000000000}"/>
  <bookViews>
    <workbookView xWindow="-120" yWindow="-120" windowWidth="25440" windowHeight="15390" xr2:uid="{00000000-000D-0000-FFFF-FFFF00000000}"/>
  </bookViews>
  <sheets>
    <sheet name="Объекты" sheetId="1" r:id="rId1"/>
    <sheet name="Градации" sheetId="3" r:id="rId2"/>
    <sheet name="КВРИ13" sheetId="2" r:id="rId3"/>
  </sheets>
  <definedNames>
    <definedName name="_xlnm._FilterDatabase" localSheetId="0" hidden="1">Объекты!$A$4:$AX$4</definedName>
  </definedNames>
  <calcPr calcId="181029"/>
</workbook>
</file>

<file path=xl/calcChain.xml><?xml version="1.0" encoding="utf-8"?>
<calcChain xmlns="http://schemas.openxmlformats.org/spreadsheetml/2006/main">
  <c r="AX5" i="1" l="1"/>
  <c r="AW5" i="1" l="1"/>
  <c r="AV5" i="1" l="1"/>
  <c r="AU5" i="1"/>
  <c r="AS5" i="1"/>
  <c r="AR5" i="1"/>
  <c r="AJ5" i="1"/>
  <c r="B2" i="2"/>
  <c r="B3" i="2"/>
  <c r="B4" i="2"/>
  <c r="B5" i="2"/>
  <c r="B6" i="2"/>
  <c r="B7" i="2"/>
  <c r="B8" i="2"/>
  <c r="B9" i="2"/>
  <c r="B1" i="2"/>
  <c r="AL5" i="1"/>
  <c r="AK5" i="1"/>
  <c r="AI5" i="1"/>
  <c r="AO5" i="1" l="1"/>
  <c r="AP5" i="1"/>
  <c r="AT5" i="1"/>
  <c r="AQ5" i="1"/>
  <c r="AN5" i="1"/>
  <c r="AM5" i="1"/>
</calcChain>
</file>

<file path=xl/sharedStrings.xml><?xml version="1.0" encoding="utf-8"?>
<sst xmlns="http://schemas.openxmlformats.org/spreadsheetml/2006/main" count="366" uniqueCount="186">
  <si>
    <t>&amp;H1</t>
  </si>
  <si>
    <t>cadastralNumber</t>
  </si>
  <si>
    <t>prevCadastralNumbers</t>
  </si>
  <si>
    <t>segment</t>
  </si>
  <si>
    <t>additional_51410</t>
  </si>
  <si>
    <t>additional_51412</t>
  </si>
  <si>
    <t>additional_51413</t>
  </si>
  <si>
    <t>additional_51417</t>
  </si>
  <si>
    <t>additional_51414</t>
  </si>
  <si>
    <t>additional_51415</t>
  </si>
  <si>
    <t>additional_51416</t>
  </si>
  <si>
    <t>additional_51407</t>
  </si>
  <si>
    <t>additional_51409</t>
  </si>
  <si>
    <t>segmentOfUsage</t>
  </si>
  <si>
    <t>&amp;H2</t>
  </si>
  <si>
    <t>кадастровый номер объекта</t>
  </si>
  <si>
    <t>Кадастровые номера объектов недвижимости, из которых образован данный объект недвижимости</t>
  </si>
  <si>
    <t>Код расчёта вида использования</t>
  </si>
  <si>
    <t>Транспортная доступность до административного центра МО</t>
  </si>
  <si>
    <t>Транспортная доступность до центра Екатеринбурга</t>
  </si>
  <si>
    <t>Водоотведение итог</t>
  </si>
  <si>
    <t>Водоснабжение итог</t>
  </si>
  <si>
    <t>Газоснабжение итог</t>
  </si>
  <si>
    <t>Теплоснабжение итог</t>
  </si>
  <si>
    <t>Электроснабжение итог</t>
  </si>
  <si>
    <t>Обременение</t>
  </si>
  <si>
    <t>Подтопление</t>
  </si>
  <si>
    <t>66:01:0202008:151</t>
  </si>
  <si>
    <t>03:070</t>
  </si>
  <si>
    <t>Отсутствует информация</t>
  </si>
  <si>
    <t>02:031</t>
  </si>
  <si>
    <t>02:021</t>
  </si>
  <si>
    <t>02:011</t>
  </si>
  <si>
    <t>Водопровод_Водоснабжение_Графика2022</t>
  </si>
  <si>
    <t>Газопровод_Газоснабжение_Графика2022</t>
  </si>
  <si>
    <t>Потребитель газоснабжения из линий_Газоснабжение_Графика2022</t>
  </si>
  <si>
    <t>нет информации_Водоотведение</t>
  </si>
  <si>
    <t>нет информации_Водоснабжение</t>
  </si>
  <si>
    <t>нет информации_теплоснабжение</t>
  </si>
  <si>
    <t>наличие_Водоотведение_Оценка2020</t>
  </si>
  <si>
    <t>наличие_Водоснабжение_Оценка2020</t>
  </si>
  <si>
    <t>наличие_Газоснабжение_Оценка2020</t>
  </si>
  <si>
    <t>наличие_Теплоснабжение_Оценка2020</t>
  </si>
  <si>
    <t>13:011</t>
  </si>
  <si>
    <t>13:031</t>
  </si>
  <si>
    <t>Теплосеть_Теплоснабжение_Графика2022</t>
  </si>
  <si>
    <t>Канализация_Водоотведение_Графика2022</t>
  </si>
  <si>
    <t>отсутствие_Водоотведение_Оценка2020</t>
  </si>
  <si>
    <t>отсутствие_Водоснабжение_Оценка2020</t>
  </si>
  <si>
    <t>отсутствие_Теплоснабжение_Оценка2020</t>
  </si>
  <si>
    <t>13:021</t>
  </si>
  <si>
    <t>Наличие газоснабжения_Газоснабжение_Ресурсоснабжающие2022</t>
  </si>
  <si>
    <t>Потребитель теплоснабжения_Теплоснабжение_Графика2022</t>
  </si>
  <si>
    <t>отсутствие_Газоснабжение_Оценка2020</t>
  </si>
  <si>
    <t>Потребитель водоснабжения из линий_Водоснабжение_Графика2022</t>
  </si>
  <si>
    <t>Потребитель водоснабжения_Водоснабжение_Графика2022</t>
  </si>
  <si>
    <t>нет информации_газоснабжение</t>
  </si>
  <si>
    <t>Потребитель канализации из линий_Водоотведение_Графика2022</t>
  </si>
  <si>
    <t>Потребитель теплоснабжения из линий_Теплоснабжение_Графика2022</t>
  </si>
  <si>
    <t>Потребитель канализации_Водоотведение_Графика2022</t>
  </si>
  <si>
    <t>&amp;T0</t>
  </si>
  <si>
    <t>нет информации_Электроснабжение</t>
  </si>
  <si>
    <t>Потребитель теплоснабжения _Теплоснабжение_Графика2022</t>
  </si>
  <si>
    <t>Потребитель теплоснабжения из зданий_Теплоснабжение_Графика2022</t>
  </si>
  <si>
    <t>Наличие водоотведения_Водоотведение_Ресурсоснабжающие2022</t>
  </si>
  <si>
    <t>Наличие водоснабжения_Водоснабжение_Ресурсоснабжающие2022</t>
  </si>
  <si>
    <t>Наличие теплоснабжения_Теплоснабжение_Ресурсоснабжающие2022</t>
  </si>
  <si>
    <t>пересечение_Теплоснабжение_Оценка2020</t>
  </si>
  <si>
    <t>пересечение_Водоотведение_Оценка2020</t>
  </si>
  <si>
    <t>пересечение_Водоснабжение_Оценка2020</t>
  </si>
  <si>
    <t>Наличие_Водоотведение_Ст_21</t>
  </si>
  <si>
    <t>Наличие_Водоснабжение_Ст_21</t>
  </si>
  <si>
    <t>Наличие_Теплоснабжение_Ст_21</t>
  </si>
  <si>
    <t>02:019</t>
  </si>
  <si>
    <t>02:023</t>
  </si>
  <si>
    <t xml:space="preserve">13:021 </t>
  </si>
  <si>
    <t>Наличие родителя</t>
  </si>
  <si>
    <t>КВРИ 13 Сегмент</t>
  </si>
  <si>
    <t>Электроснабжение</t>
  </si>
  <si>
    <t>Наличие электроснабжения</t>
  </si>
  <si>
    <t>отсутствие_Электроснабжение_Оценка2020</t>
  </si>
  <si>
    <t>Отсутствие электроснабжения</t>
  </si>
  <si>
    <t>Отсутствие_Электроснабжения_ПОД 2022</t>
  </si>
  <si>
    <t>Отсутствие электроснабжения_Электроснабжение_Оценка2020</t>
  </si>
  <si>
    <t>Возможность электроснабжения</t>
  </si>
  <si>
    <t>Водоотведение</t>
  </si>
  <si>
    <t>Отсутствие централизованного водоотведения</t>
  </si>
  <si>
    <t>Наличие централизованного водоотведения</t>
  </si>
  <si>
    <t>Потребитель канализации из зданий_Водоотведение_Графика2022</t>
  </si>
  <si>
    <t>Потребитель канализации из буферной зоны_Водоотведение_Графика2022</t>
  </si>
  <si>
    <t>Наличие водоотведения_Водоотведение_Оценка2020</t>
  </si>
  <si>
    <t>Потребитель канализации автономное выгребная яма_Водоотведение_Графика2022</t>
  </si>
  <si>
    <t>Возможность централизованного водоотведения</t>
  </si>
  <si>
    <t>Отсутствие водоотведения_Водоотведение_Оценка2020</t>
  </si>
  <si>
    <t>Отсутствие водоотведения_Водоотведение_Ресурсоснабжающие2022</t>
  </si>
  <si>
    <t>Отсутствие централизованного водоотведения_ПОД 2022</t>
  </si>
  <si>
    <t>Водоснабжение</t>
  </si>
  <si>
    <t>Отсутствие централизованного водоснабжения</t>
  </si>
  <si>
    <t>Наличие централизованного водоснабжения</t>
  </si>
  <si>
    <t>Потребитель водоснабжения автономное скважина_Водоснабжение_Графика2022</t>
  </si>
  <si>
    <t>Скважина</t>
  </si>
  <si>
    <t>Водоразборная колонка_Водоснабжение_Графика2022</t>
  </si>
  <si>
    <t>Возможность централизованного водоснабжения</t>
  </si>
  <si>
    <t>Отсутствие водоснабжения_Водоснабжение_Ресурсоснабжающие2022</t>
  </si>
  <si>
    <t>Отсутствие централизованного водоснабжения_ПОД 2022</t>
  </si>
  <si>
    <t>Теплоснабжение с учетом газоснабжения</t>
  </si>
  <si>
    <t>Наличие централизованного газоснабжения</t>
  </si>
  <si>
    <t>Потребитель газоснабжения_Газоснабжение_Графика2022</t>
  </si>
  <si>
    <t>наличие газоснабжения_Газоснабжение_Оценка2020</t>
  </si>
  <si>
    <t>Возможность централизованного газоснабжения</t>
  </si>
  <si>
    <t>пересечение_Газоснабжение_Оценка2020</t>
  </si>
  <si>
    <t>отсутствие газоснабжения_Газоснабжение_Оценка2020</t>
  </si>
  <si>
    <t>Отсутствие газоснабжения_Газоснабжение_Ресурсоснабжающие2022</t>
  </si>
  <si>
    <t>Отсутствие централизованного теплоснабжения</t>
  </si>
  <si>
    <t>Наличие централизованного теплоснабжения</t>
  </si>
  <si>
    <t>Наличие теплоснабжения_Теплоснабжение_Оценка2020</t>
  </si>
  <si>
    <t>Потребитель теплоснабжения автономное_Теплоснабжение_Графика2022</t>
  </si>
  <si>
    <t>Потребитель теплоснабжения автономное печное_Теплоснабжение_Графика2022</t>
  </si>
  <si>
    <t>Отсутствие теплоснабжения_Теплоснабжение_Оценка2020</t>
  </si>
  <si>
    <t>Отсутствие теплоснабжения_Теплоснабжение_Ресурсоснабжающие2022</t>
  </si>
  <si>
    <t>Отсутствие Газоснабжения_ПОД 2022</t>
  </si>
  <si>
    <t>Наличие_Газоснабжение__ПОД 2022</t>
  </si>
  <si>
    <t>ИТОГ</t>
  </si>
  <si>
    <t>нет информации</t>
  </si>
  <si>
    <t>Отсутствие_Электроснабжения_Ст_21</t>
  </si>
  <si>
    <t>Отсутствие_Электроснабжения_Аналог 2022</t>
  </si>
  <si>
    <t>Возможность_Электроснабжения_ПОД 2022</t>
  </si>
  <si>
    <t>Возможность_Электроснабжения_Ст_21</t>
  </si>
  <si>
    <t>Возможность_Электроснабжения_Аналог 2022</t>
  </si>
  <si>
    <t>Наличие_Электроснабжения_ПОД 2022</t>
  </si>
  <si>
    <t>Отсутствие_Электроснабжения_ПОД 2020</t>
  </si>
  <si>
    <t>Наличие_централизованного_водоотведения_Аналог_М7</t>
  </si>
  <si>
    <t>Отсутствие_централизованного_водоотведения_Аналог_М7</t>
  </si>
  <si>
    <t>Наличие_Водоотведение_ПОД 2022</t>
  </si>
  <si>
    <t>Наличие_Водоотведение_Аналог 2022</t>
  </si>
  <si>
    <t>Возможность_Водоотведение_ПОД 2022</t>
  </si>
  <si>
    <t>Возможность_Водоотведение_Аналог 2022</t>
  </si>
  <si>
    <t>Возможность_Водоотведение_Ст_21</t>
  </si>
  <si>
    <t>Отсутствие_Водоотведение_Ст_21</t>
  </si>
  <si>
    <t>Отсутствие_Водоотведение_Аналог 2022</t>
  </si>
  <si>
    <t>Отсутствие_Водоотведение_ПОД 2022</t>
  </si>
  <si>
    <t>Наличие централизованного водоотведения_ПОД 2022</t>
  </si>
  <si>
    <t>Наличие водоотведения</t>
  </si>
  <si>
    <t>Отсутствие водоотведения_ПОД2020</t>
  </si>
  <si>
    <t>Наличие_Водоснабжение_ПОД 2022</t>
  </si>
  <si>
    <t>Наличие_Водоснабжение_Аналог 2022</t>
  </si>
  <si>
    <t>Возможность_Водоснабжение_ПОД 2022</t>
  </si>
  <si>
    <t>Возможность_Водоснабжение_Аналог 2022</t>
  </si>
  <si>
    <t>Возможность_Водоснабжение_Ст_21</t>
  </si>
  <si>
    <t>Отсутствие_Водоснабжение_ПОД 2022</t>
  </si>
  <si>
    <t>Отсутствие_Водоснабжение_Аналог 2022</t>
  </si>
  <si>
    <t>Отсутствие_Водоснабжение_Ст_21</t>
  </si>
  <si>
    <t>Наличие централизованного водоснабжения_ПОД 2022</t>
  </si>
  <si>
    <t>Наличие водоснабжения</t>
  </si>
  <si>
    <t>Наличие_Теплоснабжение_ПОД 2022</t>
  </si>
  <si>
    <t>Наличие_Теплоснабжение_Аналог 2022</t>
  </si>
  <si>
    <t>Возможность_Теплоснабжение_ПОД 2022</t>
  </si>
  <si>
    <t>Возможность_Теплоснабжение_Аналог 2022</t>
  </si>
  <si>
    <t>Возможность_Теплоснабжение_Ст_21</t>
  </si>
  <si>
    <t>Отсутствие_Теплоснабжение_ПОД 2022</t>
  </si>
  <si>
    <t>Отсутствие_Теплоснабжение_Аналог 2022</t>
  </si>
  <si>
    <t>Отсутствие_Теплоснабжение_Ст_21</t>
  </si>
  <si>
    <t>Отсутствие Теплоснабжение_ПОД2020</t>
  </si>
  <si>
    <t>Наличие_централизованного_газоснабжения_Аналог_М7</t>
  </si>
  <si>
    <t>Отсутствие централизованного газоснабжения</t>
  </si>
  <si>
    <t>Отсутствие_централизованного_газоснабжения_Аналог_М7</t>
  </si>
  <si>
    <t>Наличие_Газоснабжение_ПОД 2022</t>
  </si>
  <si>
    <t>Наличие_Газоснабжение_Аналог 2022</t>
  </si>
  <si>
    <t>Наличие_Газоснабжение_Ст_21</t>
  </si>
  <si>
    <t>Возможность_Газоснабжение_ПОД 2022</t>
  </si>
  <si>
    <t>Возможность_Газоснабжение_Аналог 2022</t>
  </si>
  <si>
    <t>Возможность_Газоснабжения_Ст_21</t>
  </si>
  <si>
    <t>Отсутствие_Газоснабжение_ПОД 2022</t>
  </si>
  <si>
    <t>Отсутствие_Газоснабжение_Аналог 2022</t>
  </si>
  <si>
    <t>Отсутствие_Газоснабжения_Ст_21</t>
  </si>
  <si>
    <t>Отсутствие централизованного газоснабжения_ПОД 2022</t>
  </si>
  <si>
    <t>Наличие централизованного газоснабжения_ПОД 2022</t>
  </si>
  <si>
    <t>Наличие газоснабжения</t>
  </si>
  <si>
    <t>areaObject</t>
  </si>
  <si>
    <t>areaValue</t>
  </si>
  <si>
    <t>значение площади</t>
  </si>
  <si>
    <t>KN_2022</t>
  </si>
  <si>
    <t>Теплоснабжение_2022</t>
  </si>
  <si>
    <t>Газоснабжение_2022</t>
  </si>
  <si>
    <t>Водоснабжение_2022</t>
  </si>
  <si>
    <t>Водоотведение_2022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</si>
</sst>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2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3" fillId="0" borderId="0" xfId="0" quotePrefix="1" applyFont="1" applyAlignment="1">
      <alignment vertical="top" wrapText="1"/>
    </xf>
    <xf numFmtId="0" fontId="2" fillId="3" borderId="0" xfId="0" applyFont="1" applyFill="1"/>
    <xf numFmtId="0" fontId="3" fillId="0" borderId="0" xfId="0" applyFont="1" applyAlignment="1">
      <alignment vertical="top" wrapText="1"/>
    </xf>
    <xf numFmtId="0" fontId="0" fillId="0" borderId="1" xfId="0" applyBorder="1"/>
    <xf numFmtId="0" fontId="3" fillId="0" borderId="1" xfId="0" applyFont="1" applyBorder="1" applyAlignment="1">
      <alignment vertical="top" wrapText="1"/>
    </xf>
    <xf numFmtId="0" fontId="2" fillId="3" borderId="1" xfId="0" applyFont="1" applyFill="1" applyBorder="1"/>
    <xf numFmtId="0" fontId="0" fillId="3" borderId="1" xfId="0" applyFill="1" applyBorder="1"/>
    <xf numFmtId="0" fontId="0" fillId="0" borderId="0" xfId="0" applyBorder="1"/>
    <xf numFmtId="0" fontId="4" fillId="0" borderId="0" xfId="1"/>
    <xf numFmtId="0" fontId="0" fillId="6" borderId="0" xfId="0" applyFill="1"/>
    <xf numFmtId="0" fontId="0" fillId="0" borderId="0" xfId="0"/>
    <xf numFmtId="0" fontId="0" fillId="2" borderId="0" xfId="0" applyFill="1"/>
    <xf numFmtId="0" fontId="1" fillId="6" borderId="0" xfId="2" applyFill="1"/>
    <xf numFmtId="49" fontId="0" fillId="2" borderId="0" xfId="0" applyNumberFormat="1" applyFill="1"/>
    <xf numFmtId="49" fontId="0" fillId="4" borderId="0" xfId="0" applyNumberFormat="1" applyFill="1"/>
    <xf numFmtId="49" fontId="0" fillId="0" borderId="0" xfId="0" applyNumberFormat="1"/>
  </cellXfs>
  <cellStyles count="3">
    <cellStyle name="Обычный" xfId="0" builtinId="0"/>
    <cellStyle name="Обычный 2" xfId="1" xr:uid="{2E4A9D16-B6A6-4EE5-8DF7-E447206509CE}"/>
    <cellStyle name="Обычный 3" xfId="2" xr:uid="{4D801BC4-3392-46B3-AFA1-5044370495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"/>
  <sheetViews>
    <sheetView tabSelected="1" topLeftCell="AH4" workbookViewId="0">
      <pane ySplit="1" topLeftCell="A5" activePane="bottomLeft" state="frozen"/>
      <selection activeCell="B4" sqref="B4"/>
      <selection pane="bottomLeft" activeCell="AX4" sqref="AX4"/>
    </sheetView>
  </sheetViews>
  <sheetFormatPr defaultRowHeight="15" x14ac:dyDescent="0.25"/>
  <cols>
    <col min="1" max="1" width="26.85546875" style="1" hidden="1" customWidth="1"/>
    <col min="2" max="3" width="20.7109375" customWidth="1"/>
    <col min="4" max="4" width="12.42578125" customWidth="1"/>
    <col min="5" max="5" width="10" customWidth="1"/>
    <col min="6" max="6" width="11" customWidth="1"/>
    <col min="7" max="11" width="25.7109375" customWidth="1"/>
    <col min="12" max="12" width="12.5703125" customWidth="1"/>
    <col min="13" max="13" width="11.42578125" customWidth="1"/>
    <col min="14" max="14" width="25.28515625" customWidth="1"/>
    <col min="15" max="15" width="25.7109375" customWidth="1"/>
    <col min="16" max="16" width="25.7109375" style="20" customWidth="1"/>
    <col min="17" max="23" width="25.7109375" customWidth="1"/>
    <col min="24" max="26" width="12.7109375" customWidth="1"/>
    <col min="27" max="34" width="25.28515625" style="15" customWidth="1"/>
    <col min="35" max="35" width="13" customWidth="1"/>
    <col min="36" max="36" width="15.42578125" customWidth="1"/>
    <col min="39" max="39" width="10.5703125" customWidth="1"/>
    <col min="45" max="45" width="17.140625" customWidth="1"/>
    <col min="46" max="46" width="26" customWidth="1"/>
    <col min="47" max="47" width="17" customWidth="1"/>
    <col min="49" max="49" width="13.85546875" customWidth="1"/>
  </cols>
  <sheetData>
    <row r="1" spans="1:50" s="1" customFormat="1" x14ac:dyDescent="0.25">
      <c r="A1" s="1" t="s">
        <v>60</v>
      </c>
      <c r="P1" s="18"/>
      <c r="AA1" s="16"/>
      <c r="AB1" s="16"/>
      <c r="AC1" s="16"/>
      <c r="AD1" s="16"/>
      <c r="AE1" s="16"/>
      <c r="AF1" s="16"/>
      <c r="AG1" s="16"/>
      <c r="AH1" s="16"/>
    </row>
    <row r="2" spans="1:50" s="1" customForma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178</v>
      </c>
      <c r="O2" s="1" t="s">
        <v>1</v>
      </c>
      <c r="P2" s="18" t="s">
        <v>3</v>
      </c>
      <c r="Q2" s="1" t="s">
        <v>4</v>
      </c>
      <c r="R2" s="1" t="s">
        <v>5</v>
      </c>
      <c r="S2" s="1" t="s">
        <v>6</v>
      </c>
      <c r="T2" s="1" t="s">
        <v>7</v>
      </c>
      <c r="U2" s="1" t="s">
        <v>8</v>
      </c>
      <c r="V2" s="1" t="s">
        <v>9</v>
      </c>
      <c r="W2" s="1" t="s">
        <v>10</v>
      </c>
      <c r="X2" s="1" t="s">
        <v>11</v>
      </c>
      <c r="Y2" s="1" t="s">
        <v>12</v>
      </c>
      <c r="Z2" s="1" t="s">
        <v>178</v>
      </c>
      <c r="AA2" s="16"/>
      <c r="AB2" s="16"/>
      <c r="AC2" s="16"/>
      <c r="AD2" s="16"/>
      <c r="AE2" s="16"/>
      <c r="AF2" s="16"/>
      <c r="AG2" s="16"/>
      <c r="AH2" s="16"/>
    </row>
    <row r="3" spans="1:50" s="1" customFormat="1" x14ac:dyDescent="0.25">
      <c r="A3" s="1" t="s">
        <v>0</v>
      </c>
      <c r="D3" s="1" t="s">
        <v>13</v>
      </c>
      <c r="N3" s="1" t="s">
        <v>179</v>
      </c>
      <c r="P3" s="18" t="s">
        <v>13</v>
      </c>
      <c r="Z3" s="1" t="s">
        <v>179</v>
      </c>
      <c r="AA3" s="16"/>
      <c r="AB3" s="16"/>
      <c r="AC3" s="16"/>
      <c r="AD3" s="16"/>
      <c r="AE3" s="16"/>
      <c r="AF3" s="16"/>
      <c r="AG3" s="16"/>
      <c r="AH3" s="16"/>
    </row>
    <row r="4" spans="1:50" x14ac:dyDescent="0.25">
      <c r="A4" s="1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20</v>
      </c>
      <c r="H4" s="2" t="s">
        <v>21</v>
      </c>
      <c r="I4" s="2" t="s">
        <v>22</v>
      </c>
      <c r="J4" s="2" t="s">
        <v>23</v>
      </c>
      <c r="K4" s="2" t="s">
        <v>24</v>
      </c>
      <c r="L4" s="2" t="s">
        <v>25</v>
      </c>
      <c r="M4" s="2" t="s">
        <v>26</v>
      </c>
      <c r="N4" s="2" t="s">
        <v>180</v>
      </c>
      <c r="O4" s="3" t="s">
        <v>15</v>
      </c>
      <c r="P4" s="19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180</v>
      </c>
      <c r="AA4" s="17" t="s">
        <v>181</v>
      </c>
      <c r="AB4" s="17" t="s">
        <v>182</v>
      </c>
      <c r="AC4" s="17" t="s">
        <v>183</v>
      </c>
      <c r="AD4" s="17" t="s">
        <v>184</v>
      </c>
      <c r="AE4" s="17" t="s">
        <v>185</v>
      </c>
      <c r="AF4" s="14" t="s">
        <v>180</v>
      </c>
      <c r="AG4" s="14" t="s">
        <v>25</v>
      </c>
      <c r="AH4" s="14" t="s">
        <v>26</v>
      </c>
      <c r="AI4" s="4" t="s">
        <v>76</v>
      </c>
      <c r="AJ4" s="4" t="s">
        <v>77</v>
      </c>
      <c r="AK4" s="4" t="s">
        <v>18</v>
      </c>
      <c r="AL4" s="4" t="s">
        <v>19</v>
      </c>
      <c r="AM4" s="4" t="s">
        <v>20</v>
      </c>
      <c r="AN4" s="4" t="s">
        <v>21</v>
      </c>
      <c r="AO4" s="4" t="s">
        <v>22</v>
      </c>
      <c r="AP4" s="4" t="s">
        <v>23</v>
      </c>
      <c r="AQ4" s="4" t="s">
        <v>24</v>
      </c>
      <c r="AR4" s="4" t="s">
        <v>25</v>
      </c>
      <c r="AS4" s="4" t="s">
        <v>26</v>
      </c>
      <c r="AT4" s="4" t="s">
        <v>122</v>
      </c>
      <c r="AU4" s="4"/>
      <c r="AV4" s="4"/>
      <c r="AW4" s="4"/>
      <c r="AX4" s="4"/>
    </row>
    <row r="5" spans="1:50" x14ac:dyDescent="0.25">
      <c r="B5" t="s">
        <v>27</v>
      </c>
      <c r="D5" t="s">
        <v>28</v>
      </c>
      <c r="E5">
        <v>34</v>
      </c>
      <c r="F5">
        <v>322</v>
      </c>
      <c r="G5" t="s">
        <v>29</v>
      </c>
      <c r="H5" t="s">
        <v>29</v>
      </c>
      <c r="I5" t="s">
        <v>29</v>
      </c>
      <c r="J5" t="s">
        <v>29</v>
      </c>
      <c r="K5" t="s">
        <v>29</v>
      </c>
      <c r="L5">
        <v>0</v>
      </c>
      <c r="M5">
        <v>0</v>
      </c>
      <c r="N5">
        <v>1195</v>
      </c>
      <c r="AI5" t="b">
        <f>IF(LEN(O5)=0,FALSE,TRUE)</f>
        <v>0</v>
      </c>
      <c r="AJ5" t="b">
        <f>AND( IFERROR(VLOOKUP(D5,КВРИ13!A$1:B$9,2,FALSE),FALSE),IFERROR(VLOOKUP(P5,КВРИ13!A$1:B$9,2,FALSE),FALSE))</f>
        <v>0</v>
      </c>
      <c r="AK5" t="b">
        <f>E5=Q5</f>
        <v>0</v>
      </c>
      <c r="AL5" t="b">
        <f>F5=R5</f>
        <v>0</v>
      </c>
      <c r="AM5" t="b">
        <f>IF(AND(AI5,AJ5),VLOOKUP(G5,Градации!A$20:B$55,2,FALSE)=VLOOKUP(S5,Градации!A$20:B$55,2,FALSE),TRUE)</f>
        <v>1</v>
      </c>
      <c r="AN5" t="b">
        <f>IF(AND(AI5,AJ5),VLOOKUP(H5,Градации!A$57:B$85,2,FALSE)=VLOOKUP(T5,Градации!A$57:B$85,2,FALSE),TRUE)</f>
        <v>1</v>
      </c>
      <c r="AO5" t="b">
        <f>IF(AND(AI5,AJ5),VLOOKUP(I5,Градации!A$118:B$147,2,FALSE)=VLOOKUP(U5,Градации!A$118:B$147,2,FALSE),TRUE)</f>
        <v>1</v>
      </c>
      <c r="AP5" t="b">
        <f>IF(AND(AI5,AJ5),VLOOKUP(J5,Градации!A$87:B$117,2,FALSE)=VLOOKUP(V5,Градации!A$87:B$117,2,FALSE),TRUE)</f>
        <v>1</v>
      </c>
      <c r="AQ5" t="b">
        <f>IF(AND(AI5,AJ5),VLOOKUP(K5,Градации!A$2:B$18,2,FALSE)=VLOOKUP(W5,Градации!A$2:B$18,2,FALSE),TRUE)</f>
        <v>1</v>
      </c>
      <c r="AR5" t="b">
        <f>OR(AND(L5&lt;0.5,X5&lt;0.5),AND(L5&gt;=0.5,X5&gt;=0.5))</f>
        <v>1</v>
      </c>
      <c r="AS5" t="b">
        <f>OR(AND(M5&lt;0.5,Y5&lt;0.5),AND(M5&gt;=0.5,Y5&gt;=0.5))</f>
        <v>1</v>
      </c>
      <c r="AT5" t="str">
        <f>IF(AND(AI5,AJ5),IF(AND(AM5,AN5,AO5,AP5,AQ5,AR5,AS5),"ХАРАКТЕРИСТИКИ СОВПАДАЮТ","ПЕРЕНОС ХАРАКТЕРИСТИК ОТ РОДИТЕЛЯ"),"УСЛОВИЯ НЕ ВЫПОЛНЕНЫ")</f>
        <v>УСЛОВИЯ НЕ ВЫПОЛНЕНЫ</v>
      </c>
      <c r="AU5">
        <f>E5-Q5</f>
        <v>34</v>
      </c>
      <c r="AV5">
        <f>F5-R5</f>
        <v>322</v>
      </c>
      <c r="AW5">
        <f>N5-Z5</f>
        <v>1195</v>
      </c>
      <c r="AX5" t="e">
        <f>VLOOKUP(B5,#REF!,1,FALSE)</f>
        <v>#REF!</v>
      </c>
    </row>
  </sheetData>
  <autoFilter ref="A4:AX4" xr:uid="{ACE31034-6EC4-4510-9C4D-6AD330B3B8C5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DD14C-211D-41DA-9D54-4BD4465189F4}">
  <dimension ref="A1:B147"/>
  <sheetViews>
    <sheetView topLeftCell="A4" workbookViewId="0">
      <selection activeCell="E110" sqref="E110"/>
    </sheetView>
  </sheetViews>
  <sheetFormatPr defaultRowHeight="15" x14ac:dyDescent="0.25"/>
  <cols>
    <col min="1" max="1" width="82.85546875" customWidth="1"/>
    <col min="2" max="2" width="36.28515625" customWidth="1"/>
  </cols>
  <sheetData>
    <row r="1" spans="1:2" x14ac:dyDescent="0.25">
      <c r="A1" s="6" t="s">
        <v>78</v>
      </c>
      <c r="B1" s="2"/>
    </row>
    <row r="2" spans="1:2" x14ac:dyDescent="0.25">
      <c r="A2" s="13" t="s">
        <v>83</v>
      </c>
      <c r="B2" s="13" t="s">
        <v>81</v>
      </c>
    </row>
    <row r="3" spans="1:2" x14ac:dyDescent="0.25">
      <c r="A3" s="13" t="s">
        <v>80</v>
      </c>
      <c r="B3" s="13" t="s">
        <v>81</v>
      </c>
    </row>
    <row r="4" spans="1:2" x14ac:dyDescent="0.25">
      <c r="A4" s="13" t="s">
        <v>82</v>
      </c>
      <c r="B4" s="13" t="s">
        <v>81</v>
      </c>
    </row>
    <row r="5" spans="1:2" x14ac:dyDescent="0.25">
      <c r="A5" s="13" t="s">
        <v>123</v>
      </c>
      <c r="B5" s="13" t="s">
        <v>84</v>
      </c>
    </row>
    <row r="6" spans="1:2" x14ac:dyDescent="0.25">
      <c r="A6" s="13" t="s">
        <v>124</v>
      </c>
      <c r="B6" s="13" t="s">
        <v>81</v>
      </c>
    </row>
    <row r="7" spans="1:2" x14ac:dyDescent="0.25">
      <c r="A7" s="13" t="s">
        <v>125</v>
      </c>
      <c r="B7" s="13" t="s">
        <v>81</v>
      </c>
    </row>
    <row r="8" spans="1:2" x14ac:dyDescent="0.25">
      <c r="A8" s="13" t="s">
        <v>126</v>
      </c>
      <c r="B8" s="13" t="s">
        <v>84</v>
      </c>
    </row>
    <row r="9" spans="1:2" x14ac:dyDescent="0.25">
      <c r="A9" s="13" t="s">
        <v>127</v>
      </c>
      <c r="B9" s="13" t="s">
        <v>84</v>
      </c>
    </row>
    <row r="10" spans="1:2" x14ac:dyDescent="0.25">
      <c r="A10" s="13" t="s">
        <v>128</v>
      </c>
      <c r="B10" s="13" t="s">
        <v>84</v>
      </c>
    </row>
    <row r="11" spans="1:2" x14ac:dyDescent="0.25">
      <c r="A11" s="13" t="s">
        <v>61</v>
      </c>
      <c r="B11" s="13" t="s">
        <v>84</v>
      </c>
    </row>
    <row r="12" spans="1:2" x14ac:dyDescent="0.25">
      <c r="A12" s="13" t="s">
        <v>129</v>
      </c>
      <c r="B12" s="13" t="s">
        <v>84</v>
      </c>
    </row>
    <row r="13" spans="1:2" x14ac:dyDescent="0.25">
      <c r="A13" s="13" t="s">
        <v>79</v>
      </c>
      <c r="B13" s="13" t="s">
        <v>79</v>
      </c>
    </row>
    <row r="14" spans="1:2" x14ac:dyDescent="0.25">
      <c r="A14" s="13" t="s">
        <v>130</v>
      </c>
      <c r="B14" s="13" t="s">
        <v>81</v>
      </c>
    </row>
    <row r="15" spans="1:2" x14ac:dyDescent="0.25">
      <c r="A15" s="13" t="s">
        <v>81</v>
      </c>
      <c r="B15" s="13" t="s">
        <v>81</v>
      </c>
    </row>
    <row r="16" spans="1:2" x14ac:dyDescent="0.25">
      <c r="A16" s="13" t="s">
        <v>29</v>
      </c>
      <c r="B16" s="13" t="s">
        <v>84</v>
      </c>
    </row>
    <row r="17" spans="1:2" x14ac:dyDescent="0.25">
      <c r="A17" s="7"/>
    </row>
    <row r="19" spans="1:2" x14ac:dyDescent="0.25">
      <c r="A19" s="6" t="s">
        <v>85</v>
      </c>
      <c r="B19" s="2"/>
    </row>
    <row r="20" spans="1:2" x14ac:dyDescent="0.25">
      <c r="A20" s="13" t="s">
        <v>46</v>
      </c>
      <c r="B20" s="13" t="s">
        <v>92</v>
      </c>
    </row>
    <row r="21" spans="1:2" x14ac:dyDescent="0.25">
      <c r="A21" s="13" t="s">
        <v>64</v>
      </c>
      <c r="B21" s="13" t="s">
        <v>87</v>
      </c>
    </row>
    <row r="22" spans="1:2" x14ac:dyDescent="0.25">
      <c r="A22" s="13" t="s">
        <v>39</v>
      </c>
      <c r="B22" s="13" t="s">
        <v>87</v>
      </c>
    </row>
    <row r="23" spans="1:2" x14ac:dyDescent="0.25">
      <c r="A23" s="13" t="s">
        <v>131</v>
      </c>
      <c r="B23" s="13" t="s">
        <v>87</v>
      </c>
    </row>
    <row r="24" spans="1:2" x14ac:dyDescent="0.25">
      <c r="A24" s="13" t="s">
        <v>123</v>
      </c>
      <c r="B24" s="13" t="s">
        <v>86</v>
      </c>
    </row>
    <row r="25" spans="1:2" x14ac:dyDescent="0.25">
      <c r="A25" s="13" t="s">
        <v>93</v>
      </c>
      <c r="B25" s="13" t="s">
        <v>86</v>
      </c>
    </row>
    <row r="26" spans="1:2" x14ac:dyDescent="0.25">
      <c r="A26" s="13" t="s">
        <v>95</v>
      </c>
      <c r="B26" s="13" t="s">
        <v>86</v>
      </c>
    </row>
    <row r="27" spans="1:2" x14ac:dyDescent="0.25">
      <c r="A27" s="13" t="s">
        <v>47</v>
      </c>
      <c r="B27" s="13" t="s">
        <v>86</v>
      </c>
    </row>
    <row r="28" spans="1:2" x14ac:dyDescent="0.25">
      <c r="A28" s="13" t="s">
        <v>132</v>
      </c>
      <c r="B28" s="13" t="s">
        <v>86</v>
      </c>
    </row>
    <row r="29" spans="1:2" x14ac:dyDescent="0.25">
      <c r="A29" s="13" t="s">
        <v>68</v>
      </c>
      <c r="B29" s="13" t="s">
        <v>92</v>
      </c>
    </row>
    <row r="30" spans="1:2" x14ac:dyDescent="0.25">
      <c r="A30" s="13" t="s">
        <v>91</v>
      </c>
      <c r="B30" s="13" t="s">
        <v>86</v>
      </c>
    </row>
    <row r="31" spans="1:2" x14ac:dyDescent="0.25">
      <c r="A31" s="13" t="s">
        <v>89</v>
      </c>
      <c r="B31" s="13" t="s">
        <v>87</v>
      </c>
    </row>
    <row r="32" spans="1:2" x14ac:dyDescent="0.25">
      <c r="A32" s="13" t="s">
        <v>88</v>
      </c>
      <c r="B32" s="13" t="s">
        <v>87</v>
      </c>
    </row>
    <row r="33" spans="1:2" x14ac:dyDescent="0.25">
      <c r="A33" s="13" t="s">
        <v>57</v>
      </c>
      <c r="B33" s="13" t="s">
        <v>87</v>
      </c>
    </row>
    <row r="34" spans="1:2" x14ac:dyDescent="0.25">
      <c r="A34" s="13" t="s">
        <v>59</v>
      </c>
      <c r="B34" s="13" t="s">
        <v>87</v>
      </c>
    </row>
    <row r="35" spans="1:2" x14ac:dyDescent="0.25">
      <c r="A35" s="13" t="s">
        <v>133</v>
      </c>
      <c r="B35" s="13" t="s">
        <v>87</v>
      </c>
    </row>
    <row r="36" spans="1:2" x14ac:dyDescent="0.25">
      <c r="A36" s="13" t="s">
        <v>134</v>
      </c>
      <c r="B36" s="13" t="s">
        <v>87</v>
      </c>
    </row>
    <row r="37" spans="1:2" x14ac:dyDescent="0.25">
      <c r="A37" s="13" t="s">
        <v>70</v>
      </c>
      <c r="B37" s="13" t="s">
        <v>87</v>
      </c>
    </row>
    <row r="38" spans="1:2" x14ac:dyDescent="0.25">
      <c r="A38" s="13" t="s">
        <v>135</v>
      </c>
      <c r="B38" s="13" t="s">
        <v>92</v>
      </c>
    </row>
    <row r="39" spans="1:2" x14ac:dyDescent="0.25">
      <c r="A39" s="13" t="s">
        <v>136</v>
      </c>
      <c r="B39" s="13" t="s">
        <v>92</v>
      </c>
    </row>
    <row r="40" spans="1:2" x14ac:dyDescent="0.25">
      <c r="A40" s="13" t="s">
        <v>137</v>
      </c>
      <c r="B40" s="13" t="s">
        <v>92</v>
      </c>
    </row>
    <row r="41" spans="1:2" x14ac:dyDescent="0.25">
      <c r="A41" s="13" t="s">
        <v>138</v>
      </c>
      <c r="B41" s="13" t="s">
        <v>86</v>
      </c>
    </row>
    <row r="42" spans="1:2" x14ac:dyDescent="0.25">
      <c r="A42" s="13" t="s">
        <v>139</v>
      </c>
      <c r="B42" s="13" t="s">
        <v>86</v>
      </c>
    </row>
    <row r="43" spans="1:2" x14ac:dyDescent="0.25">
      <c r="A43" s="13" t="s">
        <v>140</v>
      </c>
      <c r="B43" s="13" t="s">
        <v>86</v>
      </c>
    </row>
    <row r="44" spans="1:2" x14ac:dyDescent="0.25">
      <c r="A44" s="13" t="s">
        <v>36</v>
      </c>
      <c r="B44" s="13" t="s">
        <v>86</v>
      </c>
    </row>
    <row r="45" spans="1:2" x14ac:dyDescent="0.25">
      <c r="A45" s="13" t="s">
        <v>90</v>
      </c>
      <c r="B45" s="13" t="s">
        <v>87</v>
      </c>
    </row>
    <row r="46" spans="1:2" x14ac:dyDescent="0.25">
      <c r="A46" s="13" t="s">
        <v>141</v>
      </c>
      <c r="B46" s="13" t="s">
        <v>87</v>
      </c>
    </row>
    <row r="47" spans="1:2" x14ac:dyDescent="0.25">
      <c r="A47" s="13" t="s">
        <v>94</v>
      </c>
      <c r="B47" s="13" t="s">
        <v>86</v>
      </c>
    </row>
    <row r="48" spans="1:2" x14ac:dyDescent="0.25">
      <c r="A48" s="13" t="s">
        <v>142</v>
      </c>
      <c r="B48" s="13" t="s">
        <v>87</v>
      </c>
    </row>
    <row r="49" spans="1:2" x14ac:dyDescent="0.25">
      <c r="A49" s="13" t="s">
        <v>143</v>
      </c>
      <c r="B49" s="13" t="s">
        <v>86</v>
      </c>
    </row>
    <row r="50" spans="1:2" x14ac:dyDescent="0.25">
      <c r="A50" s="13" t="s">
        <v>87</v>
      </c>
      <c r="B50" s="13" t="s">
        <v>87</v>
      </c>
    </row>
    <row r="51" spans="1:2" x14ac:dyDescent="0.25">
      <c r="A51" s="13" t="s">
        <v>86</v>
      </c>
      <c r="B51" s="13" t="s">
        <v>86</v>
      </c>
    </row>
    <row r="52" spans="1:2" x14ac:dyDescent="0.25">
      <c r="A52" s="13" t="s">
        <v>29</v>
      </c>
      <c r="B52" s="13" t="s">
        <v>86</v>
      </c>
    </row>
    <row r="53" spans="1:2" x14ac:dyDescent="0.25">
      <c r="B53" s="12"/>
    </row>
    <row r="54" spans="1:2" x14ac:dyDescent="0.25">
      <c r="B54" s="12"/>
    </row>
    <row r="55" spans="1:2" x14ac:dyDescent="0.25">
      <c r="B55" s="12"/>
    </row>
    <row r="56" spans="1:2" x14ac:dyDescent="0.25">
      <c r="A56" s="6" t="s">
        <v>96</v>
      </c>
      <c r="B56" s="2"/>
    </row>
    <row r="57" spans="1:2" x14ac:dyDescent="0.25">
      <c r="A57" t="s">
        <v>33</v>
      </c>
      <c r="B57" t="s">
        <v>102</v>
      </c>
    </row>
    <row r="58" spans="1:2" x14ac:dyDescent="0.25">
      <c r="A58" t="s">
        <v>101</v>
      </c>
      <c r="B58" t="s">
        <v>102</v>
      </c>
    </row>
    <row r="59" spans="1:2" x14ac:dyDescent="0.25">
      <c r="A59" t="s">
        <v>65</v>
      </c>
      <c r="B59" t="s">
        <v>98</v>
      </c>
    </row>
    <row r="60" spans="1:2" x14ac:dyDescent="0.25">
      <c r="A60" t="s">
        <v>40</v>
      </c>
      <c r="B60" t="s">
        <v>98</v>
      </c>
    </row>
    <row r="61" spans="1:2" x14ac:dyDescent="0.25">
      <c r="A61" t="s">
        <v>123</v>
      </c>
      <c r="B61" t="s">
        <v>97</v>
      </c>
    </row>
    <row r="62" spans="1:2" x14ac:dyDescent="0.25">
      <c r="A62" t="s">
        <v>103</v>
      </c>
      <c r="B62" t="s">
        <v>97</v>
      </c>
    </row>
    <row r="63" spans="1:2" x14ac:dyDescent="0.25">
      <c r="A63" t="s">
        <v>104</v>
      </c>
      <c r="B63" t="s">
        <v>97</v>
      </c>
    </row>
    <row r="64" spans="1:2" x14ac:dyDescent="0.25">
      <c r="A64" t="s">
        <v>48</v>
      </c>
      <c r="B64" t="s">
        <v>97</v>
      </c>
    </row>
    <row r="65" spans="1:2" x14ac:dyDescent="0.25">
      <c r="A65" t="s">
        <v>69</v>
      </c>
      <c r="B65" t="s">
        <v>102</v>
      </c>
    </row>
    <row r="66" spans="1:2" x14ac:dyDescent="0.25">
      <c r="A66" t="s">
        <v>99</v>
      </c>
      <c r="B66" t="s">
        <v>100</v>
      </c>
    </row>
    <row r="67" spans="1:2" x14ac:dyDescent="0.25">
      <c r="A67" t="s">
        <v>54</v>
      </c>
      <c r="B67" t="s">
        <v>98</v>
      </c>
    </row>
    <row r="68" spans="1:2" x14ac:dyDescent="0.25">
      <c r="A68" t="s">
        <v>55</v>
      </c>
      <c r="B68" t="s">
        <v>98</v>
      </c>
    </row>
    <row r="69" spans="1:2" x14ac:dyDescent="0.25">
      <c r="A69" t="s">
        <v>144</v>
      </c>
      <c r="B69" t="s">
        <v>98</v>
      </c>
    </row>
    <row r="70" spans="1:2" x14ac:dyDescent="0.25">
      <c r="A70" t="s">
        <v>145</v>
      </c>
      <c r="B70" t="s">
        <v>98</v>
      </c>
    </row>
    <row r="71" spans="1:2" x14ac:dyDescent="0.25">
      <c r="A71" t="s">
        <v>71</v>
      </c>
      <c r="B71" t="s">
        <v>98</v>
      </c>
    </row>
    <row r="72" spans="1:2" x14ac:dyDescent="0.25">
      <c r="A72" t="s">
        <v>146</v>
      </c>
      <c r="B72" t="s">
        <v>102</v>
      </c>
    </row>
    <row r="73" spans="1:2" x14ac:dyDescent="0.25">
      <c r="A73" t="s">
        <v>147</v>
      </c>
      <c r="B73" t="s">
        <v>102</v>
      </c>
    </row>
    <row r="74" spans="1:2" x14ac:dyDescent="0.25">
      <c r="A74" t="s">
        <v>148</v>
      </c>
      <c r="B74" t="s">
        <v>102</v>
      </c>
    </row>
    <row r="75" spans="1:2" x14ac:dyDescent="0.25">
      <c r="A75" t="s">
        <v>149</v>
      </c>
      <c r="B75" t="s">
        <v>97</v>
      </c>
    </row>
    <row r="76" spans="1:2" x14ac:dyDescent="0.25">
      <c r="A76" t="s">
        <v>150</v>
      </c>
      <c r="B76" t="s">
        <v>97</v>
      </c>
    </row>
    <row r="77" spans="1:2" x14ac:dyDescent="0.25">
      <c r="A77" t="s">
        <v>151</v>
      </c>
      <c r="B77" t="s">
        <v>97</v>
      </c>
    </row>
    <row r="78" spans="1:2" x14ac:dyDescent="0.25">
      <c r="A78" t="s">
        <v>37</v>
      </c>
      <c r="B78" t="s">
        <v>97</v>
      </c>
    </row>
    <row r="79" spans="1:2" x14ac:dyDescent="0.25">
      <c r="A79" t="s">
        <v>152</v>
      </c>
      <c r="B79" t="s">
        <v>98</v>
      </c>
    </row>
    <row r="80" spans="1:2" x14ac:dyDescent="0.25">
      <c r="A80" t="s">
        <v>153</v>
      </c>
      <c r="B80" t="s">
        <v>98</v>
      </c>
    </row>
    <row r="81" spans="1:2" x14ac:dyDescent="0.25">
      <c r="A81" t="s">
        <v>98</v>
      </c>
      <c r="B81" t="s">
        <v>98</v>
      </c>
    </row>
    <row r="82" spans="1:2" x14ac:dyDescent="0.25">
      <c r="A82" t="s">
        <v>97</v>
      </c>
      <c r="B82" t="s">
        <v>97</v>
      </c>
    </row>
    <row r="83" spans="1:2" x14ac:dyDescent="0.25">
      <c r="A83" t="s">
        <v>29</v>
      </c>
      <c r="B83" t="s">
        <v>97</v>
      </c>
    </row>
    <row r="84" spans="1:2" x14ac:dyDescent="0.25">
      <c r="A84" s="9"/>
      <c r="B84" s="8"/>
    </row>
    <row r="85" spans="1:2" x14ac:dyDescent="0.25">
      <c r="A85" s="9"/>
      <c r="B85" s="8"/>
    </row>
    <row r="86" spans="1:2" x14ac:dyDescent="0.25">
      <c r="A86" s="10" t="s">
        <v>105</v>
      </c>
      <c r="B86" s="11"/>
    </row>
    <row r="87" spans="1:2" x14ac:dyDescent="0.25">
      <c r="A87" s="13" t="s">
        <v>66</v>
      </c>
      <c r="B87" s="13" t="s">
        <v>114</v>
      </c>
    </row>
    <row r="88" spans="1:2" x14ac:dyDescent="0.25">
      <c r="A88" s="13" t="s">
        <v>42</v>
      </c>
      <c r="B88" s="13" t="s">
        <v>114</v>
      </c>
    </row>
    <row r="89" spans="1:2" x14ac:dyDescent="0.25">
      <c r="A89" s="13" t="s">
        <v>123</v>
      </c>
      <c r="B89" s="13" t="s">
        <v>113</v>
      </c>
    </row>
    <row r="90" spans="1:2" x14ac:dyDescent="0.25">
      <c r="A90" s="13" t="s">
        <v>118</v>
      </c>
      <c r="B90" s="13" t="s">
        <v>113</v>
      </c>
    </row>
    <row r="91" spans="1:2" x14ac:dyDescent="0.25">
      <c r="A91" s="13" t="s">
        <v>49</v>
      </c>
      <c r="B91" s="13" t="s">
        <v>113</v>
      </c>
    </row>
    <row r="92" spans="1:2" x14ac:dyDescent="0.25">
      <c r="A92" s="13" t="s">
        <v>67</v>
      </c>
      <c r="B92" s="13" t="s">
        <v>113</v>
      </c>
    </row>
    <row r="93" spans="1:2" x14ac:dyDescent="0.25">
      <c r="A93" s="13" t="s">
        <v>62</v>
      </c>
      <c r="B93" s="13" t="s">
        <v>114</v>
      </c>
    </row>
    <row r="94" spans="1:2" x14ac:dyDescent="0.25">
      <c r="A94" s="13" t="s">
        <v>117</v>
      </c>
      <c r="B94" s="13" t="s">
        <v>113</v>
      </c>
    </row>
    <row r="95" spans="1:2" x14ac:dyDescent="0.25">
      <c r="A95" s="13" t="s">
        <v>116</v>
      </c>
      <c r="B95" s="13" t="s">
        <v>113</v>
      </c>
    </row>
    <row r="96" spans="1:2" x14ac:dyDescent="0.25">
      <c r="A96" s="13" t="s">
        <v>63</v>
      </c>
      <c r="B96" s="13" t="s">
        <v>114</v>
      </c>
    </row>
    <row r="97" spans="1:2" x14ac:dyDescent="0.25">
      <c r="A97" s="13" t="s">
        <v>58</v>
      </c>
      <c r="B97" s="13" t="s">
        <v>114</v>
      </c>
    </row>
    <row r="98" spans="1:2" x14ac:dyDescent="0.25">
      <c r="A98" s="13" t="s">
        <v>45</v>
      </c>
      <c r="B98" s="13" t="s">
        <v>113</v>
      </c>
    </row>
    <row r="99" spans="1:2" x14ac:dyDescent="0.25">
      <c r="A99" s="13" t="s">
        <v>154</v>
      </c>
      <c r="B99" s="13" t="s">
        <v>114</v>
      </c>
    </row>
    <row r="100" spans="1:2" x14ac:dyDescent="0.25">
      <c r="A100" s="13" t="s">
        <v>155</v>
      </c>
      <c r="B100" s="13" t="s">
        <v>114</v>
      </c>
    </row>
    <row r="101" spans="1:2" x14ac:dyDescent="0.25">
      <c r="A101" s="13" t="s">
        <v>72</v>
      </c>
      <c r="B101" s="13" t="s">
        <v>114</v>
      </c>
    </row>
    <row r="102" spans="1:2" x14ac:dyDescent="0.25">
      <c r="A102" s="13" t="s">
        <v>156</v>
      </c>
      <c r="B102" s="13" t="s">
        <v>113</v>
      </c>
    </row>
    <row r="103" spans="1:2" x14ac:dyDescent="0.25">
      <c r="A103" s="13" t="s">
        <v>157</v>
      </c>
      <c r="B103" s="13" t="s">
        <v>113</v>
      </c>
    </row>
    <row r="104" spans="1:2" x14ac:dyDescent="0.25">
      <c r="A104" s="13" t="s">
        <v>158</v>
      </c>
      <c r="B104" s="13" t="s">
        <v>113</v>
      </c>
    </row>
    <row r="105" spans="1:2" x14ac:dyDescent="0.25">
      <c r="A105" s="13" t="s">
        <v>159</v>
      </c>
      <c r="B105" s="13" t="s">
        <v>113</v>
      </c>
    </row>
    <row r="106" spans="1:2" x14ac:dyDescent="0.25">
      <c r="A106" s="13" t="s">
        <v>160</v>
      </c>
      <c r="B106" s="13" t="s">
        <v>113</v>
      </c>
    </row>
    <row r="107" spans="1:2" x14ac:dyDescent="0.25">
      <c r="A107" s="13" t="s">
        <v>161</v>
      </c>
      <c r="B107" s="13" t="s">
        <v>113</v>
      </c>
    </row>
    <row r="108" spans="1:2" x14ac:dyDescent="0.25">
      <c r="A108" s="13" t="s">
        <v>38</v>
      </c>
      <c r="B108" s="13" t="s">
        <v>113</v>
      </c>
    </row>
    <row r="109" spans="1:2" x14ac:dyDescent="0.25">
      <c r="A109" s="13" t="s">
        <v>115</v>
      </c>
      <c r="B109" s="13" t="s">
        <v>114</v>
      </c>
    </row>
    <row r="110" spans="1:2" x14ac:dyDescent="0.25">
      <c r="A110" s="13" t="s">
        <v>119</v>
      </c>
      <c r="B110" s="13" t="s">
        <v>113</v>
      </c>
    </row>
    <row r="111" spans="1:2" x14ac:dyDescent="0.25">
      <c r="A111" s="13" t="s">
        <v>162</v>
      </c>
      <c r="B111" s="13" t="s">
        <v>113</v>
      </c>
    </row>
    <row r="112" spans="1:2" x14ac:dyDescent="0.25">
      <c r="A112" s="13" t="s">
        <v>113</v>
      </c>
      <c r="B112" s="13" t="s">
        <v>113</v>
      </c>
    </row>
    <row r="113" spans="1:2" x14ac:dyDescent="0.25">
      <c r="A113" s="13" t="s">
        <v>114</v>
      </c>
      <c r="B113" s="13" t="s">
        <v>114</v>
      </c>
    </row>
    <row r="114" spans="1:2" x14ac:dyDescent="0.25">
      <c r="A114" s="13" t="s">
        <v>29</v>
      </c>
      <c r="B114" s="13" t="s">
        <v>113</v>
      </c>
    </row>
    <row r="115" spans="1:2" x14ac:dyDescent="0.25">
      <c r="A115" s="13" t="s">
        <v>52</v>
      </c>
      <c r="B115" s="13" t="s">
        <v>114</v>
      </c>
    </row>
    <row r="118" spans="1:2" x14ac:dyDescent="0.25">
      <c r="A118" s="13" t="s">
        <v>34</v>
      </c>
      <c r="B118" s="13" t="s">
        <v>109</v>
      </c>
    </row>
    <row r="119" spans="1:2" x14ac:dyDescent="0.25">
      <c r="A119" s="13" t="s">
        <v>51</v>
      </c>
      <c r="B119" s="13" t="s">
        <v>106</v>
      </c>
    </row>
    <row r="120" spans="1:2" x14ac:dyDescent="0.25">
      <c r="A120" s="13" t="s">
        <v>41</v>
      </c>
      <c r="B120" s="13" t="s">
        <v>106</v>
      </c>
    </row>
    <row r="121" spans="1:2" x14ac:dyDescent="0.25">
      <c r="A121" s="13" t="s">
        <v>163</v>
      </c>
      <c r="B121" s="13" t="s">
        <v>106</v>
      </c>
    </row>
    <row r="122" spans="1:2" x14ac:dyDescent="0.25">
      <c r="A122" s="13" t="s">
        <v>123</v>
      </c>
      <c r="B122" s="13" t="s">
        <v>164</v>
      </c>
    </row>
    <row r="123" spans="1:2" x14ac:dyDescent="0.25">
      <c r="A123" s="13" t="s">
        <v>111</v>
      </c>
      <c r="B123" s="13" t="s">
        <v>164</v>
      </c>
    </row>
    <row r="124" spans="1:2" x14ac:dyDescent="0.25">
      <c r="A124" s="13" t="s">
        <v>120</v>
      </c>
      <c r="B124" s="13" t="s">
        <v>164</v>
      </c>
    </row>
    <row r="125" spans="1:2" x14ac:dyDescent="0.25">
      <c r="A125" s="13" t="s">
        <v>53</v>
      </c>
      <c r="B125" s="13" t="s">
        <v>164</v>
      </c>
    </row>
    <row r="126" spans="1:2" x14ac:dyDescent="0.25">
      <c r="A126" s="13" t="s">
        <v>165</v>
      </c>
      <c r="B126" s="13" t="s">
        <v>164</v>
      </c>
    </row>
    <row r="127" spans="1:2" x14ac:dyDescent="0.25">
      <c r="A127" s="13" t="s">
        <v>110</v>
      </c>
      <c r="B127" s="13" t="s">
        <v>109</v>
      </c>
    </row>
    <row r="128" spans="1:2" x14ac:dyDescent="0.25">
      <c r="A128" s="13" t="s">
        <v>35</v>
      </c>
      <c r="B128" s="13" t="s">
        <v>106</v>
      </c>
    </row>
    <row r="129" spans="1:2" x14ac:dyDescent="0.25">
      <c r="A129" s="13" t="s">
        <v>107</v>
      </c>
      <c r="B129" s="13" t="s">
        <v>106</v>
      </c>
    </row>
    <row r="130" spans="1:2" x14ac:dyDescent="0.25">
      <c r="A130" s="13" t="s">
        <v>166</v>
      </c>
      <c r="B130" s="13" t="s">
        <v>106</v>
      </c>
    </row>
    <row r="131" spans="1:2" x14ac:dyDescent="0.25">
      <c r="A131" s="13" t="s">
        <v>167</v>
      </c>
      <c r="B131" s="13" t="s">
        <v>106</v>
      </c>
    </row>
    <row r="132" spans="1:2" x14ac:dyDescent="0.25">
      <c r="A132" s="13" t="s">
        <v>168</v>
      </c>
      <c r="B132" s="13" t="s">
        <v>106</v>
      </c>
    </row>
    <row r="133" spans="1:2" x14ac:dyDescent="0.25">
      <c r="A133" s="13" t="s">
        <v>169</v>
      </c>
      <c r="B133" s="13" t="s">
        <v>109</v>
      </c>
    </row>
    <row r="134" spans="1:2" x14ac:dyDescent="0.25">
      <c r="A134" s="13" t="s">
        <v>170</v>
      </c>
      <c r="B134" s="13" t="s">
        <v>109</v>
      </c>
    </row>
    <row r="135" spans="1:2" x14ac:dyDescent="0.25">
      <c r="A135" s="13" t="s">
        <v>171</v>
      </c>
      <c r="B135" s="13" t="s">
        <v>109</v>
      </c>
    </row>
    <row r="136" spans="1:2" x14ac:dyDescent="0.25">
      <c r="A136" s="13" t="s">
        <v>172</v>
      </c>
      <c r="B136" s="13" t="s">
        <v>164</v>
      </c>
    </row>
    <row r="137" spans="1:2" x14ac:dyDescent="0.25">
      <c r="A137" s="13" t="s">
        <v>173</v>
      </c>
      <c r="B137" s="13" t="s">
        <v>164</v>
      </c>
    </row>
    <row r="138" spans="1:2" x14ac:dyDescent="0.25">
      <c r="A138" s="13" t="s">
        <v>174</v>
      </c>
      <c r="B138" s="13" t="s">
        <v>164</v>
      </c>
    </row>
    <row r="139" spans="1:2" x14ac:dyDescent="0.25">
      <c r="A139" s="13" t="s">
        <v>108</v>
      </c>
      <c r="B139" s="13" t="s">
        <v>106</v>
      </c>
    </row>
    <row r="140" spans="1:2" x14ac:dyDescent="0.25">
      <c r="A140" s="13" t="s">
        <v>112</v>
      </c>
      <c r="B140" s="13" t="s">
        <v>164</v>
      </c>
    </row>
    <row r="141" spans="1:2" x14ac:dyDescent="0.25">
      <c r="A141" s="13" t="s">
        <v>121</v>
      </c>
      <c r="B141" s="13" t="s">
        <v>106</v>
      </c>
    </row>
    <row r="142" spans="1:2" x14ac:dyDescent="0.25">
      <c r="A142" s="13" t="s">
        <v>56</v>
      </c>
      <c r="B142" s="13" t="s">
        <v>164</v>
      </c>
    </row>
    <row r="143" spans="1:2" x14ac:dyDescent="0.25">
      <c r="A143" s="13" t="s">
        <v>175</v>
      </c>
      <c r="B143" s="13" t="s">
        <v>164</v>
      </c>
    </row>
    <row r="144" spans="1:2" x14ac:dyDescent="0.25">
      <c r="A144" s="13" t="s">
        <v>176</v>
      </c>
      <c r="B144" s="13" t="s">
        <v>106</v>
      </c>
    </row>
    <row r="145" spans="1:2" x14ac:dyDescent="0.25">
      <c r="A145" s="13" t="s">
        <v>177</v>
      </c>
      <c r="B145" s="13" t="s">
        <v>106</v>
      </c>
    </row>
    <row r="146" spans="1:2" x14ac:dyDescent="0.25">
      <c r="A146" s="13" t="s">
        <v>164</v>
      </c>
      <c r="B146" s="13" t="s">
        <v>164</v>
      </c>
    </row>
    <row r="147" spans="1:2" x14ac:dyDescent="0.25">
      <c r="A147" s="13" t="s">
        <v>29</v>
      </c>
      <c r="B147" s="13" t="s">
        <v>164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6FE3C-CCD9-4C6B-AB7A-0B1F99DEA1C0}">
  <dimension ref="A1:B9"/>
  <sheetViews>
    <sheetView workbookViewId="0">
      <selection activeCell="C6" sqref="C6"/>
    </sheetView>
  </sheetViews>
  <sheetFormatPr defaultRowHeight="15" x14ac:dyDescent="0.25"/>
  <cols>
    <col min="1" max="1" width="12.5703125" customWidth="1"/>
  </cols>
  <sheetData>
    <row r="1" spans="1:2" x14ac:dyDescent="0.25">
      <c r="A1" t="s">
        <v>32</v>
      </c>
      <c r="B1" t="b">
        <f>TRUE</f>
        <v>1</v>
      </c>
    </row>
    <row r="2" spans="1:2" x14ac:dyDescent="0.25">
      <c r="A2" t="s">
        <v>73</v>
      </c>
      <c r="B2" t="b">
        <f>TRUE</f>
        <v>1</v>
      </c>
    </row>
    <row r="3" spans="1:2" x14ac:dyDescent="0.25">
      <c r="A3" t="s">
        <v>31</v>
      </c>
      <c r="B3" t="b">
        <f>TRUE</f>
        <v>1</v>
      </c>
    </row>
    <row r="4" spans="1:2" x14ac:dyDescent="0.25">
      <c r="A4" t="s">
        <v>74</v>
      </c>
      <c r="B4" t="b">
        <f>TRUE</f>
        <v>1</v>
      </c>
    </row>
    <row r="5" spans="1:2" x14ac:dyDescent="0.25">
      <c r="A5" t="s">
        <v>30</v>
      </c>
      <c r="B5" t="b">
        <f>TRUE</f>
        <v>1</v>
      </c>
    </row>
    <row r="6" spans="1:2" x14ac:dyDescent="0.25">
      <c r="A6" t="s">
        <v>43</v>
      </c>
      <c r="B6" t="b">
        <f>TRUE</f>
        <v>1</v>
      </c>
    </row>
    <row r="7" spans="1:2" x14ac:dyDescent="0.25">
      <c r="A7" t="s">
        <v>50</v>
      </c>
      <c r="B7" t="b">
        <f>TRUE</f>
        <v>1</v>
      </c>
    </row>
    <row r="8" spans="1:2" x14ac:dyDescent="0.25">
      <c r="A8" s="5" t="s">
        <v>75</v>
      </c>
      <c r="B8" t="b">
        <f>TRUE</f>
        <v>1</v>
      </c>
    </row>
    <row r="9" spans="1:2" x14ac:dyDescent="0.25">
      <c r="A9" t="s">
        <v>44</v>
      </c>
      <c r="B9" t="b">
        <f>TRUE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Объекты</vt:lpstr>
      <vt:lpstr>Градации</vt:lpstr>
      <vt:lpstr>КВРИ13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Троицких Владимир Вениаминович</cp:lastModifiedBy>
  <dcterms:created xsi:type="dcterms:W3CDTF">2024-04-11T05:47:49Z</dcterms:created>
  <dcterms:modified xsi:type="dcterms:W3CDTF">2024-04-17T11:03:49Z</dcterms:modified>
</cp:coreProperties>
</file>