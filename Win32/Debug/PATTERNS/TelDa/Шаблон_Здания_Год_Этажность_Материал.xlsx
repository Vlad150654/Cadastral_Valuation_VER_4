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kyo\Cadastral_Valuation_VER_4\Win32\Debug\PATTERNS\TelDa\"/>
    </mc:Choice>
  </mc:AlternateContent>
  <xr:revisionPtr revIDLastSave="0" documentId="13_ncr:1_{E5835AF9-EC5B-4D1D-B88F-81EEFFDF1E8D}" xr6:coauthVersionLast="45" xr6:coauthVersionMax="45" xr10:uidLastSave="{00000000-0000-0000-0000-000000000000}"/>
  <bookViews>
    <workbookView xWindow="150" yWindow="2010" windowWidth="25065" windowHeight="6210" tabRatio="856" xr2:uid="{837E74D4-65AC-4AF4-8A0B-9DAB9198363C}"/>
  </bookViews>
  <sheets>
    <sheet name="Объекты" sheetId="5" r:id="rId1"/>
    <sheet name="Спр ОКТМО" sheetId="10" r:id="rId2"/>
    <sheet name="СПР ФГ" sheetId="17" r:id="rId3"/>
    <sheet name="СУРС ГКО2023" sheetId="18" r:id="rId4"/>
    <sheet name="Константы0" sheetId="9" r:id="rId5"/>
    <sheet name="СПР Наименований" sheetId="16" r:id="rId6"/>
    <sheet name="Тип территории" sheetId="15" r:id="rId7"/>
    <sheet name="Тип этажности" sheetId="6" r:id="rId8"/>
    <sheet name="Соответствие этажей" sheetId="2" r:id="rId9"/>
    <sheet name="СПР МС" sheetId="3" r:id="rId10"/>
    <sheet name="ТипФГ" sheetId="7" r:id="rId11"/>
    <sheet name="ОпределениеГК" sheetId="8" r:id="rId12"/>
    <sheet name="Промежуточный параметр" sheetId="4" r:id="rId13"/>
    <sheet name="Промежуточная табл 1" sheetId="14" r:id="rId14"/>
    <sheet name="Промежуточная табл 2" sheetId="11" r:id="rId15"/>
    <sheet name="Промежуточная табл 3" sheetId="12" r:id="rId16"/>
    <sheet name="Промежуточная табл 4" sheetId="13" r:id="rId17"/>
  </sheets>
  <externalReferences>
    <externalReference r:id="rId18"/>
    <externalReference r:id="rId19"/>
  </externalReferences>
  <definedNames>
    <definedName name="_FilterDatabase" localSheetId="11" hidden="1">ОпределениеГК!$A$1:$E$46</definedName>
    <definedName name="_xlnm._FilterDatabase" localSheetId="5" hidden="1">'СПР Наименований'!$A$1:$E$395</definedName>
    <definedName name="_xlnm._FilterDatabase" localSheetId="1" hidden="1">'Спр ОКТМО'!$A$1:$N$1940</definedName>
    <definedName name="_xlnm._FilterDatabase" localSheetId="2" hidden="1">'СПР ФГ'!$A$1:$D$374</definedName>
    <definedName name="_xlnm._FilterDatabase" localSheetId="3" hidden="1">'СУРС ГКО2023'!$A$1:$E$2771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I5" i="5" l="1"/>
  <c r="BT5" i="5" l="1"/>
  <c r="AP5" i="5" s="1"/>
  <c r="BG5" i="5" l="1"/>
  <c r="AY5" i="5" l="1"/>
  <c r="BE5" i="5" l="1"/>
  <c r="BF5" i="5" l="1"/>
  <c r="BH5" i="5" l="1"/>
  <c r="BJ5" i="5" s="1"/>
  <c r="AZ5" i="5"/>
  <c r="BC5" i="5" l="1"/>
  <c r="AX5" i="5" l="1"/>
  <c r="AV5" i="5" l="1"/>
  <c r="AW5" i="5" l="1"/>
  <c r="BA5" i="5" l="1"/>
  <c r="A47" i="8" l="1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T5" i="5" l="1"/>
  <c r="F1544" i="10" l="1"/>
  <c r="F1543" i="10"/>
  <c r="F1542" i="10"/>
  <c r="F1541" i="10"/>
  <c r="F1300" i="10"/>
  <c r="F1299" i="10"/>
  <c r="F1298" i="10"/>
  <c r="F1297" i="10"/>
  <c r="F1296" i="10"/>
  <c r="F1295" i="10"/>
  <c r="F222" i="10"/>
  <c r="F221" i="10"/>
  <c r="F220" i="10"/>
  <c r="F1645" i="10"/>
  <c r="F1644" i="10"/>
  <c r="F1643" i="10"/>
  <c r="F1642" i="10"/>
  <c r="F963" i="10"/>
  <c r="F962" i="10"/>
  <c r="F961" i="10"/>
  <c r="F960" i="10"/>
  <c r="F959" i="10"/>
  <c r="F1058" i="10"/>
  <c r="F581" i="10"/>
  <c r="F1130" i="10"/>
  <c r="F1940" i="10"/>
  <c r="F1901" i="10"/>
  <c r="F1837" i="10"/>
  <c r="F1784" i="10"/>
  <c r="F1689" i="10"/>
  <c r="F1641" i="10"/>
  <c r="F1608" i="10"/>
  <c r="F1569" i="10"/>
  <c r="F1540" i="10"/>
  <c r="F1492" i="10"/>
  <c r="F1454" i="10"/>
  <c r="F1444" i="10"/>
  <c r="F1412" i="10"/>
  <c r="F1367" i="10"/>
  <c r="F1353" i="10"/>
  <c r="F1346" i="10"/>
  <c r="F1323" i="10"/>
  <c r="F1294" i="10"/>
  <c r="F1255" i="10"/>
  <c r="F1219" i="10"/>
  <c r="F958" i="10"/>
  <c r="F1143" i="10"/>
  <c r="F1141" i="10"/>
  <c r="F1036" i="10"/>
  <c r="F995" i="10"/>
  <c r="F990" i="10"/>
  <c r="F976" i="10"/>
  <c r="F967" i="10"/>
  <c r="F903" i="10"/>
  <c r="F901" i="10"/>
  <c r="F835" i="10"/>
  <c r="F731" i="10"/>
  <c r="F702" i="10"/>
  <c r="F675" i="10"/>
  <c r="F670" i="10"/>
  <c r="F665" i="10"/>
  <c r="F663" i="10"/>
  <c r="F654" i="10"/>
  <c r="F623" i="10"/>
  <c r="F618" i="10"/>
  <c r="F612" i="10"/>
  <c r="F606" i="10"/>
  <c r="F595" i="10"/>
  <c r="F589" i="10"/>
  <c r="F580" i="10"/>
  <c r="F579" i="10"/>
  <c r="F573" i="10"/>
  <c r="F568" i="10"/>
  <c r="F523" i="10"/>
  <c r="F521" i="10"/>
  <c r="F496" i="10"/>
  <c r="F492" i="10"/>
  <c r="F490" i="10"/>
  <c r="F488" i="10"/>
  <c r="F447" i="10"/>
  <c r="F441" i="10"/>
  <c r="F418" i="10"/>
  <c r="F357" i="10"/>
  <c r="F314" i="10"/>
  <c r="F311" i="10"/>
  <c r="F292" i="10"/>
  <c r="F286" i="10"/>
  <c r="F268" i="10"/>
  <c r="F219" i="10"/>
  <c r="F151" i="10"/>
  <c r="F97" i="10"/>
  <c r="F93" i="10"/>
  <c r="F33" i="10"/>
  <c r="F5" i="10"/>
  <c r="F1688" i="10"/>
  <c r="F1140" i="10"/>
  <c r="F150" i="10"/>
  <c r="F149" i="10"/>
  <c r="F674" i="10"/>
  <c r="F653" i="10"/>
  <c r="F652" i="10"/>
  <c r="F651" i="10"/>
  <c r="F650" i="10"/>
  <c r="F649" i="10"/>
  <c r="F417" i="10"/>
  <c r="F989" i="10"/>
  <c r="F1607" i="10"/>
  <c r="F4" i="10"/>
  <c r="F1606" i="10"/>
  <c r="F567" i="10"/>
  <c r="F267" i="10"/>
  <c r="F266" i="10"/>
  <c r="F265" i="10"/>
  <c r="F32" i="10"/>
  <c r="F31" i="10"/>
  <c r="F834" i="10"/>
  <c r="F566" i="10"/>
  <c r="F1783" i="10"/>
  <c r="F1782" i="10"/>
  <c r="F1836" i="10"/>
  <c r="F1411" i="10"/>
  <c r="F1410" i="10"/>
  <c r="F356" i="10"/>
  <c r="F291" i="10"/>
  <c r="F1345" i="10"/>
  <c r="F218" i="10"/>
  <c r="F578" i="10"/>
  <c r="F1139" i="10"/>
  <c r="F1835" i="10"/>
  <c r="F1781" i="10"/>
  <c r="F1780" i="10"/>
  <c r="F1779" i="10"/>
  <c r="F1640" i="10"/>
  <c r="F1409" i="10"/>
  <c r="F1344" i="10"/>
  <c r="F900" i="10"/>
  <c r="F355" i="10"/>
  <c r="F354" i="10"/>
  <c r="F353" i="10"/>
  <c r="F565" i="10"/>
  <c r="F148" i="10"/>
  <c r="F92" i="10"/>
  <c r="F1035" i="10"/>
  <c r="F1900" i="10"/>
  <c r="F1834" i="10"/>
  <c r="F1778" i="10"/>
  <c r="F1777" i="10"/>
  <c r="F1605" i="10"/>
  <c r="F1604" i="10"/>
  <c r="F1603" i="10"/>
  <c r="F1539" i="10"/>
  <c r="F1491" i="10"/>
  <c r="F1490" i="10"/>
  <c r="F1489" i="10"/>
  <c r="F1488" i="10"/>
  <c r="F1487" i="10"/>
  <c r="F1486" i="10"/>
  <c r="F1365" i="10"/>
  <c r="F1364" i="10"/>
  <c r="F1363" i="10"/>
  <c r="F1362" i="10"/>
  <c r="F1254" i="10"/>
  <c r="F1253" i="10"/>
  <c r="F1218" i="10"/>
  <c r="F1217" i="10"/>
  <c r="F1216" i="10"/>
  <c r="F1215" i="10"/>
  <c r="F957" i="10"/>
  <c r="F956" i="10"/>
  <c r="F955" i="10"/>
  <c r="F954" i="10"/>
  <c r="F953" i="10"/>
  <c r="F1138" i="10"/>
  <c r="F1129" i="10"/>
  <c r="F1128" i="10"/>
  <c r="F994" i="10"/>
  <c r="F975" i="10"/>
  <c r="F974" i="10"/>
  <c r="F899" i="10"/>
  <c r="F898" i="10"/>
  <c r="F897" i="10"/>
  <c r="F896" i="10"/>
  <c r="F730" i="10"/>
  <c r="F661" i="10"/>
  <c r="F622" i="10"/>
  <c r="F621" i="10"/>
  <c r="F577" i="10"/>
  <c r="F495" i="10"/>
  <c r="F487" i="10"/>
  <c r="F486" i="10"/>
  <c r="F446" i="10"/>
  <c r="F440" i="10"/>
  <c r="F439" i="10"/>
  <c r="F416" i="10"/>
  <c r="F415" i="10"/>
  <c r="F414" i="10"/>
  <c r="F413" i="10"/>
  <c r="F352" i="10"/>
  <c r="F351" i="10"/>
  <c r="F313" i="10"/>
  <c r="F285" i="10"/>
  <c r="F264" i="10"/>
  <c r="F263" i="10"/>
  <c r="F147" i="10"/>
  <c r="F96" i="10"/>
  <c r="F1602" i="10"/>
  <c r="F146" i="10"/>
  <c r="F988" i="10"/>
  <c r="F987" i="10"/>
  <c r="F588" i="10"/>
  <c r="F3" i="10"/>
  <c r="F1639" i="10"/>
  <c r="F1485" i="10"/>
  <c r="F660" i="10"/>
  <c r="F437" i="10"/>
  <c r="F412" i="10"/>
  <c r="F411" i="10"/>
  <c r="F1214" i="10"/>
  <c r="F1213" i="10"/>
  <c r="F1212" i="10"/>
  <c r="F1211" i="10"/>
  <c r="F1210" i="10"/>
  <c r="F1209" i="10"/>
  <c r="F1208" i="10"/>
  <c r="F1207" i="10"/>
  <c r="F1206" i="10"/>
  <c r="F1205" i="10"/>
  <c r="F1204" i="10"/>
  <c r="F1203" i="10"/>
  <c r="F1202" i="10"/>
  <c r="F895" i="10"/>
  <c r="F894" i="10"/>
  <c r="F893" i="10"/>
  <c r="F892" i="10"/>
  <c r="F891" i="10"/>
  <c r="F833" i="10"/>
  <c r="F350" i="10"/>
  <c r="F349" i="10"/>
  <c r="F348" i="10"/>
  <c r="F347" i="10"/>
  <c r="F346" i="10"/>
  <c r="F345" i="10"/>
  <c r="F145" i="10"/>
  <c r="F669" i="10"/>
  <c r="F1484" i="10"/>
  <c r="F1483" i="10"/>
  <c r="F1453" i="10"/>
  <c r="F1452" i="10"/>
  <c r="F1361" i="10"/>
  <c r="F1360" i="10"/>
  <c r="F1359" i="10"/>
  <c r="F1358" i="10"/>
  <c r="F1357" i="10"/>
  <c r="F648" i="10"/>
  <c r="F647" i="10"/>
  <c r="F646" i="10"/>
  <c r="F645" i="10"/>
  <c r="F644" i="10"/>
  <c r="F643" i="10"/>
  <c r="F642" i="10"/>
  <c r="F986" i="10"/>
  <c r="F985" i="10"/>
  <c r="F984" i="10"/>
  <c r="F983" i="10"/>
  <c r="F729" i="10"/>
  <c r="F728" i="10"/>
  <c r="F727" i="10"/>
  <c r="F312" i="10"/>
  <c r="F519" i="10"/>
  <c r="F518" i="10"/>
  <c r="F517" i="10"/>
  <c r="F516" i="10"/>
  <c r="F2" i="10"/>
  <c r="F1137" i="10"/>
  <c r="F1899" i="10"/>
  <c r="F1898" i="10"/>
  <c r="F1833" i="10"/>
  <c r="F1832" i="10"/>
  <c r="F1831" i="10"/>
  <c r="F1830" i="10"/>
  <c r="F1829" i="10"/>
  <c r="F1828" i="10"/>
  <c r="F1827" i="10"/>
  <c r="F1826" i="10"/>
  <c r="F1825" i="10"/>
  <c r="F1824" i="10"/>
  <c r="F1823" i="10"/>
  <c r="F1822" i="10"/>
  <c r="F1821" i="10"/>
  <c r="F1820" i="10"/>
  <c r="F1819" i="10"/>
  <c r="F1818" i="10"/>
  <c r="F1817" i="10"/>
  <c r="F1816" i="10"/>
  <c r="F1815" i="10"/>
  <c r="F1776" i="10"/>
  <c r="F1775" i="10"/>
  <c r="F1774" i="10"/>
  <c r="F1773" i="10"/>
  <c r="F1772" i="10"/>
  <c r="F1771" i="10"/>
  <c r="F1770" i="10"/>
  <c r="F1769" i="10"/>
  <c r="F1768" i="10"/>
  <c r="F1767" i="10"/>
  <c r="F1766" i="10"/>
  <c r="F1765" i="10"/>
  <c r="F1764" i="10"/>
  <c r="F1763" i="10"/>
  <c r="F1762" i="10"/>
  <c r="F1687" i="10"/>
  <c r="F1638" i="10"/>
  <c r="F1637" i="10"/>
  <c r="F1636" i="10"/>
  <c r="F1635" i="10"/>
  <c r="F1634" i="10"/>
  <c r="F1633" i="10"/>
  <c r="F1632" i="10"/>
  <c r="F1631" i="10"/>
  <c r="F1630" i="10"/>
  <c r="F1629" i="10"/>
  <c r="F1628" i="10"/>
  <c r="F1627" i="10"/>
  <c r="F1626" i="10"/>
  <c r="F1625" i="10"/>
  <c r="F1624" i="10"/>
  <c r="F1538" i="10"/>
  <c r="F1537" i="10"/>
  <c r="F1536" i="10"/>
  <c r="F1535" i="10"/>
  <c r="F1534" i="10"/>
  <c r="F1533" i="10"/>
  <c r="F1482" i="10"/>
  <c r="F1481" i="10"/>
  <c r="F1480" i="10"/>
  <c r="F1479" i="10"/>
  <c r="F1478" i="10"/>
  <c r="F1477" i="10"/>
  <c r="F1476" i="10"/>
  <c r="F1475" i="10"/>
  <c r="F1474" i="10"/>
  <c r="F1473" i="10"/>
  <c r="F1472" i="10"/>
  <c r="F1471" i="10"/>
  <c r="F1470" i="10"/>
  <c r="F1469" i="10"/>
  <c r="F1468" i="10"/>
  <c r="F1467" i="10"/>
  <c r="F1466" i="10"/>
  <c r="F1465" i="10"/>
  <c r="F1464" i="10"/>
  <c r="F1463" i="10"/>
  <c r="F1462" i="10"/>
  <c r="F1461" i="10"/>
  <c r="F1460" i="10"/>
  <c r="F1459" i="10"/>
  <c r="F1458" i="10"/>
  <c r="F1457" i="10"/>
  <c r="F1408" i="10"/>
  <c r="F1407" i="10"/>
  <c r="F1406" i="10"/>
  <c r="F1405" i="10"/>
  <c r="F1404" i="10"/>
  <c r="F1403" i="10"/>
  <c r="F1402" i="10"/>
  <c r="F1401" i="10"/>
  <c r="F1400" i="10"/>
  <c r="F1399" i="10"/>
  <c r="F1398" i="10"/>
  <c r="F436" i="10"/>
  <c r="F410" i="10"/>
  <c r="F409" i="10"/>
  <c r="F408" i="10"/>
  <c r="F407" i="10"/>
  <c r="F406" i="10"/>
  <c r="F405" i="10"/>
  <c r="F404" i="10"/>
  <c r="F403" i="10"/>
  <c r="F402" i="10"/>
  <c r="F401" i="10"/>
  <c r="F400" i="10"/>
  <c r="F399" i="10"/>
  <c r="F398" i="10"/>
  <c r="F397" i="10"/>
  <c r="F435" i="10"/>
  <c r="F396" i="10"/>
  <c r="F395" i="10"/>
  <c r="F394" i="10"/>
  <c r="F434" i="10"/>
  <c r="F393" i="10"/>
  <c r="F392" i="10"/>
  <c r="F391" i="10"/>
  <c r="F390" i="10"/>
  <c r="F389" i="10"/>
  <c r="F1201" i="10"/>
  <c r="F1200" i="10"/>
  <c r="F1199" i="10"/>
  <c r="F952" i="10"/>
  <c r="F951" i="10"/>
  <c r="F890" i="10"/>
  <c r="F889" i="10"/>
  <c r="F888" i="10"/>
  <c r="F887" i="10"/>
  <c r="F886" i="10"/>
  <c r="F885" i="10"/>
  <c r="F884" i="10"/>
  <c r="F883" i="10"/>
  <c r="F882" i="10"/>
  <c r="F881" i="10"/>
  <c r="F880" i="10"/>
  <c r="F879" i="10"/>
  <c r="F878" i="10"/>
  <c r="F877" i="10"/>
  <c r="F876" i="10"/>
  <c r="F875" i="10"/>
  <c r="F874" i="10"/>
  <c r="F873" i="10"/>
  <c r="F872" i="10"/>
  <c r="F871" i="10"/>
  <c r="F870" i="10"/>
  <c r="F869" i="10"/>
  <c r="F868" i="10"/>
  <c r="F867" i="10"/>
  <c r="F866" i="10"/>
  <c r="F865" i="10"/>
  <c r="F864" i="10"/>
  <c r="F863" i="10"/>
  <c r="F862" i="10"/>
  <c r="F861" i="10"/>
  <c r="F860" i="10"/>
  <c r="F859" i="10"/>
  <c r="F858" i="10"/>
  <c r="F857" i="10"/>
  <c r="F832" i="10"/>
  <c r="F831" i="10"/>
  <c r="F830" i="10"/>
  <c r="F829" i="10"/>
  <c r="F828" i="10"/>
  <c r="F827" i="10"/>
  <c r="F826" i="10"/>
  <c r="F825" i="10"/>
  <c r="F824" i="10"/>
  <c r="F823" i="10"/>
  <c r="F822" i="10"/>
  <c r="F821" i="10"/>
  <c r="F820" i="10"/>
  <c r="F819" i="10"/>
  <c r="F818" i="10"/>
  <c r="F817" i="10"/>
  <c r="F816" i="10"/>
  <c r="F815" i="10"/>
  <c r="F814" i="10"/>
  <c r="F813" i="10"/>
  <c r="F812" i="10"/>
  <c r="F811" i="10"/>
  <c r="F810" i="10"/>
  <c r="F809" i="10"/>
  <c r="F808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564" i="10"/>
  <c r="F563" i="10"/>
  <c r="F562" i="10"/>
  <c r="F561" i="10"/>
  <c r="F560" i="10"/>
  <c r="F559" i="10"/>
  <c r="F558" i="10"/>
  <c r="F1034" i="10"/>
  <c r="F310" i="10"/>
  <c r="F309" i="10"/>
  <c r="F308" i="10"/>
  <c r="F307" i="10"/>
  <c r="F306" i="10"/>
  <c r="F485" i="10"/>
  <c r="F484" i="10"/>
  <c r="F483" i="10"/>
  <c r="F482" i="10"/>
  <c r="F481" i="10"/>
  <c r="F480" i="10"/>
  <c r="F479" i="10"/>
  <c r="F478" i="10"/>
  <c r="F262" i="10"/>
  <c r="F261" i="10"/>
  <c r="F260" i="10"/>
  <c r="F259" i="10"/>
  <c r="F144" i="10"/>
  <c r="F143" i="10"/>
  <c r="F142" i="10"/>
  <c r="F141" i="10"/>
  <c r="F140" i="10"/>
  <c r="F139" i="10"/>
  <c r="F30" i="10"/>
  <c r="F29" i="10"/>
  <c r="F28" i="10"/>
  <c r="F27" i="10"/>
  <c r="F26" i="10"/>
  <c r="F25" i="10"/>
  <c r="F24" i="10"/>
  <c r="F1127" i="10"/>
  <c r="F1126" i="10"/>
  <c r="F1033" i="10"/>
  <c r="F1032" i="10"/>
  <c r="F1031" i="10"/>
  <c r="F1030" i="10"/>
  <c r="F1029" i="10"/>
  <c r="F1028" i="10"/>
  <c r="F1027" i="10"/>
  <c r="F1026" i="10"/>
  <c r="F1025" i="10"/>
  <c r="F1024" i="10"/>
  <c r="F1023" i="10"/>
  <c r="F1022" i="10"/>
  <c r="F856" i="10"/>
  <c r="F477" i="10"/>
  <c r="F855" i="10"/>
  <c r="F433" i="10"/>
  <c r="F1125" i="10"/>
  <c r="F1601" i="10"/>
  <c r="F659" i="10"/>
  <c r="F701" i="10"/>
  <c r="F305" i="10"/>
  <c r="F1600" i="10"/>
  <c r="F1599" i="10"/>
  <c r="F1598" i="10"/>
  <c r="F1597" i="10"/>
  <c r="F1596" i="10"/>
  <c r="F1595" i="10"/>
  <c r="F1594" i="10"/>
  <c r="F572" i="10"/>
  <c r="F284" i="10"/>
  <c r="F640" i="10"/>
  <c r="F388" i="10"/>
  <c r="F23" i="10"/>
  <c r="F700" i="10"/>
  <c r="F1322" i="10"/>
  <c r="F304" i="10"/>
  <c r="F387" i="10"/>
  <c r="F1443" i="10"/>
  <c r="F664" i="10"/>
  <c r="F807" i="10"/>
  <c r="F806" i="10"/>
  <c r="F805" i="10"/>
  <c r="F804" i="10"/>
  <c r="F1021" i="10"/>
  <c r="F1020" i="10"/>
  <c r="F557" i="10"/>
  <c r="F1686" i="10"/>
  <c r="F1685" i="10"/>
  <c r="F1684" i="10"/>
  <c r="F1683" i="10"/>
  <c r="F1682" i="10"/>
  <c r="F1681" i="10"/>
  <c r="F1680" i="10"/>
  <c r="F726" i="10"/>
  <c r="F725" i="10"/>
  <c r="F724" i="10"/>
  <c r="F1568" i="10"/>
  <c r="F217" i="10"/>
  <c r="F216" i="10"/>
  <c r="F215" i="10"/>
  <c r="F214" i="10"/>
  <c r="F1814" i="10"/>
  <c r="F1593" i="10"/>
  <c r="F258" i="10"/>
  <c r="F257" i="10"/>
  <c r="F993" i="10"/>
  <c r="F256" i="10"/>
  <c r="F639" i="10"/>
  <c r="F638" i="10"/>
  <c r="F637" i="10"/>
  <c r="F91" i="10"/>
  <c r="F90" i="10"/>
  <c r="F1198" i="10"/>
  <c r="F138" i="10"/>
  <c r="F255" i="10"/>
  <c r="F1356" i="10"/>
  <c r="F1355" i="10"/>
  <c r="F636" i="10"/>
  <c r="F635" i="10"/>
  <c r="F593" i="10"/>
  <c r="F515" i="10"/>
  <c r="F514" i="10"/>
  <c r="F1813" i="10"/>
  <c r="F1812" i="10"/>
  <c r="F1811" i="10"/>
  <c r="F1810" i="10"/>
  <c r="F1761" i="10"/>
  <c r="F1679" i="10"/>
  <c r="F1592" i="10"/>
  <c r="F1456" i="10"/>
  <c r="F1442" i="10"/>
  <c r="F386" i="10"/>
  <c r="F385" i="10"/>
  <c r="F384" i="10"/>
  <c r="F383" i="10"/>
  <c r="F382" i="10"/>
  <c r="F432" i="10"/>
  <c r="F431" i="10"/>
  <c r="F430" i="10"/>
  <c r="F429" i="10"/>
  <c r="F428" i="10"/>
  <c r="F427" i="10"/>
  <c r="F381" i="10"/>
  <c r="F380" i="10"/>
  <c r="F379" i="10"/>
  <c r="F378" i="10"/>
  <c r="F377" i="10"/>
  <c r="F426" i="10"/>
  <c r="F376" i="10"/>
  <c r="F1343" i="10"/>
  <c r="F1342" i="10"/>
  <c r="F1341" i="10"/>
  <c r="F1340" i="10"/>
  <c r="F1339" i="10"/>
  <c r="F1293" i="10"/>
  <c r="F611" i="10"/>
  <c r="F610" i="10"/>
  <c r="F1197" i="10"/>
  <c r="F1196" i="10"/>
  <c r="F1195" i="10"/>
  <c r="F1194" i="10"/>
  <c r="F1193" i="10"/>
  <c r="F1192" i="10"/>
  <c r="F375" i="10"/>
  <c r="F1338" i="10"/>
  <c r="F1337" i="10"/>
  <c r="F1321" i="10"/>
  <c r="F854" i="10"/>
  <c r="F853" i="10"/>
  <c r="F803" i="10"/>
  <c r="F802" i="10"/>
  <c r="F254" i="10"/>
  <c r="F253" i="10"/>
  <c r="F252" i="10"/>
  <c r="F251" i="10"/>
  <c r="F213" i="10"/>
  <c r="F137" i="10"/>
  <c r="F22" i="10"/>
  <c r="F21" i="10"/>
  <c r="F634" i="10"/>
  <c r="F1897" i="10"/>
  <c r="F1809" i="10"/>
  <c r="F1808" i="10"/>
  <c r="F1807" i="10"/>
  <c r="F1806" i="10"/>
  <c r="F1805" i="10"/>
  <c r="F1804" i="10"/>
  <c r="F1760" i="10"/>
  <c r="F1759" i="10"/>
  <c r="F1758" i="10"/>
  <c r="F1757" i="10"/>
  <c r="F1756" i="10"/>
  <c r="F1755" i="10"/>
  <c r="F1754" i="10"/>
  <c r="F1753" i="10"/>
  <c r="F1752" i="10"/>
  <c r="F1751" i="10"/>
  <c r="F1678" i="10"/>
  <c r="F1677" i="10"/>
  <c r="F1676" i="10"/>
  <c r="F1675" i="10"/>
  <c r="F1674" i="10"/>
  <c r="F1567" i="10"/>
  <c r="F1566" i="10"/>
  <c r="F1441" i="10"/>
  <c r="F1440" i="10"/>
  <c r="F1439" i="10"/>
  <c r="F1397" i="10"/>
  <c r="F1396" i="10"/>
  <c r="F374" i="10"/>
  <c r="F373" i="10"/>
  <c r="F372" i="10"/>
  <c r="F425" i="10"/>
  <c r="F424" i="10"/>
  <c r="F1191" i="10"/>
  <c r="F852" i="10"/>
  <c r="F851" i="10"/>
  <c r="F801" i="10"/>
  <c r="F800" i="10"/>
  <c r="F799" i="10"/>
  <c r="F798" i="10"/>
  <c r="F797" i="10"/>
  <c r="F322" i="10"/>
  <c r="F321" i="10"/>
  <c r="F320" i="10"/>
  <c r="F319" i="10"/>
  <c r="F556" i="10"/>
  <c r="F555" i="10"/>
  <c r="F554" i="10"/>
  <c r="F476" i="10"/>
  <c r="F250" i="10"/>
  <c r="F249" i="10"/>
  <c r="F248" i="10"/>
  <c r="F212" i="10"/>
  <c r="F211" i="10"/>
  <c r="F210" i="10"/>
  <c r="F136" i="10"/>
  <c r="F135" i="10"/>
  <c r="F20" i="10"/>
  <c r="F19" i="10"/>
  <c r="F18" i="10"/>
  <c r="F17" i="10"/>
  <c r="F16" i="10"/>
  <c r="F1019" i="10"/>
  <c r="F1018" i="10"/>
  <c r="F1017" i="10"/>
  <c r="F723" i="10"/>
  <c r="F318" i="10"/>
  <c r="F317" i="10"/>
  <c r="F316" i="10"/>
  <c r="F315" i="10"/>
  <c r="F209" i="10"/>
  <c r="F609" i="10"/>
  <c r="F1057" i="10"/>
  <c r="F850" i="10"/>
  <c r="F576" i="10"/>
  <c r="F1354" i="10"/>
  <c r="F445" i="10"/>
  <c r="F796" i="10"/>
  <c r="F444" i="10"/>
  <c r="F247" i="10"/>
  <c r="F1532" i="10"/>
  <c r="F973" i="10"/>
  <c r="F849" i="10"/>
  <c r="F699" i="10"/>
  <c r="F633" i="10"/>
  <c r="F475" i="10"/>
  <c r="F474" i="10"/>
  <c r="F722" i="10"/>
  <c r="F513" i="10"/>
  <c r="F1252" i="10"/>
  <c r="F848" i="10"/>
  <c r="F721" i="10"/>
  <c r="F1939" i="10"/>
  <c r="F1531" i="10"/>
  <c r="F1438" i="10"/>
  <c r="F1190" i="10"/>
  <c r="F1189" i="10"/>
  <c r="F1188" i="10"/>
  <c r="F795" i="10"/>
  <c r="F473" i="10"/>
  <c r="F1124" i="10"/>
  <c r="F673" i="10"/>
  <c r="F672" i="10"/>
  <c r="F620" i="10"/>
  <c r="F619" i="10"/>
  <c r="F290" i="10"/>
  <c r="F289" i="10"/>
  <c r="F288" i="10"/>
  <c r="F698" i="10"/>
  <c r="F697" i="10"/>
  <c r="F696" i="10"/>
  <c r="F695" i="10"/>
  <c r="F694" i="10"/>
  <c r="F693" i="10"/>
  <c r="F692" i="10"/>
  <c r="F691" i="10"/>
  <c r="F690" i="10"/>
  <c r="F689" i="10"/>
  <c r="F688" i="10"/>
  <c r="F687" i="10"/>
  <c r="F686" i="10"/>
  <c r="F685" i="10"/>
  <c r="F684" i="10"/>
  <c r="F683" i="10"/>
  <c r="F682" i="10"/>
  <c r="F681" i="10"/>
  <c r="F680" i="10"/>
  <c r="F679" i="10"/>
  <c r="F678" i="10"/>
  <c r="F677" i="10"/>
  <c r="F676" i="10"/>
  <c r="F668" i="10"/>
  <c r="F667" i="10"/>
  <c r="F1451" i="10"/>
  <c r="F1450" i="10"/>
  <c r="F1449" i="10"/>
  <c r="F1448" i="10"/>
  <c r="F1447" i="10"/>
  <c r="F1446" i="10"/>
  <c r="F1445" i="10"/>
  <c r="F632" i="10"/>
  <c r="F631" i="10"/>
  <c r="F630" i="10"/>
  <c r="F629" i="10"/>
  <c r="F628" i="10"/>
  <c r="F627" i="10"/>
  <c r="F626" i="10"/>
  <c r="F625" i="10"/>
  <c r="F624" i="10"/>
  <c r="F1351" i="10"/>
  <c r="F1350" i="10"/>
  <c r="F1349" i="10"/>
  <c r="F1348" i="10"/>
  <c r="F617" i="10"/>
  <c r="F616" i="10"/>
  <c r="F615" i="10"/>
  <c r="F614" i="10"/>
  <c r="F443" i="10"/>
  <c r="F442" i="10"/>
  <c r="F982" i="10"/>
  <c r="F981" i="10"/>
  <c r="F980" i="10"/>
  <c r="F979" i="10"/>
  <c r="F978" i="10"/>
  <c r="F977" i="10"/>
  <c r="F605" i="10"/>
  <c r="F604" i="10"/>
  <c r="F603" i="10"/>
  <c r="F602" i="10"/>
  <c r="F601" i="10"/>
  <c r="F600" i="10"/>
  <c r="F599" i="10"/>
  <c r="F598" i="10"/>
  <c r="F597" i="10"/>
  <c r="F592" i="10"/>
  <c r="F591" i="10"/>
  <c r="F590" i="10"/>
  <c r="F972" i="10"/>
  <c r="F971" i="10"/>
  <c r="F970" i="10"/>
  <c r="F969" i="10"/>
  <c r="F968" i="10"/>
  <c r="F966" i="10"/>
  <c r="F965" i="10"/>
  <c r="F587" i="10"/>
  <c r="F586" i="10"/>
  <c r="F585" i="10"/>
  <c r="F584" i="10"/>
  <c r="F583" i="10"/>
  <c r="F582" i="10"/>
  <c r="F794" i="10"/>
  <c r="F720" i="10"/>
  <c r="F719" i="10"/>
  <c r="F718" i="10"/>
  <c r="F717" i="10"/>
  <c r="F716" i="10"/>
  <c r="F715" i="10"/>
  <c r="F714" i="10"/>
  <c r="F713" i="10"/>
  <c r="F712" i="10"/>
  <c r="F711" i="10"/>
  <c r="F710" i="10"/>
  <c r="F709" i="10"/>
  <c r="F708" i="10"/>
  <c r="F707" i="10"/>
  <c r="F706" i="10"/>
  <c r="F705" i="10"/>
  <c r="F704" i="10"/>
  <c r="F703" i="10"/>
  <c r="F575" i="10"/>
  <c r="F574" i="10"/>
  <c r="F494" i="10"/>
  <c r="F493" i="10"/>
  <c r="F512" i="10"/>
  <c r="F511" i="10"/>
  <c r="F510" i="10"/>
  <c r="F509" i="10"/>
  <c r="F508" i="10"/>
  <c r="F507" i="10"/>
  <c r="F506" i="10"/>
  <c r="F505" i="10"/>
  <c r="F1938" i="10"/>
  <c r="F1937" i="10"/>
  <c r="F1936" i="10"/>
  <c r="F1935" i="10"/>
  <c r="F1934" i="10"/>
  <c r="F1933" i="10"/>
  <c r="F1932" i="10"/>
  <c r="F1931" i="10"/>
  <c r="F1930" i="10"/>
  <c r="F1929" i="10"/>
  <c r="F1928" i="10"/>
  <c r="F1927" i="10"/>
  <c r="F1926" i="10"/>
  <c r="F1925" i="10"/>
  <c r="F1924" i="10"/>
  <c r="F1923" i="10"/>
  <c r="F1922" i="10"/>
  <c r="F1921" i="10"/>
  <c r="F1920" i="10"/>
  <c r="F1919" i="10"/>
  <c r="F1918" i="10"/>
  <c r="F1917" i="10"/>
  <c r="F1916" i="10"/>
  <c r="F1915" i="10"/>
  <c r="F1914" i="10"/>
  <c r="F1913" i="10"/>
  <c r="F1912" i="10"/>
  <c r="F1911" i="10"/>
  <c r="F1910" i="10"/>
  <c r="F1909" i="10"/>
  <c r="F1908" i="10"/>
  <c r="F1907" i="10"/>
  <c r="F1906" i="10"/>
  <c r="F1905" i="10"/>
  <c r="F1904" i="10"/>
  <c r="F1903" i="10"/>
  <c r="F1896" i="10"/>
  <c r="F1895" i="10"/>
  <c r="F1894" i="10"/>
  <c r="F1893" i="10"/>
  <c r="F1892" i="10"/>
  <c r="F1891" i="10"/>
  <c r="F1890" i="10"/>
  <c r="F1889" i="10"/>
  <c r="F1888" i="10"/>
  <c r="F1887" i="10"/>
  <c r="F1886" i="10"/>
  <c r="F1885" i="10"/>
  <c r="F1884" i="10"/>
  <c r="F1883" i="10"/>
  <c r="F1882" i="10"/>
  <c r="F1881" i="10"/>
  <c r="F1880" i="10"/>
  <c r="F1879" i="10"/>
  <c r="F1878" i="10"/>
  <c r="F1877" i="10"/>
  <c r="F1876" i="10"/>
  <c r="F1875" i="10"/>
  <c r="F1874" i="10"/>
  <c r="F1873" i="10"/>
  <c r="F1872" i="10"/>
  <c r="F1871" i="10"/>
  <c r="F1870" i="10"/>
  <c r="F1869" i="10"/>
  <c r="F1868" i="10"/>
  <c r="F1867" i="10"/>
  <c r="F1866" i="10"/>
  <c r="F1865" i="10"/>
  <c r="F1864" i="10"/>
  <c r="F1863" i="10"/>
  <c r="F1862" i="10"/>
  <c r="F1861" i="10"/>
  <c r="F1860" i="10"/>
  <c r="F1859" i="10"/>
  <c r="F1858" i="10"/>
  <c r="F1857" i="10"/>
  <c r="F1856" i="10"/>
  <c r="F1855" i="10"/>
  <c r="F1854" i="10"/>
  <c r="F1853" i="10"/>
  <c r="F1852" i="10"/>
  <c r="F1851" i="10"/>
  <c r="F1850" i="10"/>
  <c r="F1849" i="10"/>
  <c r="F1848" i="10"/>
  <c r="F1847" i="10"/>
  <c r="F1846" i="10"/>
  <c r="F1845" i="10"/>
  <c r="F1844" i="10"/>
  <c r="F1843" i="10"/>
  <c r="F1842" i="10"/>
  <c r="F1841" i="10"/>
  <c r="F1840" i="10"/>
  <c r="F1839" i="10"/>
  <c r="F1838" i="10"/>
  <c r="F1803" i="10"/>
  <c r="F1802" i="10"/>
  <c r="F1801" i="10"/>
  <c r="F1800" i="10"/>
  <c r="F1799" i="10"/>
  <c r="F1798" i="10"/>
  <c r="F1797" i="10"/>
  <c r="F1796" i="10"/>
  <c r="F1795" i="10"/>
  <c r="F1794" i="10"/>
  <c r="F1793" i="10"/>
  <c r="F1792" i="10"/>
  <c r="F1791" i="10"/>
  <c r="F1790" i="10"/>
  <c r="F1789" i="10"/>
  <c r="F1788" i="10"/>
  <c r="F1787" i="10"/>
  <c r="F1786" i="10"/>
  <c r="F1785" i="10"/>
  <c r="F1750" i="10"/>
  <c r="F1749" i="10"/>
  <c r="F1748" i="10"/>
  <c r="F1747" i="10"/>
  <c r="F1746" i="10"/>
  <c r="F1745" i="10"/>
  <c r="F1744" i="10"/>
  <c r="F1743" i="10"/>
  <c r="F1742" i="10"/>
  <c r="F1741" i="10"/>
  <c r="F1740" i="10"/>
  <c r="F1739" i="10"/>
  <c r="F1738" i="10"/>
  <c r="F1737" i="10"/>
  <c r="F1736" i="10"/>
  <c r="F1735" i="10"/>
  <c r="F1734" i="10"/>
  <c r="F1733" i="10"/>
  <c r="F1732" i="10"/>
  <c r="F1731" i="10"/>
  <c r="F1730" i="10"/>
  <c r="F1729" i="10"/>
  <c r="F1728" i="10"/>
  <c r="F1727" i="10"/>
  <c r="F1726" i="10"/>
  <c r="F1725" i="10"/>
  <c r="F1724" i="10"/>
  <c r="F1723" i="10"/>
  <c r="F1722" i="10"/>
  <c r="F1721" i="10"/>
  <c r="F1720" i="10"/>
  <c r="F1719" i="10"/>
  <c r="F1718" i="10"/>
  <c r="F1717" i="10"/>
  <c r="F1716" i="10"/>
  <c r="F1715" i="10"/>
  <c r="F1714" i="10"/>
  <c r="F1713" i="10"/>
  <c r="F1712" i="10"/>
  <c r="F1711" i="10"/>
  <c r="F1710" i="10"/>
  <c r="F1709" i="10"/>
  <c r="F1708" i="10"/>
  <c r="F1707" i="10"/>
  <c r="F1706" i="10"/>
  <c r="F1705" i="10"/>
  <c r="F1704" i="10"/>
  <c r="F1703" i="10"/>
  <c r="F1702" i="10"/>
  <c r="F1701" i="10"/>
  <c r="F1700" i="10"/>
  <c r="F1699" i="10"/>
  <c r="F1698" i="10"/>
  <c r="F1697" i="10"/>
  <c r="F1696" i="10"/>
  <c r="F1695" i="10"/>
  <c r="F1694" i="10"/>
  <c r="F1693" i="10"/>
  <c r="F1692" i="10"/>
  <c r="F1691" i="10"/>
  <c r="F1690" i="10"/>
  <c r="F1673" i="10"/>
  <c r="F1672" i="10"/>
  <c r="F1671" i="10"/>
  <c r="F1670" i="10"/>
  <c r="F1669" i="10"/>
  <c r="F1668" i="10"/>
  <c r="F1667" i="10"/>
  <c r="F1666" i="10"/>
  <c r="F1665" i="10"/>
  <c r="F1664" i="10"/>
  <c r="F1663" i="10"/>
  <c r="F1662" i="10"/>
  <c r="F1661" i="10"/>
  <c r="F1660" i="10"/>
  <c r="F1659" i="10"/>
  <c r="F1658" i="10"/>
  <c r="F1657" i="10"/>
  <c r="F1656" i="10"/>
  <c r="F1655" i="10"/>
  <c r="F1654" i="10"/>
  <c r="F1653" i="10"/>
  <c r="F1652" i="10"/>
  <c r="F1651" i="10"/>
  <c r="F1650" i="10"/>
  <c r="F1649" i="10"/>
  <c r="F1648" i="10"/>
  <c r="F1647" i="10"/>
  <c r="F1646" i="10"/>
  <c r="F1623" i="10"/>
  <c r="F1622" i="10"/>
  <c r="F1621" i="10"/>
  <c r="F1620" i="10"/>
  <c r="F1619" i="10"/>
  <c r="F1618" i="10"/>
  <c r="F1617" i="10"/>
  <c r="F1616" i="10"/>
  <c r="F1615" i="10"/>
  <c r="F1614" i="10"/>
  <c r="F1613" i="10"/>
  <c r="F1612" i="10"/>
  <c r="F1611" i="10"/>
  <c r="F1610" i="10"/>
  <c r="F1609" i="10"/>
  <c r="F1591" i="10"/>
  <c r="F1590" i="10"/>
  <c r="F1589" i="10"/>
  <c r="F1588" i="10"/>
  <c r="F1587" i="10"/>
  <c r="F1586" i="10"/>
  <c r="F1585" i="10"/>
  <c r="F1584" i="10"/>
  <c r="F1583" i="10"/>
  <c r="F1582" i="10"/>
  <c r="F504" i="10"/>
  <c r="F503" i="10"/>
  <c r="F502" i="10"/>
  <c r="F501" i="10"/>
  <c r="F500" i="10"/>
  <c r="F499" i="10"/>
  <c r="F498" i="10"/>
  <c r="F497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94" i="10"/>
  <c r="F1136" i="10"/>
  <c r="F1135" i="10"/>
  <c r="F1134" i="10"/>
  <c r="F1133" i="10"/>
  <c r="F1132" i="10"/>
  <c r="F1131" i="10"/>
  <c r="F1902" i="10"/>
  <c r="F1581" i="10"/>
  <c r="F1580" i="10"/>
  <c r="F1579" i="10"/>
  <c r="F1578" i="10"/>
  <c r="F1577" i="10"/>
  <c r="F1576" i="10"/>
  <c r="F1575" i="10"/>
  <c r="F1574" i="10"/>
  <c r="F1530" i="10"/>
  <c r="F1529" i="10"/>
  <c r="F1528" i="10"/>
  <c r="F1527" i="10"/>
  <c r="F1526" i="10"/>
  <c r="F1525" i="10"/>
  <c r="F1524" i="10"/>
  <c r="F1523" i="10"/>
  <c r="F1522" i="10"/>
  <c r="F1521" i="10"/>
  <c r="F1520" i="10"/>
  <c r="F1519" i="10"/>
  <c r="F1518" i="10"/>
  <c r="F1517" i="10"/>
  <c r="F1516" i="10"/>
  <c r="F1515" i="10"/>
  <c r="F1514" i="10"/>
  <c r="F1513" i="10"/>
  <c r="F1512" i="10"/>
  <c r="F1511" i="10"/>
  <c r="F1510" i="10"/>
  <c r="F1509" i="10"/>
  <c r="F1508" i="10"/>
  <c r="F1507" i="10"/>
  <c r="F1506" i="10"/>
  <c r="F1505" i="10"/>
  <c r="F1504" i="10"/>
  <c r="F1503" i="10"/>
  <c r="F1502" i="10"/>
  <c r="F1501" i="10"/>
  <c r="F1500" i="10"/>
  <c r="F1499" i="10"/>
  <c r="F1498" i="10"/>
  <c r="F1497" i="10"/>
  <c r="F1496" i="10"/>
  <c r="F1495" i="10"/>
  <c r="F1494" i="10"/>
  <c r="F1493" i="10"/>
  <c r="F1565" i="10"/>
  <c r="F1564" i="10"/>
  <c r="F1563" i="10"/>
  <c r="F1562" i="10"/>
  <c r="F1561" i="10"/>
  <c r="F1560" i="10"/>
  <c r="F1559" i="10"/>
  <c r="F1558" i="10"/>
  <c r="F1557" i="10"/>
  <c r="F1556" i="10"/>
  <c r="F1555" i="10"/>
  <c r="F1554" i="10"/>
  <c r="F1553" i="10"/>
  <c r="F1552" i="10"/>
  <c r="F1551" i="10"/>
  <c r="F1550" i="10"/>
  <c r="F1549" i="10"/>
  <c r="F1548" i="10"/>
  <c r="F1547" i="10"/>
  <c r="F1546" i="10"/>
  <c r="F1545" i="10"/>
  <c r="F1437" i="10"/>
  <c r="F1436" i="10"/>
  <c r="F1435" i="10"/>
  <c r="F1434" i="10"/>
  <c r="F1433" i="10"/>
  <c r="F1432" i="10"/>
  <c r="F1431" i="10"/>
  <c r="F1430" i="10"/>
  <c r="F1429" i="10"/>
  <c r="F1428" i="10"/>
  <c r="F1427" i="10"/>
  <c r="F1426" i="10"/>
  <c r="F1425" i="10"/>
  <c r="F1424" i="10"/>
  <c r="F1423" i="10"/>
  <c r="F1422" i="10"/>
  <c r="F1421" i="10"/>
  <c r="F1420" i="10"/>
  <c r="F1419" i="10"/>
  <c r="F1418" i="10"/>
  <c r="F1417" i="10"/>
  <c r="F1416" i="10"/>
  <c r="F1415" i="10"/>
  <c r="F1414" i="10"/>
  <c r="F1413" i="10"/>
  <c r="F571" i="10"/>
  <c r="F658" i="10"/>
  <c r="F657" i="10"/>
  <c r="F656" i="10"/>
  <c r="F655" i="10"/>
  <c r="F570" i="10"/>
  <c r="F1395" i="10"/>
  <c r="F1394" i="10"/>
  <c r="F1393" i="10"/>
  <c r="F1392" i="10"/>
  <c r="F1391" i="10"/>
  <c r="F1390" i="10"/>
  <c r="F1389" i="10"/>
  <c r="F1388" i="10"/>
  <c r="F1387" i="10"/>
  <c r="F1386" i="10"/>
  <c r="F1385" i="10"/>
  <c r="F1384" i="10"/>
  <c r="F1383" i="10"/>
  <c r="F1382" i="10"/>
  <c r="F1381" i="10"/>
  <c r="F1380" i="10"/>
  <c r="F1379" i="10"/>
  <c r="F1378" i="10"/>
  <c r="F1377" i="10"/>
  <c r="F1376" i="10"/>
  <c r="F1375" i="10"/>
  <c r="F1374" i="10"/>
  <c r="F1373" i="10"/>
  <c r="F1372" i="10"/>
  <c r="F1371" i="10"/>
  <c r="F1370" i="10"/>
  <c r="F1369" i="10"/>
  <c r="F1368" i="10"/>
  <c r="F371" i="10"/>
  <c r="F370" i="10"/>
  <c r="F369" i="10"/>
  <c r="F368" i="10"/>
  <c r="F367" i="10"/>
  <c r="F423" i="10"/>
  <c r="F366" i="10"/>
  <c r="F365" i="10"/>
  <c r="F364" i="10"/>
  <c r="F422" i="10"/>
  <c r="F363" i="10"/>
  <c r="F362" i="10"/>
  <c r="F421" i="10"/>
  <c r="F420" i="10"/>
  <c r="F419" i="10"/>
  <c r="F361" i="10"/>
  <c r="F360" i="10"/>
  <c r="F359" i="10"/>
  <c r="F358" i="10"/>
  <c r="F1336" i="10"/>
  <c r="F1335" i="10"/>
  <c r="F1334" i="10"/>
  <c r="F1333" i="10"/>
  <c r="F1332" i="10"/>
  <c r="F1331" i="10"/>
  <c r="F1330" i="10"/>
  <c r="F1329" i="10"/>
  <c r="F1328" i="10"/>
  <c r="F1327" i="10"/>
  <c r="F1326" i="10"/>
  <c r="F1325" i="10"/>
  <c r="F1324" i="10"/>
  <c r="F1320" i="10"/>
  <c r="F1319" i="10"/>
  <c r="F1318" i="10"/>
  <c r="F1317" i="10"/>
  <c r="F1316" i="10"/>
  <c r="F1315" i="10"/>
  <c r="F1314" i="10"/>
  <c r="F1313" i="10"/>
  <c r="F1312" i="10"/>
  <c r="F1311" i="10"/>
  <c r="F1310" i="10"/>
  <c r="F1309" i="10"/>
  <c r="F1308" i="10"/>
  <c r="F1307" i="10"/>
  <c r="F1306" i="10"/>
  <c r="F1305" i="10"/>
  <c r="F1304" i="10"/>
  <c r="F1303" i="10"/>
  <c r="F1302" i="10"/>
  <c r="F1292" i="10"/>
  <c r="F1291" i="10"/>
  <c r="F1290" i="10"/>
  <c r="F1289" i="10"/>
  <c r="F1288" i="10"/>
  <c r="F1287" i="10"/>
  <c r="F1286" i="10"/>
  <c r="F1285" i="10"/>
  <c r="F1284" i="10"/>
  <c r="F1283" i="10"/>
  <c r="F1282" i="10"/>
  <c r="F1281" i="10"/>
  <c r="F1280" i="10"/>
  <c r="F1279" i="10"/>
  <c r="F1278" i="10"/>
  <c r="F1277" i="10"/>
  <c r="F1276" i="10"/>
  <c r="F1275" i="10"/>
  <c r="F1274" i="10"/>
  <c r="F1273" i="10"/>
  <c r="F1272" i="10"/>
  <c r="F1271" i="10"/>
  <c r="F1270" i="10"/>
  <c r="F1269" i="10"/>
  <c r="F1268" i="10"/>
  <c r="F1267" i="10"/>
  <c r="F1266" i="10"/>
  <c r="F1265" i="10"/>
  <c r="F1264" i="10"/>
  <c r="F1263" i="10"/>
  <c r="F1262" i="10"/>
  <c r="F1261" i="10"/>
  <c r="F1260" i="10"/>
  <c r="F1259" i="10"/>
  <c r="F1258" i="10"/>
  <c r="F1251" i="10"/>
  <c r="F1250" i="10"/>
  <c r="F1249" i="10"/>
  <c r="F1248" i="10"/>
  <c r="F1247" i="10"/>
  <c r="F1246" i="10"/>
  <c r="F1245" i="10"/>
  <c r="F1244" i="10"/>
  <c r="F1243" i="10"/>
  <c r="F1242" i="10"/>
  <c r="F1241" i="10"/>
  <c r="F1240" i="10"/>
  <c r="F1239" i="10"/>
  <c r="F1238" i="10"/>
  <c r="F1237" i="10"/>
  <c r="F1236" i="10"/>
  <c r="F1235" i="10"/>
  <c r="F1234" i="10"/>
  <c r="F1233" i="10"/>
  <c r="F1232" i="10"/>
  <c r="F1231" i="10"/>
  <c r="F1230" i="10"/>
  <c r="F1229" i="10"/>
  <c r="F1228" i="10"/>
  <c r="F1227" i="10"/>
  <c r="F1226" i="10"/>
  <c r="F1225" i="10"/>
  <c r="F1224" i="10"/>
  <c r="F1223" i="10"/>
  <c r="F1222" i="10"/>
  <c r="F1221" i="10"/>
  <c r="F1220" i="10"/>
  <c r="F1187" i="10"/>
  <c r="F1186" i="10"/>
  <c r="F1185" i="10"/>
  <c r="F1184" i="10"/>
  <c r="F1183" i="10"/>
  <c r="F1182" i="10"/>
  <c r="F1181" i="10"/>
  <c r="F1180" i="10"/>
  <c r="F1179" i="10"/>
  <c r="F1178" i="10"/>
  <c r="F1177" i="10"/>
  <c r="F1176" i="10"/>
  <c r="F950" i="10"/>
  <c r="F949" i="10"/>
  <c r="F948" i="10"/>
  <c r="F947" i="10"/>
  <c r="F946" i="10"/>
  <c r="F945" i="10"/>
  <c r="F944" i="10"/>
  <c r="F943" i="10"/>
  <c r="F942" i="10"/>
  <c r="F941" i="10"/>
  <c r="F940" i="10"/>
  <c r="F939" i="10"/>
  <c r="F938" i="10"/>
  <c r="F937" i="10"/>
  <c r="F936" i="10"/>
  <c r="F935" i="10"/>
  <c r="F934" i="10"/>
  <c r="F933" i="10"/>
  <c r="F932" i="10"/>
  <c r="F931" i="10"/>
  <c r="F930" i="10"/>
  <c r="F929" i="10"/>
  <c r="F928" i="10"/>
  <c r="F927" i="10"/>
  <c r="F926" i="10"/>
  <c r="F925" i="10"/>
  <c r="F924" i="10"/>
  <c r="F923" i="10"/>
  <c r="F922" i="10"/>
  <c r="F921" i="10"/>
  <c r="F920" i="10"/>
  <c r="F919" i="10"/>
  <c r="F918" i="10"/>
  <c r="F917" i="10"/>
  <c r="F916" i="10"/>
  <c r="F915" i="10"/>
  <c r="F914" i="10"/>
  <c r="F913" i="10"/>
  <c r="F912" i="10"/>
  <c r="F911" i="10"/>
  <c r="F847" i="10"/>
  <c r="F846" i="10"/>
  <c r="F845" i="10"/>
  <c r="F844" i="10"/>
  <c r="F843" i="10"/>
  <c r="F842" i="10"/>
  <c r="F841" i="10"/>
  <c r="F840" i="10"/>
  <c r="F839" i="10"/>
  <c r="F838" i="10"/>
  <c r="F837" i="10"/>
  <c r="F793" i="10"/>
  <c r="F792" i="10"/>
  <c r="F791" i="10"/>
  <c r="F790" i="10"/>
  <c r="F789" i="10"/>
  <c r="F788" i="10"/>
  <c r="F787" i="10"/>
  <c r="F786" i="10"/>
  <c r="F785" i="10"/>
  <c r="F784" i="10"/>
  <c r="F783" i="10"/>
  <c r="F782" i="10"/>
  <c r="F781" i="10"/>
  <c r="F780" i="10"/>
  <c r="F779" i="10"/>
  <c r="F778" i="10"/>
  <c r="F777" i="10"/>
  <c r="F776" i="10"/>
  <c r="F775" i="10"/>
  <c r="F774" i="10"/>
  <c r="F773" i="10"/>
  <c r="F772" i="10"/>
  <c r="F771" i="10"/>
  <c r="F770" i="10"/>
  <c r="F769" i="10"/>
  <c r="F768" i="10"/>
  <c r="F767" i="10"/>
  <c r="F766" i="10"/>
  <c r="F765" i="10"/>
  <c r="F764" i="10"/>
  <c r="F763" i="10"/>
  <c r="F762" i="10"/>
  <c r="F761" i="10"/>
  <c r="F760" i="10"/>
  <c r="F759" i="10"/>
  <c r="F758" i="10"/>
  <c r="F757" i="10"/>
  <c r="F756" i="10"/>
  <c r="F755" i="10"/>
  <c r="F754" i="10"/>
  <c r="F753" i="10"/>
  <c r="F752" i="10"/>
  <c r="F751" i="10"/>
  <c r="F750" i="10"/>
  <c r="F749" i="10"/>
  <c r="F748" i="10"/>
  <c r="F747" i="10"/>
  <c r="F746" i="10"/>
  <c r="F745" i="10"/>
  <c r="F744" i="10"/>
  <c r="F743" i="10"/>
  <c r="F742" i="10"/>
  <c r="F741" i="10"/>
  <c r="F740" i="10"/>
  <c r="F739" i="10"/>
  <c r="F738" i="10"/>
  <c r="F737" i="10"/>
  <c r="F736" i="10"/>
  <c r="F735" i="10"/>
  <c r="F553" i="10"/>
  <c r="F552" i="10"/>
  <c r="F551" i="10"/>
  <c r="F550" i="10"/>
  <c r="F549" i="10"/>
  <c r="F548" i="10"/>
  <c r="F547" i="10"/>
  <c r="F546" i="10"/>
  <c r="F545" i="10"/>
  <c r="F544" i="10"/>
  <c r="F543" i="10"/>
  <c r="F542" i="10"/>
  <c r="F541" i="10"/>
  <c r="F540" i="10"/>
  <c r="F539" i="10"/>
  <c r="F538" i="10"/>
  <c r="F537" i="10"/>
  <c r="F536" i="10"/>
  <c r="F535" i="10"/>
  <c r="F534" i="10"/>
  <c r="F533" i="10"/>
  <c r="F532" i="10"/>
  <c r="F531" i="10"/>
  <c r="F530" i="10"/>
  <c r="F529" i="10"/>
  <c r="F528" i="10"/>
  <c r="F527" i="10"/>
  <c r="F526" i="10"/>
  <c r="F525" i="10"/>
  <c r="F524" i="10"/>
  <c r="F303" i="10"/>
  <c r="F302" i="10"/>
  <c r="F301" i="10"/>
  <c r="F300" i="10"/>
  <c r="F299" i="10"/>
  <c r="F298" i="10"/>
  <c r="F297" i="10"/>
  <c r="F296" i="10"/>
  <c r="F295" i="10"/>
  <c r="F294" i="10"/>
  <c r="F472" i="10"/>
  <c r="F471" i="10"/>
  <c r="F470" i="10"/>
  <c r="F469" i="10"/>
  <c r="F468" i="10"/>
  <c r="F467" i="10"/>
  <c r="F466" i="10"/>
  <c r="F465" i="10"/>
  <c r="F464" i="10"/>
  <c r="F463" i="10"/>
  <c r="F462" i="10"/>
  <c r="F461" i="10"/>
  <c r="F460" i="10"/>
  <c r="F459" i="10"/>
  <c r="F458" i="10"/>
  <c r="F457" i="10"/>
  <c r="F456" i="10"/>
  <c r="F455" i="10"/>
  <c r="F454" i="10"/>
  <c r="F453" i="10"/>
  <c r="F452" i="10"/>
  <c r="F451" i="10"/>
  <c r="F450" i="10"/>
  <c r="F449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175" i="10"/>
  <c r="F1174" i="10"/>
  <c r="F1173" i="10"/>
  <c r="F1172" i="10"/>
  <c r="F608" i="10"/>
  <c r="F1171" i="10"/>
  <c r="F607" i="10"/>
  <c r="F1170" i="10"/>
  <c r="F1169" i="10"/>
  <c r="F1168" i="10"/>
  <c r="F1167" i="10"/>
  <c r="F1166" i="10"/>
  <c r="F1165" i="10"/>
  <c r="F1164" i="10"/>
  <c r="F1163" i="10"/>
  <c r="F1162" i="10"/>
  <c r="F1161" i="10"/>
  <c r="F1160" i="10"/>
  <c r="F1159" i="10"/>
  <c r="F1158" i="10"/>
  <c r="F1157" i="10"/>
  <c r="F1156" i="10"/>
  <c r="F1155" i="10"/>
  <c r="F1154" i="10"/>
  <c r="F1153" i="10"/>
  <c r="F910" i="10"/>
  <c r="F909" i="10"/>
  <c r="F908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15" i="10"/>
  <c r="F14" i="10"/>
  <c r="F13" i="10"/>
  <c r="F12" i="10"/>
  <c r="F11" i="10"/>
  <c r="F10" i="10"/>
  <c r="F9" i="10"/>
  <c r="F8" i="10"/>
  <c r="F7" i="10"/>
  <c r="F6" i="10"/>
  <c r="F1123" i="10"/>
  <c r="F1122" i="10"/>
  <c r="F1121" i="10"/>
  <c r="F1120" i="10"/>
  <c r="F1016" i="10"/>
  <c r="F1015" i="10"/>
  <c r="F1119" i="10"/>
  <c r="F1014" i="10"/>
  <c r="F1118" i="10"/>
  <c r="F1117" i="10"/>
  <c r="F1116" i="10"/>
  <c r="F1115" i="10"/>
  <c r="F1114" i="10"/>
  <c r="F1013" i="10"/>
  <c r="F1012" i="10"/>
  <c r="F1011" i="10"/>
  <c r="F1113" i="10"/>
  <c r="F1112" i="10"/>
  <c r="F1010" i="10"/>
  <c r="F1111" i="10"/>
  <c r="F1009" i="10"/>
  <c r="F1110" i="10"/>
  <c r="F1109" i="10"/>
  <c r="F1108" i="10"/>
  <c r="F1107" i="10"/>
  <c r="F1106" i="10"/>
  <c r="F1105" i="10"/>
  <c r="F1104" i="10"/>
  <c r="F1103" i="10"/>
  <c r="F1102" i="10"/>
  <c r="F1008" i="10"/>
  <c r="F1101" i="10"/>
  <c r="F1100" i="10"/>
  <c r="F1099" i="10"/>
  <c r="F1098" i="10"/>
  <c r="F1097" i="10"/>
  <c r="F1007" i="10"/>
  <c r="F1096" i="10"/>
  <c r="F1006" i="10"/>
  <c r="F1095" i="10"/>
  <c r="F1094" i="10"/>
  <c r="F1093" i="10"/>
  <c r="F1092" i="10"/>
  <c r="F1091" i="10"/>
  <c r="F1090" i="10"/>
  <c r="F1005" i="10"/>
  <c r="F1089" i="10"/>
  <c r="F1088" i="10"/>
  <c r="F1004" i="10"/>
  <c r="F1087" i="10"/>
  <c r="F1003" i="10"/>
  <c r="F1086" i="10"/>
  <c r="F1085" i="10"/>
  <c r="F1084" i="10"/>
  <c r="F1083" i="10"/>
  <c r="F1082" i="10"/>
  <c r="F1081" i="10"/>
  <c r="F1080" i="10"/>
  <c r="F1002" i="10"/>
  <c r="F1079" i="10"/>
  <c r="F1078" i="10"/>
  <c r="F1001" i="10"/>
  <c r="F1077" i="10"/>
  <c r="F1076" i="10"/>
  <c r="F1075" i="10"/>
  <c r="F1000" i="10"/>
  <c r="F1074" i="10"/>
  <c r="F1073" i="10"/>
  <c r="F1072" i="10"/>
  <c r="F1071" i="10"/>
  <c r="F1070" i="10"/>
  <c r="F999" i="10"/>
  <c r="F1069" i="10"/>
  <c r="F1068" i="10"/>
  <c r="F998" i="10"/>
  <c r="F997" i="10"/>
  <c r="F1067" i="10"/>
  <c r="F1066" i="10"/>
  <c r="F1065" i="10"/>
  <c r="F1064" i="10"/>
  <c r="F1063" i="10"/>
  <c r="F996" i="10"/>
  <c r="F1062" i="10"/>
  <c r="F596" i="10"/>
  <c r="F1573" i="10"/>
  <c r="F569" i="10"/>
  <c r="F1061" i="10"/>
  <c r="F271" i="10"/>
  <c r="F35" i="10"/>
  <c r="F227" i="10"/>
  <c r="F489" i="10"/>
  <c r="F287" i="10"/>
  <c r="F99" i="10"/>
  <c r="F1572" i="10"/>
  <c r="F992" i="10"/>
  <c r="F226" i="10"/>
  <c r="F1257" i="10"/>
  <c r="F98" i="10"/>
  <c r="F734" i="10"/>
  <c r="F907" i="10"/>
  <c r="F522" i="10"/>
  <c r="F1347" i="10"/>
  <c r="F270" i="10"/>
  <c r="F906" i="10"/>
  <c r="F902" i="10"/>
  <c r="F733" i="10"/>
  <c r="F491" i="10"/>
  <c r="F991" i="10"/>
  <c r="F1060" i="10"/>
  <c r="F225" i="10"/>
  <c r="F905" i="10"/>
  <c r="F1142" i="10"/>
  <c r="F293" i="10"/>
  <c r="F34" i="10"/>
  <c r="F613" i="10"/>
  <c r="F1059" i="10"/>
  <c r="F153" i="10"/>
  <c r="F448" i="10"/>
  <c r="F964" i="10"/>
  <c r="F224" i="10"/>
  <c r="F904" i="10"/>
  <c r="F152" i="10"/>
  <c r="F671" i="10"/>
  <c r="F1571" i="10"/>
  <c r="F1152" i="10"/>
  <c r="F223" i="10"/>
  <c r="F836" i="10"/>
  <c r="F1256" i="10"/>
  <c r="F1570" i="10"/>
  <c r="F732" i="10"/>
  <c r="F666" i="10"/>
  <c r="F1301" i="10"/>
  <c r="AR5" i="5" l="1"/>
  <c r="AQ5" i="5"/>
  <c r="AS5" i="5" l="1"/>
  <c r="AJ5" i="5"/>
  <c r="BS5" i="5" l="1"/>
  <c r="BR5" i="5" l="1"/>
  <c r="A46" i="8" l="1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BM5" i="5" l="1"/>
  <c r="AN5" i="5"/>
  <c r="AM5" i="5"/>
  <c r="AL5" i="5"/>
  <c r="AK5" i="5"/>
  <c r="BO5" i="5" s="1"/>
  <c r="BP5" i="5" l="1"/>
  <c r="BN5" i="5"/>
  <c r="AO5" i="5" l="1"/>
  <c r="AU5" i="5" s="1"/>
  <c r="BQ5" i="5" s="1"/>
  <c r="BB5" i="5"/>
  <c r="BD5" i="5" s="1"/>
  <c r="BK5" i="5" s="1"/>
</calcChain>
</file>

<file path=xl/sharedStrings.xml><?xml version="1.0" encoding="utf-8"?>
<sst xmlns="http://schemas.openxmlformats.org/spreadsheetml/2006/main" count="33492" uniqueCount="8455">
  <si>
    <t>&amp;T18c5c787c48</t>
  </si>
  <si>
    <t>&amp;T0</t>
  </si>
  <si>
    <t>&amp;H1</t>
  </si>
  <si>
    <t>cadastralNumber</t>
  </si>
  <si>
    <t>assignationBuilding</t>
  </si>
  <si>
    <t>elementsConstruct</t>
  </si>
  <si>
    <t>name</t>
  </si>
  <si>
    <t>areaObject</t>
  </si>
  <si>
    <t>exploitationChar</t>
  </si>
  <si>
    <t>floors</t>
  </si>
  <si>
    <t>mrktGroup</t>
  </si>
  <si>
    <t>actualCost</t>
  </si>
  <si>
    <t>additional_55198</t>
  </si>
  <si>
    <t>additional_51421</t>
  </si>
  <si>
    <t>additional_55197</t>
  </si>
  <si>
    <t>additional_100</t>
  </si>
  <si>
    <t>parkingSpacesCadastralNumbers</t>
  </si>
  <si>
    <t>parentCadastralNumbers</t>
  </si>
  <si>
    <t>flatsCadastralNumbers</t>
  </si>
  <si>
    <t>dateCreated</t>
  </si>
  <si>
    <t>wallMaterial</t>
  </si>
  <si>
    <t>areaValue</t>
  </si>
  <si>
    <t>yearused</t>
  </si>
  <si>
    <t>yearusedText</t>
  </si>
  <si>
    <t>yearbuilt</t>
  </si>
  <si>
    <t>yearbuiltText</t>
  </si>
  <si>
    <t>undergroundfloors</t>
  </si>
  <si>
    <t>undergroundfloorsInXml</t>
  </si>
  <si>
    <t>floorscount</t>
  </si>
  <si>
    <t>floorscountInXml</t>
  </si>
  <si>
    <t>group</t>
  </si>
  <si>
    <t>groupOfUsage</t>
  </si>
  <si>
    <t>fullCost</t>
  </si>
  <si>
    <t>costValue</t>
  </si>
  <si>
    <t>relevanceDate</t>
  </si>
  <si>
    <t>&amp;H2</t>
  </si>
  <si>
    <t>кадастровый номер объекта</t>
  </si>
  <si>
    <t>назначение здания</t>
  </si>
  <si>
    <t>материал стен</t>
  </si>
  <si>
    <t>наименование объекта</t>
  </si>
  <si>
    <t>значение площади</t>
  </si>
  <si>
    <t>год ввода в эксплуатацию</t>
  </si>
  <si>
    <t>год ввода в эксплуатацию (строка)</t>
  </si>
  <si>
    <t>год завершения строительства</t>
  </si>
  <si>
    <t>год завершения строительства (строка)</t>
  </si>
  <si>
    <t>в т.ч. подземных</t>
  </si>
  <si>
    <t>в т.ч. подземных (строка загрузки)</t>
  </si>
  <si>
    <t>количество этажей</t>
  </si>
  <si>
    <t>количество этажей (строка загрузки)</t>
  </si>
  <si>
    <t>Код функциональной группы</t>
  </si>
  <si>
    <t>Код функциональной группы (подгруппы)</t>
  </si>
  <si>
    <t>актуальная кадастровая стоимость</t>
  </si>
  <si>
    <t>актуальный УПКС</t>
  </si>
  <si>
    <t>дата актуальной кадастровой стоимости</t>
  </si>
  <si>
    <t>Материал стен в расчет</t>
  </si>
  <si>
    <t>Этажность в расчет</t>
  </si>
  <si>
    <t>Год в расчет</t>
  </si>
  <si>
    <t>Группа капитальности</t>
  </si>
  <si>
    <t>список кадастровых номеров машино-мест</t>
  </si>
  <si>
    <t>список кадастровых номеров объектов содержащих текущий</t>
  </si>
  <si>
    <t>список кадастровых номеров помещений</t>
  </si>
  <si>
    <t>дата создания</t>
  </si>
  <si>
    <t>66:00:0000000:60518</t>
  </si>
  <si>
    <t>Нежилое</t>
  </si>
  <si>
    <t>Шлакобетонные</t>
  </si>
  <si>
    <t>1999</t>
  </si>
  <si>
    <t>1</t>
  </si>
  <si>
    <t>0303</t>
  </si>
  <si>
    <t>III</t>
  </si>
  <si>
    <t>66:44:0102023:47</t>
  </si>
  <si>
    <t>3</t>
  </si>
  <si>
    <t>Этажность</t>
  </si>
  <si>
    <t>locFloor</t>
  </si>
  <si>
    <t>МЕТОД</t>
  </si>
  <si>
    <t>ЭТАЖ ЗАДАН ЧИСЛОМ</t>
  </si>
  <si>
    <t>СПРАВОЧНИК ЭТАЖНОСТИ</t>
  </si>
  <si>
    <t>2-мансарда</t>
  </si>
  <si>
    <t>1-2,5</t>
  </si>
  <si>
    <t>1-2,4,6</t>
  </si>
  <si>
    <t>1-4,6</t>
  </si>
  <si>
    <t>1 с 2-мя антрисолями</t>
  </si>
  <si>
    <t>17-28</t>
  </si>
  <si>
    <t>1 с встройкой - 2</t>
  </si>
  <si>
    <t>13-17</t>
  </si>
  <si>
    <t>20-24</t>
  </si>
  <si>
    <t>2+антресоль 1-2 эт.</t>
  </si>
  <si>
    <t>23-25</t>
  </si>
  <si>
    <t>15-33</t>
  </si>
  <si>
    <t>1+мансарда+мезонин-чердак</t>
  </si>
  <si>
    <t>15-18</t>
  </si>
  <si>
    <t>19-26</t>
  </si>
  <si>
    <t>12-15-16-21-26</t>
  </si>
  <si>
    <t>19-28</t>
  </si>
  <si>
    <t>18-19</t>
  </si>
  <si>
    <t>27-28</t>
  </si>
  <si>
    <t>21-23</t>
  </si>
  <si>
    <t>16-20</t>
  </si>
  <si>
    <t>29-30</t>
  </si>
  <si>
    <t>13-24</t>
  </si>
  <si>
    <t>14-18</t>
  </si>
  <si>
    <t>17-20</t>
  </si>
  <si>
    <t>1 с 2-х этажной вставкой</t>
  </si>
  <si>
    <t>16-18</t>
  </si>
  <si>
    <t>24-28</t>
  </si>
  <si>
    <t>19-29</t>
  </si>
  <si>
    <t>18-21</t>
  </si>
  <si>
    <t>20 - 24</t>
  </si>
  <si>
    <t>14-28</t>
  </si>
  <si>
    <t>17-19</t>
  </si>
  <si>
    <t>22 - 24</t>
  </si>
  <si>
    <t>18-26</t>
  </si>
  <si>
    <t>26-27</t>
  </si>
  <si>
    <t>21-28</t>
  </si>
  <si>
    <t>13-19</t>
  </si>
  <si>
    <t>13-18</t>
  </si>
  <si>
    <t>1-2-5-6</t>
  </si>
  <si>
    <t>1-мансарда</t>
  </si>
  <si>
    <t>14-20</t>
  </si>
  <si>
    <t>23-27</t>
  </si>
  <si>
    <t>20-22</t>
  </si>
  <si>
    <t>19-24</t>
  </si>
  <si>
    <t>13-17-21</t>
  </si>
  <si>
    <t>1-2-3-5</t>
  </si>
  <si>
    <t>22-26</t>
  </si>
  <si>
    <t>1-2,4</t>
  </si>
  <si>
    <t>13-15</t>
  </si>
  <si>
    <t>11-13-17</t>
  </si>
  <si>
    <t>27-18-10</t>
  </si>
  <si>
    <t>3, надстройка, 2-х этажная встройка</t>
  </si>
  <si>
    <t>2, мансарда, 2-й уровень мансарды</t>
  </si>
  <si>
    <t>27-20-17</t>
  </si>
  <si>
    <t>25-26</t>
  </si>
  <si>
    <t>17-20-32</t>
  </si>
  <si>
    <t>20-27</t>
  </si>
  <si>
    <t>20-26</t>
  </si>
  <si>
    <t>21-24</t>
  </si>
  <si>
    <t>01-мансарда</t>
  </si>
  <si>
    <t>3,5</t>
  </si>
  <si>
    <t>антресоль, 1</t>
  </si>
  <si>
    <t>Цокольный, 5</t>
  </si>
  <si>
    <t>цокольный, 2</t>
  </si>
  <si>
    <t>1, мансарда б/н</t>
  </si>
  <si>
    <t>10, цокольный этаж, мансарда, мезонин,чердак</t>
  </si>
  <si>
    <t>1, мансарда</t>
  </si>
  <si>
    <t>16, чердак</t>
  </si>
  <si>
    <t>3, технический этаж</t>
  </si>
  <si>
    <t>1, цоколь</t>
  </si>
  <si>
    <t>10, чердачный</t>
  </si>
  <si>
    <t>2, цокольный</t>
  </si>
  <si>
    <t>1,мансарда</t>
  </si>
  <si>
    <t>16,технический этаж</t>
  </si>
  <si>
    <t>10, чердак</t>
  </si>
  <si>
    <t>9+Чердак,Кровля</t>
  </si>
  <si>
    <t>2, мансарда</t>
  </si>
  <si>
    <t>2, чердак</t>
  </si>
  <si>
    <t>3, цокольный этаж</t>
  </si>
  <si>
    <t>9,машинное отделение</t>
  </si>
  <si>
    <t>16, чердак,кровля</t>
  </si>
  <si>
    <t>4, технический этаж</t>
  </si>
  <si>
    <t>4, чердак</t>
  </si>
  <si>
    <t>18, чердачный, надстройка</t>
  </si>
  <si>
    <t>9, тех. эт</t>
  </si>
  <si>
    <t>5,чердак</t>
  </si>
  <si>
    <t>3, цоколь</t>
  </si>
  <si>
    <t>2, надстрой</t>
  </si>
  <si>
    <t>1, антресоль</t>
  </si>
  <si>
    <t>2,цокольный</t>
  </si>
  <si>
    <t>5, цоколь</t>
  </si>
  <si>
    <t>5, Цокольный этаж</t>
  </si>
  <si>
    <t>2,манарда</t>
  </si>
  <si>
    <t>2,мансарда</t>
  </si>
  <si>
    <t>4, цокольный этаж</t>
  </si>
  <si>
    <t>4,Чердак</t>
  </si>
  <si>
    <t>б/н</t>
  </si>
  <si>
    <t>ЭТАЖ НЕ ОПРЕДЕЛЕН. ПРИНЯТ ПО ДОПУЩЕНИЮ 1</t>
  </si>
  <si>
    <t>8, технический этаж, антресоль</t>
  </si>
  <si>
    <t>2, цокольный, мансарда</t>
  </si>
  <si>
    <t>1, цокольный</t>
  </si>
  <si>
    <t>3, цокольный</t>
  </si>
  <si>
    <t>1,антресоль подвала</t>
  </si>
  <si>
    <t>1,3</t>
  </si>
  <si>
    <t>2,3</t>
  </si>
  <si>
    <t>1,антресоль</t>
  </si>
  <si>
    <t>2,4</t>
  </si>
  <si>
    <t>1,2</t>
  </si>
  <si>
    <t>2, подвал</t>
  </si>
  <si>
    <t>3, мансарда</t>
  </si>
  <si>
    <t>1,5,7</t>
  </si>
  <si>
    <t>4,1</t>
  </si>
  <si>
    <t>3, мезонин</t>
  </si>
  <si>
    <t>4, антресоль 1 этажа</t>
  </si>
  <si>
    <t>3,4</t>
  </si>
  <si>
    <t>3, Антресоль</t>
  </si>
  <si>
    <t>5, техэтаж</t>
  </si>
  <si>
    <t>13, технический этаж, цокольный этаж</t>
  </si>
  <si>
    <t>4, антресоль</t>
  </si>
  <si>
    <t>4,мансарда</t>
  </si>
  <si>
    <t>2,цоколь</t>
  </si>
  <si>
    <t>4, цоколь</t>
  </si>
  <si>
    <t>5, чердак</t>
  </si>
  <si>
    <t>9,чердак</t>
  </si>
  <si>
    <t>7, чердак</t>
  </si>
  <si>
    <t>16,чердак</t>
  </si>
  <si>
    <t>23, цокольный этаж, чердак</t>
  </si>
  <si>
    <t>3,цокольный</t>
  </si>
  <si>
    <t>1, 2 этаж вставки</t>
  </si>
  <si>
    <t>12, цокольный этаж</t>
  </si>
  <si>
    <t>12, Технический чердак</t>
  </si>
  <si>
    <t>5, цоколь, чердак</t>
  </si>
  <si>
    <t>5, Цокольный</t>
  </si>
  <si>
    <t>7, технический этаж</t>
  </si>
  <si>
    <t>7, техподполье</t>
  </si>
  <si>
    <t>9,промежуточный между 1, промежуточный между 2</t>
  </si>
  <si>
    <t>8, технический этаж</t>
  </si>
  <si>
    <t>27, чердак</t>
  </si>
  <si>
    <t>3, подвал</t>
  </si>
  <si>
    <t>10, чердак, тех.подполье</t>
  </si>
  <si>
    <t>4, антрисоль</t>
  </si>
  <si>
    <t>10, чердак, надстройка</t>
  </si>
  <si>
    <t>подвал, 1 , мансарда</t>
  </si>
  <si>
    <t>1, вставка</t>
  </si>
  <si>
    <t>1, мезонин</t>
  </si>
  <si>
    <t>2,цокольный этаж</t>
  </si>
  <si>
    <t>3,1</t>
  </si>
  <si>
    <t>2, антресоль</t>
  </si>
  <si>
    <t>13, техподполье, чердак</t>
  </si>
  <si>
    <t>2,цоколь,мансарда</t>
  </si>
  <si>
    <t>5,цокольный</t>
  </si>
  <si>
    <t>3,мансарда</t>
  </si>
  <si>
    <t>10, технический этаж</t>
  </si>
  <si>
    <t>7, кровля</t>
  </si>
  <si>
    <t>9, цокольный этаж, техэтаж</t>
  </si>
  <si>
    <t>2, надстройка</t>
  </si>
  <si>
    <t>25,чердак,мезонин</t>
  </si>
  <si>
    <t>15, цокольный этаж</t>
  </si>
  <si>
    <t>1,цокольный этаж,мансарда</t>
  </si>
  <si>
    <t>1, цокольный этаж</t>
  </si>
  <si>
    <t>2, цокольный этаж</t>
  </si>
  <si>
    <t>4,цокольный</t>
  </si>
  <si>
    <t>10,чердак</t>
  </si>
  <si>
    <t>14, чердак, кровля</t>
  </si>
  <si>
    <t>7, антресоль</t>
  </si>
  <si>
    <t>5, тех.этаж</t>
  </si>
  <si>
    <t>9, Чердак</t>
  </si>
  <si>
    <t>3,антресоль,вставка</t>
  </si>
  <si>
    <t>8, антресоль, чердак</t>
  </si>
  <si>
    <t>2, мансардный</t>
  </si>
  <si>
    <t>1,мансардный этаж</t>
  </si>
  <si>
    <t>2, флигель</t>
  </si>
  <si>
    <t>1, цокольный, антресоль</t>
  </si>
  <si>
    <t>1, 2свет</t>
  </si>
  <si>
    <t>9, цокольный</t>
  </si>
  <si>
    <t>12, чердак</t>
  </si>
  <si>
    <t>11,технический этаж</t>
  </si>
  <si>
    <t>14, цокольный этаж</t>
  </si>
  <si>
    <t>2, техэтаж</t>
  </si>
  <si>
    <t>7,антресоль</t>
  </si>
  <si>
    <t>1, антресоль, цокольный этаж</t>
  </si>
  <si>
    <t>3, антерсоль</t>
  </si>
  <si>
    <t>2, мезонин</t>
  </si>
  <si>
    <t>5, кровля</t>
  </si>
  <si>
    <t>1, мансардный этаж</t>
  </si>
  <si>
    <t>2, техподполье</t>
  </si>
  <si>
    <t>4,тех этаж</t>
  </si>
  <si>
    <t>2, Технический</t>
  </si>
  <si>
    <t>3, мансардный</t>
  </si>
  <si>
    <t>2, вставка</t>
  </si>
  <si>
    <t>2, 3</t>
  </si>
  <si>
    <t>4, мезонин</t>
  </si>
  <si>
    <t>2,1</t>
  </si>
  <si>
    <t>1,чердак</t>
  </si>
  <si>
    <t>1, 2</t>
  </si>
  <si>
    <t>4,5</t>
  </si>
  <si>
    <t>10, цокольный, мансарда</t>
  </si>
  <si>
    <t>3, технический</t>
  </si>
  <si>
    <t>2, мансарда, цокольный этаж</t>
  </si>
  <si>
    <t>-</t>
  </si>
  <si>
    <t>3,антресоль</t>
  </si>
  <si>
    <t>4, 2й свет</t>
  </si>
  <si>
    <t>2, отм.+2.500</t>
  </si>
  <si>
    <t>2, +2.600, +5.100</t>
  </si>
  <si>
    <t>3, чердак</t>
  </si>
  <si>
    <t>1, 3, 4</t>
  </si>
  <si>
    <t>9, цокольный этаж</t>
  </si>
  <si>
    <t>1, цокль, мансарда</t>
  </si>
  <si>
    <t>4, надстройка</t>
  </si>
  <si>
    <t>2, цокольный, антресоль</t>
  </si>
  <si>
    <t>4, цокольный этаж, антресоль</t>
  </si>
  <si>
    <t>3, надстройка</t>
  </si>
  <si>
    <t>5, цокольный этаж, мезонин</t>
  </si>
  <si>
    <t>1,антесоль</t>
  </si>
  <si>
    <t>3, цокольный этаж, технический этаж</t>
  </si>
  <si>
    <t>5, антресоль, технический этаж</t>
  </si>
  <si>
    <t>3,цокольный этаж</t>
  </si>
  <si>
    <t>3, тех.этаж, антресоль 1,2,3 этажей</t>
  </si>
  <si>
    <t>3, тех этаж</t>
  </si>
  <si>
    <t>9, антресоль 1 эт, промежуточный между 1 и 2 этажами, 2 и 3 этажами, 4 и 5 эт, 5 и 6 эт</t>
  </si>
  <si>
    <t>1, мансардный</t>
  </si>
  <si>
    <t>5, антресоль 1 и 2 этажа</t>
  </si>
  <si>
    <t>2, в том числе мансарда</t>
  </si>
  <si>
    <t>2, мансардный этаж</t>
  </si>
  <si>
    <t>3, подвал, мансарда</t>
  </si>
  <si>
    <t>2,технический этаж</t>
  </si>
  <si>
    <t>25, чердак</t>
  </si>
  <si>
    <t>9, цокольный, технический, кровля</t>
  </si>
  <si>
    <t>1, подвал</t>
  </si>
  <si>
    <t>4, цокольный</t>
  </si>
  <si>
    <t>1, подвал, мансарда</t>
  </si>
  <si>
    <t>5, технический этаж</t>
  </si>
  <si>
    <t>6, цокольный этаж</t>
  </si>
  <si>
    <t>2,мезонин</t>
  </si>
  <si>
    <t>16, тех. этаж</t>
  </si>
  <si>
    <t>2,мансарда 1 этажа, технический этаж</t>
  </si>
  <si>
    <t>13,чердак</t>
  </si>
  <si>
    <t>3,5,8</t>
  </si>
  <si>
    <t>2,надстройка</t>
  </si>
  <si>
    <t>1,2,4</t>
  </si>
  <si>
    <t>8, тех.этаж</t>
  </si>
  <si>
    <t>1, отм 4.450, отм 7.700</t>
  </si>
  <si>
    <t>2, цоколь</t>
  </si>
  <si>
    <t>1, цокольный, мансарда</t>
  </si>
  <si>
    <t>6, мансарда</t>
  </si>
  <si>
    <t>10,мансарда</t>
  </si>
  <si>
    <t>1,встройка отм. 3.00,встройка отм. 5.28</t>
  </si>
  <si>
    <t>4, мансарда</t>
  </si>
  <si>
    <t>б\н</t>
  </si>
  <si>
    <t>16, антресоль</t>
  </si>
  <si>
    <t>2, в т.ч. мансарда</t>
  </si>
  <si>
    <t>4,технический этаж</t>
  </si>
  <si>
    <t>6, технический этаж</t>
  </si>
  <si>
    <t>1,1 антресольный этаж, 2 антресольный этаж</t>
  </si>
  <si>
    <t>5,антресоль</t>
  </si>
  <si>
    <t>2, антресоль 1 этажа, антресоль 2 этажа</t>
  </si>
  <si>
    <t>6, антресоль, цокольный</t>
  </si>
  <si>
    <t>1 этаж, антресоль</t>
  </si>
  <si>
    <t>1,4</t>
  </si>
  <si>
    <t>5, антресоль</t>
  </si>
  <si>
    <t>1,2,3</t>
  </si>
  <si>
    <t>2,антресоль</t>
  </si>
  <si>
    <t>1,2,3,4,5</t>
  </si>
  <si>
    <t>6,технический этаж</t>
  </si>
  <si>
    <t>1,мезонин</t>
  </si>
  <si>
    <t>3,мезонин</t>
  </si>
  <si>
    <t>25, цокольный этаж</t>
  </si>
  <si>
    <t>1, антрисоль</t>
  </si>
  <si>
    <t>3, 2 антресоли</t>
  </si>
  <si>
    <t>2, 4</t>
  </si>
  <si>
    <t>1, Встройка</t>
  </si>
  <si>
    <t>2, холодная мансарда</t>
  </si>
  <si>
    <t>1, цокольный этаж, мансарда</t>
  </si>
  <si>
    <t>14, цокольный этаж, технический этаж</t>
  </si>
  <si>
    <t>8, мансардный, чердак</t>
  </si>
  <si>
    <t>11, тех.этаж</t>
  </si>
  <si>
    <t>7, цоколь</t>
  </si>
  <si>
    <t>5, технический</t>
  </si>
  <si>
    <t>3,тех этаж,цокольный</t>
  </si>
  <si>
    <t>2, антрессоль</t>
  </si>
  <si>
    <t>16, цокольный</t>
  </si>
  <si>
    <t>1,технический этаж</t>
  </si>
  <si>
    <t>2, технический этаж</t>
  </si>
  <si>
    <t>1,мансардный</t>
  </si>
  <si>
    <t>9, технический этаж</t>
  </si>
  <si>
    <t>2, мансандра</t>
  </si>
  <si>
    <t>11, технический</t>
  </si>
  <si>
    <t>1,цокольный</t>
  </si>
  <si>
    <t>3, мансарда (отм. 10.560), мансарда (отм. 13.460)</t>
  </si>
  <si>
    <t>4, мансарда, техэтаж</t>
  </si>
  <si>
    <t>мансарда, цокольный этаж</t>
  </si>
  <si>
    <t>2,подвал,цокольный этаж</t>
  </si>
  <si>
    <t>16, цокольный этаж, технический этаж</t>
  </si>
  <si>
    <t>5,мезонин</t>
  </si>
  <si>
    <t>25,технический этаж</t>
  </si>
  <si>
    <t>13, технический этаж</t>
  </si>
  <si>
    <t>18, технический этаж</t>
  </si>
  <si>
    <t>25, технический этаж</t>
  </si>
  <si>
    <t>1, мансарда, цокольный этаж</t>
  </si>
  <si>
    <t>1, антресоль 1 этажа</t>
  </si>
  <si>
    <t>10, тех этаж, цокольный</t>
  </si>
  <si>
    <t>16,кровля</t>
  </si>
  <si>
    <t>11, кровля</t>
  </si>
  <si>
    <t>2,Чердак</t>
  </si>
  <si>
    <t>14, технический этаж, антресоль технического этажа, кровля</t>
  </si>
  <si>
    <t>12, цокольный этаж, чердак</t>
  </si>
  <si>
    <t>3, Мансардный этаж</t>
  </si>
  <si>
    <t>5,технический</t>
  </si>
  <si>
    <t>1, чердак</t>
  </si>
  <si>
    <t>17,технический</t>
  </si>
  <si>
    <t>26, чердачный</t>
  </si>
  <si>
    <t>10,цокольный, кровля</t>
  </si>
  <si>
    <t>2,мансарда,цокольный</t>
  </si>
  <si>
    <t>4,антресоль</t>
  </si>
  <si>
    <t>4, промежуточный между 2 и 3 этажами</t>
  </si>
  <si>
    <t>8, мезонин</t>
  </si>
  <si>
    <t>3,5,6</t>
  </si>
  <si>
    <t>24, антресоль, кровля</t>
  </si>
  <si>
    <t>2, кровля</t>
  </si>
  <si>
    <t>2, цокольный этаж, мансарда</t>
  </si>
  <si>
    <t>2, межэтажная площадка</t>
  </si>
  <si>
    <t>1,цоколь</t>
  </si>
  <si>
    <t>18, чердак</t>
  </si>
  <si>
    <t>2, мансарда,чердак</t>
  </si>
  <si>
    <t>12,чердак</t>
  </si>
  <si>
    <t>2, антресоль 2 этажа</t>
  </si>
  <si>
    <t>2,3,4</t>
  </si>
  <si>
    <t>1, 2, антресоли</t>
  </si>
  <si>
    <t>1,надстройка</t>
  </si>
  <si>
    <t>6, антресоль 1 этажа, антресоль 4 этажа</t>
  </si>
  <si>
    <t>4, антресоль 1 этажа, антресоль 2 этажа</t>
  </si>
  <si>
    <t>1, цокольный, мансардный</t>
  </si>
  <si>
    <t>6 , цокольный этаж</t>
  </si>
  <si>
    <t>14,чердак</t>
  </si>
  <si>
    <t>5,антресоль1эт.+тех.эт.</t>
  </si>
  <si>
    <t>1, кровля</t>
  </si>
  <si>
    <t>17, Кровля</t>
  </si>
  <si>
    <t>8, цокольный</t>
  </si>
  <si>
    <t>2, подземный</t>
  </si>
  <si>
    <t>1,вставка</t>
  </si>
  <si>
    <t>9, чердак, технический этаж</t>
  </si>
  <si>
    <t>2, цокольльный</t>
  </si>
  <si>
    <t>5, антресоль 1 этажа, антресоль 2 этажа</t>
  </si>
  <si>
    <t>1, антресоли, 2 свет, 3 свет.</t>
  </si>
  <si>
    <t>10+чердак,кровля</t>
  </si>
  <si>
    <t>3,технический этаж</t>
  </si>
  <si>
    <t>25, чердачный, мезонин</t>
  </si>
  <si>
    <t>1,3,4</t>
  </si>
  <si>
    <t>4, технический, цокольный этаж</t>
  </si>
  <si>
    <t>4,технический</t>
  </si>
  <si>
    <t>12, технический этаж</t>
  </si>
  <si>
    <t>16, технический этаж</t>
  </si>
  <si>
    <t>6,Антресоль</t>
  </si>
  <si>
    <t>7, технический</t>
  </si>
  <si>
    <t>9,цокольный</t>
  </si>
  <si>
    <t>17,чердак</t>
  </si>
  <si>
    <t>17, цокольный</t>
  </si>
  <si>
    <t>1, надстройка</t>
  </si>
  <si>
    <t>2, в том числе 1 мансардный</t>
  </si>
  <si>
    <t>7,антросоль</t>
  </si>
  <si>
    <t>1,8</t>
  </si>
  <si>
    <t>12, тех.этаж, антресоль 1 этажа</t>
  </si>
  <si>
    <t>9, технический</t>
  </si>
  <si>
    <t>12, технический этаж, надстройка</t>
  </si>
  <si>
    <t>2, мансард</t>
  </si>
  <si>
    <t>2, тех этаж</t>
  </si>
  <si>
    <t>8, Цокольный этаж</t>
  </si>
  <si>
    <t>10, цокольный</t>
  </si>
  <si>
    <t>18, цокольный</t>
  </si>
  <si>
    <t>15,чердак</t>
  </si>
  <si>
    <t>14, технический этаж</t>
  </si>
  <si>
    <t>9,10,11</t>
  </si>
  <si>
    <t>6, чердак</t>
  </si>
  <si>
    <t>12, тех.этаж</t>
  </si>
  <si>
    <t>1, антрессоль</t>
  </si>
  <si>
    <t>9, антресоль 1 этажа, антресоль 2 этажа, технический этаж</t>
  </si>
  <si>
    <t>3, антресоль 2 этажа</t>
  </si>
  <si>
    <t>19+тех.подполье,чердак</t>
  </si>
  <si>
    <t>1, цокольный этаж, мансардный этаж</t>
  </si>
  <si>
    <t>7,кровля</t>
  </si>
  <si>
    <t>3,чердак</t>
  </si>
  <si>
    <t>2, мансарда, антресоль</t>
  </si>
  <si>
    <t>8,технический</t>
  </si>
  <si>
    <t>6, антресоль</t>
  </si>
  <si>
    <t>2,технический этаж,цокольный этаж</t>
  </si>
  <si>
    <t>18, цокольный этаж, мансарда, мезонин, чердак</t>
  </si>
  <si>
    <t>5,мансарда</t>
  </si>
  <si>
    <t>4, кровля</t>
  </si>
  <si>
    <t>19, технический этаж</t>
  </si>
  <si>
    <t>11, тех этаж</t>
  </si>
  <si>
    <t>20, технический этаж, чердак</t>
  </si>
  <si>
    <t>9, антресоль</t>
  </si>
  <si>
    <t>12,1</t>
  </si>
  <si>
    <t>3, тех эт</t>
  </si>
  <si>
    <t>5, антресоль 1 этажа</t>
  </si>
  <si>
    <t>13, чердачный</t>
  </si>
  <si>
    <t>5,цоколь</t>
  </si>
  <si>
    <t>2,кровля</t>
  </si>
  <si>
    <t>5, антресоль 4 этажа</t>
  </si>
  <si>
    <t>25, мезонин</t>
  </si>
  <si>
    <t>3, антресоль 1 этажа</t>
  </si>
  <si>
    <t>10,технический этаж,кровля</t>
  </si>
  <si>
    <t>1,антрелось</t>
  </si>
  <si>
    <t>4, технический этаж, цокольный этаж</t>
  </si>
  <si>
    <t>6, цокольный этаж, антресоль</t>
  </si>
  <si>
    <t>11, цокольный</t>
  </si>
  <si>
    <t>22, технический этаж</t>
  </si>
  <si>
    <t>6,антресоль 1 этажа</t>
  </si>
  <si>
    <t>7,чердак</t>
  </si>
  <si>
    <t>19, чердак</t>
  </si>
  <si>
    <t>4,цокольный этаж</t>
  </si>
  <si>
    <t>19,технический этаж</t>
  </si>
  <si>
    <t>3, вставка 1 этажа</t>
  </si>
  <si>
    <t>3,4,1</t>
  </si>
  <si>
    <t>3,цоколь</t>
  </si>
  <si>
    <t>1,цокольный,мансарда</t>
  </si>
  <si>
    <t>3, тех. этаж</t>
  </si>
  <si>
    <t>12,технический этаж</t>
  </si>
  <si>
    <t>2,антресооль</t>
  </si>
  <si>
    <t>3,4, технический этаж</t>
  </si>
  <si>
    <t>3, кровля</t>
  </si>
  <si>
    <t>5,антресоль,чердак</t>
  </si>
  <si>
    <t>1,цокольный этаж, мансарда</t>
  </si>
  <si>
    <t>14, чердак</t>
  </si>
  <si>
    <t>13,тех.этаж,чердак</t>
  </si>
  <si>
    <t>3, 4</t>
  </si>
  <si>
    <t>1,светелка</t>
  </si>
  <si>
    <t>24, чердак,выход на кровлю</t>
  </si>
  <si>
    <t>17+Тех.этаж, чердак</t>
  </si>
  <si>
    <t>1 этаж, Подвал</t>
  </si>
  <si>
    <t>12, кровля</t>
  </si>
  <si>
    <t>4, тех этаж</t>
  </si>
  <si>
    <t>12, технический этаж, кровля, чердак</t>
  </si>
  <si>
    <t>4, технический</t>
  </si>
  <si>
    <t>7, мансардный этаж, чердак</t>
  </si>
  <si>
    <t>4,технический, цокольный,</t>
  </si>
  <si>
    <t>1,</t>
  </si>
  <si>
    <t>3,чердак,антресоль</t>
  </si>
  <si>
    <t>2,5</t>
  </si>
  <si>
    <t>1, 2 этаж вставки, 3 этаж вставки, антресоль</t>
  </si>
  <si>
    <t>6, цоколь, антресоль</t>
  </si>
  <si>
    <t>2, 2 этаж вставки</t>
  </si>
  <si>
    <t>4, антресоль, кровля</t>
  </si>
  <si>
    <t>5, подвал, технический, цокольный</t>
  </si>
  <si>
    <t>9, цокольный этаж, чердак</t>
  </si>
  <si>
    <t>7, Цокольный этаж, Технический этаж</t>
  </si>
  <si>
    <t>8,чердак</t>
  </si>
  <si>
    <t>6, Цокольный этаж, Технический этаж</t>
  </si>
  <si>
    <t>3, цокольный этаж, антресоль</t>
  </si>
  <si>
    <t>7,технический этаж</t>
  </si>
  <si>
    <t>4+антресоль(1эт.,3эт.)</t>
  </si>
  <si>
    <t>11, цокольный этаж</t>
  </si>
  <si>
    <t>5, мансарда</t>
  </si>
  <si>
    <t>19, цокольный</t>
  </si>
  <si>
    <t>25, тех.подполье, цокольный этаж, чердак</t>
  </si>
  <si>
    <t>19, тех. подполье, чердак</t>
  </si>
  <si>
    <t>15, технический этаж</t>
  </si>
  <si>
    <t>2+мансарда</t>
  </si>
  <si>
    <t>1+мансарда</t>
  </si>
  <si>
    <t>10+чердак</t>
  </si>
  <si>
    <t>1+подвал</t>
  </si>
  <si>
    <t>16+чердак</t>
  </si>
  <si>
    <t>11+тех. этаж</t>
  </si>
  <si>
    <t>6+кровля+подвал</t>
  </si>
  <si>
    <t>25+чердак</t>
  </si>
  <si>
    <t>16+Тежнический этаж</t>
  </si>
  <si>
    <t>9+чердак</t>
  </si>
  <si>
    <t>5+чердак</t>
  </si>
  <si>
    <t>9+чердак+техническое подполье+кровля</t>
  </si>
  <si>
    <t>2+Чердак</t>
  </si>
  <si>
    <t>25 + чердак</t>
  </si>
  <si>
    <t>9+цокольный этаж</t>
  </si>
  <si>
    <t>10+подвал+чердак</t>
  </si>
  <si>
    <t>3+подвал</t>
  </si>
  <si>
    <t>9+подвал</t>
  </si>
  <si>
    <t>4+Цокольный этаж</t>
  </si>
  <si>
    <t>3+цокольный этаж</t>
  </si>
  <si>
    <t>9+машинное отделение</t>
  </si>
  <si>
    <t>25+Техничексий этаж</t>
  </si>
  <si>
    <t>3+чердак+кравля</t>
  </si>
  <si>
    <t>9+надстроенный</t>
  </si>
  <si>
    <t>10+кровля</t>
  </si>
  <si>
    <t>5+чердак+цокольный этаж+кровля</t>
  </si>
  <si>
    <t>9+Чердак+Машинное отделение</t>
  </si>
  <si>
    <t>16+ технический этаж</t>
  </si>
  <si>
    <t>9+чердак+кровля</t>
  </si>
  <si>
    <t>3+Чердак</t>
  </si>
  <si>
    <t>8+Чердак</t>
  </si>
  <si>
    <t>3+мансарда</t>
  </si>
  <si>
    <t>5+мансарда</t>
  </si>
  <si>
    <t>6+чердак</t>
  </si>
  <si>
    <t>9+Цердак</t>
  </si>
  <si>
    <t>9 + чердак</t>
  </si>
  <si>
    <t>10+Чердак+Кровля</t>
  </si>
  <si>
    <t>6+мансарда</t>
  </si>
  <si>
    <t>7+мансарда+чердак+кровля</t>
  </si>
  <si>
    <t>16+подвал</t>
  </si>
  <si>
    <t>14+подвал</t>
  </si>
  <si>
    <t>11+чердак</t>
  </si>
  <si>
    <t>5+ цокольный этаж</t>
  </si>
  <si>
    <t>12+чердак</t>
  </si>
  <si>
    <t>10+технический этаж</t>
  </si>
  <si>
    <t>7+технический этаж</t>
  </si>
  <si>
    <t>5+цокольный</t>
  </si>
  <si>
    <t>2+подвал+мансарда</t>
  </si>
  <si>
    <t>2+подвал</t>
  </si>
  <si>
    <t>2+мансардный этаж</t>
  </si>
  <si>
    <t>02+мансарда теплая</t>
  </si>
  <si>
    <t>1+мезанин</t>
  </si>
  <si>
    <t>1 + Мансарда</t>
  </si>
  <si>
    <t>2+цокольный этаж</t>
  </si>
  <si>
    <t>1+мансарды</t>
  </si>
  <si>
    <t>1+2ярус</t>
  </si>
  <si>
    <t>2+антресоль</t>
  </si>
  <si>
    <t>1+Антресоль</t>
  </si>
  <si>
    <t>4+кровля</t>
  </si>
  <si>
    <t>1+2 свет</t>
  </si>
  <si>
    <t>3+антресоль</t>
  </si>
  <si>
    <t>2+2свет</t>
  </si>
  <si>
    <t>4+чердак</t>
  </si>
  <si>
    <t>3+Технический этаж</t>
  </si>
  <si>
    <t>2+тех.этаж+тех.этаж (2 свет)</t>
  </si>
  <si>
    <t>2+антерсоль</t>
  </si>
  <si>
    <t>1+2свет</t>
  </si>
  <si>
    <t>4+тех.этаж</t>
  </si>
  <si>
    <t>1+мансарда+чердак+мезонин</t>
  </si>
  <si>
    <t>5+подвал</t>
  </si>
  <si>
    <t>4+антресоль</t>
  </si>
  <si>
    <t>1+цокольный</t>
  </si>
  <si>
    <t>5+чердак+антресоль</t>
  </si>
  <si>
    <t>2+антрессоль 1 эт.</t>
  </si>
  <si>
    <t>4+техэтаж</t>
  </si>
  <si>
    <t>2+технический этаж</t>
  </si>
  <si>
    <t>1+чердак</t>
  </si>
  <si>
    <t>2+2 свет</t>
  </si>
  <si>
    <t>5+техэтаж</t>
  </si>
  <si>
    <t>1+антрес.этаж</t>
  </si>
  <si>
    <t>5+Технический этаж</t>
  </si>
  <si>
    <t>1+антресоль+тех. этаж</t>
  </si>
  <si>
    <t>1+с каб.полу эт;2</t>
  </si>
  <si>
    <t>2+этаж на отметке</t>
  </si>
  <si>
    <t>1 + антресоль</t>
  </si>
  <si>
    <t>2+подвал+чердак</t>
  </si>
  <si>
    <t>2 + мансарда</t>
  </si>
  <si>
    <t>3+технический этаж+антресоль</t>
  </si>
  <si>
    <t>5+технический этаж+чердак</t>
  </si>
  <si>
    <t>2+ цокольный</t>
  </si>
  <si>
    <t>1+Мезонин</t>
  </si>
  <si>
    <t>1+трибуна</t>
  </si>
  <si>
    <t>8+Цокольный этаж</t>
  </si>
  <si>
    <t>5+ чердак</t>
  </si>
  <si>
    <t>14+машинное отделение</t>
  </si>
  <si>
    <t>1+встройка</t>
  </si>
  <si>
    <t>8+тех.этаж</t>
  </si>
  <si>
    <t>1+мансардный этаж</t>
  </si>
  <si>
    <t>1+мансарда+антресоль</t>
  </si>
  <si>
    <t>2+тех. эт.</t>
  </si>
  <si>
    <t>2+Мезонин</t>
  </si>
  <si>
    <t>3+кровля</t>
  </si>
  <si>
    <t>1+2 света</t>
  </si>
  <si>
    <t>1+2света</t>
  </si>
  <si>
    <t>7+мансарда</t>
  </si>
  <si>
    <t>9+тех.этаж+выход на кровлю</t>
  </si>
  <si>
    <t>4+мансарда</t>
  </si>
  <si>
    <t>1+антресоли</t>
  </si>
  <si>
    <t>42+кровля</t>
  </si>
  <si>
    <t>3+2 свет</t>
  </si>
  <si>
    <t>5+антресоль</t>
  </si>
  <si>
    <t>2 + чердак</t>
  </si>
  <si>
    <t>1 + мезонин</t>
  </si>
  <si>
    <t>2+башня</t>
  </si>
  <si>
    <t>2+подвал+мансарда+цокольный этаж</t>
  </si>
  <si>
    <t>1+цокольный этаж</t>
  </si>
  <si>
    <t>16+чердак+техэтаж</t>
  </si>
  <si>
    <t>18+технический этаж+цокольный этаж</t>
  </si>
  <si>
    <t>16+тех.этаж</t>
  </si>
  <si>
    <t>16+техподполье+чердак</t>
  </si>
  <si>
    <t>9+цокольный</t>
  </si>
  <si>
    <t>7+Мезонин+Чердак</t>
  </si>
  <si>
    <t>5+Цокольный этаж</t>
  </si>
  <si>
    <t>17+чердак+кровля</t>
  </si>
  <si>
    <t>1+мансарда+подвал+цокольный этаж</t>
  </si>
  <si>
    <t>2+антесоль</t>
  </si>
  <si>
    <t>16+подвал+чердак</t>
  </si>
  <si>
    <t>14+кровля</t>
  </si>
  <si>
    <t>1+подвал+мансарда</t>
  </si>
  <si>
    <t>6+кровля</t>
  </si>
  <si>
    <t>1+подва</t>
  </si>
  <si>
    <t>3+монсарда</t>
  </si>
  <si>
    <t>2+цок.этаж</t>
  </si>
  <si>
    <t>3+мансарда+чердак</t>
  </si>
  <si>
    <t>2+мансарда+подвал</t>
  </si>
  <si>
    <t>17+чердак</t>
  </si>
  <si>
    <t>2+Цокольный этаж+Чердак</t>
  </si>
  <si>
    <t>1+мансарада</t>
  </si>
  <si>
    <t>1+антрисоль</t>
  </si>
  <si>
    <t>10+Чердак+тех подполье</t>
  </si>
  <si>
    <t>14+Чердак</t>
  </si>
  <si>
    <t>2+антресоль (II свет)</t>
  </si>
  <si>
    <t>18+чердак</t>
  </si>
  <si>
    <t>7+Чердак</t>
  </si>
  <si>
    <t>24 + цокольный</t>
  </si>
  <si>
    <t>2+мансардный</t>
  </si>
  <si>
    <t>1+надстройка</t>
  </si>
  <si>
    <t>12+Машинное отделение</t>
  </si>
  <si>
    <t>3 + мансарда</t>
  </si>
  <si>
    <t>9+тех. этаж</t>
  </si>
  <si>
    <t>3+мансарда+антресоль</t>
  </si>
  <si>
    <t>1+мансарда+подвал</t>
  </si>
  <si>
    <t>13+чердак</t>
  </si>
  <si>
    <t>6+антресоль</t>
  </si>
  <si>
    <t>3 + мансарда + чердак</t>
  </si>
  <si>
    <t>8+Технический</t>
  </si>
  <si>
    <t>4 + чердак</t>
  </si>
  <si>
    <t>2+Цок.эт.</t>
  </si>
  <si>
    <t>2+Чердак+Подвал</t>
  </si>
  <si>
    <t>2+цок этаж</t>
  </si>
  <si>
    <t>15+чердак</t>
  </si>
  <si>
    <t>9+техэтаж</t>
  </si>
  <si>
    <t>02+мансарда</t>
  </si>
  <si>
    <t>02+ мансарда</t>
  </si>
  <si>
    <t>24+технический этаж</t>
  </si>
  <si>
    <t>4+черадк+кровля</t>
  </si>
  <si>
    <t>12+Технический этаж</t>
  </si>
  <si>
    <t>1+Антресоль 1 этажа</t>
  </si>
  <si>
    <t>7+подвал+цокольный этаж</t>
  </si>
  <si>
    <t>Мансарда+01</t>
  </si>
  <si>
    <t>2+ мансарда</t>
  </si>
  <si>
    <t>2+мансарда цоколь</t>
  </si>
  <si>
    <t>2+кровля</t>
  </si>
  <si>
    <t>1+мансардный эт.</t>
  </si>
  <si>
    <t>9+Технический этаж</t>
  </si>
  <si>
    <t>2+ мезанин</t>
  </si>
  <si>
    <t>12+мансардный этаж+технический этаж</t>
  </si>
  <si>
    <t>5+цоколь</t>
  </si>
  <si>
    <t>10+тех.этаж</t>
  </si>
  <si>
    <t>1+антрессоль</t>
  </si>
  <si>
    <t>01+мансарда</t>
  </si>
  <si>
    <t>7+тех этаж</t>
  </si>
  <si>
    <t>1+мансардный этаж+мансарда</t>
  </si>
  <si>
    <t>2+чердкак</t>
  </si>
  <si>
    <t>2+черкак</t>
  </si>
  <si>
    <t>4+подвал</t>
  </si>
  <si>
    <t>16+машинное отделение</t>
  </si>
  <si>
    <t>12+подвал</t>
  </si>
  <si>
    <t>10+цокольный этаж</t>
  </si>
  <si>
    <t>04+кровля</t>
  </si>
  <si>
    <t>1+манасарда</t>
  </si>
  <si>
    <t>16+кровля+чердак</t>
  </si>
  <si>
    <t>3+технический</t>
  </si>
  <si>
    <t>9+цокольный этаж+машинное отделение</t>
  </si>
  <si>
    <t>5+тех этаж</t>
  </si>
  <si>
    <t>5+цок этаж</t>
  </si>
  <si>
    <t>4+технический этаж</t>
  </si>
  <si>
    <t>1+сушило</t>
  </si>
  <si>
    <t>4+технический чердак</t>
  </si>
  <si>
    <t>8+тех.эт.</t>
  </si>
  <si>
    <t>16 + чедак</t>
  </si>
  <si>
    <t>2+Мансарда+Чердак</t>
  </si>
  <si>
    <t>14+тех.этаж</t>
  </si>
  <si>
    <t>1+Подвал+Чердак</t>
  </si>
  <si>
    <t>3+антресоль1этажа+антресоль 2этажа</t>
  </si>
  <si>
    <t>5+ мансарда</t>
  </si>
  <si>
    <t>13+антресоль</t>
  </si>
  <si>
    <t>1+мансарда+чердак</t>
  </si>
  <si>
    <t>6+тех этаж</t>
  </si>
  <si>
    <t>9 +чердак</t>
  </si>
  <si>
    <t>10+чердак+техподполье+кровля</t>
  </si>
  <si>
    <t>16+технический этаж</t>
  </si>
  <si>
    <t>10+машинное отделение</t>
  </si>
  <si>
    <t>10+чердак+тех. этаж</t>
  </si>
  <si>
    <t>5+техничческий этаж</t>
  </si>
  <si>
    <t>5 + техэтаж</t>
  </si>
  <si>
    <t>25+тех.подполье+чердак</t>
  </si>
  <si>
    <t>1+Антресоль+Антресоль 1 этажа</t>
  </si>
  <si>
    <t>15+техподполье+чердак</t>
  </si>
  <si>
    <t>19+тех.подполье+чердак</t>
  </si>
  <si>
    <t>1+Антресольный этаж</t>
  </si>
  <si>
    <t>19+Чердак+Мезонин</t>
  </si>
  <si>
    <t>12+кровля</t>
  </si>
  <si>
    <t>6+тех.этаж</t>
  </si>
  <si>
    <t>5+кровля</t>
  </si>
  <si>
    <t>1+ мезонин</t>
  </si>
  <si>
    <t>19+чердак</t>
  </si>
  <si>
    <t>16 + чердак</t>
  </si>
  <si>
    <t>3+тех.подполье</t>
  </si>
  <si>
    <t>1+надстроенный этаж</t>
  </si>
  <si>
    <t>16+тех.этаж+этаж на отметке</t>
  </si>
  <si>
    <t>5+Технический этаж+Кровля</t>
  </si>
  <si>
    <t>2+цокольный этаж+мансарда</t>
  </si>
  <si>
    <t>8+антресоль</t>
  </si>
  <si>
    <t>2+техн.этаж</t>
  </si>
  <si>
    <t>2 +мансард</t>
  </si>
  <si>
    <t>17+подвал</t>
  </si>
  <si>
    <t>2+мансадра</t>
  </si>
  <si>
    <t>03+антресоль</t>
  </si>
  <si>
    <t>2+мансандра</t>
  </si>
  <si>
    <t>17+Технический этаж</t>
  </si>
  <si>
    <t>2 + Цокольный этаж</t>
  </si>
  <si>
    <t>10+чердак+тех.этаж</t>
  </si>
  <si>
    <t>10+Мансарда</t>
  </si>
  <si>
    <t>2 +цокольный этаж</t>
  </si>
  <si>
    <t>9+антресоль 1 этажа</t>
  </si>
  <si>
    <t>13+Технический этаж</t>
  </si>
  <si>
    <t>6+техчердак</t>
  </si>
  <si>
    <t>10+чердак+машинное отделение</t>
  </si>
  <si>
    <t>1+Надстроеный этаж</t>
  </si>
  <si>
    <t>18+чердак+подвал</t>
  </si>
  <si>
    <t>16+технический чердак</t>
  </si>
  <si>
    <t>5+цокольный  этаж</t>
  </si>
  <si>
    <t>25+чердак+мезонин</t>
  </si>
  <si>
    <t>3+Цкольный этаж</t>
  </si>
  <si>
    <t>14+кровля+технический этаж</t>
  </si>
  <si>
    <t>19+Технический этаж</t>
  </si>
  <si>
    <t>25+тех этаж</t>
  </si>
  <si>
    <t>9+подвал+кровля</t>
  </si>
  <si>
    <t>9+подвал+машинное отделение</t>
  </si>
  <si>
    <t>4+цокольный этаж+подвал+технический этаж</t>
  </si>
  <si>
    <t>1+кровля</t>
  </si>
  <si>
    <t>2+машинное отделение</t>
  </si>
  <si>
    <t>7+Мансарда+Кровля+Мезонин+Техиническое подполье</t>
  </si>
  <si>
    <t>24+чердак</t>
  </si>
  <si>
    <t>13+чердак+кровля.</t>
  </si>
  <si>
    <t>6 + антресоль</t>
  </si>
  <si>
    <t>1 и 2</t>
  </si>
  <si>
    <t>1;2</t>
  </si>
  <si>
    <t>1; 2</t>
  </si>
  <si>
    <t>2; 1</t>
  </si>
  <si>
    <t>10; 9</t>
  </si>
  <si>
    <t>1 с антресолью; 2</t>
  </si>
  <si>
    <t>2тех.этаж</t>
  </si>
  <si>
    <t>19-20</t>
  </si>
  <si>
    <t>19-23</t>
  </si>
  <si>
    <t>22-17-11</t>
  </si>
  <si>
    <t>17-21</t>
  </si>
  <si>
    <t>18-20</t>
  </si>
  <si>
    <t>6-15-25</t>
  </si>
  <si>
    <t>15-17</t>
  </si>
  <si>
    <t>15-27</t>
  </si>
  <si>
    <t>16-23</t>
  </si>
  <si>
    <t>3; 4</t>
  </si>
  <si>
    <t>14-26</t>
  </si>
  <si>
    <t>17-22</t>
  </si>
  <si>
    <t>2 этажа и тех.этаж</t>
  </si>
  <si>
    <t>16-21</t>
  </si>
  <si>
    <t>15-34</t>
  </si>
  <si>
    <t>1 и мансарда</t>
  </si>
  <si>
    <t>1 с заглублением</t>
  </si>
  <si>
    <t>0/1</t>
  </si>
  <si>
    <t>1 этажное с 21 этажной лестничной клеткой</t>
  </si>
  <si>
    <t>1-0</t>
  </si>
  <si>
    <t>1 с цокольным этажом и мансардой</t>
  </si>
  <si>
    <t>1,2,6</t>
  </si>
  <si>
    <t>1-2-3-4</t>
  </si>
  <si>
    <t>1-3, 4-5</t>
  </si>
  <si>
    <t>4-1-3-2</t>
  </si>
  <si>
    <t>19-21</t>
  </si>
  <si>
    <t>0-1</t>
  </si>
  <si>
    <t>СПРАВОЧНИК ПОДЗЕМНОЙ ЭТАЖНОСТИ</t>
  </si>
  <si>
    <t>подвал</t>
  </si>
  <si>
    <t>0 - 1</t>
  </si>
  <si>
    <t>цокольный этаж</t>
  </si>
  <si>
    <t>цокольный</t>
  </si>
  <si>
    <t>0-2</t>
  </si>
  <si>
    <t>Цок.эт.</t>
  </si>
  <si>
    <t>цокальный этаж</t>
  </si>
  <si>
    <t>заглублено (-11,0 м:-7,0 м;-6,0м:-5,8м)</t>
  </si>
  <si>
    <t>1 + цокольный</t>
  </si>
  <si>
    <t>мансарда</t>
  </si>
  <si>
    <t>цоколь</t>
  </si>
  <si>
    <t>Погреб</t>
  </si>
  <si>
    <t>заглублено - 32.0 м</t>
  </si>
  <si>
    <t>цокольный эт.</t>
  </si>
  <si>
    <t>17-26</t>
  </si>
  <si>
    <t>14-22</t>
  </si>
  <si>
    <t>21-27-37</t>
  </si>
  <si>
    <t>23-30</t>
  </si>
  <si>
    <t>14-25</t>
  </si>
  <si>
    <t>7-13-26</t>
  </si>
  <si>
    <t>19-22</t>
  </si>
  <si>
    <t>10-11-18-17</t>
  </si>
  <si>
    <t>0-1-2</t>
  </si>
  <si>
    <t>*</t>
  </si>
  <si>
    <t>_</t>
  </si>
  <si>
    <t>1 с мансардой</t>
  </si>
  <si>
    <t>2 (с цокольным этажом)</t>
  </si>
  <si>
    <t>нет</t>
  </si>
  <si>
    <t>2 с мансардой</t>
  </si>
  <si>
    <t>1 с подвалом и мезонином</t>
  </si>
  <si>
    <t>4 с галереей и надстройкой</t>
  </si>
  <si>
    <t>1 с надстройкой</t>
  </si>
  <si>
    <t>л.126А - 1 эт. со вставкой</t>
  </si>
  <si>
    <t>подвал, 2, антресольный этаж</t>
  </si>
  <si>
    <t>подземный этаж</t>
  </si>
  <si>
    <t>2 (1,мансарда)</t>
  </si>
  <si>
    <t>2;количество этажей:1;мансарда</t>
  </si>
  <si>
    <t>01 1</t>
  </si>
  <si>
    <t>17-18</t>
  </si>
  <si>
    <t>2, 5</t>
  </si>
  <si>
    <t>28-11-11-28</t>
  </si>
  <si>
    <t>2; 1 с антресолью</t>
  </si>
  <si>
    <t>3,1,2,1</t>
  </si>
  <si>
    <t xml:space="preserve">1 с площадками </t>
  </si>
  <si>
    <t>1 с вставкой</t>
  </si>
  <si>
    <t>1 (с заглублением 0.85 м)</t>
  </si>
  <si>
    <t>1 (с заглублением 1.0 м)</t>
  </si>
  <si>
    <t>1 (с заглублением 1.62 м)</t>
  </si>
  <si>
    <t>1 (с заглублением 1.80 м)</t>
  </si>
  <si>
    <t>1 с цокольным этажом</t>
  </si>
  <si>
    <t>1 со вставкой, 1, 2</t>
  </si>
  <si>
    <t>12742/01/0167-05/52-00</t>
  </si>
  <si>
    <t>разноэтажное/1</t>
  </si>
  <si>
    <t>1 с марсандой</t>
  </si>
  <si>
    <t>1 со вставкой</t>
  </si>
  <si>
    <t>1 со вставкой, 2, 6</t>
  </si>
  <si>
    <t>1 со встройкой</t>
  </si>
  <si>
    <t>1,2,3,4 с надстройкой</t>
  </si>
  <si>
    <t>3,2,1 с надстройкой</t>
  </si>
  <si>
    <t>надземное</t>
  </si>
  <si>
    <t>1-2 со вставкой</t>
  </si>
  <si>
    <t>1А-1</t>
  </si>
  <si>
    <t>2 с заглублением</t>
  </si>
  <si>
    <t>11-15-23</t>
  </si>
  <si>
    <t>1с мансардой</t>
  </si>
  <si>
    <t>30-16-2</t>
  </si>
  <si>
    <t>данные отсутствуют</t>
  </si>
  <si>
    <t>цокольный, 1, мансарда</t>
  </si>
  <si>
    <t>1 (литре Г16)</t>
  </si>
  <si>
    <t>1 с 2х этажной вставкой</t>
  </si>
  <si>
    <t>1; 2 (литер 21А); 1 (литер 21Б,21В,21Д,21Е,21Ж,21К</t>
  </si>
  <si>
    <t>1; 2; 3</t>
  </si>
  <si>
    <t>2 с подвалом</t>
  </si>
  <si>
    <t>2; 4</t>
  </si>
  <si>
    <t>3; 6</t>
  </si>
  <si>
    <t>5; 1 (литер 16А) 1 (литер 16Б)</t>
  </si>
  <si>
    <t>литер 2А - 1 с встройкой и антресолями; 2Б - 1</t>
  </si>
  <si>
    <t xml:space="preserve"> </t>
  </si>
  <si>
    <t>1:цокольный, мансарда</t>
  </si>
  <si>
    <t>1-2, цокольный этаж</t>
  </si>
  <si>
    <t>5, подвал</t>
  </si>
  <si>
    <t>подземная этажность</t>
  </si>
  <si>
    <t>1 с 2-х и 3-х этажной встройкой</t>
  </si>
  <si>
    <t>1 с 2х этажной встройкой</t>
  </si>
  <si>
    <t>1 с 2-х этажной встройкой</t>
  </si>
  <si>
    <t>1 с 3-х этажной встройкой</t>
  </si>
  <si>
    <t>1 с площадками + 1 надземная</t>
  </si>
  <si>
    <t>12, 25</t>
  </si>
  <si>
    <t>17-24</t>
  </si>
  <si>
    <t>11-21-29</t>
  </si>
  <si>
    <t>1- 2- 3- 4</t>
  </si>
  <si>
    <t xml:space="preserve">1 с площадкой, 3 </t>
  </si>
  <si>
    <t>1 с антресолью</t>
  </si>
  <si>
    <t>9, 10, 11, 12, 18</t>
  </si>
  <si>
    <t>Здание (многоквартирный дом) признано аварийным и подлежащим сносу</t>
  </si>
  <si>
    <t>14-27</t>
  </si>
  <si>
    <t>15-21</t>
  </si>
  <si>
    <t>1, 1, 1, 1</t>
  </si>
  <si>
    <t>13,20</t>
  </si>
  <si>
    <t>1, 2, 3</t>
  </si>
  <si>
    <t>10-15-17</t>
  </si>
  <si>
    <t>2 уровн.</t>
  </si>
  <si>
    <t>2;1</t>
  </si>
  <si>
    <t>3,2,1</t>
  </si>
  <si>
    <t>5,1</t>
  </si>
  <si>
    <t>6,2</t>
  </si>
  <si>
    <t>18-22-26</t>
  </si>
  <si>
    <t>1, в том числе подземных 0</t>
  </si>
  <si>
    <t>17-34</t>
  </si>
  <si>
    <t>15-18-21</t>
  </si>
  <si>
    <t>9,10,10</t>
  </si>
  <si>
    <t>30,8</t>
  </si>
  <si>
    <t>16-21-12</t>
  </si>
  <si>
    <t>Жилое помещение расположенное в многоквартирном доме признано аварийным и подлежащим сносу или реконструкции на основании Постановления главы Городского округа Карпинск № 1022 от 07.09.2010 г</t>
  </si>
  <si>
    <t>17,23</t>
  </si>
  <si>
    <t>13-15-25</t>
  </si>
  <si>
    <t>Литер А- 2; Литер А1-1,3; Литер А2-2, цокольный эт</t>
  </si>
  <si>
    <t>1 с площадкой</t>
  </si>
  <si>
    <t>18-32</t>
  </si>
  <si>
    <t>1-вставка</t>
  </si>
  <si>
    <t>9, цоколь</t>
  </si>
  <si>
    <t>20-24-26</t>
  </si>
  <si>
    <t>22-18-14</t>
  </si>
  <si>
    <t>4,23</t>
  </si>
  <si>
    <t>27, 24</t>
  </si>
  <si>
    <t>10, 23</t>
  </si>
  <si>
    <t>14-30</t>
  </si>
  <si>
    <t>1, 1, 3, 3, 1, 1, 1, 1, 1</t>
  </si>
  <si>
    <t>2-3-4-5</t>
  </si>
  <si>
    <t>25-27</t>
  </si>
  <si>
    <t>9-11-17-27</t>
  </si>
  <si>
    <t>Материал Код</t>
  </si>
  <si>
    <t>Основной материал</t>
  </si>
  <si>
    <t>Группа капитальности присвоена</t>
  </si>
  <si>
    <t>Возраст</t>
  </si>
  <si>
    <t>Возраст2</t>
  </si>
  <si>
    <t>Стены</t>
  </si>
  <si>
    <t>Каменные</t>
  </si>
  <si>
    <t>Кирпичные</t>
  </si>
  <si>
    <t>Кирпичные облегченные</t>
  </si>
  <si>
    <t>Из природного камня</t>
  </si>
  <si>
    <t>Деревянные</t>
  </si>
  <si>
    <t>Рубленые</t>
  </si>
  <si>
    <t>Каркасно-засыпные</t>
  </si>
  <si>
    <t>Каркасно-обшивные</t>
  </si>
  <si>
    <t>Сборно-щитовые</t>
  </si>
  <si>
    <t>Дощатые</t>
  </si>
  <si>
    <t>Деревянный каркас без обшивки</t>
  </si>
  <si>
    <t>Смешанные</t>
  </si>
  <si>
    <t>Каменные и деревянные</t>
  </si>
  <si>
    <t>Каменные и бетонные</t>
  </si>
  <si>
    <t>Легкие из местных материалов</t>
  </si>
  <si>
    <t>Из прочих материалов</t>
  </si>
  <si>
    <t>Бетонные</t>
  </si>
  <si>
    <t>Монолитные</t>
  </si>
  <si>
    <t>Из мелких бетонных блоков</t>
  </si>
  <si>
    <t>Из легкобетонных панелей</t>
  </si>
  <si>
    <t>Железобетонные</t>
  </si>
  <si>
    <t>Крупнопанельные</t>
  </si>
  <si>
    <t>Каркасно-панельные</t>
  </si>
  <si>
    <t>Крупноблочные</t>
  </si>
  <si>
    <t>Из унифицированных железобетонных элементов</t>
  </si>
  <si>
    <t>Из железобетонных сегментов</t>
  </si>
  <si>
    <t>Металлические</t>
  </si>
  <si>
    <t>Иное</t>
  </si>
  <si>
    <t>min</t>
  </si>
  <si>
    <t>max</t>
  </si>
  <si>
    <t>2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</si>
  <si>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</si>
  <si>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</si>
  <si>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</si>
  <si>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</si>
  <si>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</si>
  <si>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</si>
  <si>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</si>
  <si>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</si>
  <si>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</si>
  <si>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</si>
  <si>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</si>
  <si>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</si>
  <si>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</si>
  <si>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</si>
  <si>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</si>
  <si>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</si>
  <si>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</si>
  <si>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</si>
  <si>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</si>
  <si>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</si>
  <si>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</si>
  <si>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</si>
  <si>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</si>
  <si>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</si>
  <si>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</si>
  <si>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</si>
  <si>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</si>
  <si>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</si>
  <si>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</si>
  <si>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</si>
  <si>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</si>
  <si>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</si>
  <si>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</si>
  <si>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</si>
  <si>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</si>
  <si>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</si>
  <si>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</si>
  <si>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</si>
  <si>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</si>
  <si>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</si>
  <si>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</si>
  <si>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</si>
  <si>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</si>
  <si>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</si>
  <si>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</si>
  <si>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</si>
  <si>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</si>
  <si>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</si>
  <si>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</si>
  <si>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</si>
  <si>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</si>
  <si>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</si>
  <si>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</si>
  <si>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</si>
  <si>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</si>
  <si>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</si>
  <si>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</si>
  <si>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</si>
  <si>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</si>
  <si>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</si>
  <si>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</si>
  <si>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</si>
  <si>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</si>
  <si>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</si>
  <si>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</si>
  <si>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</si>
  <si>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12-14</t>
  </si>
  <si>
    <t>1-2</t>
  </si>
  <si>
    <t>2-3</t>
  </si>
  <si>
    <t>1-3</t>
  </si>
  <si>
    <t>2-1</t>
  </si>
  <si>
    <t>3-1</t>
  </si>
  <si>
    <t>3-2-1</t>
  </si>
  <si>
    <t>1-2-4</t>
  </si>
  <si>
    <t>2-16</t>
  </si>
  <si>
    <t>8-3</t>
  </si>
  <si>
    <t>2-4</t>
  </si>
  <si>
    <t>11-15</t>
  </si>
  <si>
    <t>5-3</t>
  </si>
  <si>
    <t>1-4</t>
  </si>
  <si>
    <t>3-6</t>
  </si>
  <si>
    <t>9-11</t>
  </si>
  <si>
    <t>8-10</t>
  </si>
  <si>
    <t>11-14</t>
  </si>
  <si>
    <t>1-2-3</t>
  </si>
  <si>
    <t>10-12</t>
  </si>
  <si>
    <t>4-32</t>
  </si>
  <si>
    <t>1-5</t>
  </si>
  <si>
    <t>1-6</t>
  </si>
  <si>
    <t>3-5</t>
  </si>
  <si>
    <t>2-13</t>
  </si>
  <si>
    <t>1 - 2</t>
  </si>
  <si>
    <t>11-18</t>
  </si>
  <si>
    <t>9-15</t>
  </si>
  <si>
    <t>2-5</t>
  </si>
  <si>
    <t>2-6</t>
  </si>
  <si>
    <t>10-15</t>
  </si>
  <si>
    <t>1 - 4</t>
  </si>
  <si>
    <t>9-16</t>
  </si>
  <si>
    <t>6-7</t>
  </si>
  <si>
    <t>12-16</t>
  </si>
  <si>
    <t>2-8-1</t>
  </si>
  <si>
    <t>4-15</t>
  </si>
  <si>
    <t>11-21</t>
  </si>
  <si>
    <t>3-10</t>
  </si>
  <si>
    <t>7-11</t>
  </si>
  <si>
    <t>4-1</t>
  </si>
  <si>
    <t>4-6</t>
  </si>
  <si>
    <t>5-6</t>
  </si>
  <si>
    <t>9-14</t>
  </si>
  <si>
    <t>8 - 12</t>
  </si>
  <si>
    <t>9-19</t>
  </si>
  <si>
    <t>3-7</t>
  </si>
  <si>
    <t>3-4</t>
  </si>
  <si>
    <t>12-18</t>
  </si>
  <si>
    <t>11-34</t>
  </si>
  <si>
    <t>12-22</t>
  </si>
  <si>
    <t>5-7</t>
  </si>
  <si>
    <t>1-5-11</t>
  </si>
  <si>
    <t>9-27</t>
  </si>
  <si>
    <t>8-15</t>
  </si>
  <si>
    <t>9-18</t>
  </si>
  <si>
    <t>6-16</t>
  </si>
  <si>
    <t>3-28</t>
  </si>
  <si>
    <t>5-1</t>
  </si>
  <si>
    <t>3-8</t>
  </si>
  <si>
    <t>1 - 3</t>
  </si>
  <si>
    <t>2-26</t>
  </si>
  <si>
    <t>3-2</t>
  </si>
  <si>
    <t>9-26</t>
  </si>
  <si>
    <t>9-12</t>
  </si>
  <si>
    <t>12-20</t>
  </si>
  <si>
    <t>4-8</t>
  </si>
  <si>
    <t>2 - 3</t>
  </si>
  <si>
    <t>11-16</t>
  </si>
  <si>
    <t>5-19</t>
  </si>
  <si>
    <t>7-18</t>
  </si>
  <si>
    <t>8-11</t>
  </si>
  <si>
    <t>3 - 4</t>
  </si>
  <si>
    <t>4-25</t>
  </si>
  <si>
    <t>10-14</t>
  </si>
  <si>
    <t>6-12</t>
  </si>
  <si>
    <t>6-4</t>
  </si>
  <si>
    <t>10-16</t>
  </si>
  <si>
    <t>8-12</t>
  </si>
  <si>
    <t>2-21</t>
  </si>
  <si>
    <t>11-22</t>
  </si>
  <si>
    <t>2-7</t>
  </si>
  <si>
    <t>2-4-6</t>
  </si>
  <si>
    <t>7-10</t>
  </si>
  <si>
    <t>12-24</t>
  </si>
  <si>
    <t>6-10</t>
  </si>
  <si>
    <t>6-5</t>
  </si>
  <si>
    <t>10-18</t>
  </si>
  <si>
    <t>2-12</t>
  </si>
  <si>
    <t>10-19</t>
  </si>
  <si>
    <t>4-5</t>
  </si>
  <si>
    <t>1-1</t>
  </si>
  <si>
    <t>4-1-4</t>
  </si>
  <si>
    <t>8-18</t>
  </si>
  <si>
    <t>1-7</t>
  </si>
  <si>
    <t>11-17</t>
  </si>
  <si>
    <t>3-11</t>
  </si>
  <si>
    <t>2-10</t>
  </si>
  <si>
    <t>2-2</t>
  </si>
  <si>
    <t>2-1-1</t>
  </si>
  <si>
    <t>10-22</t>
  </si>
  <si>
    <t>9-13</t>
  </si>
  <si>
    <t>10-2-1</t>
  </si>
  <si>
    <t>1-10</t>
  </si>
  <si>
    <t>4-2-1</t>
  </si>
  <si>
    <t>4-1-0</t>
  </si>
  <si>
    <t>9-10</t>
  </si>
  <si>
    <t>7-9</t>
  </si>
  <si>
    <t>10-13</t>
  </si>
  <si>
    <t>09-10</t>
  </si>
  <si>
    <t>5-2</t>
  </si>
  <si>
    <t>1-9</t>
  </si>
  <si>
    <t>1-8</t>
  </si>
  <si>
    <t>6-56</t>
  </si>
  <si>
    <t>8-20</t>
  </si>
  <si>
    <t>14-12-9</t>
  </si>
  <si>
    <t>10-17</t>
  </si>
  <si>
    <t>6-1</t>
  </si>
  <si>
    <t>2-35</t>
  </si>
  <si>
    <t>2/1</t>
  </si>
  <si>
    <t>3/2</t>
  </si>
  <si>
    <t>1/2</t>
  </si>
  <si>
    <t>1/3</t>
  </si>
  <si>
    <t>+Подвал</t>
  </si>
  <si>
    <t>07</t>
  </si>
  <si>
    <t>09</t>
  </si>
  <si>
    <t>05</t>
  </si>
  <si>
    <t>02</t>
  </si>
  <si>
    <t>01</t>
  </si>
  <si>
    <t>04</t>
  </si>
  <si>
    <t>03</t>
  </si>
  <si>
    <t>06</t>
  </si>
  <si>
    <t>6-17</t>
  </si>
  <si>
    <t>2-14</t>
  </si>
  <si>
    <t>2-8</t>
  </si>
  <si>
    <t>3-19</t>
  </si>
  <si>
    <t>4-2</t>
  </si>
  <si>
    <t>1-4-6</t>
  </si>
  <si>
    <t>1 - 5</t>
  </si>
  <si>
    <t>1 - 10</t>
  </si>
  <si>
    <t>9-6</t>
  </si>
  <si>
    <t>1-3-1</t>
  </si>
  <si>
    <t>2-3-4</t>
  </si>
  <si>
    <t>4-3</t>
  </si>
  <si>
    <t>4 - 6</t>
  </si>
  <si>
    <t>5-4-2</t>
  </si>
  <si>
    <t>2-4-1</t>
  </si>
  <si>
    <t>6-1-2</t>
  </si>
  <si>
    <t>2-3-2</t>
  </si>
  <si>
    <t>2 - 5</t>
  </si>
  <si>
    <t>2 - 4</t>
  </si>
  <si>
    <t>1 - 11</t>
  </si>
  <si>
    <t>1 - 6</t>
  </si>
  <si>
    <t>2-4-5</t>
  </si>
  <si>
    <t>1 - 7</t>
  </si>
  <si>
    <t>5-9</t>
  </si>
  <si>
    <t>0</t>
  </si>
  <si>
    <t>5-27</t>
  </si>
  <si>
    <t>4-13</t>
  </si>
  <si>
    <t>10-11</t>
  </si>
  <si>
    <t>10-27</t>
  </si>
  <si>
    <t>+цокольный этаж</t>
  </si>
  <si>
    <t>5-16</t>
  </si>
  <si>
    <t>2-5-6</t>
  </si>
  <si>
    <t>2-15</t>
  </si>
  <si>
    <t>7-28</t>
  </si>
  <si>
    <t>13-12</t>
  </si>
  <si>
    <t>10-21</t>
  </si>
  <si>
    <t>8-16</t>
  </si>
  <si>
    <t>12-26</t>
  </si>
  <si>
    <t>20-7</t>
  </si>
  <si>
    <t>8-13</t>
  </si>
  <si>
    <t>1/1</t>
  </si>
  <si>
    <t>20-3-27</t>
  </si>
  <si>
    <t>2-32</t>
  </si>
  <si>
    <t xml:space="preserve"> 1</t>
  </si>
  <si>
    <t>3-31</t>
  </si>
  <si>
    <t>11-13</t>
  </si>
  <si>
    <t xml:space="preserve">      1</t>
  </si>
  <si>
    <t>5-6-33</t>
  </si>
  <si>
    <t xml:space="preserve"> 2</t>
  </si>
  <si>
    <t>2-1-10</t>
  </si>
  <si>
    <t xml:space="preserve">       1</t>
  </si>
  <si>
    <t>1.2</t>
  </si>
  <si>
    <t>15-2</t>
  </si>
  <si>
    <t>9-22</t>
  </si>
  <si>
    <t>1950</t>
  </si>
  <si>
    <t>7-8</t>
  </si>
  <si>
    <t>8-10-27</t>
  </si>
  <si>
    <t xml:space="preserve"> 5</t>
  </si>
  <si>
    <t xml:space="preserve"> 3</t>
  </si>
  <si>
    <t>2-27</t>
  </si>
  <si>
    <t>1-11</t>
  </si>
  <si>
    <t>8-10-18</t>
  </si>
  <si>
    <t>10-26</t>
  </si>
  <si>
    <t>11-29</t>
  </si>
  <si>
    <t>24-10</t>
  </si>
  <si>
    <t>6-8</t>
  </si>
  <si>
    <t>1-24</t>
  </si>
  <si>
    <t>2-24</t>
  </si>
  <si>
    <t>2-33</t>
  </si>
  <si>
    <t>6-11</t>
  </si>
  <si>
    <t>4-28</t>
  </si>
  <si>
    <t>9-23</t>
  </si>
  <si>
    <t>8-12-13</t>
  </si>
  <si>
    <t>10-28</t>
  </si>
  <si>
    <t>10-11-18</t>
  </si>
  <si>
    <t>3-17</t>
  </si>
  <si>
    <t>8-27</t>
  </si>
  <si>
    <t>1-3-4</t>
  </si>
  <si>
    <t>5-8</t>
  </si>
  <si>
    <t>9-17</t>
  </si>
  <si>
    <t xml:space="preserve">6 </t>
  </si>
  <si>
    <t>11-9-10</t>
  </si>
  <si>
    <t>1-32</t>
  </si>
  <si>
    <t>11-19</t>
  </si>
  <si>
    <t>2-22</t>
  </si>
  <si>
    <t>additional_61968</t>
  </si>
  <si>
    <t>additional_57378</t>
  </si>
  <si>
    <t>Первоначальная площадь</t>
  </si>
  <si>
    <t>НАШ ОКТМО</t>
  </si>
  <si>
    <t>10-30</t>
  </si>
  <si>
    <t>Тип</t>
  </si>
  <si>
    <t>Малоэтажное</t>
  </si>
  <si>
    <t>Среднеэтажное</t>
  </si>
  <si>
    <t>Многоэтажное</t>
  </si>
  <si>
    <t>Подгруппа</t>
  </si>
  <si>
    <t>Функциональная группа</t>
  </si>
  <si>
    <t>0402</t>
  </si>
  <si>
    <t>Магазин более 250 кв.м.</t>
  </si>
  <si>
    <t>Бизнес и Администрация</t>
  </si>
  <si>
    <t>0403_1</t>
  </si>
  <si>
    <t>Торгово-сервисные комплексы</t>
  </si>
  <si>
    <t>0403_2</t>
  </si>
  <si>
    <t>Торгово-административные комплексы (Торгово-офисные)</t>
  </si>
  <si>
    <t>0403_3</t>
  </si>
  <si>
    <t>Торгово-развлекательный центр/Торгово-досуговый комплекс</t>
  </si>
  <si>
    <t>0403_4</t>
  </si>
  <si>
    <t>Торгово-складские объекты (гипермаркеты)</t>
  </si>
  <si>
    <t>0403_6</t>
  </si>
  <si>
    <t>Торгово-коммерческий многофункциональный комплекс</t>
  </si>
  <si>
    <t>0408</t>
  </si>
  <si>
    <t>Автосалоны</t>
  </si>
  <si>
    <t>0409</t>
  </si>
  <si>
    <t>Рестораны</t>
  </si>
  <si>
    <t>0501</t>
  </si>
  <si>
    <t>Гостиницы: класса 2* и ниже, ведомственные гостиницы, хостелы</t>
  </si>
  <si>
    <t>0502</t>
  </si>
  <si>
    <t>Гостиницы: класса 3*</t>
  </si>
  <si>
    <t>0503</t>
  </si>
  <si>
    <t>Гостиницы: класса 4* и выше</t>
  </si>
  <si>
    <t>0504</t>
  </si>
  <si>
    <t>Апарт-отели</t>
  </si>
  <si>
    <t>0601</t>
  </si>
  <si>
    <t>Банки</t>
  </si>
  <si>
    <t>0602_1</t>
  </si>
  <si>
    <t>Бизнес-центры класса А</t>
  </si>
  <si>
    <t>0602_2</t>
  </si>
  <si>
    <t>Бизнес-центры класса В</t>
  </si>
  <si>
    <t>0602_3</t>
  </si>
  <si>
    <t>Бизнес-центры класса С</t>
  </si>
  <si>
    <t>0839</t>
  </si>
  <si>
    <t>Научно-исследовательские институты</t>
  </si>
  <si>
    <t>0840</t>
  </si>
  <si>
    <t>Обсерватории</t>
  </si>
  <si>
    <t>0841</t>
  </si>
  <si>
    <t>Административные здания государственных учреждений управления, включая здания администраций, Министерство внутренних дел Российской Федерации, судов, прокуратуры</t>
  </si>
  <si>
    <t>0101</t>
  </si>
  <si>
    <t>МКД</t>
  </si>
  <si>
    <t>0102</t>
  </si>
  <si>
    <t>0103</t>
  </si>
  <si>
    <t>0104</t>
  </si>
  <si>
    <t>0105</t>
  </si>
  <si>
    <t>0106</t>
  </si>
  <si>
    <t>ТипФГ</t>
  </si>
  <si>
    <t>сцепка</t>
  </si>
  <si>
    <t>ТИпЭтажности</t>
  </si>
  <si>
    <t>ГКпоМС</t>
  </si>
  <si>
    <t>ГК</t>
  </si>
  <si>
    <t>Прочие</t>
  </si>
  <si>
    <t>I</t>
  </si>
  <si>
    <t>II</t>
  </si>
  <si>
    <t>IV</t>
  </si>
  <si>
    <t>V</t>
  </si>
  <si>
    <t>additional_57960</t>
  </si>
  <si>
    <t>Ценовые зоны по квартирам</t>
  </si>
  <si>
    <t>0300</t>
  </si>
  <si>
    <t>locations</t>
  </si>
  <si>
    <t>note</t>
  </si>
  <si>
    <t>описание</t>
  </si>
  <si>
    <t>additional_57900</t>
  </si>
  <si>
    <t>Индивидуальный расчет</t>
  </si>
  <si>
    <t>5-18</t>
  </si>
  <si>
    <t>26-8-17</t>
  </si>
  <si>
    <t>28-34</t>
  </si>
  <si>
    <t>2-11-19</t>
  </si>
  <si>
    <t>16-26</t>
  </si>
  <si>
    <t>1, 3-х этажная вставка АБЧ</t>
  </si>
  <si>
    <t>11, 17</t>
  </si>
  <si>
    <t>2-17</t>
  </si>
  <si>
    <t>9-18-33</t>
  </si>
  <si>
    <t>21-27</t>
  </si>
  <si>
    <t>2, в том числе подвал</t>
  </si>
  <si>
    <t>9-11-17</t>
  </si>
  <si>
    <t>additional_61964</t>
  </si>
  <si>
    <t>Код НП</t>
  </si>
  <si>
    <t>Наименование МО</t>
  </si>
  <si>
    <t>Наименование НП</t>
  </si>
  <si>
    <t>Модель для квартир</t>
  </si>
  <si>
    <t>Численность</t>
  </si>
  <si>
    <t>Модель</t>
  </si>
  <si>
    <t>65715000001</t>
  </si>
  <si>
    <t>57:015:1:1:4</t>
  </si>
  <si>
    <t>Нижнетуринский городской округ</t>
  </si>
  <si>
    <t>г Нижняя Тура</t>
  </si>
  <si>
    <t>1002_М6_Квартиры области до 50</t>
  </si>
  <si>
    <t>65757000111</t>
  </si>
  <si>
    <t>35:003:2:5:6</t>
  </si>
  <si>
    <t>Городской округ Среднеуральск</t>
  </si>
  <si>
    <t>д Мурзинка</t>
  </si>
  <si>
    <t>65711000052</t>
  </si>
  <si>
    <t>39:071:1:2:4</t>
  </si>
  <si>
    <t>Ирбитское муниципальное образование</t>
  </si>
  <si>
    <t>пгт Пионерский</t>
  </si>
  <si>
    <t>65722000271</t>
  </si>
  <si>
    <t>67:027:2:4:5</t>
  </si>
  <si>
    <t>Сысертский городской округ</t>
  </si>
  <si>
    <t>с Патруши</t>
  </si>
  <si>
    <t>65628420151</t>
  </si>
  <si>
    <t>56:034:2:5:6</t>
  </si>
  <si>
    <t>Нижнесергинский муниципальный район</t>
  </si>
  <si>
    <t>д Уразаево</t>
  </si>
  <si>
    <t>65712000052</t>
  </si>
  <si>
    <t>40:030:1:2:4</t>
  </si>
  <si>
    <t>Каменский городской округ</t>
  </si>
  <si>
    <t>пгт Мартюш</t>
  </si>
  <si>
    <t>65706000231</t>
  </si>
  <si>
    <t>07:032:2:3:6</t>
  </si>
  <si>
    <t>Белоярский городской округ</t>
  </si>
  <si>
    <t>п Рассоха</t>
  </si>
  <si>
    <t>65713000331</t>
  </si>
  <si>
    <t>54:003:2:3:6</t>
  </si>
  <si>
    <t>Муниципальное образование Красноуфимский округ</t>
  </si>
  <si>
    <t>п Березовая Роща</t>
  </si>
  <si>
    <t>65722000216</t>
  </si>
  <si>
    <t>67:029:2:3:6</t>
  </si>
  <si>
    <t>п Полевой</t>
  </si>
  <si>
    <t>65766000116</t>
  </si>
  <si>
    <t>36:004:2:3:6</t>
  </si>
  <si>
    <t>Городской округ Староуткинск</t>
  </si>
  <si>
    <t>п Уткинский Завод</t>
  </si>
  <si>
    <t>65608405156</t>
  </si>
  <si>
    <t>06:055:2:5:6</t>
  </si>
  <si>
    <t>Байкаловский муниципальный район</t>
  </si>
  <si>
    <t>д Скоморохова</t>
  </si>
  <si>
    <t>65623455161</t>
  </si>
  <si>
    <t>53:009:2:4:6</t>
  </si>
  <si>
    <t>Камышловский муниципальный район</t>
  </si>
  <si>
    <t>с Володинское</t>
  </si>
  <si>
    <t>65706000116</t>
  </si>
  <si>
    <t>07:010:2:5:6</t>
  </si>
  <si>
    <t>д Гусева</t>
  </si>
  <si>
    <t>65743000001</t>
  </si>
  <si>
    <t>42:003:1:1:4</t>
  </si>
  <si>
    <t>Качканарский городской округ</t>
  </si>
  <si>
    <t>г Качканар</t>
  </si>
  <si>
    <t>65707000181</t>
  </si>
  <si>
    <t>16:041:2:5:6</t>
  </si>
  <si>
    <t>Городской округ Богданович</t>
  </si>
  <si>
    <t>д Щипачи</t>
  </si>
  <si>
    <t>65608405146</t>
  </si>
  <si>
    <t>06:047:2:5:6</t>
  </si>
  <si>
    <t>д Нижняя Иленка</t>
  </si>
  <si>
    <t>65731000001</t>
  </si>
  <si>
    <t>08:002:1:1:3</t>
  </si>
  <si>
    <t>Березовский городской округ</t>
  </si>
  <si>
    <t>г Березовский</t>
  </si>
  <si>
    <t>городские населенные пункты с численностью населения от 50 000 до 100 000 человек;</t>
  </si>
  <si>
    <t>1003_М5_Квартиры области до 100</t>
  </si>
  <si>
    <t>65771000316</t>
  </si>
  <si>
    <t>49:024:2:3:6</t>
  </si>
  <si>
    <t>Муниципальное образование Алапаевское</t>
  </si>
  <si>
    <t>п Задание</t>
  </si>
  <si>
    <t>65750000001</t>
  </si>
  <si>
    <t>30:004:1:1:4</t>
  </si>
  <si>
    <t>Городской округ Нижняя Салда</t>
  </si>
  <si>
    <t>г Нижняя Салда</t>
  </si>
  <si>
    <t>65704000326</t>
  </si>
  <si>
    <t>03:001:2:4:6</t>
  </si>
  <si>
    <t>Артинский городской округ</t>
  </si>
  <si>
    <t>с Азигулово</t>
  </si>
  <si>
    <t>65708000001</t>
  </si>
  <si>
    <t>10:004:1:1:4</t>
  </si>
  <si>
    <t>Верхнесалдинский городской округ</t>
  </si>
  <si>
    <t>г Верхняя Салда</t>
  </si>
  <si>
    <t>65739000001</t>
  </si>
  <si>
    <t>51:001:1:1:4</t>
  </si>
  <si>
    <t>Муниципальное образование город Ирбит</t>
  </si>
  <si>
    <t>г Ирбит</t>
  </si>
  <si>
    <t>65623420156</t>
  </si>
  <si>
    <t>53:048:2:4:6</t>
  </si>
  <si>
    <t>с Реутинское</t>
  </si>
  <si>
    <t>65706000196</t>
  </si>
  <si>
    <t>07:013:2:3:6</t>
  </si>
  <si>
    <t>п Каменка</t>
  </si>
  <si>
    <t>65771000211</t>
  </si>
  <si>
    <t>49:044:2:5:6</t>
  </si>
  <si>
    <t>д Мокина</t>
  </si>
  <si>
    <t>65762000111</t>
  </si>
  <si>
    <t>45:003:2:3:6</t>
  </si>
  <si>
    <t>Малышевский городской округ</t>
  </si>
  <si>
    <t>п Чапаева</t>
  </si>
  <si>
    <t>65761000051</t>
  </si>
  <si>
    <t>18:001:1:2:4</t>
  </si>
  <si>
    <t>Городской округ Верх-Нейвинский</t>
  </si>
  <si>
    <t>пгт Верх-Нейвинский</t>
  </si>
  <si>
    <t>65711000241</t>
  </si>
  <si>
    <t>39:035:2:5:6</t>
  </si>
  <si>
    <t>д Кекур</t>
  </si>
  <si>
    <t>65741000001</t>
  </si>
  <si>
    <t>41:001:1:1:4</t>
  </si>
  <si>
    <t>Камышловский городской округ</t>
  </si>
  <si>
    <t>г Камышлов</t>
  </si>
  <si>
    <t>65740000121</t>
  </si>
  <si>
    <t>52:005:1:1:2</t>
  </si>
  <si>
    <t>Муниципальное образование город Каменск-Уральский</t>
  </si>
  <si>
    <t>д Новый Завод</t>
  </si>
  <si>
    <t>отсутствует информация</t>
  </si>
  <si>
    <t>1004_М3_Квартиры Каменск</t>
  </si>
  <si>
    <t>65623420146</t>
  </si>
  <si>
    <t>53:038:2:3:6</t>
  </si>
  <si>
    <t>п Новый</t>
  </si>
  <si>
    <t>65740000131</t>
  </si>
  <si>
    <t>52:006:1:1:2</t>
  </si>
  <si>
    <t>п Поселок Госдороги</t>
  </si>
  <si>
    <t>65731000126</t>
  </si>
  <si>
    <t>08:006:2:3:6</t>
  </si>
  <si>
    <t>п Красногвардейский</t>
  </si>
  <si>
    <t>65752000111</t>
  </si>
  <si>
    <t>59:004:2:5:6</t>
  </si>
  <si>
    <t>Новоуральский городской округ</t>
  </si>
  <si>
    <t>д Пальники</t>
  </si>
  <si>
    <t>65734000001</t>
  </si>
  <si>
    <t>21:001:1:1:4</t>
  </si>
  <si>
    <t>Городской округ Верхняя Тура</t>
  </si>
  <si>
    <t>г Верхняя Тура</t>
  </si>
  <si>
    <t>65623455101</t>
  </si>
  <si>
    <t>53:039:2:4:6</t>
  </si>
  <si>
    <t>с Обуховское</t>
  </si>
  <si>
    <t>65711000511</t>
  </si>
  <si>
    <t>39:078:2:3:6</t>
  </si>
  <si>
    <t>п Рябиновый</t>
  </si>
  <si>
    <t>65705000326</t>
  </si>
  <si>
    <t>05:053:2:3:5</t>
  </si>
  <si>
    <t>Ачитский городской округ</t>
  </si>
  <si>
    <t>п Уфимский</t>
  </si>
  <si>
    <t>65628420121</t>
  </si>
  <si>
    <t>56:012:2:5:6</t>
  </si>
  <si>
    <t>д Контуганово</t>
  </si>
  <si>
    <t>65706000176</t>
  </si>
  <si>
    <t>07:030:2:3:6</t>
  </si>
  <si>
    <t>п Белоярская Застава</t>
  </si>
  <si>
    <t>65762000051</t>
  </si>
  <si>
    <t>45:002:1:2:4</t>
  </si>
  <si>
    <t>пгт Малышева</t>
  </si>
  <si>
    <t>65722000181</t>
  </si>
  <si>
    <t>67:013:2:3:5</t>
  </si>
  <si>
    <t>п Двуреченск</t>
  </si>
  <si>
    <t>65705000281</t>
  </si>
  <si>
    <t>05:051:2:5:6</t>
  </si>
  <si>
    <t>д Теплый Ключ</t>
  </si>
  <si>
    <t>65759000111</t>
  </si>
  <si>
    <t>09:004:2:3:6</t>
  </si>
  <si>
    <t>Бисертский городской округ</t>
  </si>
  <si>
    <t>п Первомайский</t>
  </si>
  <si>
    <t>65740000111</t>
  </si>
  <si>
    <t>52:003:1:1:2</t>
  </si>
  <si>
    <t>д Малая Кодинка</t>
  </si>
  <si>
    <t>65760000051</t>
  </si>
  <si>
    <t>17:001:1:2:4</t>
  </si>
  <si>
    <t>Городской округ Верхнее Дуброво</t>
  </si>
  <si>
    <t>пгт Верхнее Дуброво</t>
  </si>
  <si>
    <t>65706000186</t>
  </si>
  <si>
    <t>07:006:2:3:6</t>
  </si>
  <si>
    <t>п Гагарский</t>
  </si>
  <si>
    <t>65704000201</t>
  </si>
  <si>
    <t>03:024:2:5:6</t>
  </si>
  <si>
    <t>д Комарово</t>
  </si>
  <si>
    <t>65731000116</t>
  </si>
  <si>
    <t>08:004:2:3:5</t>
  </si>
  <si>
    <t>п Кедровка</t>
  </si>
  <si>
    <t>65771000321</t>
  </si>
  <si>
    <t>49:025:2:3:5</t>
  </si>
  <si>
    <t>п Заря</t>
  </si>
  <si>
    <t>65736000111</t>
  </si>
  <si>
    <t>23:004:2:3:6</t>
  </si>
  <si>
    <t>Городской округ Дегтярск</t>
  </si>
  <si>
    <t>п Чусовая</t>
  </si>
  <si>
    <t>65722000171</t>
  </si>
  <si>
    <t>67:011:2:3:6</t>
  </si>
  <si>
    <t>п Вьюхино</t>
  </si>
  <si>
    <t>65746000126</t>
  </si>
  <si>
    <t>28:004:2:3:6</t>
  </si>
  <si>
    <t>Городской округ Красноуральск</t>
  </si>
  <si>
    <t>65771000446</t>
  </si>
  <si>
    <t>49:058:2:4:6</t>
  </si>
  <si>
    <t>с Рычково</t>
  </si>
  <si>
    <t>65769000166</t>
  </si>
  <si>
    <t>46:023:2:5:6</t>
  </si>
  <si>
    <t>Махнёвское муниципальное образование</t>
  </si>
  <si>
    <t>д Новоселова</t>
  </si>
  <si>
    <t>65771000291</t>
  </si>
  <si>
    <t>49:003:2:3:6</t>
  </si>
  <si>
    <t>п Березовский</t>
  </si>
  <si>
    <t>65771000376</t>
  </si>
  <si>
    <t>49:063:2:3:6</t>
  </si>
  <si>
    <t>п Строкинка</t>
  </si>
  <si>
    <t>65771000386</t>
  </si>
  <si>
    <t>49:001:2:4:6</t>
  </si>
  <si>
    <t>с Арамашево</t>
  </si>
  <si>
    <t>65771000256</t>
  </si>
  <si>
    <t>49:064:2:5:6</t>
  </si>
  <si>
    <t>д Таборы</t>
  </si>
  <si>
    <t>65771000176</t>
  </si>
  <si>
    <t>49:030:2:5:6</t>
  </si>
  <si>
    <t>д Катышка</t>
  </si>
  <si>
    <t>65769000271</t>
  </si>
  <si>
    <t>46:009:2:4:6</t>
  </si>
  <si>
    <t>с Измоденово</t>
  </si>
  <si>
    <t>65769000191</t>
  </si>
  <si>
    <t>46:031:2:5:6</t>
  </si>
  <si>
    <t>д Толмачева</t>
  </si>
  <si>
    <t>65771000426</t>
  </si>
  <si>
    <t>49:049:2:4:6</t>
  </si>
  <si>
    <t>с Невьянское</t>
  </si>
  <si>
    <t>65771000246</t>
  </si>
  <si>
    <t>49:059:2:5:6</t>
  </si>
  <si>
    <t>д Ряпосова</t>
  </si>
  <si>
    <t>65769000196</t>
  </si>
  <si>
    <t>46:032:2:5:6</t>
  </si>
  <si>
    <t>д Толстова</t>
  </si>
  <si>
    <t>65771000251</t>
  </si>
  <si>
    <t>49:062:2:5:6</t>
  </si>
  <si>
    <t>д Сохарева</t>
  </si>
  <si>
    <t>65771000236</t>
  </si>
  <si>
    <t>49:054:2:5:6</t>
  </si>
  <si>
    <t>д Первунова</t>
  </si>
  <si>
    <t>65771000451</t>
  </si>
  <si>
    <t>49:066:2:4:6</t>
  </si>
  <si>
    <t>с Толмачево</t>
  </si>
  <si>
    <t>65771000401</t>
  </si>
  <si>
    <t>49:019:2:4:6</t>
  </si>
  <si>
    <t>с Деево</t>
  </si>
  <si>
    <t>65771000226</t>
  </si>
  <si>
    <t>49:048:2:5:6</t>
  </si>
  <si>
    <t>д Мясникова</t>
  </si>
  <si>
    <t>65769000141</t>
  </si>
  <si>
    <t>46:013:2:5:6</t>
  </si>
  <si>
    <t>д Кокшарова</t>
  </si>
  <si>
    <t>65771000221</t>
  </si>
  <si>
    <t>49:047:2:5:6</t>
  </si>
  <si>
    <t>д Мысы</t>
  </si>
  <si>
    <t>65771000296</t>
  </si>
  <si>
    <t>49:005:2:3:5</t>
  </si>
  <si>
    <t>п Бубчиково</t>
  </si>
  <si>
    <t>65771000271</t>
  </si>
  <si>
    <t>49:068:2:5:6</t>
  </si>
  <si>
    <t>д Фоминка</t>
  </si>
  <si>
    <t>65769000186</t>
  </si>
  <si>
    <t>46:028:2:5:6</t>
  </si>
  <si>
    <t>д Пурегова</t>
  </si>
  <si>
    <t>65771000186</t>
  </si>
  <si>
    <t>49:037:2:5:6</t>
  </si>
  <si>
    <t>д Кострома</t>
  </si>
  <si>
    <t>65771000391</t>
  </si>
  <si>
    <t>49:015:2:4:6</t>
  </si>
  <si>
    <t>с Голубковское</t>
  </si>
  <si>
    <t>65769000236</t>
  </si>
  <si>
    <t>46:021:2:3:6</t>
  </si>
  <si>
    <t>п Мугайское</t>
  </si>
  <si>
    <t>65771000111</t>
  </si>
  <si>
    <t>49:006:2:5:6</t>
  </si>
  <si>
    <t>д Бунькова</t>
  </si>
  <si>
    <t>65771000301</t>
  </si>
  <si>
    <t>49:013:2:3:6</t>
  </si>
  <si>
    <t>п Гаранинка</t>
  </si>
  <si>
    <t>65771000396</t>
  </si>
  <si>
    <t>49:017:2:4:6</t>
  </si>
  <si>
    <t>с Гостьково</t>
  </si>
  <si>
    <t>65771000171</t>
  </si>
  <si>
    <t>49:028:2:5:6</t>
  </si>
  <si>
    <t>д Кабакова</t>
  </si>
  <si>
    <t>65771000266</t>
  </si>
  <si>
    <t>49:067:2:5:6</t>
  </si>
  <si>
    <t>д Федосова</t>
  </si>
  <si>
    <t>65771000351</t>
  </si>
  <si>
    <t>49:046:2:3:6</t>
  </si>
  <si>
    <t>п Молтаево</t>
  </si>
  <si>
    <t>65771000141</t>
  </si>
  <si>
    <t>49:014:2:5:6</t>
  </si>
  <si>
    <t>д Глухих</t>
  </si>
  <si>
    <t>65769000051</t>
  </si>
  <si>
    <t>46:019:1:2:4</t>
  </si>
  <si>
    <t>пгт Махнево</t>
  </si>
  <si>
    <t>65771000346</t>
  </si>
  <si>
    <t>49:042:2:3:6</t>
  </si>
  <si>
    <t>п Маевка</t>
  </si>
  <si>
    <t>65769000216</t>
  </si>
  <si>
    <t>46:036:2:5:6</t>
  </si>
  <si>
    <t>д Тычкина</t>
  </si>
  <si>
    <t>65771000371</t>
  </si>
  <si>
    <t>49:061:2:3:6</t>
  </si>
  <si>
    <t>п Синячиха</t>
  </si>
  <si>
    <t>65771000331</t>
  </si>
  <si>
    <t>49:029:2:3:6</t>
  </si>
  <si>
    <t>п Каменский</t>
  </si>
  <si>
    <t>65769000126</t>
  </si>
  <si>
    <t>46:006:2:5:6</t>
  </si>
  <si>
    <t>д Гора Коробейникова</t>
  </si>
  <si>
    <t>65771000461</t>
  </si>
  <si>
    <t>49:070:2:4:6</t>
  </si>
  <si>
    <t>с Ярославское</t>
  </si>
  <si>
    <t>65771000151</t>
  </si>
  <si>
    <t>49:018:2:5:6</t>
  </si>
  <si>
    <t>д Грязнуха</t>
  </si>
  <si>
    <t>65771000136</t>
  </si>
  <si>
    <t>49:012:2:5:6</t>
  </si>
  <si>
    <t>д Вогулка</t>
  </si>
  <si>
    <t>65771000052</t>
  </si>
  <si>
    <t>49:010:1:2:4</t>
  </si>
  <si>
    <t>пгт Верхняя Синячиха</t>
  </si>
  <si>
    <t>65771000436</t>
  </si>
  <si>
    <t>49:053:2:4:6</t>
  </si>
  <si>
    <t>с Останино</t>
  </si>
  <si>
    <t>65771000456</t>
  </si>
  <si>
    <t>49:069:2:4:6</t>
  </si>
  <si>
    <t>с Ялунинское</t>
  </si>
  <si>
    <t>65769000296</t>
  </si>
  <si>
    <t>46:039:2:4:6</t>
  </si>
  <si>
    <t>с Шипицыно</t>
  </si>
  <si>
    <t>65771000326</t>
  </si>
  <si>
    <t>49:026:2:3:6</t>
  </si>
  <si>
    <t>п Зенковка</t>
  </si>
  <si>
    <t>65769000201</t>
  </si>
  <si>
    <t>46:033:2:5:6</t>
  </si>
  <si>
    <t>д Трескова</t>
  </si>
  <si>
    <t>65771000416</t>
  </si>
  <si>
    <t>49:034:2:4:5</t>
  </si>
  <si>
    <t>с Коптелово</t>
  </si>
  <si>
    <t>65771000441</t>
  </si>
  <si>
    <t>49:057:2:4:6</t>
  </si>
  <si>
    <t>с Раскатиха</t>
  </si>
  <si>
    <t>65771000126</t>
  </si>
  <si>
    <t>49:009:2:5:6</t>
  </si>
  <si>
    <t>д Верхний Яр</t>
  </si>
  <si>
    <t>65771000431</t>
  </si>
  <si>
    <t>49:050:2:4:6</t>
  </si>
  <si>
    <t>с Нижняя Синячиха</t>
  </si>
  <si>
    <t>65771000146</t>
  </si>
  <si>
    <t>49:016:2:5:6</t>
  </si>
  <si>
    <t>д Городище</t>
  </si>
  <si>
    <t>65769000111</t>
  </si>
  <si>
    <t>46:002:2:5:6</t>
  </si>
  <si>
    <t>д Афончикова</t>
  </si>
  <si>
    <t>65771000131</t>
  </si>
  <si>
    <t>49:011:2:5:6</t>
  </si>
  <si>
    <t>д Ветлугина</t>
  </si>
  <si>
    <t>65771000421</t>
  </si>
  <si>
    <t>49:036:2:4:5</t>
  </si>
  <si>
    <t>с Костино</t>
  </si>
  <si>
    <t>65771000306</t>
  </si>
  <si>
    <t>49:020:2:3:6</t>
  </si>
  <si>
    <t>п Дружба</t>
  </si>
  <si>
    <t>65771000106</t>
  </si>
  <si>
    <t>49:004:2:5:6</t>
  </si>
  <si>
    <t>д Бобровка</t>
  </si>
  <si>
    <t>65771000241</t>
  </si>
  <si>
    <t>49:056:2:5:6</t>
  </si>
  <si>
    <t>д Путилова</t>
  </si>
  <si>
    <t>65771000166</t>
  </si>
  <si>
    <t>49:027:2:5:6</t>
  </si>
  <si>
    <t>д Исакова</t>
  </si>
  <si>
    <t>65771000156</t>
  </si>
  <si>
    <t>49:021:2:5:6</t>
  </si>
  <si>
    <t>д Елань</t>
  </si>
  <si>
    <t>65771000206</t>
  </si>
  <si>
    <t>49:043:2:5:6</t>
  </si>
  <si>
    <t>д Михалева</t>
  </si>
  <si>
    <t>65771000261</t>
  </si>
  <si>
    <t>49:065:2:5:6</t>
  </si>
  <si>
    <t>д Тимошина</t>
  </si>
  <si>
    <t>65769000206</t>
  </si>
  <si>
    <t>46:034:2:5:6</t>
  </si>
  <si>
    <t>д Трошкова</t>
  </si>
  <si>
    <t>65771000231</t>
  </si>
  <si>
    <t>49:051:2:5:6</t>
  </si>
  <si>
    <t>д Никонова</t>
  </si>
  <si>
    <t>65769000266</t>
  </si>
  <si>
    <t>46:003:2:4:6</t>
  </si>
  <si>
    <t>с Болотовское</t>
  </si>
  <si>
    <t>65771000381</t>
  </si>
  <si>
    <t>49:071:2:3:6</t>
  </si>
  <si>
    <t>п Ясашная</t>
  </si>
  <si>
    <t>65771000341</t>
  </si>
  <si>
    <t>49:041:2:3:6</t>
  </si>
  <si>
    <t>п Курорт-Самоцвет</t>
  </si>
  <si>
    <t>65769000181</t>
  </si>
  <si>
    <t>46:027:2:5:6</t>
  </si>
  <si>
    <t>д Подкина</t>
  </si>
  <si>
    <t>65769000146</t>
  </si>
  <si>
    <t>46:014:2:5:6</t>
  </si>
  <si>
    <t>д Колесова</t>
  </si>
  <si>
    <t>65769000291</t>
  </si>
  <si>
    <t>46:037:2:4:6</t>
  </si>
  <si>
    <t>с Фоминское</t>
  </si>
  <si>
    <t>65771000121</t>
  </si>
  <si>
    <t>49:008:2:5:6</t>
  </si>
  <si>
    <t>д Бучина</t>
  </si>
  <si>
    <t>65771000116</t>
  </si>
  <si>
    <t>49:007:2:5:6</t>
  </si>
  <si>
    <t>д Бутакова</t>
  </si>
  <si>
    <t>65771000406</t>
  </si>
  <si>
    <t>49:031:2:4:6</t>
  </si>
  <si>
    <t>с Кировское</t>
  </si>
  <si>
    <t>65771000281</t>
  </si>
  <si>
    <t>49:072:2:5:6</t>
  </si>
  <si>
    <t>д Ячменева</t>
  </si>
  <si>
    <t>65771000191</t>
  </si>
  <si>
    <t>49:038:2:5:6</t>
  </si>
  <si>
    <t>п Косякова</t>
  </si>
  <si>
    <t>65769000276</t>
  </si>
  <si>
    <t>46:012:2:4:6</t>
  </si>
  <si>
    <t>с Кишкинское</t>
  </si>
  <si>
    <t>65771000161</t>
  </si>
  <si>
    <t>49:023:2:5:6</t>
  </si>
  <si>
    <t>д Ермаки</t>
  </si>
  <si>
    <t>65769000221</t>
  </si>
  <si>
    <t>46:040:2:5:6</t>
  </si>
  <si>
    <t>д Шмакова</t>
  </si>
  <si>
    <t>65769000251</t>
  </si>
  <si>
    <t>46:029:2:3:6</t>
  </si>
  <si>
    <t>п Санкино</t>
  </si>
  <si>
    <t>65771000216</t>
  </si>
  <si>
    <t>49:045:2:5:6</t>
  </si>
  <si>
    <t>д Молокова</t>
  </si>
  <si>
    <t>65771000336</t>
  </si>
  <si>
    <t>49:035:2:3:6</t>
  </si>
  <si>
    <t>п Коптелово</t>
  </si>
  <si>
    <t>65771000411</t>
  </si>
  <si>
    <t>49:032:2:4:6</t>
  </si>
  <si>
    <t>с Клевакино</t>
  </si>
  <si>
    <t>65771000361</t>
  </si>
  <si>
    <t>49:055:2:3:6</t>
  </si>
  <si>
    <t>п Полуденка</t>
  </si>
  <si>
    <t>65703000116</t>
  </si>
  <si>
    <t>02:016:2:5:6</t>
  </si>
  <si>
    <t>Артемовский городской округ</t>
  </si>
  <si>
    <t>д Луговая</t>
  </si>
  <si>
    <t>65703000126</t>
  </si>
  <si>
    <t>02:020:2:5:6</t>
  </si>
  <si>
    <t>д Налимово</t>
  </si>
  <si>
    <t>65703000236</t>
  </si>
  <si>
    <t>02:014:2:4:6</t>
  </si>
  <si>
    <t>с Липино</t>
  </si>
  <si>
    <t>65703000106</t>
  </si>
  <si>
    <t>02:009:2:5:6</t>
  </si>
  <si>
    <t>д Бучино</t>
  </si>
  <si>
    <t>65703000226</t>
  </si>
  <si>
    <t>02:006:2:4:6</t>
  </si>
  <si>
    <t>с Большое Трифоново</t>
  </si>
  <si>
    <t>65703000136</t>
  </si>
  <si>
    <t>02:003:2:3:6</t>
  </si>
  <si>
    <t>п Белый Яр</t>
  </si>
  <si>
    <t>65703000216</t>
  </si>
  <si>
    <t>02:002:2:4:6</t>
  </si>
  <si>
    <t>с Антоново</t>
  </si>
  <si>
    <t>65703000196</t>
  </si>
  <si>
    <t>02:021:2:3:6</t>
  </si>
  <si>
    <t>п Незевай</t>
  </si>
  <si>
    <t>65703000261</t>
  </si>
  <si>
    <t>02:025:2:4:6</t>
  </si>
  <si>
    <t>с Сарафаново</t>
  </si>
  <si>
    <t>65703000186</t>
  </si>
  <si>
    <t>02:011:2:3:6</t>
  </si>
  <si>
    <t>п Кислянка</t>
  </si>
  <si>
    <t>65704000296</t>
  </si>
  <si>
    <t>03:056:2:5:6</t>
  </si>
  <si>
    <t>д Черепаново</t>
  </si>
  <si>
    <t>65704000196</t>
  </si>
  <si>
    <t>03:023:2:5:6</t>
  </si>
  <si>
    <t>д Кадочниково</t>
  </si>
  <si>
    <t>65704000166</t>
  </si>
  <si>
    <t>03:017:2:5:6</t>
  </si>
  <si>
    <t>д Волокушино</t>
  </si>
  <si>
    <t>65704000391</t>
  </si>
  <si>
    <t>03:049:2:4:6</t>
  </si>
  <si>
    <t>с Сухановка</t>
  </si>
  <si>
    <t>65704000171</t>
  </si>
  <si>
    <t>03:018:2:5:6</t>
  </si>
  <si>
    <t>д Головино</t>
  </si>
  <si>
    <t>65704000281</t>
  </si>
  <si>
    <t>03:052:2:5:6</t>
  </si>
  <si>
    <t>д Усть-Кишерть</t>
  </si>
  <si>
    <t>65704000346</t>
  </si>
  <si>
    <t>03:029:2:4:6</t>
  </si>
  <si>
    <t>с Малая Тавра</t>
  </si>
  <si>
    <t>65704000161</t>
  </si>
  <si>
    <t>03:016:2:5:6</t>
  </si>
  <si>
    <t>д Волково</t>
  </si>
  <si>
    <t>65704000381</t>
  </si>
  <si>
    <t>03:045:2:4:6</t>
  </si>
  <si>
    <t>с Симинчи</t>
  </si>
  <si>
    <t>65704000321</t>
  </si>
  <si>
    <t>03:054:2:3:6</t>
  </si>
  <si>
    <t>п Усть-Югуш</t>
  </si>
  <si>
    <t>65704000136</t>
  </si>
  <si>
    <t>03:010:2:5:6</t>
  </si>
  <si>
    <t>д Березовка</t>
  </si>
  <si>
    <t>65704000146</t>
  </si>
  <si>
    <t>03:012:2:5:6</t>
  </si>
  <si>
    <t>д Бихметково</t>
  </si>
  <si>
    <t>65704000181</t>
  </si>
  <si>
    <t>03:020:2:5:6</t>
  </si>
  <si>
    <t>д Евалак</t>
  </si>
  <si>
    <t>65704000261</t>
  </si>
  <si>
    <t>03:046:2:5:6</t>
  </si>
  <si>
    <t>д Соколята</t>
  </si>
  <si>
    <t>65704000371</t>
  </si>
  <si>
    <t>03:042:2:4:5</t>
  </si>
  <si>
    <t>с Сажино</t>
  </si>
  <si>
    <t>65704000151</t>
  </si>
  <si>
    <t>03:014:2:5:6</t>
  </si>
  <si>
    <t>д Верхние Арти</t>
  </si>
  <si>
    <t>65704000176</t>
  </si>
  <si>
    <t>03:019:2:5:6</t>
  </si>
  <si>
    <t>д Дружино-Бардым</t>
  </si>
  <si>
    <t>65704000126</t>
  </si>
  <si>
    <t>03:007:2:5:6</t>
  </si>
  <si>
    <t>д Байбулда</t>
  </si>
  <si>
    <t>65704000286</t>
  </si>
  <si>
    <t>03:053:2:5:6</t>
  </si>
  <si>
    <t>д Усть-Манчаж</t>
  </si>
  <si>
    <t>65704000301</t>
  </si>
  <si>
    <t>03:057:2:5:6</t>
  </si>
  <si>
    <t>д Черкасовка</t>
  </si>
  <si>
    <t>65704000206</t>
  </si>
  <si>
    <t>03:025:2:5:6</t>
  </si>
  <si>
    <t>д Конево</t>
  </si>
  <si>
    <t>65704000306</t>
  </si>
  <si>
    <t>03:058:2:5:6</t>
  </si>
  <si>
    <t>д Широкий Лог</t>
  </si>
  <si>
    <t>65704000341</t>
  </si>
  <si>
    <t>03:027:2:4:6</t>
  </si>
  <si>
    <t>с Курки</t>
  </si>
  <si>
    <t>65704000361</t>
  </si>
  <si>
    <t>03:039:2:4:6</t>
  </si>
  <si>
    <t>с Поташка</t>
  </si>
  <si>
    <t>65704000156</t>
  </si>
  <si>
    <t>03:015:2:5:6</t>
  </si>
  <si>
    <t>д Верхний Бардым</t>
  </si>
  <si>
    <t>65704000216</t>
  </si>
  <si>
    <t>03:030:2:5:6</t>
  </si>
  <si>
    <t>д Малые Карзи</t>
  </si>
  <si>
    <t>65704000266</t>
  </si>
  <si>
    <t>03:047:2:5:6</t>
  </si>
  <si>
    <t>д Стадухино</t>
  </si>
  <si>
    <t>65704000221</t>
  </si>
  <si>
    <t>03:032:2:5:6</t>
  </si>
  <si>
    <t>д Мараканово</t>
  </si>
  <si>
    <t>65704000251</t>
  </si>
  <si>
    <t>03:041:2:5:6</t>
  </si>
  <si>
    <t>д Рыбино</t>
  </si>
  <si>
    <t>65704000231</t>
  </si>
  <si>
    <t>03:035:2:5:6</t>
  </si>
  <si>
    <t>д Омельково</t>
  </si>
  <si>
    <t>65704000111</t>
  </si>
  <si>
    <t>03:004:2:5:6</t>
  </si>
  <si>
    <t>д Артя-Шигири</t>
  </si>
  <si>
    <t>65704000236</t>
  </si>
  <si>
    <t>03:036:2:5:6</t>
  </si>
  <si>
    <t>д Пантелейково</t>
  </si>
  <si>
    <t>65704000106</t>
  </si>
  <si>
    <t>03:002:2:5:6</t>
  </si>
  <si>
    <t>д Андрейково</t>
  </si>
  <si>
    <t>65704000356</t>
  </si>
  <si>
    <t>03:034:2:4:6</t>
  </si>
  <si>
    <t>с Новый Златоуст</t>
  </si>
  <si>
    <t>65704000256</t>
  </si>
  <si>
    <t>03:044:2:5:6</t>
  </si>
  <si>
    <t>д Сенная</t>
  </si>
  <si>
    <t>65704000386</t>
  </si>
  <si>
    <t>03:048:2:4:6</t>
  </si>
  <si>
    <t>с Старые Арти</t>
  </si>
  <si>
    <t>65704000246</t>
  </si>
  <si>
    <t>03:038:2:5:6</t>
  </si>
  <si>
    <t>д Попово</t>
  </si>
  <si>
    <t>65704000336</t>
  </si>
  <si>
    <t>03:013:2:4:6</t>
  </si>
  <si>
    <t>с Большие Карзи</t>
  </si>
  <si>
    <t>65704000351</t>
  </si>
  <si>
    <t>03:031:2:4:5</t>
  </si>
  <si>
    <t>с Манчаж</t>
  </si>
  <si>
    <t>65704000131</t>
  </si>
  <si>
    <t>03:008:2:5:6</t>
  </si>
  <si>
    <t>д Бакийково</t>
  </si>
  <si>
    <t>65704000366</t>
  </si>
  <si>
    <t>03:040:2:4:5</t>
  </si>
  <si>
    <t>с Пристань</t>
  </si>
  <si>
    <t>65704000316</t>
  </si>
  <si>
    <t>03:028:2:5:6</t>
  </si>
  <si>
    <t>д Малая Дегтярка</t>
  </si>
  <si>
    <t>65704000241</t>
  </si>
  <si>
    <t>03:037:2:5:6</t>
  </si>
  <si>
    <t>д Полдневая</t>
  </si>
  <si>
    <t>65704000226</t>
  </si>
  <si>
    <t>03:033:2:5:6</t>
  </si>
  <si>
    <t>д Нижний Бардым</t>
  </si>
  <si>
    <t>65704000276</t>
  </si>
  <si>
    <t>03:051:2:5:6</t>
  </si>
  <si>
    <t>д Турышовка</t>
  </si>
  <si>
    <t>65704000116</t>
  </si>
  <si>
    <t>03:005:2:5:6</t>
  </si>
  <si>
    <t>д Афонасково</t>
  </si>
  <si>
    <t>65704000311</t>
  </si>
  <si>
    <t>03:059:2:5:6</t>
  </si>
  <si>
    <t>д Югуш</t>
  </si>
  <si>
    <t>65704000331</t>
  </si>
  <si>
    <t>03:009:2:4:6</t>
  </si>
  <si>
    <t>с Бараба</t>
  </si>
  <si>
    <t>65704000141</t>
  </si>
  <si>
    <t>03:011:2:5:6</t>
  </si>
  <si>
    <t>д Биткино</t>
  </si>
  <si>
    <t>65704000191</t>
  </si>
  <si>
    <t>03:022:2:5:6</t>
  </si>
  <si>
    <t>д Ильчигулово</t>
  </si>
  <si>
    <t>65704000291</t>
  </si>
  <si>
    <t>03:055:2:5:6</t>
  </si>
  <si>
    <t>д Чекмаш</t>
  </si>
  <si>
    <t>65704000186</t>
  </si>
  <si>
    <t>03:021:2:5:6</t>
  </si>
  <si>
    <t>д Журавли</t>
  </si>
  <si>
    <t>65704000376</t>
  </si>
  <si>
    <t>03:043:2:4:6</t>
  </si>
  <si>
    <t>с Свердловское</t>
  </si>
  <si>
    <t>65704000271</t>
  </si>
  <si>
    <t>03:050:2:5:6</t>
  </si>
  <si>
    <t>д Токари</t>
  </si>
  <si>
    <t>65705000106</t>
  </si>
  <si>
    <t>05:001:2:5:6</t>
  </si>
  <si>
    <t>д Алап</t>
  </si>
  <si>
    <t>65705000266</t>
  </si>
  <si>
    <t>05:048:2:5:6</t>
  </si>
  <si>
    <t>д Сарга</t>
  </si>
  <si>
    <t>65705000146</t>
  </si>
  <si>
    <t>05:015:2:5:6</t>
  </si>
  <si>
    <t>д Давыдкова</t>
  </si>
  <si>
    <t>65705000321</t>
  </si>
  <si>
    <t>05:046:2:3:6</t>
  </si>
  <si>
    <t>п Рябчиково</t>
  </si>
  <si>
    <t>65705000286</t>
  </si>
  <si>
    <t>05:052:2:5:6</t>
  </si>
  <si>
    <t>д Тюш</t>
  </si>
  <si>
    <t>65705000291</t>
  </si>
  <si>
    <t>05:054:2:5:6</t>
  </si>
  <si>
    <t>д Ялым</t>
  </si>
  <si>
    <t>65705000276</t>
  </si>
  <si>
    <t>05:050:2:5:6</t>
  </si>
  <si>
    <t>д Судницына</t>
  </si>
  <si>
    <t>65705000236</t>
  </si>
  <si>
    <t>05:037:2:5:6</t>
  </si>
  <si>
    <t>д Марийские Карши</t>
  </si>
  <si>
    <t>65705000126</t>
  </si>
  <si>
    <t>05:011:2:5:6</t>
  </si>
  <si>
    <t>д Верхний Потам</t>
  </si>
  <si>
    <t>65705000171</t>
  </si>
  <si>
    <t>05:022:2:5:6</t>
  </si>
  <si>
    <t>д Ильята</t>
  </si>
  <si>
    <t>65705000191</t>
  </si>
  <si>
    <t>05:027:2:5:6</t>
  </si>
  <si>
    <t>д Ключ</t>
  </si>
  <si>
    <t>65705000156</t>
  </si>
  <si>
    <t>05:017:2:5:6</t>
  </si>
  <si>
    <t>д Еманзельга</t>
  </si>
  <si>
    <t>65705000311</t>
  </si>
  <si>
    <t>05:039:2:3:6</t>
  </si>
  <si>
    <t>п Осыплянский</t>
  </si>
  <si>
    <t>65705000206</t>
  </si>
  <si>
    <t>05:031:2:5:6</t>
  </si>
  <si>
    <t>д Коневка</t>
  </si>
  <si>
    <t>65705000151</t>
  </si>
  <si>
    <t>05:016:2:5:6</t>
  </si>
  <si>
    <t>д Дербушева</t>
  </si>
  <si>
    <t>65705000296</t>
  </si>
  <si>
    <t>05:003:2:3:6</t>
  </si>
  <si>
    <t>п Афанасьевский</t>
  </si>
  <si>
    <t>65705000121</t>
  </si>
  <si>
    <t>05:010:2:5:6</t>
  </si>
  <si>
    <t>д Верхний Арий</t>
  </si>
  <si>
    <t>65705000116</t>
  </si>
  <si>
    <t>05:007:2:5:6</t>
  </si>
  <si>
    <t>д Безгодова</t>
  </si>
  <si>
    <t>65705000216</t>
  </si>
  <si>
    <t>05:033:2:5:6</t>
  </si>
  <si>
    <t>д Кочкильда</t>
  </si>
  <si>
    <t>65705000306</t>
  </si>
  <si>
    <t>05:020:2:3:6</t>
  </si>
  <si>
    <t>п Зернобаза</t>
  </si>
  <si>
    <t>65705000351</t>
  </si>
  <si>
    <t>05:023:2:4:6</t>
  </si>
  <si>
    <t>с Карги</t>
  </si>
  <si>
    <t>65705000166</t>
  </si>
  <si>
    <t>05:021:2:5:6</t>
  </si>
  <si>
    <t>д Зобнина</t>
  </si>
  <si>
    <t>65705000316</t>
  </si>
  <si>
    <t>05:041:2:3:6</t>
  </si>
  <si>
    <t>65705000181</t>
  </si>
  <si>
    <t>05:025:2:5:6</t>
  </si>
  <si>
    <t>д Кирчигаз</t>
  </si>
  <si>
    <t>65705000201</t>
  </si>
  <si>
    <t>05:030:2:5:6</t>
  </si>
  <si>
    <t>д Комаровка</t>
  </si>
  <si>
    <t>65705000256</t>
  </si>
  <si>
    <t>05:044:2:5:6</t>
  </si>
  <si>
    <t>д Русские Карши</t>
  </si>
  <si>
    <t>65705000356</t>
  </si>
  <si>
    <t>05:028:2:4:6</t>
  </si>
  <si>
    <t>с Ключ</t>
  </si>
  <si>
    <t>65705000251</t>
  </si>
  <si>
    <t>05:042:2:5:6</t>
  </si>
  <si>
    <t>д Поедуги</t>
  </si>
  <si>
    <t>65705000111</t>
  </si>
  <si>
    <t>05:002:2:5:6</t>
  </si>
  <si>
    <t>д Артемейкова</t>
  </si>
  <si>
    <t>65705000131</t>
  </si>
  <si>
    <t>05:012:2:5:6</t>
  </si>
  <si>
    <t>д Верх-Тиса</t>
  </si>
  <si>
    <t>65705000241</t>
  </si>
  <si>
    <t>05:038:2:5:6</t>
  </si>
  <si>
    <t>д Нижний Арий</t>
  </si>
  <si>
    <t>65705000336</t>
  </si>
  <si>
    <t>05:006:2:4:6</t>
  </si>
  <si>
    <t>с Бакряж</t>
  </si>
  <si>
    <t>65705000261</t>
  </si>
  <si>
    <t>05:047:2:5:6</t>
  </si>
  <si>
    <t>д Сажина</t>
  </si>
  <si>
    <t>65705000246</t>
  </si>
  <si>
    <t>05:040:2:5:6</t>
  </si>
  <si>
    <t>д Осыпь</t>
  </si>
  <si>
    <t>65705000136</t>
  </si>
  <si>
    <t>05:013:2:5:6</t>
  </si>
  <si>
    <t>д Волки</t>
  </si>
  <si>
    <t>65608406151</t>
  </si>
  <si>
    <t>06:027:2:5:6</t>
  </si>
  <si>
    <t>д Комарица</t>
  </si>
  <si>
    <t>65608406176</t>
  </si>
  <si>
    <t>06:045:2:5:6</t>
  </si>
  <si>
    <t>д Малкова</t>
  </si>
  <si>
    <t>65608405161</t>
  </si>
  <si>
    <t>06:057:2:5:6</t>
  </si>
  <si>
    <t>д Степина</t>
  </si>
  <si>
    <t>65608425161</t>
  </si>
  <si>
    <t>06:069:2:4:6</t>
  </si>
  <si>
    <t>с Лукина</t>
  </si>
  <si>
    <t>65608405111</t>
  </si>
  <si>
    <t>06:006:2:5:6</t>
  </si>
  <si>
    <t>д Верхняя Иленка</t>
  </si>
  <si>
    <t>65608425186</t>
  </si>
  <si>
    <t>06:050:2:5:6</t>
  </si>
  <si>
    <t>д Потапова</t>
  </si>
  <si>
    <t>65608425171</t>
  </si>
  <si>
    <t>06:042:2:5:6</t>
  </si>
  <si>
    <t>д Малая Койнова</t>
  </si>
  <si>
    <t>65608425201</t>
  </si>
  <si>
    <t>06:065:2:5:6</t>
  </si>
  <si>
    <t>д Шевелева</t>
  </si>
  <si>
    <t>65608425166</t>
  </si>
  <si>
    <t>06:039:2:5:6</t>
  </si>
  <si>
    <t>д Любина</t>
  </si>
  <si>
    <t>65608425216</t>
  </si>
  <si>
    <t>06:014:2:4:6</t>
  </si>
  <si>
    <t>с Елань</t>
  </si>
  <si>
    <t>65608406186</t>
  </si>
  <si>
    <t>06:052:2:5:6</t>
  </si>
  <si>
    <t>д Сапегина</t>
  </si>
  <si>
    <t>65608405126</t>
  </si>
  <si>
    <t>06:011:2:5:6</t>
  </si>
  <si>
    <t>д Гуляева</t>
  </si>
  <si>
    <t>65608425136</t>
  </si>
  <si>
    <t>06:025:2:5:6</t>
  </si>
  <si>
    <t>д Квашнина</t>
  </si>
  <si>
    <t>65608406171</t>
  </si>
  <si>
    <t>06:044:2:5:6</t>
  </si>
  <si>
    <t>д Малая Серкова</t>
  </si>
  <si>
    <t>65608406136</t>
  </si>
  <si>
    <t>06:021:2:5:6</t>
  </si>
  <si>
    <t>65608425141</t>
  </si>
  <si>
    <t>06:029:2:5:6</t>
  </si>
  <si>
    <t>д Кондрашина</t>
  </si>
  <si>
    <t>65608425106</t>
  </si>
  <si>
    <t>06:003:2:5:6</t>
  </si>
  <si>
    <t>д Береговая</t>
  </si>
  <si>
    <t>65608425226</t>
  </si>
  <si>
    <t>06:063:2:4:6</t>
  </si>
  <si>
    <t>с Шадринка</t>
  </si>
  <si>
    <t>65608425156</t>
  </si>
  <si>
    <t>06:036:2:5:6</t>
  </si>
  <si>
    <t>д Лопаткина</t>
  </si>
  <si>
    <t>65608406221</t>
  </si>
  <si>
    <t>06:066:2:5:6</t>
  </si>
  <si>
    <t>д Шушары</t>
  </si>
  <si>
    <t>65623415111</t>
  </si>
  <si>
    <t>53:015:2:5:6</t>
  </si>
  <si>
    <t>д Ерзовка</t>
  </si>
  <si>
    <t>65623405126</t>
  </si>
  <si>
    <t>53:042:2:3:6</t>
  </si>
  <si>
    <t>п Ольховка</t>
  </si>
  <si>
    <t>65623455151</t>
  </si>
  <si>
    <t>53:033:2:3:6</t>
  </si>
  <si>
    <t>п Маяк</t>
  </si>
  <si>
    <t>65713000281</t>
  </si>
  <si>
    <t>54:056:2:5:6</t>
  </si>
  <si>
    <t>д Сызги</t>
  </si>
  <si>
    <t>65713000176</t>
  </si>
  <si>
    <t>54:020:2:5:6</t>
  </si>
  <si>
    <t>д Каменовка</t>
  </si>
  <si>
    <t>65713000116</t>
  </si>
  <si>
    <t>54:005:2:5:5</t>
  </si>
  <si>
    <t>д Большая Тавра</t>
  </si>
  <si>
    <t>65713000351</t>
  </si>
  <si>
    <t>54:053:2:3:6</t>
  </si>
  <si>
    <t>п Соколиный Камень</t>
  </si>
  <si>
    <t>65713000431</t>
  </si>
  <si>
    <t>54:065:2:4:6</t>
  </si>
  <si>
    <t>с Чувашково</t>
  </si>
  <si>
    <t>65713000271</t>
  </si>
  <si>
    <t>54:052:2:5:6</t>
  </si>
  <si>
    <t>д Сарсы-Первые</t>
  </si>
  <si>
    <t>65713000296</t>
  </si>
  <si>
    <t>54:059:2:5:6</t>
  </si>
  <si>
    <t>д Усть-Баяк</t>
  </si>
  <si>
    <t>65713000291</t>
  </si>
  <si>
    <t>54:058:2:5:6</t>
  </si>
  <si>
    <t>д Татарская Еманзельга</t>
  </si>
  <si>
    <t>65713000256</t>
  </si>
  <si>
    <t>54:045:2:5:6</t>
  </si>
  <si>
    <t>д Русский Усть-Маш</t>
  </si>
  <si>
    <t>65713000161</t>
  </si>
  <si>
    <t>54:016:2:5:6</t>
  </si>
  <si>
    <t>д Екатериновка</t>
  </si>
  <si>
    <t>65713000216</t>
  </si>
  <si>
    <t>54:033:2:5:6</t>
  </si>
  <si>
    <t>д Межевая</t>
  </si>
  <si>
    <t>65713000266</t>
  </si>
  <si>
    <t>54:047:2:5:6</t>
  </si>
  <si>
    <t>д Савиново</t>
  </si>
  <si>
    <t>65713000401</t>
  </si>
  <si>
    <t>54:037:2:4:6</t>
  </si>
  <si>
    <t>с Новое Село</t>
  </si>
  <si>
    <t>65713000376</t>
  </si>
  <si>
    <t>54:024:2:4:6</t>
  </si>
  <si>
    <t>с Красносоколье</t>
  </si>
  <si>
    <t>65713000396</t>
  </si>
  <si>
    <t>54:036:2:4:6</t>
  </si>
  <si>
    <t>с Нижнеиргинское</t>
  </si>
  <si>
    <t>65713000426</t>
  </si>
  <si>
    <t>54:062:2:4:6</t>
  </si>
  <si>
    <t>с Чатлык</t>
  </si>
  <si>
    <t>65713000106</t>
  </si>
  <si>
    <t>54:002:2:5:6</t>
  </si>
  <si>
    <t>д Банное</t>
  </si>
  <si>
    <t>65713000276</t>
  </si>
  <si>
    <t>54:054:2:5:6</t>
  </si>
  <si>
    <t>д Средний Баяк</t>
  </si>
  <si>
    <t>65747000121</t>
  </si>
  <si>
    <t>29:005:2:3:6</t>
  </si>
  <si>
    <t>Городской округ Красноуфимск</t>
  </si>
  <si>
    <t>п Черная Речка</t>
  </si>
  <si>
    <t>65713000236</t>
  </si>
  <si>
    <t>54:039:2:5:6</t>
  </si>
  <si>
    <t>д Озерки</t>
  </si>
  <si>
    <t>65747000116</t>
  </si>
  <si>
    <t>29:004:2:3:6</t>
  </si>
  <si>
    <t>п Пудлинговый</t>
  </si>
  <si>
    <t>65713000251</t>
  </si>
  <si>
    <t>54:044:2:5:6</t>
  </si>
  <si>
    <t>д Русский Турыш</t>
  </si>
  <si>
    <t>65713000241</t>
  </si>
  <si>
    <t>54:040:2:5:6</t>
  </si>
  <si>
    <t>д Подгорная</t>
  </si>
  <si>
    <t>65713000366</t>
  </si>
  <si>
    <t>54:007:2:4:6</t>
  </si>
  <si>
    <t>с Большой Турыш</t>
  </si>
  <si>
    <t>65713000391</t>
  </si>
  <si>
    <t>54:031:2:4:6</t>
  </si>
  <si>
    <t>с Марийские Ключики</t>
  </si>
  <si>
    <t>65608406111</t>
  </si>
  <si>
    <t>06:012:2:5:6</t>
  </si>
  <si>
    <t>д Долматова</t>
  </si>
  <si>
    <t>65608425211</t>
  </si>
  <si>
    <t>06:068:2:5:6</t>
  </si>
  <si>
    <t>д Яр</t>
  </si>
  <si>
    <t>65608425131</t>
  </si>
  <si>
    <t>06:024:2:5:6</t>
  </si>
  <si>
    <t>д Карпунина</t>
  </si>
  <si>
    <t>65608425116</t>
  </si>
  <si>
    <t>06:013:2:5:6</t>
  </si>
  <si>
    <t>д Дягилева</t>
  </si>
  <si>
    <t>65608406126</t>
  </si>
  <si>
    <t>06:017:2:5:6</t>
  </si>
  <si>
    <t>д Захарова</t>
  </si>
  <si>
    <t>65608406106</t>
  </si>
  <si>
    <t>06:004:2:5:6</t>
  </si>
  <si>
    <t>д Большая Серкова</t>
  </si>
  <si>
    <t>65608405176</t>
  </si>
  <si>
    <t>06:010:2:4:6</t>
  </si>
  <si>
    <t>с Городище</t>
  </si>
  <si>
    <t>65608425196</t>
  </si>
  <si>
    <t>06:059:2:5:6</t>
  </si>
  <si>
    <t>д Тихонова</t>
  </si>
  <si>
    <t>65608425206</t>
  </si>
  <si>
    <t>06:067:2:5:6</t>
  </si>
  <si>
    <t>д Щербачиха</t>
  </si>
  <si>
    <t>65608425146</t>
  </si>
  <si>
    <t>06:034:2:5:6</t>
  </si>
  <si>
    <t>д Ларина</t>
  </si>
  <si>
    <t>65608405116</t>
  </si>
  <si>
    <t>06:007:2:5:6</t>
  </si>
  <si>
    <t>д Власова</t>
  </si>
  <si>
    <t>65608406196</t>
  </si>
  <si>
    <t>06:054:2:5:6</t>
  </si>
  <si>
    <t>д Сергина</t>
  </si>
  <si>
    <t>65608406191</t>
  </si>
  <si>
    <t>06:053:2:5:6</t>
  </si>
  <si>
    <t>д Сафонова</t>
  </si>
  <si>
    <t>65608425191</t>
  </si>
  <si>
    <t>06:051:2:5:6</t>
  </si>
  <si>
    <t>д Прыткова</t>
  </si>
  <si>
    <t>65608406211</t>
  </si>
  <si>
    <t>06:061:2:5:6</t>
  </si>
  <si>
    <t>д Чувашева</t>
  </si>
  <si>
    <t>65608425121</t>
  </si>
  <si>
    <t>06:018:2:5:6</t>
  </si>
  <si>
    <t>д Зырянская</t>
  </si>
  <si>
    <t>65608406141</t>
  </si>
  <si>
    <t>06:023:2:5:6</t>
  </si>
  <si>
    <t>д Калиновка</t>
  </si>
  <si>
    <t>65608406166</t>
  </si>
  <si>
    <t>06:035:2:5:6</t>
  </si>
  <si>
    <t>д Липовка</t>
  </si>
  <si>
    <t>65608405106</t>
  </si>
  <si>
    <t>06:005:2:5:6</t>
  </si>
  <si>
    <t>д Боровикова</t>
  </si>
  <si>
    <t>65608406146</t>
  </si>
  <si>
    <t>06:026:2:5:6</t>
  </si>
  <si>
    <t>д Ключевая</t>
  </si>
  <si>
    <t>65608406131</t>
  </si>
  <si>
    <t>06:020:2:5:6</t>
  </si>
  <si>
    <t>д Инишева</t>
  </si>
  <si>
    <t>65608425111</t>
  </si>
  <si>
    <t>06:008:2:5:6</t>
  </si>
  <si>
    <t>д Воинкова</t>
  </si>
  <si>
    <t>65608406201</t>
  </si>
  <si>
    <t>06:056:2:5:6</t>
  </si>
  <si>
    <t>д Соколова</t>
  </si>
  <si>
    <t>65608406156</t>
  </si>
  <si>
    <t>06:028:2:5:6</t>
  </si>
  <si>
    <t>д Комлева</t>
  </si>
  <si>
    <t>65608406121</t>
  </si>
  <si>
    <t>06:016:2:5:6</t>
  </si>
  <si>
    <t>д Заречная</t>
  </si>
  <si>
    <t>65608405151</t>
  </si>
  <si>
    <t>06:048:2:5:6</t>
  </si>
  <si>
    <t>д Палецкова</t>
  </si>
  <si>
    <t>65608405166</t>
  </si>
  <si>
    <t>06:058:2:5:6</t>
  </si>
  <si>
    <t>д Субботина</t>
  </si>
  <si>
    <t>65608405171</t>
  </si>
  <si>
    <t>06:031:2:3:6</t>
  </si>
  <si>
    <t>п Красный Бор</t>
  </si>
  <si>
    <t>65608406116</t>
  </si>
  <si>
    <t>06:015:2:5:6</t>
  </si>
  <si>
    <t>д Занина</t>
  </si>
  <si>
    <t>65608425181</t>
  </si>
  <si>
    <t>06:046:2:5:6</t>
  </si>
  <si>
    <t>д Менщикова</t>
  </si>
  <si>
    <t>65608405121</t>
  </si>
  <si>
    <t>06:009:2:5:6</t>
  </si>
  <si>
    <t>д Вязовка</t>
  </si>
  <si>
    <t>65608406161</t>
  </si>
  <si>
    <t>06:032:2:5:6</t>
  </si>
  <si>
    <t>д Крутикова</t>
  </si>
  <si>
    <t>65608405131</t>
  </si>
  <si>
    <t>06:022:2:5:6</t>
  </si>
  <si>
    <t>д Кадочникова</t>
  </si>
  <si>
    <t>65608405101</t>
  </si>
  <si>
    <t>06:001:2:4:6</t>
  </si>
  <si>
    <t>с Баженовское</t>
  </si>
  <si>
    <t>65608425221</t>
  </si>
  <si>
    <t>06:062:2:4:6</t>
  </si>
  <si>
    <t>с Чурманское</t>
  </si>
  <si>
    <t>65706000256</t>
  </si>
  <si>
    <t>07:038:2:3:6</t>
  </si>
  <si>
    <t>п Хризолитовый</t>
  </si>
  <si>
    <t>65706000136</t>
  </si>
  <si>
    <t>07:022:2:5:6</t>
  </si>
  <si>
    <t>д Малиновка</t>
  </si>
  <si>
    <t>65706000121</t>
  </si>
  <si>
    <t>07:011:2:5:6</t>
  </si>
  <si>
    <t>д Златогорова</t>
  </si>
  <si>
    <t>65706000296</t>
  </si>
  <si>
    <t>07:020:2:4:6</t>
  </si>
  <si>
    <t>с Кочневское</t>
  </si>
  <si>
    <t>65706000271</t>
  </si>
  <si>
    <t>07:004:2:4:6</t>
  </si>
  <si>
    <t>с Большебрусянское</t>
  </si>
  <si>
    <t>65706000126</t>
  </si>
  <si>
    <t>07:012:2:5:6</t>
  </si>
  <si>
    <t>д Измоденова</t>
  </si>
  <si>
    <t>65706000191</t>
  </si>
  <si>
    <t>07:007:2:3:6</t>
  </si>
  <si>
    <t>п Газета</t>
  </si>
  <si>
    <t>65706000171</t>
  </si>
  <si>
    <t>07:001:2:3:6</t>
  </si>
  <si>
    <t>п Белореченский</t>
  </si>
  <si>
    <t>65706000311</t>
  </si>
  <si>
    <t>07:026:2:4:6</t>
  </si>
  <si>
    <t>с Некрасово</t>
  </si>
  <si>
    <t>65706000316</t>
  </si>
  <si>
    <t>07:039:2:4:6</t>
  </si>
  <si>
    <t>с Хромцово</t>
  </si>
  <si>
    <t>65706000216</t>
  </si>
  <si>
    <t>07:027:2:3:6</t>
  </si>
  <si>
    <t>п Озерный</t>
  </si>
  <si>
    <t>65706000291</t>
  </si>
  <si>
    <t>07:019:2:4:6</t>
  </si>
  <si>
    <t>с Косулино</t>
  </si>
  <si>
    <t>65706000251</t>
  </si>
  <si>
    <t>07:037:2:3:6</t>
  </si>
  <si>
    <t>п Храмцовская</t>
  </si>
  <si>
    <t>65706000226</t>
  </si>
  <si>
    <t>07:031:2:3:6</t>
  </si>
  <si>
    <t>п Прохладный</t>
  </si>
  <si>
    <t>65706000181</t>
  </si>
  <si>
    <t>07:003:2:3:6</t>
  </si>
  <si>
    <t>п Бобровка</t>
  </si>
  <si>
    <t>65706000151</t>
  </si>
  <si>
    <t>07:040:2:5:6</t>
  </si>
  <si>
    <t>д Черемхова</t>
  </si>
  <si>
    <t>65706000266</t>
  </si>
  <si>
    <t>07:043:2:3:6</t>
  </si>
  <si>
    <t>п Шипелово</t>
  </si>
  <si>
    <t>65706000221</t>
  </si>
  <si>
    <t>07:028:2:3:6</t>
  </si>
  <si>
    <t>п Октябрьский</t>
  </si>
  <si>
    <t>65706000206</t>
  </si>
  <si>
    <t>07:018:2:3:6</t>
  </si>
  <si>
    <t>п Колюткинский</t>
  </si>
  <si>
    <t>65707000261</t>
  </si>
  <si>
    <t>16:017:2:4:5</t>
  </si>
  <si>
    <t>с Коменки</t>
  </si>
  <si>
    <t>65707000296</t>
  </si>
  <si>
    <t>16:040:2:4:6</t>
  </si>
  <si>
    <t>с Щипачи</t>
  </si>
  <si>
    <t>65707000206</t>
  </si>
  <si>
    <t>16:019:2:3:6</t>
  </si>
  <si>
    <t>п Красный Маяк</t>
  </si>
  <si>
    <t>65707000116</t>
  </si>
  <si>
    <t>16:006:2:5:6</t>
  </si>
  <si>
    <t>д Быкова</t>
  </si>
  <si>
    <t>65707000186</t>
  </si>
  <si>
    <t>16:028:2:3:5</t>
  </si>
  <si>
    <t>п Полдневой</t>
  </si>
  <si>
    <t>65707000291</t>
  </si>
  <si>
    <t>16:038:2:4:6</t>
  </si>
  <si>
    <t>с Чернокоровское</t>
  </si>
  <si>
    <t>65707000251</t>
  </si>
  <si>
    <t>16:014:2:4:6</t>
  </si>
  <si>
    <t>с Ильинское</t>
  </si>
  <si>
    <t>65707000146</t>
  </si>
  <si>
    <t>16:026:2:5:6</t>
  </si>
  <si>
    <t>д Орлова</t>
  </si>
  <si>
    <t>65707000241</t>
  </si>
  <si>
    <t>16:009:2:4:6</t>
  </si>
  <si>
    <t>с Гарашкинское</t>
  </si>
  <si>
    <t>65707000276</t>
  </si>
  <si>
    <t>16:034:2:4:6</t>
  </si>
  <si>
    <t>с Суворы</t>
  </si>
  <si>
    <t>65707000201</t>
  </si>
  <si>
    <t>16:010:2:3:6</t>
  </si>
  <si>
    <t>п Грязновская</t>
  </si>
  <si>
    <t>65707000126</t>
  </si>
  <si>
    <t>16:016:2:5:6</t>
  </si>
  <si>
    <t>д Кашина</t>
  </si>
  <si>
    <t>65707000131</t>
  </si>
  <si>
    <t>16:018:2:5:6</t>
  </si>
  <si>
    <t>д Кондратьева</t>
  </si>
  <si>
    <t>65707000111</t>
  </si>
  <si>
    <t>16:004:2:5:6</t>
  </si>
  <si>
    <t>д Билейка</t>
  </si>
  <si>
    <t>65707000156</t>
  </si>
  <si>
    <t>16:029:2:5:6</t>
  </si>
  <si>
    <t>д Поповка</t>
  </si>
  <si>
    <t>65707000141</t>
  </si>
  <si>
    <t>16:025:2:5:6</t>
  </si>
  <si>
    <t>д Октябрина</t>
  </si>
  <si>
    <t>65707000286</t>
  </si>
  <si>
    <t>16:036:2:4:5</t>
  </si>
  <si>
    <t>с Тыгиш</t>
  </si>
  <si>
    <t>65707000246</t>
  </si>
  <si>
    <t>16:011:2:4:5</t>
  </si>
  <si>
    <t>с Грязновское</t>
  </si>
  <si>
    <t>65707000266</t>
  </si>
  <si>
    <t>16:020:2:4:6</t>
  </si>
  <si>
    <t>с Кулики</t>
  </si>
  <si>
    <t>65707000161</t>
  </si>
  <si>
    <t>16:031:2:5:6</t>
  </si>
  <si>
    <t>д Прищаново</t>
  </si>
  <si>
    <t>65707000121</t>
  </si>
  <si>
    <t>16:007:2:5:6</t>
  </si>
  <si>
    <t>д Верхняя Полдневая</t>
  </si>
  <si>
    <t>65707000281</t>
  </si>
  <si>
    <t>16:035:2:4:5</t>
  </si>
  <si>
    <t>с Троицкое</t>
  </si>
  <si>
    <t>65707000151</t>
  </si>
  <si>
    <t>16:027:2:5:6</t>
  </si>
  <si>
    <t>д Паршина</t>
  </si>
  <si>
    <t>65707000256</t>
  </si>
  <si>
    <t>16:015:2:4:6</t>
  </si>
  <si>
    <t>с Каменноозерское</t>
  </si>
  <si>
    <t>65708000126</t>
  </si>
  <si>
    <t>10:012:2:5:6</t>
  </si>
  <si>
    <t>д Нелоба</t>
  </si>
  <si>
    <t>65708000136</t>
  </si>
  <si>
    <t>10:017:2:5:6</t>
  </si>
  <si>
    <t>д Северная</t>
  </si>
  <si>
    <t>65708000106</t>
  </si>
  <si>
    <t>10:001:2:5:6</t>
  </si>
  <si>
    <t>д Балакино</t>
  </si>
  <si>
    <t>65708000141</t>
  </si>
  <si>
    <t>10:002:2:3:6</t>
  </si>
  <si>
    <t>п Басьяновский</t>
  </si>
  <si>
    <t>65708000176</t>
  </si>
  <si>
    <t>10:015:2:3:6</t>
  </si>
  <si>
    <t>п Перегрузочная</t>
  </si>
  <si>
    <t>65708000181</t>
  </si>
  <si>
    <t>10:016:2:3:6</t>
  </si>
  <si>
    <t>п Песчаный Карьер</t>
  </si>
  <si>
    <t>65708000186</t>
  </si>
  <si>
    <t>10:018:2:3:6</t>
  </si>
  <si>
    <t>п Тагильский</t>
  </si>
  <si>
    <t>65708000131</t>
  </si>
  <si>
    <t>10:013:2:5:6</t>
  </si>
  <si>
    <t>д Никитино</t>
  </si>
  <si>
    <t>65708000161</t>
  </si>
  <si>
    <t>10:007:2:3:6</t>
  </si>
  <si>
    <t>п Ежевичный</t>
  </si>
  <si>
    <t>65708000116</t>
  </si>
  <si>
    <t>10:010:2:5:6</t>
  </si>
  <si>
    <t>д Малыгино</t>
  </si>
  <si>
    <t>65709000176</t>
  </si>
  <si>
    <t>22:016:2:5:6</t>
  </si>
  <si>
    <t>городской округ Верхотурский</t>
  </si>
  <si>
    <t>д Злыгостева</t>
  </si>
  <si>
    <t>65709000316</t>
  </si>
  <si>
    <t>22:011:2:4:6</t>
  </si>
  <si>
    <t>с Дерябино</t>
  </si>
  <si>
    <t>65709000321</t>
  </si>
  <si>
    <t>22:020:2:4:6</t>
  </si>
  <si>
    <t>с Кордюково</t>
  </si>
  <si>
    <t>65709000341</t>
  </si>
  <si>
    <t>22:036:2:4:6</t>
  </si>
  <si>
    <t>с Пия</t>
  </si>
  <si>
    <t>65709000311</t>
  </si>
  <si>
    <t>22:037:2:3:5</t>
  </si>
  <si>
    <t>п Привокзальный</t>
  </si>
  <si>
    <t>65709000166</t>
  </si>
  <si>
    <t>22:014:2:5:6</t>
  </si>
  <si>
    <t>д Запольская</t>
  </si>
  <si>
    <t>65709000226</t>
  </si>
  <si>
    <t>22:030:2:5:6</t>
  </si>
  <si>
    <t>д Матюшина</t>
  </si>
  <si>
    <t>65709000201</t>
  </si>
  <si>
    <t>22:026:2:5:6</t>
  </si>
  <si>
    <t>д Лебедева</t>
  </si>
  <si>
    <t>65709000171</t>
  </si>
  <si>
    <t>22:015:2:5:6</t>
  </si>
  <si>
    <t>65709000221</t>
  </si>
  <si>
    <t>22:029:2:5:6</t>
  </si>
  <si>
    <t>д Малахова</t>
  </si>
  <si>
    <t>65709000181</t>
  </si>
  <si>
    <t>22:021:2:5:6</t>
  </si>
  <si>
    <t>д Королева</t>
  </si>
  <si>
    <t>65709000146</t>
  </si>
  <si>
    <t>22:010:2:5:6</t>
  </si>
  <si>
    <t>д Голубева</t>
  </si>
  <si>
    <t>65709000261</t>
  </si>
  <si>
    <t>22:041:2:5:6</t>
  </si>
  <si>
    <t>д Рычкова</t>
  </si>
  <si>
    <t>65709000156</t>
  </si>
  <si>
    <t>22:012:2:5:6</t>
  </si>
  <si>
    <t>д Жернакова</t>
  </si>
  <si>
    <t>65709000246</t>
  </si>
  <si>
    <t>22:035:2:5:6</t>
  </si>
  <si>
    <t>д Пинягина</t>
  </si>
  <si>
    <t>65709000291</t>
  </si>
  <si>
    <t>22:018:2:3:6</t>
  </si>
  <si>
    <t>п Карелино</t>
  </si>
  <si>
    <t>65709000251</t>
  </si>
  <si>
    <t>22:039:2:5:6</t>
  </si>
  <si>
    <t>д Путимка</t>
  </si>
  <si>
    <t>65709000211</t>
  </si>
  <si>
    <t>22:028:2:5:6</t>
  </si>
  <si>
    <t>д Лобанова</t>
  </si>
  <si>
    <t>65709000271</t>
  </si>
  <si>
    <t>22:043:2:5:6</t>
  </si>
  <si>
    <t>д Шнурова</t>
  </si>
  <si>
    <t>65709000286</t>
  </si>
  <si>
    <t>22:017:2:3:6</t>
  </si>
  <si>
    <t>п Калачик</t>
  </si>
  <si>
    <t>65709000336</t>
  </si>
  <si>
    <t>22:034:2:4:6</t>
  </si>
  <si>
    <t>с Отрадново</t>
  </si>
  <si>
    <t>65709000126</t>
  </si>
  <si>
    <t>22:005:2:5:6</t>
  </si>
  <si>
    <t>д Вавилова</t>
  </si>
  <si>
    <t>65709000121</t>
  </si>
  <si>
    <t>22:004:2:5:6</t>
  </si>
  <si>
    <t>д Бурлева</t>
  </si>
  <si>
    <t>65709000351</t>
  </si>
  <si>
    <t>22:042:2:4:6</t>
  </si>
  <si>
    <t>с Усть-Салда</t>
  </si>
  <si>
    <t>65709000296</t>
  </si>
  <si>
    <t>22:019:2:3:6</t>
  </si>
  <si>
    <t>п Карпунинский</t>
  </si>
  <si>
    <t>65709000231</t>
  </si>
  <si>
    <t>22:032:2:5:6</t>
  </si>
  <si>
    <t>д Морозова</t>
  </si>
  <si>
    <t>65709000301</t>
  </si>
  <si>
    <t>22:022:2:3:6</t>
  </si>
  <si>
    <t>п Косолманка</t>
  </si>
  <si>
    <t>65709000136</t>
  </si>
  <si>
    <t>22:008:2:5:6</t>
  </si>
  <si>
    <t>д Воронская</t>
  </si>
  <si>
    <t>65709000141</t>
  </si>
  <si>
    <t>22:009:2:5:6</t>
  </si>
  <si>
    <t>д Глазуновка</t>
  </si>
  <si>
    <t>65709000106</t>
  </si>
  <si>
    <t>22:001:2:5:6</t>
  </si>
  <si>
    <t>д Белая Глина</t>
  </si>
  <si>
    <t>65711000396</t>
  </si>
  <si>
    <t>39:079:2:5:6</t>
  </si>
  <si>
    <t>д Симанова</t>
  </si>
  <si>
    <t>65711000306</t>
  </si>
  <si>
    <t>39:055:2:5:6</t>
  </si>
  <si>
    <t>д Малая Зверева</t>
  </si>
  <si>
    <t>65711000601</t>
  </si>
  <si>
    <t>39:084:2:4:6</t>
  </si>
  <si>
    <t>с Стриганское</t>
  </si>
  <si>
    <t>65711000156</t>
  </si>
  <si>
    <t>39:013:2:5:6</t>
  </si>
  <si>
    <t>д Большой Камыш</t>
  </si>
  <si>
    <t>65711000286</t>
  </si>
  <si>
    <t>39:048:2:5:6</t>
  </si>
  <si>
    <t>д Курьинка</t>
  </si>
  <si>
    <t>65711000111</t>
  </si>
  <si>
    <t>39:003:2:5:6</t>
  </si>
  <si>
    <t>д Бархаты</t>
  </si>
  <si>
    <t>65711000261</t>
  </si>
  <si>
    <t>39:042:2:5:6</t>
  </si>
  <si>
    <t>д Короли</t>
  </si>
  <si>
    <t>65711000191</t>
  </si>
  <si>
    <t>39:022:2:5:6</t>
  </si>
  <si>
    <t>д Гаева</t>
  </si>
  <si>
    <t>65711000186</t>
  </si>
  <si>
    <t>39:021:2:5:6</t>
  </si>
  <si>
    <t>д Вяткина</t>
  </si>
  <si>
    <t>65711000371</t>
  </si>
  <si>
    <t>39:069:2:5:6</t>
  </si>
  <si>
    <t>д Першина</t>
  </si>
  <si>
    <t>65711000421</t>
  </si>
  <si>
    <t>39:087:2:5:6</t>
  </si>
  <si>
    <t>д Филина</t>
  </si>
  <si>
    <t>65711000296</t>
  </si>
  <si>
    <t>39:052:2:5:6</t>
  </si>
  <si>
    <t>д Лиханова</t>
  </si>
  <si>
    <t>65711000266</t>
  </si>
  <si>
    <t>39:043:2:5:6</t>
  </si>
  <si>
    <t>д Коростелева</t>
  </si>
  <si>
    <t>65711000376</t>
  </si>
  <si>
    <t>39:070:2:5:6</t>
  </si>
  <si>
    <t>д Пиневка</t>
  </si>
  <si>
    <t>65711000401</t>
  </si>
  <si>
    <t>39:081:2:5:6</t>
  </si>
  <si>
    <t>65711000131</t>
  </si>
  <si>
    <t>39:008:2:5:6</t>
  </si>
  <si>
    <t>65711000201</t>
  </si>
  <si>
    <t>39:025:2:5:6</t>
  </si>
  <si>
    <t>д Гуни</t>
  </si>
  <si>
    <t>65711000271</t>
  </si>
  <si>
    <t>39:044:2:5:6</t>
  </si>
  <si>
    <t>д Косари</t>
  </si>
  <si>
    <t>65711000231</t>
  </si>
  <si>
    <t>39:033:2:5:6</t>
  </si>
  <si>
    <t>д Зубрилина</t>
  </si>
  <si>
    <t>65711000356</t>
  </si>
  <si>
    <t>39:065:2:5:6</t>
  </si>
  <si>
    <t>д Новгородова</t>
  </si>
  <si>
    <t>65711000161</t>
  </si>
  <si>
    <t>39:014:2:5:6</t>
  </si>
  <si>
    <t>д Боровая</t>
  </si>
  <si>
    <t>65711000471</t>
  </si>
  <si>
    <t>39:102:2:5:6</t>
  </si>
  <si>
    <t>д Юдина</t>
  </si>
  <si>
    <t>65711000291</t>
  </si>
  <si>
    <t>39:050:2:5:6</t>
  </si>
  <si>
    <t>д Лаптева</t>
  </si>
  <si>
    <t>65711000596</t>
  </si>
  <si>
    <t>39:080:2:4:6</t>
  </si>
  <si>
    <t>с Скородумское</t>
  </si>
  <si>
    <t>65711000346</t>
  </si>
  <si>
    <t>39:062:2:5:6</t>
  </si>
  <si>
    <t>д Нижняя</t>
  </si>
  <si>
    <t>65711000236</t>
  </si>
  <si>
    <t>39:034:2:5:6</t>
  </si>
  <si>
    <t>д Иванищева</t>
  </si>
  <si>
    <t>65711000206</t>
  </si>
  <si>
    <t>39:026:2:5:6</t>
  </si>
  <si>
    <t>д Девяшина</t>
  </si>
  <si>
    <t>65711000301</t>
  </si>
  <si>
    <t>39:054:2:5:6</t>
  </si>
  <si>
    <t>65711000311</t>
  </si>
  <si>
    <t>39:056:2:5:6</t>
  </si>
  <si>
    <t>д Малая Речкалова</t>
  </si>
  <si>
    <t>65711000176</t>
  </si>
  <si>
    <t>39:016:2:4:6</t>
  </si>
  <si>
    <t>с Буланова</t>
  </si>
  <si>
    <t>65711000136</t>
  </si>
  <si>
    <t>39:009:2:5:6</t>
  </si>
  <si>
    <t>д Большая Зверева</t>
  </si>
  <si>
    <t>65711000366</t>
  </si>
  <si>
    <t>39:068:2:5:6</t>
  </si>
  <si>
    <t>д Первомайская</t>
  </si>
  <si>
    <t>65711000526</t>
  </si>
  <si>
    <t>39:083:2:3:6</t>
  </si>
  <si>
    <t>п Спутник</t>
  </si>
  <si>
    <t>65711000531</t>
  </si>
  <si>
    <t>39:002:2:4:6</t>
  </si>
  <si>
    <t>с Анохинское</t>
  </si>
  <si>
    <t>65711000361</t>
  </si>
  <si>
    <t>39:066:2:5:6</t>
  </si>
  <si>
    <t>д Ольховка</t>
  </si>
  <si>
    <t>65711000501</t>
  </si>
  <si>
    <t>39:051:2:3:6</t>
  </si>
  <si>
    <t>п Лесной</t>
  </si>
  <si>
    <t>65711000331</t>
  </si>
  <si>
    <t>39:060:2:5:6</t>
  </si>
  <si>
    <t>д Мостовая</t>
  </si>
  <si>
    <t>65711000276</t>
  </si>
  <si>
    <t>39:045:2:5:6</t>
  </si>
  <si>
    <t>д Кривая</t>
  </si>
  <si>
    <t>65711000181</t>
  </si>
  <si>
    <t>39:018:2:5:6</t>
  </si>
  <si>
    <t>д Ваганова</t>
  </si>
  <si>
    <t>65711000171</t>
  </si>
  <si>
    <t>39:017:2:5:6</t>
  </si>
  <si>
    <t>д Буланова</t>
  </si>
  <si>
    <t>65711000416</t>
  </si>
  <si>
    <t>39:086:2:5:6</t>
  </si>
  <si>
    <t>д Удинцева</t>
  </si>
  <si>
    <t>65711000151</t>
  </si>
  <si>
    <t>39:012:2:5:6</t>
  </si>
  <si>
    <t>д Большедворова</t>
  </si>
  <si>
    <t>65711000611</t>
  </si>
  <si>
    <t>39:091:2:4:6</t>
  </si>
  <si>
    <t>с Черновское</t>
  </si>
  <si>
    <t>65711000551</t>
  </si>
  <si>
    <t>39:032:2:4:6</t>
  </si>
  <si>
    <t>с Знаменское</t>
  </si>
  <si>
    <t>65711000216</t>
  </si>
  <si>
    <t>39:030:2:5:6</t>
  </si>
  <si>
    <t>д Еремина</t>
  </si>
  <si>
    <t>65711000221</t>
  </si>
  <si>
    <t>39:029:2:4:6</t>
  </si>
  <si>
    <t>с Еремина</t>
  </si>
  <si>
    <t>65711000196</t>
  </si>
  <si>
    <t>39:023:2:5:6</t>
  </si>
  <si>
    <t>д Галишева</t>
  </si>
  <si>
    <t>65711000166</t>
  </si>
  <si>
    <t>39:015:2:5:6</t>
  </si>
  <si>
    <t>д Бузина</t>
  </si>
  <si>
    <t>65711000576</t>
  </si>
  <si>
    <t>39:064:2:4:6</t>
  </si>
  <si>
    <t>с Ницинское</t>
  </si>
  <si>
    <t>65711000446</t>
  </si>
  <si>
    <t>39:096:2:5:6</t>
  </si>
  <si>
    <t>д Чусовляны</t>
  </si>
  <si>
    <t>65711000411</t>
  </si>
  <si>
    <t>39:085:2:5:6</t>
  </si>
  <si>
    <t>д Трубина</t>
  </si>
  <si>
    <t>65711000146</t>
  </si>
  <si>
    <t>39:011:2:5:6</t>
  </si>
  <si>
    <t>д Большая Милькова</t>
  </si>
  <si>
    <t>65711000321</t>
  </si>
  <si>
    <t>39:058:2:5:6</t>
  </si>
  <si>
    <t>65711000456</t>
  </si>
  <si>
    <t>39:098:2:5:6</t>
  </si>
  <si>
    <t>д Шипова</t>
  </si>
  <si>
    <t>65711000281</t>
  </si>
  <si>
    <t>39:047:2:5:6</t>
  </si>
  <si>
    <t>д Кубай</t>
  </si>
  <si>
    <t>65711000541</t>
  </si>
  <si>
    <t>39:020:2:4:6</t>
  </si>
  <si>
    <t>с Волково</t>
  </si>
  <si>
    <t>65711000251</t>
  </si>
  <si>
    <t>39:040:2:5:6</t>
  </si>
  <si>
    <t>д Кокуй</t>
  </si>
  <si>
    <t>65711000571</t>
  </si>
  <si>
    <t>39:046:2:4:6</t>
  </si>
  <si>
    <t>с Крутихинское</t>
  </si>
  <si>
    <t>65711000381</t>
  </si>
  <si>
    <t>39:073:2:5:6</t>
  </si>
  <si>
    <t>д Прядеина</t>
  </si>
  <si>
    <t>65712000231</t>
  </si>
  <si>
    <t>40:053:2:5:6</t>
  </si>
  <si>
    <t>д Старикова</t>
  </si>
  <si>
    <t>65712000121</t>
  </si>
  <si>
    <t>40:005:2:5:6</t>
  </si>
  <si>
    <t>д Богатенкова</t>
  </si>
  <si>
    <t>65712000191</t>
  </si>
  <si>
    <t>40:031:2:5:6</t>
  </si>
  <si>
    <t>д Мосина</t>
  </si>
  <si>
    <t>65712000176</t>
  </si>
  <si>
    <t>40:026:2:5:6</t>
  </si>
  <si>
    <t>д Мазуля</t>
  </si>
  <si>
    <t>65712000381</t>
  </si>
  <si>
    <t>40:041:2:4:5</t>
  </si>
  <si>
    <t>с Покровское</t>
  </si>
  <si>
    <t>65712000316</t>
  </si>
  <si>
    <t>40:054:2:3:6</t>
  </si>
  <si>
    <t>п Степной</t>
  </si>
  <si>
    <t>65712000331</t>
  </si>
  <si>
    <t>40:007:2:4:6</t>
  </si>
  <si>
    <t>с Большая Грязнуха</t>
  </si>
  <si>
    <t>65712000186</t>
  </si>
  <si>
    <t>40:028:2:5:6</t>
  </si>
  <si>
    <t>65712000391</t>
  </si>
  <si>
    <t>40:047:2:4:6</t>
  </si>
  <si>
    <t>с Сипавское</t>
  </si>
  <si>
    <t>65712000296</t>
  </si>
  <si>
    <t>40:034:2:3:6</t>
  </si>
  <si>
    <t>п Новый Быт</t>
  </si>
  <si>
    <t>65712000226</t>
  </si>
  <si>
    <t>40:050:2:4:6</t>
  </si>
  <si>
    <t>с Соколова</t>
  </si>
  <si>
    <t>65623415121</t>
  </si>
  <si>
    <t>53:034:2:5:6</t>
  </si>
  <si>
    <t>д Мельникова</t>
  </si>
  <si>
    <t>65623455156</t>
  </si>
  <si>
    <t>53:041:2:3:6</t>
  </si>
  <si>
    <t>65623455121</t>
  </si>
  <si>
    <t>53:026:2:5:6</t>
  </si>
  <si>
    <t>д Колясникова</t>
  </si>
  <si>
    <t>65623455131</t>
  </si>
  <si>
    <t>53:030:2:5:6</t>
  </si>
  <si>
    <t>д Куваева</t>
  </si>
  <si>
    <t>65623420131</t>
  </si>
  <si>
    <t>53:050:2:5:6</t>
  </si>
  <si>
    <t>д Фадюшина</t>
  </si>
  <si>
    <t>65623405101</t>
  </si>
  <si>
    <t>53:010:2:3:6</t>
  </si>
  <si>
    <t>п Восточный</t>
  </si>
  <si>
    <t>65623420136</t>
  </si>
  <si>
    <t>53:051:2:5:6</t>
  </si>
  <si>
    <t>д Чикунова</t>
  </si>
  <si>
    <t>65623455116</t>
  </si>
  <si>
    <t>53:024:2:5:6</t>
  </si>
  <si>
    <t>65623415156</t>
  </si>
  <si>
    <t>53:029:2:4:6</t>
  </si>
  <si>
    <t>65623415126</t>
  </si>
  <si>
    <t>53:035:2:5:6</t>
  </si>
  <si>
    <t>д Михайловка</t>
  </si>
  <si>
    <t>65623405121</t>
  </si>
  <si>
    <t>53:022:2:3:6</t>
  </si>
  <si>
    <t>п Ключики</t>
  </si>
  <si>
    <t>65623455106</t>
  </si>
  <si>
    <t>53:005:2:5:6</t>
  </si>
  <si>
    <t>д Борисова</t>
  </si>
  <si>
    <t>65623420161</t>
  </si>
  <si>
    <t>53:049:2:4:6</t>
  </si>
  <si>
    <t>с Скатинское</t>
  </si>
  <si>
    <t>65623405131</t>
  </si>
  <si>
    <t>53:044:2:3:6</t>
  </si>
  <si>
    <t>п Победа</t>
  </si>
  <si>
    <t>65623455111</t>
  </si>
  <si>
    <t>53:023:2:5:6</t>
  </si>
  <si>
    <t>д Козонкова</t>
  </si>
  <si>
    <t>65623415161</t>
  </si>
  <si>
    <t>53:031:2:4:6</t>
  </si>
  <si>
    <t>с Куровское</t>
  </si>
  <si>
    <t>65623405136</t>
  </si>
  <si>
    <t>53:037:2:4:6</t>
  </si>
  <si>
    <t>с Никольское</t>
  </si>
  <si>
    <t>65623420141</t>
  </si>
  <si>
    <t>53:011:2:3:5</t>
  </si>
  <si>
    <t>п Восход</t>
  </si>
  <si>
    <t>65623420121</t>
  </si>
  <si>
    <t>53:027:2:5:6</t>
  </si>
  <si>
    <t>д Коровякова</t>
  </si>
  <si>
    <t>65623415116</t>
  </si>
  <si>
    <t>53:032:2:5:6</t>
  </si>
  <si>
    <t>д Малая Пульникова</t>
  </si>
  <si>
    <t>65623455166</t>
  </si>
  <si>
    <t>53:017:2:4:6</t>
  </si>
  <si>
    <t>с Захаровское</t>
  </si>
  <si>
    <t>65623420151</t>
  </si>
  <si>
    <t>53:046:2:4:6</t>
  </si>
  <si>
    <t>с Раздольное</t>
  </si>
  <si>
    <t>65623415141</t>
  </si>
  <si>
    <t>53:047:2:3:6</t>
  </si>
  <si>
    <t>п Рассвет</t>
  </si>
  <si>
    <t>65623415106</t>
  </si>
  <si>
    <t>53:007:2:5:6</t>
  </si>
  <si>
    <t>д Бутырки</t>
  </si>
  <si>
    <t>65623405116</t>
  </si>
  <si>
    <t>53:002:2:3:6</t>
  </si>
  <si>
    <t>п Аксариха</t>
  </si>
  <si>
    <t>65623415131</t>
  </si>
  <si>
    <t>53:043:2:5:6</t>
  </si>
  <si>
    <t>д Першата</t>
  </si>
  <si>
    <t>65623405106</t>
  </si>
  <si>
    <t>53:001:2:5:6</t>
  </si>
  <si>
    <t>д Аксариха</t>
  </si>
  <si>
    <t>65623420111</t>
  </si>
  <si>
    <t>53:013:2:5:6</t>
  </si>
  <si>
    <t>д Голышкина</t>
  </si>
  <si>
    <t>65623430116</t>
  </si>
  <si>
    <t>53:045:2:3:6</t>
  </si>
  <si>
    <t>п Пышминская</t>
  </si>
  <si>
    <t>65623455141</t>
  </si>
  <si>
    <t>53:053:2:5:6</t>
  </si>
  <si>
    <t>д Шипицына</t>
  </si>
  <si>
    <t>65623420116</t>
  </si>
  <si>
    <t>53:016:2:5:6</t>
  </si>
  <si>
    <t>65623420101</t>
  </si>
  <si>
    <t>53:003:2:5:6</t>
  </si>
  <si>
    <t>д Баранникова</t>
  </si>
  <si>
    <t>65623455171</t>
  </si>
  <si>
    <t>53:052:2:4:6</t>
  </si>
  <si>
    <t>с Шилкинское</t>
  </si>
  <si>
    <t>65623420106</t>
  </si>
  <si>
    <t>53:006:2:5:6</t>
  </si>
  <si>
    <t>д Булдакова</t>
  </si>
  <si>
    <t>65623405111</t>
  </si>
  <si>
    <t>53:020:2:5:6</t>
  </si>
  <si>
    <t>65623455136</t>
  </si>
  <si>
    <t>53:036:2:5:6</t>
  </si>
  <si>
    <t>65623455126</t>
  </si>
  <si>
    <t>53:028:2:5:6</t>
  </si>
  <si>
    <t>д Котюрова</t>
  </si>
  <si>
    <t>65623430111</t>
  </si>
  <si>
    <t>53:014:2:3:6</t>
  </si>
  <si>
    <t>п Еланский</t>
  </si>
  <si>
    <t>65623415136</t>
  </si>
  <si>
    <t>53:018:2:3:6</t>
  </si>
  <si>
    <t>п Калина</t>
  </si>
  <si>
    <t>65623420126</t>
  </si>
  <si>
    <t>53:040:2:5:6</t>
  </si>
  <si>
    <t>д Ожгиха</t>
  </si>
  <si>
    <t>65713000411</t>
  </si>
  <si>
    <t>54:043:2:4:6</t>
  </si>
  <si>
    <t>с Русская Тавра</t>
  </si>
  <si>
    <t>65713000306</t>
  </si>
  <si>
    <t>54:061:2:5:6</t>
  </si>
  <si>
    <t>д Усть-Торгаш</t>
  </si>
  <si>
    <t>65713000341</t>
  </si>
  <si>
    <t>54:048:2:3:5</t>
  </si>
  <si>
    <t>п Сарана</t>
  </si>
  <si>
    <t>65713000052</t>
  </si>
  <si>
    <t>54:034:1:2:4</t>
  </si>
  <si>
    <t>пгт Натальинск</t>
  </si>
  <si>
    <t>65713000346</t>
  </si>
  <si>
    <t>54:050:2:3:6</t>
  </si>
  <si>
    <t>п Саргая</t>
  </si>
  <si>
    <t>65713000151</t>
  </si>
  <si>
    <t>54:013:2:5:6</t>
  </si>
  <si>
    <t>д Верхняя Сарана</t>
  </si>
  <si>
    <t>65713000316</t>
  </si>
  <si>
    <t>54:064:2:5:6</t>
  </si>
  <si>
    <t>д Чигвинцево</t>
  </si>
  <si>
    <t>65713000361</t>
  </si>
  <si>
    <t>54:001:2:4:6</t>
  </si>
  <si>
    <t>с Александровское</t>
  </si>
  <si>
    <t>65713000416</t>
  </si>
  <si>
    <t>54:051:2:4:6</t>
  </si>
  <si>
    <t>с Сарсы-Вторые</t>
  </si>
  <si>
    <t>65713000406</t>
  </si>
  <si>
    <t>54:042:2:4:6</t>
  </si>
  <si>
    <t>с Рахмангулово</t>
  </si>
  <si>
    <t>65713000421</t>
  </si>
  <si>
    <t>54:055:2:4:6</t>
  </si>
  <si>
    <t>с Средний Бугалыш</t>
  </si>
  <si>
    <t>65713000171</t>
  </si>
  <si>
    <t>54:019:2:5:6</t>
  </si>
  <si>
    <t>65714000001</t>
  </si>
  <si>
    <t>55:017:1:1:4</t>
  </si>
  <si>
    <t>Невьянский городской округ</t>
  </si>
  <si>
    <t>г Невьянск</t>
  </si>
  <si>
    <t>65714000126</t>
  </si>
  <si>
    <t>55:020:2:5:6</t>
  </si>
  <si>
    <t>д Осиновка</t>
  </si>
  <si>
    <t>65714000151</t>
  </si>
  <si>
    <t>55:003:2:3:6</t>
  </si>
  <si>
    <t>п Аять</t>
  </si>
  <si>
    <t>65714000266</t>
  </si>
  <si>
    <t>55:014:2:4:6</t>
  </si>
  <si>
    <t>с Корелы</t>
  </si>
  <si>
    <t>65714000276</t>
  </si>
  <si>
    <t>55:033:2:4:6</t>
  </si>
  <si>
    <t>с Федьковка</t>
  </si>
  <si>
    <t>65714000116</t>
  </si>
  <si>
    <t>55:016:2:5:6</t>
  </si>
  <si>
    <t>д Невьянка</t>
  </si>
  <si>
    <t>65714000146</t>
  </si>
  <si>
    <t>55:001:2:3:6</t>
  </si>
  <si>
    <t>п Аник</t>
  </si>
  <si>
    <t>65714000161</t>
  </si>
  <si>
    <t>55:006:2:3:6</t>
  </si>
  <si>
    <t>п Вересковый</t>
  </si>
  <si>
    <t>65714000211</t>
  </si>
  <si>
    <t>55:028:2:3:6</t>
  </si>
  <si>
    <t>п Середовина</t>
  </si>
  <si>
    <t>65714000106</t>
  </si>
  <si>
    <t>55:007:2:5:6</t>
  </si>
  <si>
    <t>д Верхние Таволги</t>
  </si>
  <si>
    <t>65714000201</t>
  </si>
  <si>
    <t>55:024:2:3:6</t>
  </si>
  <si>
    <t>п Приозерный</t>
  </si>
  <si>
    <t>65714000216</t>
  </si>
  <si>
    <t>55:029:2:4:6</t>
  </si>
  <si>
    <t>с Таватуй</t>
  </si>
  <si>
    <t>65714000186</t>
  </si>
  <si>
    <t>55:018:2:3:6</t>
  </si>
  <si>
    <t>п Невьянский Рыбзавод</t>
  </si>
  <si>
    <t>65714000136</t>
  </si>
  <si>
    <t>55:027:2:5:6</t>
  </si>
  <si>
    <t>д Сербишино</t>
  </si>
  <si>
    <t>65714000191</t>
  </si>
  <si>
    <t>55:021:2:3:6</t>
  </si>
  <si>
    <t>п Осиновский</t>
  </si>
  <si>
    <t>65714000281</t>
  </si>
  <si>
    <t>55:036:2:4:6</t>
  </si>
  <si>
    <t>с Шайдуриха</t>
  </si>
  <si>
    <t>65714000206</t>
  </si>
  <si>
    <t>55:026:2:3:6</t>
  </si>
  <si>
    <t>п Ребристый</t>
  </si>
  <si>
    <t>65714000181</t>
  </si>
  <si>
    <t>55:011:2:3:6</t>
  </si>
  <si>
    <t>п Калиново</t>
  </si>
  <si>
    <t>65714000141</t>
  </si>
  <si>
    <t>55:023:2:5:6</t>
  </si>
  <si>
    <t>д Сосновка</t>
  </si>
  <si>
    <t>65714000231</t>
  </si>
  <si>
    <t>55:032:2:3:6</t>
  </si>
  <si>
    <t>п Ударник</t>
  </si>
  <si>
    <t>65714000256</t>
  </si>
  <si>
    <t>55:012:2:4:6</t>
  </si>
  <si>
    <t>с Киприно</t>
  </si>
  <si>
    <t>65714000271</t>
  </si>
  <si>
    <t>55:015:2:4:6</t>
  </si>
  <si>
    <t>с Кунара</t>
  </si>
  <si>
    <t>65714000111</t>
  </si>
  <si>
    <t>55:008:2:5:6</t>
  </si>
  <si>
    <t>д Гашени</t>
  </si>
  <si>
    <t>65714000131</t>
  </si>
  <si>
    <t>55:025:2:5:6</t>
  </si>
  <si>
    <t>д Пьянково</t>
  </si>
  <si>
    <t>65714000221</t>
  </si>
  <si>
    <t>55:030:2:3:6</t>
  </si>
  <si>
    <t>п Таватуй</t>
  </si>
  <si>
    <t>65714000261</t>
  </si>
  <si>
    <t>55:013:2:4:6</t>
  </si>
  <si>
    <t>с Конево</t>
  </si>
  <si>
    <t>65714000246</t>
  </si>
  <si>
    <t>55:002:2:4:6</t>
  </si>
  <si>
    <t>с Аятское</t>
  </si>
  <si>
    <t>65714000176</t>
  </si>
  <si>
    <t>55:010:2:3:6</t>
  </si>
  <si>
    <t>п Забельный</t>
  </si>
  <si>
    <t>65714000286</t>
  </si>
  <si>
    <t>55:037:2:4:6</t>
  </si>
  <si>
    <t>с Шурала</t>
  </si>
  <si>
    <t>65714000156</t>
  </si>
  <si>
    <t>55:005:2:3:6</t>
  </si>
  <si>
    <t>п Быньговский</t>
  </si>
  <si>
    <t>65714000171</t>
  </si>
  <si>
    <t>55:038:2:3:6</t>
  </si>
  <si>
    <t>п Шурала</t>
  </si>
  <si>
    <t>65714000226</t>
  </si>
  <si>
    <t>55:031:2:3:6</t>
  </si>
  <si>
    <t>п Таватуйский Детдом</t>
  </si>
  <si>
    <t>65628104151</t>
  </si>
  <si>
    <t>56:032:2:4:6</t>
  </si>
  <si>
    <t>с Тюльгаш</t>
  </si>
  <si>
    <t>65628420171</t>
  </si>
  <si>
    <t>56:020:2:4:6</t>
  </si>
  <si>
    <t>с Накоряково</t>
  </si>
  <si>
    <t>65628420106</t>
  </si>
  <si>
    <t>56:004:2:5:6</t>
  </si>
  <si>
    <t>д Атняшка</t>
  </si>
  <si>
    <t>65628420116</t>
  </si>
  <si>
    <t>56:009:2:5:6</t>
  </si>
  <si>
    <t>д Киселевка</t>
  </si>
  <si>
    <t>65628420136</t>
  </si>
  <si>
    <t>56:029:2:5:6</t>
  </si>
  <si>
    <t>д Сосновый Бор</t>
  </si>
  <si>
    <t>65628101106</t>
  </si>
  <si>
    <t>56:026:2:5:6</t>
  </si>
  <si>
    <t>д Половинка</t>
  </si>
  <si>
    <t>65628104126</t>
  </si>
  <si>
    <t>56:014:2:3:6</t>
  </si>
  <si>
    <t>п Красноармеец</t>
  </si>
  <si>
    <t>65628101001</t>
  </si>
  <si>
    <t>56:021:1:1:4</t>
  </si>
  <si>
    <t>г Нижние Серги</t>
  </si>
  <si>
    <t>65628174116</t>
  </si>
  <si>
    <t>56:024:2:4:6</t>
  </si>
  <si>
    <t>с Первомайское</t>
  </si>
  <si>
    <t>65628420156</t>
  </si>
  <si>
    <t>56:011:2:3:6</t>
  </si>
  <si>
    <t>п Ключевая</t>
  </si>
  <si>
    <t>65628420176</t>
  </si>
  <si>
    <t>56:030:2:4:6</t>
  </si>
  <si>
    <t>с Старобухарово</t>
  </si>
  <si>
    <t>65628104116</t>
  </si>
  <si>
    <t>56:036:2:5:6</t>
  </si>
  <si>
    <t>д Уфа-Шигири</t>
  </si>
  <si>
    <t>65628420111</t>
  </si>
  <si>
    <t>56:006:2:5:6</t>
  </si>
  <si>
    <t>д Васькино</t>
  </si>
  <si>
    <t>65628104146</t>
  </si>
  <si>
    <t>56:002:2:4:6</t>
  </si>
  <si>
    <t>с Аракаево</t>
  </si>
  <si>
    <t>65628101111</t>
  </si>
  <si>
    <t>56:005:2:3:6</t>
  </si>
  <si>
    <t>п Бажуково</t>
  </si>
  <si>
    <t>65628104156</t>
  </si>
  <si>
    <t>56:038:2:4:6</t>
  </si>
  <si>
    <t>с Шокурово</t>
  </si>
  <si>
    <t>65628420141</t>
  </si>
  <si>
    <t>56:031:2:5:6</t>
  </si>
  <si>
    <t>д Талица</t>
  </si>
  <si>
    <t>65628420131</t>
  </si>
  <si>
    <t>56:023:2:5:6</t>
  </si>
  <si>
    <t>д Отевка</t>
  </si>
  <si>
    <t>65628104111</t>
  </si>
  <si>
    <t>56:035:2:5:6</t>
  </si>
  <si>
    <t>д Урмикеево</t>
  </si>
  <si>
    <t>65628163051</t>
  </si>
  <si>
    <t>56:007:1:2:4</t>
  </si>
  <si>
    <t>пгт Верхние Серги</t>
  </si>
  <si>
    <t>65628420101</t>
  </si>
  <si>
    <t>56:010:2:4:6</t>
  </si>
  <si>
    <t>с Кленовское</t>
  </si>
  <si>
    <t>65628420126</t>
  </si>
  <si>
    <t>56:015:2:5:6</t>
  </si>
  <si>
    <t>д Красный Партизан</t>
  </si>
  <si>
    <t>65628104136</t>
  </si>
  <si>
    <t>56:027:2:3:6</t>
  </si>
  <si>
    <t>п Рябиновка</t>
  </si>
  <si>
    <t>65628174051</t>
  </si>
  <si>
    <t>56:008:1:2:4</t>
  </si>
  <si>
    <t>пгт Дружинино</t>
  </si>
  <si>
    <t>65628104141</t>
  </si>
  <si>
    <t>56:001:2:4:6</t>
  </si>
  <si>
    <t>с Акбаш</t>
  </si>
  <si>
    <t>65628420161</t>
  </si>
  <si>
    <t>56:013:2:3:6</t>
  </si>
  <si>
    <t>п Контугановский</t>
  </si>
  <si>
    <t>65628101116</t>
  </si>
  <si>
    <t>56:022:2:3:6</t>
  </si>
  <si>
    <t>п Новая Ельня</t>
  </si>
  <si>
    <t>65628104001</t>
  </si>
  <si>
    <t>56:018:1:1:4</t>
  </si>
  <si>
    <t>г Михайловск</t>
  </si>
  <si>
    <t>65628174106</t>
  </si>
  <si>
    <t>56:016:2:3:6</t>
  </si>
  <si>
    <t>п Лазоревый</t>
  </si>
  <si>
    <t>65628104131</t>
  </si>
  <si>
    <t>56:019:2:3:6</t>
  </si>
  <si>
    <t>п Михайловский Завод</t>
  </si>
  <si>
    <t>65628104106</t>
  </si>
  <si>
    <t>56:025:2:5:6</t>
  </si>
  <si>
    <t>д Перепряжка</t>
  </si>
  <si>
    <t>65628420166</t>
  </si>
  <si>
    <t>56:017:2:3:6</t>
  </si>
  <si>
    <t>п Малиновый</t>
  </si>
  <si>
    <t>65628104121</t>
  </si>
  <si>
    <t>56:037:2:5:6</t>
  </si>
  <si>
    <t>д Шарама</t>
  </si>
  <si>
    <t>65628174111</t>
  </si>
  <si>
    <t>56:028:2:3:6</t>
  </si>
  <si>
    <t>п Солдатка</t>
  </si>
  <si>
    <t>65628420146</t>
  </si>
  <si>
    <t>56:033:2:5:6</t>
  </si>
  <si>
    <t>д Упея</t>
  </si>
  <si>
    <t>65715000111</t>
  </si>
  <si>
    <t>57:013:2:5:6</t>
  </si>
  <si>
    <t>д Малая Именная</t>
  </si>
  <si>
    <t>65715000151</t>
  </si>
  <si>
    <t>57:008:2:3:6</t>
  </si>
  <si>
    <t>п Ермаковский</t>
  </si>
  <si>
    <t>65715000146</t>
  </si>
  <si>
    <t>57:007:2:3:6</t>
  </si>
  <si>
    <t>п Граневое</t>
  </si>
  <si>
    <t>65715000121</t>
  </si>
  <si>
    <t>57:001:2:3:6</t>
  </si>
  <si>
    <t>п Артельный</t>
  </si>
  <si>
    <t>65715000191</t>
  </si>
  <si>
    <t>57:019:2:3:6</t>
  </si>
  <si>
    <t>п Сигнальный</t>
  </si>
  <si>
    <t>65715000201</t>
  </si>
  <si>
    <t>57:021:2:3:6</t>
  </si>
  <si>
    <t>п Черничный</t>
  </si>
  <si>
    <t>65715000186</t>
  </si>
  <si>
    <t>57:018:2:3:6</t>
  </si>
  <si>
    <t>п Покап</t>
  </si>
  <si>
    <t>65715000116</t>
  </si>
  <si>
    <t>57:016:2:5:6</t>
  </si>
  <si>
    <t>д Новая Тура</t>
  </si>
  <si>
    <t>65715000136</t>
  </si>
  <si>
    <t>57:005:2:3:6</t>
  </si>
  <si>
    <t>п Верх-Ис</t>
  </si>
  <si>
    <t>65715000166</t>
  </si>
  <si>
    <t>57:011:2:3:6</t>
  </si>
  <si>
    <t>п Лабазка</t>
  </si>
  <si>
    <t>65715000176</t>
  </si>
  <si>
    <t>57:014:2:3:6</t>
  </si>
  <si>
    <t>п Маломальский</t>
  </si>
  <si>
    <t>65715000181</t>
  </si>
  <si>
    <t>57:017:2:3:6</t>
  </si>
  <si>
    <t>п Платина</t>
  </si>
  <si>
    <t>65715000106</t>
  </si>
  <si>
    <t>57:003:2:5:6</t>
  </si>
  <si>
    <t>д Большая Именная</t>
  </si>
  <si>
    <t>65715000196</t>
  </si>
  <si>
    <t>57:020:2:3:6</t>
  </si>
  <si>
    <t>п Талисман</t>
  </si>
  <si>
    <t>65715000161</t>
  </si>
  <si>
    <t>57:010:2:3:6</t>
  </si>
  <si>
    <t>п Косья</t>
  </si>
  <si>
    <t>65715000171</t>
  </si>
  <si>
    <t>57:012:2:3:6</t>
  </si>
  <si>
    <t>п Малая Выя</t>
  </si>
  <si>
    <t>65715000206</t>
  </si>
  <si>
    <t>57:022:2:3:6</t>
  </si>
  <si>
    <t>п Шуркино</t>
  </si>
  <si>
    <t>65715000131</t>
  </si>
  <si>
    <t>57:004:2:3:6</t>
  </si>
  <si>
    <t>п Борисовский</t>
  </si>
  <si>
    <t>65715000156</t>
  </si>
  <si>
    <t>57:009:2:3:6</t>
  </si>
  <si>
    <t>п Ис</t>
  </si>
  <si>
    <t>65716000166</t>
  </si>
  <si>
    <t>58:019:2:3:6</t>
  </si>
  <si>
    <t>Новолялинский городской округ</t>
  </si>
  <si>
    <t>п Старая Ляля</t>
  </si>
  <si>
    <t>65716000206</t>
  </si>
  <si>
    <t>58:008:2:4:6</t>
  </si>
  <si>
    <t>с Лопаево</t>
  </si>
  <si>
    <t>65716000211</t>
  </si>
  <si>
    <t>58:009:2:4:6</t>
  </si>
  <si>
    <t>с Ляля-Титова</t>
  </si>
  <si>
    <t>65716000196</t>
  </si>
  <si>
    <t>58:004:2:4:6</t>
  </si>
  <si>
    <t>с Караульское</t>
  </si>
  <si>
    <t>65716000111</t>
  </si>
  <si>
    <t>58:010:2:5:6</t>
  </si>
  <si>
    <t>д Нижнее Бессоново</t>
  </si>
  <si>
    <t>65716000121</t>
  </si>
  <si>
    <t>58:014:2:5:6</t>
  </si>
  <si>
    <t>д Полуденная</t>
  </si>
  <si>
    <t>65716000201</t>
  </si>
  <si>
    <t>58:005:2:4:6</t>
  </si>
  <si>
    <t>с Коптяки</t>
  </si>
  <si>
    <t>65716000156</t>
  </si>
  <si>
    <t>58:012:2:3:6</t>
  </si>
  <si>
    <t>п Павда</t>
  </si>
  <si>
    <t>65716000136</t>
  </si>
  <si>
    <t>58:002:2:3:6</t>
  </si>
  <si>
    <t>п Заболотный</t>
  </si>
  <si>
    <t>65716000171</t>
  </si>
  <si>
    <t>58:020:2:3:6</t>
  </si>
  <si>
    <t>п Старый Перевоз</t>
  </si>
  <si>
    <t>65716000146</t>
  </si>
  <si>
    <t>58:006:2:3:6</t>
  </si>
  <si>
    <t>п Красный Яр</t>
  </si>
  <si>
    <t>65716000216</t>
  </si>
  <si>
    <t>58:018:2:4:6</t>
  </si>
  <si>
    <t>с Салтаново</t>
  </si>
  <si>
    <t>65716000191</t>
  </si>
  <si>
    <t>58:024:2:3:6</t>
  </si>
  <si>
    <t>п Яборково</t>
  </si>
  <si>
    <t>65717000271</t>
  </si>
  <si>
    <t>13:032:2:3:6</t>
  </si>
  <si>
    <t>Горноуральский городской округ</t>
  </si>
  <si>
    <t>п Монзино</t>
  </si>
  <si>
    <t>65717000341</t>
  </si>
  <si>
    <t>13:019:2:4:6</t>
  </si>
  <si>
    <t>с Кайгородское</t>
  </si>
  <si>
    <t>65717000281</t>
  </si>
  <si>
    <t>13:039:2:3:6</t>
  </si>
  <si>
    <t>п Отрадный</t>
  </si>
  <si>
    <t>65717000361</t>
  </si>
  <si>
    <t>13:030:2:4:6</t>
  </si>
  <si>
    <t>с Мокроусское</t>
  </si>
  <si>
    <t>65751000126</t>
  </si>
  <si>
    <t>14:021:2:5:6</t>
  </si>
  <si>
    <t>город Нижний Тагил</t>
  </si>
  <si>
    <t>д Усть-Утка</t>
  </si>
  <si>
    <t>65751000106</t>
  </si>
  <si>
    <t>14:003:2:5:6</t>
  </si>
  <si>
    <t>д Баронская</t>
  </si>
  <si>
    <t>65751000216</t>
  </si>
  <si>
    <t>14:018:2:4:6</t>
  </si>
  <si>
    <t>с Сулем</t>
  </si>
  <si>
    <t>65717000121</t>
  </si>
  <si>
    <t>13:016:2:5:6</t>
  </si>
  <si>
    <t>д Дубасова</t>
  </si>
  <si>
    <t>65717000196</t>
  </si>
  <si>
    <t>13:052:2:5:6</t>
  </si>
  <si>
    <t>д Старая Паньшина</t>
  </si>
  <si>
    <t>65751000141</t>
  </si>
  <si>
    <t>14:005:2:3:6</t>
  </si>
  <si>
    <t>п Висимо-Уткинск</t>
  </si>
  <si>
    <t>65717000251</t>
  </si>
  <si>
    <t>13:017:2:3:6</t>
  </si>
  <si>
    <t>п Зональный</t>
  </si>
  <si>
    <t>65717000231</t>
  </si>
  <si>
    <t>13:007:2:3:6</t>
  </si>
  <si>
    <t>п Братчиково</t>
  </si>
  <si>
    <t>65717000161</t>
  </si>
  <si>
    <t>13:035:2:5:6</t>
  </si>
  <si>
    <t>д Новая</t>
  </si>
  <si>
    <t>65751000156</t>
  </si>
  <si>
    <t>14:008:2:3:6</t>
  </si>
  <si>
    <t>п Еква</t>
  </si>
  <si>
    <t>65717000366</t>
  </si>
  <si>
    <t>13:033:2:4:6</t>
  </si>
  <si>
    <t>с Мурзинка</t>
  </si>
  <si>
    <t>65717000336</t>
  </si>
  <si>
    <t>13:015:2:4:6</t>
  </si>
  <si>
    <t>с Дрягуново</t>
  </si>
  <si>
    <t>65717000211</t>
  </si>
  <si>
    <t>13:055:2:5:6</t>
  </si>
  <si>
    <t>д Харенки</t>
  </si>
  <si>
    <t>65717000106</t>
  </si>
  <si>
    <t>13:001:2:5:6</t>
  </si>
  <si>
    <t>д Анатольская</t>
  </si>
  <si>
    <t>65717000261</t>
  </si>
  <si>
    <t>13:025:2:3:6</t>
  </si>
  <si>
    <t>п Леневка</t>
  </si>
  <si>
    <t>65718000176</t>
  </si>
  <si>
    <t>61:023:2:5:6</t>
  </si>
  <si>
    <t>Пышминский городской округ</t>
  </si>
  <si>
    <t>д Родина</t>
  </si>
  <si>
    <t>65718000146</t>
  </si>
  <si>
    <t>61:013:2:5:6</t>
  </si>
  <si>
    <t>д Мартынова</t>
  </si>
  <si>
    <t>65718000131</t>
  </si>
  <si>
    <t>61:008:2:5:6</t>
  </si>
  <si>
    <t>д Комарова</t>
  </si>
  <si>
    <t>65718000231</t>
  </si>
  <si>
    <t>61:037:2:5:6</t>
  </si>
  <si>
    <t>д Холкина</t>
  </si>
  <si>
    <t>65718000181</t>
  </si>
  <si>
    <t>61:024:2:5:6</t>
  </si>
  <si>
    <t>д Русакова</t>
  </si>
  <si>
    <t>65718000271</t>
  </si>
  <si>
    <t>61:010:2:4:6</t>
  </si>
  <si>
    <t>с Красноярское</t>
  </si>
  <si>
    <t>65718000266</t>
  </si>
  <si>
    <t>61:001:2:4:6</t>
  </si>
  <si>
    <t>с Боровлянское</t>
  </si>
  <si>
    <t>65718000166</t>
  </si>
  <si>
    <t>61:020:2:5:6</t>
  </si>
  <si>
    <t>д Пылаева</t>
  </si>
  <si>
    <t>65718000201</t>
  </si>
  <si>
    <t>61:028:2:5:6</t>
  </si>
  <si>
    <t>д Смородинка</t>
  </si>
  <si>
    <t>65718000051</t>
  </si>
  <si>
    <t>61:021:1:2:4</t>
  </si>
  <si>
    <t>пгт Пышма</t>
  </si>
  <si>
    <t>65718000241</t>
  </si>
  <si>
    <t>61:007:2:3:6</t>
  </si>
  <si>
    <t>п Ключевской</t>
  </si>
  <si>
    <t>65718000171</t>
  </si>
  <si>
    <t>61:022:2:5:6</t>
  </si>
  <si>
    <t>д Речелга</t>
  </si>
  <si>
    <t>65718000261</t>
  </si>
  <si>
    <t>61:043:2:3:6</t>
  </si>
  <si>
    <t>п Южный</t>
  </si>
  <si>
    <t>65718000216</t>
  </si>
  <si>
    <t>61:033:2:5:6</t>
  </si>
  <si>
    <t>65718000136</t>
  </si>
  <si>
    <t>61:009:2:5:6</t>
  </si>
  <si>
    <t>д Кочевка</t>
  </si>
  <si>
    <t>65718000306</t>
  </si>
  <si>
    <t>61:039:2:4:6</t>
  </si>
  <si>
    <t>с Чернышово</t>
  </si>
  <si>
    <t>65718000316</t>
  </si>
  <si>
    <t>61:041:2:4:6</t>
  </si>
  <si>
    <t>с Чупино</t>
  </si>
  <si>
    <t>65718000126</t>
  </si>
  <si>
    <t>61:006:2:5:6</t>
  </si>
  <si>
    <t>д Катарач</t>
  </si>
  <si>
    <t>65718000111</t>
  </si>
  <si>
    <t>61:003:2:5:6</t>
  </si>
  <si>
    <t>д Горушки</t>
  </si>
  <si>
    <t>65718000156</t>
  </si>
  <si>
    <t>61:015:2:5:6</t>
  </si>
  <si>
    <t>д Нагибина</t>
  </si>
  <si>
    <t>65718000161</t>
  </si>
  <si>
    <t>61:016:2:5:6</t>
  </si>
  <si>
    <t>д Налимова</t>
  </si>
  <si>
    <t>65718000106</t>
  </si>
  <si>
    <t>61:002:2:5:6</t>
  </si>
  <si>
    <t>65718000206</t>
  </si>
  <si>
    <t>61:029:2:5:6</t>
  </si>
  <si>
    <t>д Сыскова</t>
  </si>
  <si>
    <t>65718000251</t>
  </si>
  <si>
    <t>61:017:2:3:6</t>
  </si>
  <si>
    <t>65718000311</t>
  </si>
  <si>
    <t>61:040:2:4:6</t>
  </si>
  <si>
    <t>с Четкарино</t>
  </si>
  <si>
    <t>65718000186</t>
  </si>
  <si>
    <t>61:025:2:5:6</t>
  </si>
  <si>
    <t>д Савина</t>
  </si>
  <si>
    <t>65718000301</t>
  </si>
  <si>
    <t>61:038:2:4:6</t>
  </si>
  <si>
    <t>с Черемыш</t>
  </si>
  <si>
    <t>65718000116</t>
  </si>
  <si>
    <t>61:004:2:5:6</t>
  </si>
  <si>
    <t>д Духовая</t>
  </si>
  <si>
    <t>65736000106</t>
  </si>
  <si>
    <t>23:002:2:3:6</t>
  </si>
  <si>
    <t>п Вязовая</t>
  </si>
  <si>
    <t>65719000126</t>
  </si>
  <si>
    <t>33:006:2:3:6</t>
  </si>
  <si>
    <t>Городской округ Ревда</t>
  </si>
  <si>
    <t>п Ледянка</t>
  </si>
  <si>
    <t>65719000121</t>
  </si>
  <si>
    <t>33:004:2:3:6</t>
  </si>
  <si>
    <t>п Крылатовский</t>
  </si>
  <si>
    <t>65719000131</t>
  </si>
  <si>
    <t>33:005:2:4:6</t>
  </si>
  <si>
    <t>с Кунгурка</t>
  </si>
  <si>
    <t>65719000111</t>
  </si>
  <si>
    <t>33:002:2:3:6</t>
  </si>
  <si>
    <t>п Емелино</t>
  </si>
  <si>
    <t>65736000116</t>
  </si>
  <si>
    <t>23:001:2:3:6</t>
  </si>
  <si>
    <t>п Бережок</t>
  </si>
  <si>
    <t>65720000201</t>
  </si>
  <si>
    <t>62:003:2:4:5</t>
  </si>
  <si>
    <t>Режевской городской округ</t>
  </si>
  <si>
    <t>с Глинское</t>
  </si>
  <si>
    <t>65720000206</t>
  </si>
  <si>
    <t>62:008:2:4:6</t>
  </si>
  <si>
    <t>с Каменка</t>
  </si>
  <si>
    <t>65720000236</t>
  </si>
  <si>
    <t>62:023:2:4:6</t>
  </si>
  <si>
    <t>с Першино</t>
  </si>
  <si>
    <t>65720000141</t>
  </si>
  <si>
    <t>62:017:2:5:6</t>
  </si>
  <si>
    <t>65720000191</t>
  </si>
  <si>
    <t>62:027:2:3:6</t>
  </si>
  <si>
    <t>п Спартак</t>
  </si>
  <si>
    <t>65720000146</t>
  </si>
  <si>
    <t>62:018:2:5:6</t>
  </si>
  <si>
    <t>д Новые Кривки</t>
  </si>
  <si>
    <t>65720000231</t>
  </si>
  <si>
    <t>62:021:2:4:6</t>
  </si>
  <si>
    <t>65720000136</t>
  </si>
  <si>
    <t>62:013:2:5:6</t>
  </si>
  <si>
    <t>д Кучки</t>
  </si>
  <si>
    <t>65720000241</t>
  </si>
  <si>
    <t>62:028:2:4:6</t>
  </si>
  <si>
    <t>с Точильный Ключ</t>
  </si>
  <si>
    <t>65720000156</t>
  </si>
  <si>
    <t>62:025:2:5:6</t>
  </si>
  <si>
    <t>д Соколово</t>
  </si>
  <si>
    <t>65720000161</t>
  </si>
  <si>
    <t>62:026:2:5:6</t>
  </si>
  <si>
    <t>д Сохарево</t>
  </si>
  <si>
    <t>65720000151</t>
  </si>
  <si>
    <t>62:022:2:5:6</t>
  </si>
  <si>
    <t>д Ощепково</t>
  </si>
  <si>
    <t>65720000226</t>
  </si>
  <si>
    <t>62:020:2:4:6</t>
  </si>
  <si>
    <t>с Октябрьское</t>
  </si>
  <si>
    <t>65720000216</t>
  </si>
  <si>
    <t>62:014:2:4:6</t>
  </si>
  <si>
    <t>с Леневское</t>
  </si>
  <si>
    <t>65720000116</t>
  </si>
  <si>
    <t>62:005:2:5:6</t>
  </si>
  <si>
    <t>д Голендухино</t>
  </si>
  <si>
    <t>65720000106</t>
  </si>
  <si>
    <t>62:002:2:5:6</t>
  </si>
  <si>
    <t>д Воронино</t>
  </si>
  <si>
    <t>65720000211</t>
  </si>
  <si>
    <t>62:009:2:4:5</t>
  </si>
  <si>
    <t>с Клевакинское</t>
  </si>
  <si>
    <t>65720000121</t>
  </si>
  <si>
    <t>62:006:2:5:6</t>
  </si>
  <si>
    <t>д Гурино</t>
  </si>
  <si>
    <t>65720000246</t>
  </si>
  <si>
    <t>62:029:2:4:6</t>
  </si>
  <si>
    <t>с Фирсово</t>
  </si>
  <si>
    <t>65720000166</t>
  </si>
  <si>
    <t>62:030:2:5:6</t>
  </si>
  <si>
    <t>д Чепчугово</t>
  </si>
  <si>
    <t>65720000126</t>
  </si>
  <si>
    <t>62:007:2:5:6</t>
  </si>
  <si>
    <t>д Жуково</t>
  </si>
  <si>
    <t>65720000221</t>
  </si>
  <si>
    <t>62:016:2:4:5</t>
  </si>
  <si>
    <t>с Липовское</t>
  </si>
  <si>
    <t>65720000131</t>
  </si>
  <si>
    <t>62:010:2:5:6</t>
  </si>
  <si>
    <t>д Колташи</t>
  </si>
  <si>
    <t>65720000251</t>
  </si>
  <si>
    <t>62:031:2:4:5</t>
  </si>
  <si>
    <t>с Черемисское</t>
  </si>
  <si>
    <t>65720000111</t>
  </si>
  <si>
    <t>62:004:2:5:6</t>
  </si>
  <si>
    <t>д Глухарево</t>
  </si>
  <si>
    <t>65721000191</t>
  </si>
  <si>
    <t>66:015:2:3:6</t>
  </si>
  <si>
    <t>Сосьвинский городской округ</t>
  </si>
  <si>
    <t>п Новая Заря</t>
  </si>
  <si>
    <t>65721000136</t>
  </si>
  <si>
    <t>66:010:2:5:6</t>
  </si>
  <si>
    <t>д Матушкина</t>
  </si>
  <si>
    <t>65721000206</t>
  </si>
  <si>
    <t>66:024:2:3:6</t>
  </si>
  <si>
    <t>п Чары</t>
  </si>
  <si>
    <t>65721000216</t>
  </si>
  <si>
    <t>66:017:2:4:6</t>
  </si>
  <si>
    <t>с Романово</t>
  </si>
  <si>
    <t>65721000156</t>
  </si>
  <si>
    <t>66:020:2:5:6</t>
  </si>
  <si>
    <t>д Тюменская</t>
  </si>
  <si>
    <t>65721000121</t>
  </si>
  <si>
    <t>66:007:2:5:6</t>
  </si>
  <si>
    <t>д Крапивная</t>
  </si>
  <si>
    <t>65721000116</t>
  </si>
  <si>
    <t>66:005:2:5:6</t>
  </si>
  <si>
    <t>д Копылова</t>
  </si>
  <si>
    <t>65721000166</t>
  </si>
  <si>
    <t>66:022:2:5:6</t>
  </si>
  <si>
    <t>д Усть-Березовка</t>
  </si>
  <si>
    <t>65721000181</t>
  </si>
  <si>
    <t>66:014:2:4:6</t>
  </si>
  <si>
    <t>с Новая Заря</t>
  </si>
  <si>
    <t>65721000111</t>
  </si>
  <si>
    <t>66:004:2:5:6</t>
  </si>
  <si>
    <t>д Киселева</t>
  </si>
  <si>
    <t>65721000106</t>
  </si>
  <si>
    <t>66:002:2:5:6</t>
  </si>
  <si>
    <t>д Денисова</t>
  </si>
  <si>
    <t>65721000126</t>
  </si>
  <si>
    <t>66:008:2:5:6</t>
  </si>
  <si>
    <t>д Куропашкина</t>
  </si>
  <si>
    <t>65721000196</t>
  </si>
  <si>
    <t>66:016:2:3:6</t>
  </si>
  <si>
    <t>п Пасынок</t>
  </si>
  <si>
    <t>65721000186</t>
  </si>
  <si>
    <t>66:003:2:3:6</t>
  </si>
  <si>
    <t>п Зеленый</t>
  </si>
  <si>
    <t>65721000211</t>
  </si>
  <si>
    <t>66:006:2:4:6</t>
  </si>
  <si>
    <t>с Кошай</t>
  </si>
  <si>
    <t>65721000151</t>
  </si>
  <si>
    <t>66:013:2:5:6</t>
  </si>
  <si>
    <t>д Монастырка</t>
  </si>
  <si>
    <t>65721000171</t>
  </si>
  <si>
    <t>66:023:2:5:6</t>
  </si>
  <si>
    <t>д Усть-Хмелевка</t>
  </si>
  <si>
    <t>65721000146</t>
  </si>
  <si>
    <t>66:012:2:5:6</t>
  </si>
  <si>
    <t>д Молва</t>
  </si>
  <si>
    <t>65721000201</t>
  </si>
  <si>
    <t>66:019:2:3:6</t>
  </si>
  <si>
    <t>п Сосьва Новая</t>
  </si>
  <si>
    <t>65721000161</t>
  </si>
  <si>
    <t>66:021:2:5:6</t>
  </si>
  <si>
    <t>д Угловая</t>
  </si>
  <si>
    <t>65721000131</t>
  </si>
  <si>
    <t>66:009:2:5:6</t>
  </si>
  <si>
    <t>д Маслова</t>
  </si>
  <si>
    <t>65639460101</t>
  </si>
  <si>
    <t>65:042:2:4:6</t>
  </si>
  <si>
    <t>Слободо-Туринский муниципальный район</t>
  </si>
  <si>
    <t>с Туринская Слобода</t>
  </si>
  <si>
    <t>65639455106</t>
  </si>
  <si>
    <t>65:001:2:5:6</t>
  </si>
  <si>
    <t>д Андронова</t>
  </si>
  <si>
    <t>65639455131</t>
  </si>
  <si>
    <t>65:041:2:5:6</t>
  </si>
  <si>
    <t>д Томилова</t>
  </si>
  <si>
    <t>65639460146</t>
  </si>
  <si>
    <t>65:037:2:5:6</t>
  </si>
  <si>
    <t>д Сагай</t>
  </si>
  <si>
    <t>65639470116</t>
  </si>
  <si>
    <t>65:006:2:5:6</t>
  </si>
  <si>
    <t>д Голякова</t>
  </si>
  <si>
    <t>65639460151</t>
  </si>
  <si>
    <t>65:044:2:5:6</t>
  </si>
  <si>
    <t>д Фалина</t>
  </si>
  <si>
    <t>65639470141</t>
  </si>
  <si>
    <t>65:013:2:5:6</t>
  </si>
  <si>
    <t>д Жирякова</t>
  </si>
  <si>
    <t>65639455116</t>
  </si>
  <si>
    <t>65:025:2:5:6</t>
  </si>
  <si>
    <t>д Макуй</t>
  </si>
  <si>
    <t>65639470181</t>
  </si>
  <si>
    <t>65:046:2:5:6</t>
  </si>
  <si>
    <t>д Черемнова</t>
  </si>
  <si>
    <t>65639470191</t>
  </si>
  <si>
    <t>65:020:2:4:6</t>
  </si>
  <si>
    <t>с Краснослободское</t>
  </si>
  <si>
    <t>65639470131</t>
  </si>
  <si>
    <t>65:011:2:5:6</t>
  </si>
  <si>
    <t>д Ермакова</t>
  </si>
  <si>
    <t>65639455126</t>
  </si>
  <si>
    <t>65:039:2:5:6</t>
  </si>
  <si>
    <t>д Суханова</t>
  </si>
  <si>
    <t>65639460121</t>
  </si>
  <si>
    <t>65:021:2:5:6</t>
  </si>
  <si>
    <t>д Красный Яр</t>
  </si>
  <si>
    <t>65639455111</t>
  </si>
  <si>
    <t>65:002:2:5:6</t>
  </si>
  <si>
    <t>д Барбашина</t>
  </si>
  <si>
    <t>65639455146</t>
  </si>
  <si>
    <t>65:034:2:4:6</t>
  </si>
  <si>
    <t>с Пушкарево 2-е</t>
  </si>
  <si>
    <t>65639470171</t>
  </si>
  <si>
    <t>65:028:2:5:6</t>
  </si>
  <si>
    <t>65639470151</t>
  </si>
  <si>
    <t>65:016:2:5:6</t>
  </si>
  <si>
    <t>д Зуева</t>
  </si>
  <si>
    <t>65639440106</t>
  </si>
  <si>
    <t>65:048:2:5:6</t>
  </si>
  <si>
    <t>д Юрты</t>
  </si>
  <si>
    <t>65639440111</t>
  </si>
  <si>
    <t>65:015:2:3:6</t>
  </si>
  <si>
    <t>п Звезда</t>
  </si>
  <si>
    <t>65639455136</t>
  </si>
  <si>
    <t>65:022:2:4:6</t>
  </si>
  <si>
    <t>с Куминовское</t>
  </si>
  <si>
    <t>65639460166</t>
  </si>
  <si>
    <t>65:045:2:4:6</t>
  </si>
  <si>
    <t>с Храмцово</t>
  </si>
  <si>
    <t>65639460136</t>
  </si>
  <si>
    <t>65:032:2:5:6</t>
  </si>
  <si>
    <t>д Овчинникова</t>
  </si>
  <si>
    <t>65639440116</t>
  </si>
  <si>
    <t>65:003:2:4:6</t>
  </si>
  <si>
    <t>с Бобровское</t>
  </si>
  <si>
    <t>65639470166</t>
  </si>
  <si>
    <t>65:024:2:5:6</t>
  </si>
  <si>
    <t>д Лукина</t>
  </si>
  <si>
    <t>65639470156</t>
  </si>
  <si>
    <t>65:017:2:5:6</t>
  </si>
  <si>
    <t>д Ивановка</t>
  </si>
  <si>
    <t>65639460111</t>
  </si>
  <si>
    <t>65:008:2:5:6</t>
  </si>
  <si>
    <t>65639460116</t>
  </si>
  <si>
    <t>65:019:2:5:6</t>
  </si>
  <si>
    <t>д Коржавина</t>
  </si>
  <si>
    <t>65639470111</t>
  </si>
  <si>
    <t>65:005:2:5:6</t>
  </si>
  <si>
    <t>д Голышева</t>
  </si>
  <si>
    <t>65639460161</t>
  </si>
  <si>
    <t>65:040:2:4:6</t>
  </si>
  <si>
    <t>с Тимофеево</t>
  </si>
  <si>
    <t>65639470121</t>
  </si>
  <si>
    <t>65:009:2:5:6</t>
  </si>
  <si>
    <t>д Елкина</t>
  </si>
  <si>
    <t>65639460106</t>
  </si>
  <si>
    <t>65:007:2:5:6</t>
  </si>
  <si>
    <t>65639455141</t>
  </si>
  <si>
    <t>65:033:2:4:6</t>
  </si>
  <si>
    <t>с Пушкарево 1-е</t>
  </si>
  <si>
    <t>65639460156</t>
  </si>
  <si>
    <t>65:047:2:5:6</t>
  </si>
  <si>
    <t>д Шадринка</t>
  </si>
  <si>
    <t>65639470186</t>
  </si>
  <si>
    <t>65:035:2:3:6</t>
  </si>
  <si>
    <t>65639460126</t>
  </si>
  <si>
    <t>65:026:2:5:6</t>
  </si>
  <si>
    <t>65639460141</t>
  </si>
  <si>
    <t>65:036:2:5:6</t>
  </si>
  <si>
    <t>д Решетникова</t>
  </si>
  <si>
    <t>65639460131</t>
  </si>
  <si>
    <t>65:027:2:5:6</t>
  </si>
  <si>
    <t>д Маркова</t>
  </si>
  <si>
    <t>65639455101</t>
  </si>
  <si>
    <t>65:038:2:4:6</t>
  </si>
  <si>
    <t>с Сладковское</t>
  </si>
  <si>
    <t>65722000261</t>
  </si>
  <si>
    <t>67:023:2:4:5</t>
  </si>
  <si>
    <t>65722000241</t>
  </si>
  <si>
    <t>67:040:2:4:6</t>
  </si>
  <si>
    <t>с Аверино</t>
  </si>
  <si>
    <t>65722000226</t>
  </si>
  <si>
    <t>67:033:2:3:6</t>
  </si>
  <si>
    <t>п Трактовский</t>
  </si>
  <si>
    <t>65722000286</t>
  </si>
  <si>
    <t>67:038:2:4:6</t>
  </si>
  <si>
    <t>с Щелкун</t>
  </si>
  <si>
    <t>65722000116</t>
  </si>
  <si>
    <t>67:009:2:5:6</t>
  </si>
  <si>
    <t>д Верхняя Боевка</t>
  </si>
  <si>
    <t>65722000136</t>
  </si>
  <si>
    <t>67:026:2:5:6</t>
  </si>
  <si>
    <t>65722000126</t>
  </si>
  <si>
    <t>67:019:2:5:6</t>
  </si>
  <si>
    <t>д Космакова</t>
  </si>
  <si>
    <t>65722000206</t>
  </si>
  <si>
    <t>67:025:2:3:5</t>
  </si>
  <si>
    <t>65727000221</t>
  </si>
  <si>
    <t>73:008:2:3:6</t>
  </si>
  <si>
    <t>Шалинский городской округ</t>
  </si>
  <si>
    <t>п Илим</t>
  </si>
  <si>
    <t>65728000131</t>
  </si>
  <si>
    <t>50:007:2:3:6</t>
  </si>
  <si>
    <t>Муниципальное образование город Алапаевск</t>
  </si>
  <si>
    <t>п Нейвинский</t>
  </si>
  <si>
    <t>65728000106</t>
  </si>
  <si>
    <t>50:003:2:5:6</t>
  </si>
  <si>
    <t>д Верхняя Алапаиха</t>
  </si>
  <si>
    <t>65728000141</t>
  </si>
  <si>
    <t>50:008:2:3:6</t>
  </si>
  <si>
    <t>п Озеро</t>
  </si>
  <si>
    <t>65728000116</t>
  </si>
  <si>
    <t>50:002:2:3:5</t>
  </si>
  <si>
    <t>п Асбестовский</t>
  </si>
  <si>
    <t>65728000146</t>
  </si>
  <si>
    <t>50:006:2:4:6</t>
  </si>
  <si>
    <t>с Мелкозерово</t>
  </si>
  <si>
    <t>65728000111</t>
  </si>
  <si>
    <t>50:009:2:5:6</t>
  </si>
  <si>
    <t>д Устьянчики</t>
  </si>
  <si>
    <t>65730000111</t>
  </si>
  <si>
    <t>04:003:2:3:6</t>
  </si>
  <si>
    <t>Асбестовский городской округ</t>
  </si>
  <si>
    <t>п Красноармейский</t>
  </si>
  <si>
    <t>65731000171</t>
  </si>
  <si>
    <t>08:015:2:3:6</t>
  </si>
  <si>
    <t>п Сарапулка</t>
  </si>
  <si>
    <t>65731000186</t>
  </si>
  <si>
    <t>08:018:2:3:5</t>
  </si>
  <si>
    <t>п Старопышминск</t>
  </si>
  <si>
    <t>65731000111</t>
  </si>
  <si>
    <t>08:003:2:3:6</t>
  </si>
  <si>
    <t>п Зеленый Дол</t>
  </si>
  <si>
    <t>65731000106</t>
  </si>
  <si>
    <t>08:001:2:3:6</t>
  </si>
  <si>
    <t>п Безречный</t>
  </si>
  <si>
    <t>65731000181</t>
  </si>
  <si>
    <t>08:017:2:3:6</t>
  </si>
  <si>
    <t>п Становая</t>
  </si>
  <si>
    <t>65731000136</t>
  </si>
  <si>
    <t>08:008:2:3:5</t>
  </si>
  <si>
    <t>п Лосиный</t>
  </si>
  <si>
    <t>65731000166</t>
  </si>
  <si>
    <t>08:013:2:3:6</t>
  </si>
  <si>
    <t>п Островное</t>
  </si>
  <si>
    <t>65731000176</t>
  </si>
  <si>
    <t>08:016:2:3:6</t>
  </si>
  <si>
    <t>п Солнечный</t>
  </si>
  <si>
    <t>65731000156</t>
  </si>
  <si>
    <t>08:011:2:3:6</t>
  </si>
  <si>
    <t>п Мурзинский</t>
  </si>
  <si>
    <t>65731000121</t>
  </si>
  <si>
    <t>08:005:2:3:5</t>
  </si>
  <si>
    <t>п Ключевск</t>
  </si>
  <si>
    <t>65731000131</t>
  </si>
  <si>
    <t>08:007:2:3:6</t>
  </si>
  <si>
    <t>п Липовский</t>
  </si>
  <si>
    <t>65731000141</t>
  </si>
  <si>
    <t>08:009:2:3:6</t>
  </si>
  <si>
    <t>п Лубяной</t>
  </si>
  <si>
    <t>65732000211</t>
  </si>
  <si>
    <t>20:024:2:3:6</t>
  </si>
  <si>
    <t>Городской округ Верхняя Пышма</t>
  </si>
  <si>
    <t>п Соколовка</t>
  </si>
  <si>
    <t>65732000201</t>
  </si>
  <si>
    <t>20:023:2:3:6</t>
  </si>
  <si>
    <t>п Санаторный</t>
  </si>
  <si>
    <t>65732000151</t>
  </si>
  <si>
    <t>20:010:2:3:6</t>
  </si>
  <si>
    <t>п Каменные Ключи</t>
  </si>
  <si>
    <t>65732000216</t>
  </si>
  <si>
    <t>20:001:2:4:6</t>
  </si>
  <si>
    <t>с Балтым</t>
  </si>
  <si>
    <t>65732000136</t>
  </si>
  <si>
    <t>20:008:2:3:6</t>
  </si>
  <si>
    <t>п Зеленый Бор</t>
  </si>
  <si>
    <t>65732000121</t>
  </si>
  <si>
    <t>20:005:2:3:6</t>
  </si>
  <si>
    <t>п Гать</t>
  </si>
  <si>
    <t>65732000146</t>
  </si>
  <si>
    <t>20:011:2:3:6</t>
  </si>
  <si>
    <t>п Кедровое</t>
  </si>
  <si>
    <t>65732000116</t>
  </si>
  <si>
    <t>20:002:2:3:6</t>
  </si>
  <si>
    <t>п Вашты</t>
  </si>
  <si>
    <t>65722000106</t>
  </si>
  <si>
    <t>67:003:2:5:6</t>
  </si>
  <si>
    <t>д Андреевка</t>
  </si>
  <si>
    <t>65722000151</t>
  </si>
  <si>
    <t>67:004:2:3:6</t>
  </si>
  <si>
    <t>п Асбест</t>
  </si>
  <si>
    <t>65722000191</t>
  </si>
  <si>
    <t>67:018:2:3:6</t>
  </si>
  <si>
    <t>п Колос</t>
  </si>
  <si>
    <t>65722000266</t>
  </si>
  <si>
    <t>67:024:2:4:6</t>
  </si>
  <si>
    <t>с Новоипатово</t>
  </si>
  <si>
    <t>65722000251</t>
  </si>
  <si>
    <t>67:014:2:4:6</t>
  </si>
  <si>
    <t>с Кадниково</t>
  </si>
  <si>
    <t>65722000211</t>
  </si>
  <si>
    <t>67:028:2:3:5</t>
  </si>
  <si>
    <t>65722000121</t>
  </si>
  <si>
    <t>67:017:2:5:6</t>
  </si>
  <si>
    <t>д Ключи</t>
  </si>
  <si>
    <t>65722000186</t>
  </si>
  <si>
    <t>67:015:2:3:6</t>
  </si>
  <si>
    <t>65722000221</t>
  </si>
  <si>
    <t>67:030:2:3:6</t>
  </si>
  <si>
    <t>п Поляна</t>
  </si>
  <si>
    <t>65722000196</t>
  </si>
  <si>
    <t>67:020:2:3:6</t>
  </si>
  <si>
    <t>п Лечебный</t>
  </si>
  <si>
    <t>65645440126</t>
  </si>
  <si>
    <t>68:013:2:5:6</t>
  </si>
  <si>
    <t>Таборинский муниципальный район</t>
  </si>
  <si>
    <t>д Мочалка</t>
  </si>
  <si>
    <t>65645415106</t>
  </si>
  <si>
    <t>68:003:2:5:6</t>
  </si>
  <si>
    <t>д Бочкарево</t>
  </si>
  <si>
    <t>65645450121</t>
  </si>
  <si>
    <t>68:018:2:5:6</t>
  </si>
  <si>
    <t>65645415151</t>
  </si>
  <si>
    <t>68:027:2:5:6</t>
  </si>
  <si>
    <t>д Чермино</t>
  </si>
  <si>
    <t>65645415136</t>
  </si>
  <si>
    <t>68:017:2:5:6</t>
  </si>
  <si>
    <t>д Оверино</t>
  </si>
  <si>
    <t>65645415121</t>
  </si>
  <si>
    <t>68:008:2:5:6</t>
  </si>
  <si>
    <t>д Ермаково</t>
  </si>
  <si>
    <t>65645440111</t>
  </si>
  <si>
    <t>68:006:2:5:6</t>
  </si>
  <si>
    <t>д Добрино</t>
  </si>
  <si>
    <t>65645415116</t>
  </si>
  <si>
    <t>68:005:2:5:6</t>
  </si>
  <si>
    <t>д Городок</t>
  </si>
  <si>
    <t>65645415101</t>
  </si>
  <si>
    <t>68:012:2:5:6</t>
  </si>
  <si>
    <t>д Кузнецово</t>
  </si>
  <si>
    <t>65645440136</t>
  </si>
  <si>
    <t>68:025:2:5:6</t>
  </si>
  <si>
    <t>д Фирули</t>
  </si>
  <si>
    <t>65645450131</t>
  </si>
  <si>
    <t>68:029:2:5:6</t>
  </si>
  <si>
    <t>д Чирки</t>
  </si>
  <si>
    <t>65645415111</t>
  </si>
  <si>
    <t>68:004:2:5:6</t>
  </si>
  <si>
    <t>д Галкино</t>
  </si>
  <si>
    <t>65645440121</t>
  </si>
  <si>
    <t>68:011:2:5:6</t>
  </si>
  <si>
    <t>д Кокшарово</t>
  </si>
  <si>
    <t>65645415156</t>
  </si>
  <si>
    <t>68:030:2:5:6</t>
  </si>
  <si>
    <t>д Чулино</t>
  </si>
  <si>
    <t>65645415131</t>
  </si>
  <si>
    <t>68:014:2:5:6</t>
  </si>
  <si>
    <t>д Мягково</t>
  </si>
  <si>
    <t>65723000141</t>
  </si>
  <si>
    <t>69:009:2:5:6</t>
  </si>
  <si>
    <t>Тавдинский городской округ</t>
  </si>
  <si>
    <t>д Герасимовка</t>
  </si>
  <si>
    <t>65723000171</t>
  </si>
  <si>
    <t>69:024:2:5:6</t>
  </si>
  <si>
    <t>д Ленино</t>
  </si>
  <si>
    <t>65723000271</t>
  </si>
  <si>
    <t>69:023:2:3:6</t>
  </si>
  <si>
    <t>п Лебяжье</t>
  </si>
  <si>
    <t>65723000176</t>
  </si>
  <si>
    <t>69:026:2:5:6</t>
  </si>
  <si>
    <t>д Малая Пустынь</t>
  </si>
  <si>
    <t>65723000146</t>
  </si>
  <si>
    <t>69:011:2:5:6</t>
  </si>
  <si>
    <t>д Гузеево</t>
  </si>
  <si>
    <t>65723000251</t>
  </si>
  <si>
    <t>69:014:2:3:6</t>
  </si>
  <si>
    <t>п Земляное</t>
  </si>
  <si>
    <t>65723000131</t>
  </si>
  <si>
    <t>69:007:2:5:6</t>
  </si>
  <si>
    <t>д Васьково</t>
  </si>
  <si>
    <t>65723000186</t>
  </si>
  <si>
    <t>69:028:2:5:6</t>
  </si>
  <si>
    <t>д Мостовка</t>
  </si>
  <si>
    <t>65723000311</t>
  </si>
  <si>
    <t>69:022:2:4:6</t>
  </si>
  <si>
    <t>с Крутое</t>
  </si>
  <si>
    <t>65723000111</t>
  </si>
  <si>
    <t>69:003:2:5:6</t>
  </si>
  <si>
    <t>д Белоярка</t>
  </si>
  <si>
    <t>65723000241</t>
  </si>
  <si>
    <t>69:042:2:5:6</t>
  </si>
  <si>
    <t>д Шайтанка</t>
  </si>
  <si>
    <t>65723000216</t>
  </si>
  <si>
    <t>69:036:2:5:6</t>
  </si>
  <si>
    <t>д Тормоли 1-е</t>
  </si>
  <si>
    <t>65723000236</t>
  </si>
  <si>
    <t>69:041:2:5:6</t>
  </si>
  <si>
    <t>д Шабалино</t>
  </si>
  <si>
    <t>65723000196</t>
  </si>
  <si>
    <t>69:030:2:5:6</t>
  </si>
  <si>
    <t>д Ошмарка</t>
  </si>
  <si>
    <t>65723000201</t>
  </si>
  <si>
    <t>69:032:2:5:6</t>
  </si>
  <si>
    <t>д Саитково</t>
  </si>
  <si>
    <t>65723000166</t>
  </si>
  <si>
    <t>69:020:2:5:6</t>
  </si>
  <si>
    <t>65723000231</t>
  </si>
  <si>
    <t>69:040:2:5:6</t>
  </si>
  <si>
    <t>д Чандыри</t>
  </si>
  <si>
    <t>65723000121</t>
  </si>
  <si>
    <t>69:005:2:5:6</t>
  </si>
  <si>
    <t>д Большая Пустынь</t>
  </si>
  <si>
    <t>65723000151</t>
  </si>
  <si>
    <t>69:012:2:5:6</t>
  </si>
  <si>
    <t>д Дятловка</t>
  </si>
  <si>
    <t>65723000256</t>
  </si>
  <si>
    <t>69:016:2:3:6</t>
  </si>
  <si>
    <t>п Индра</t>
  </si>
  <si>
    <t>65723000191</t>
  </si>
  <si>
    <t>69:029:2:5:6</t>
  </si>
  <si>
    <t>д Новоселовка</t>
  </si>
  <si>
    <t>65723000106</t>
  </si>
  <si>
    <t>69:002:2:5:6</t>
  </si>
  <si>
    <t>д Беленичное</t>
  </si>
  <si>
    <t>65723000116</t>
  </si>
  <si>
    <t>69:004:2:5:6</t>
  </si>
  <si>
    <t>д Билькино</t>
  </si>
  <si>
    <t>65723000206</t>
  </si>
  <si>
    <t>69:033:2:5:6</t>
  </si>
  <si>
    <t>д Северная Чернушка</t>
  </si>
  <si>
    <t>65723000266</t>
  </si>
  <si>
    <t>69:019:2:3:6</t>
  </si>
  <si>
    <t>п Карьер</t>
  </si>
  <si>
    <t>65723000276</t>
  </si>
  <si>
    <t>69:025:2:3:6</t>
  </si>
  <si>
    <t>п Лисье</t>
  </si>
  <si>
    <t>65723000301</t>
  </si>
  <si>
    <t>69:010:2:4:6</t>
  </si>
  <si>
    <t>65723000156</t>
  </si>
  <si>
    <t>69:013:2:5:6</t>
  </si>
  <si>
    <t>д Забор</t>
  </si>
  <si>
    <t>65724000276</t>
  </si>
  <si>
    <t>70:052:2:5:6</t>
  </si>
  <si>
    <t>Талицкий городской округ</t>
  </si>
  <si>
    <t>65724000421</t>
  </si>
  <si>
    <t>70:092:2:5:6</t>
  </si>
  <si>
    <t>д Чупина</t>
  </si>
  <si>
    <t>65724000516</t>
  </si>
  <si>
    <t>70:023:2:4:6</t>
  </si>
  <si>
    <t>с Горбуновское</t>
  </si>
  <si>
    <t>65724000241</t>
  </si>
  <si>
    <t>70:039:2:5:6</t>
  </si>
  <si>
    <t>д Истоур</t>
  </si>
  <si>
    <t>65724000211</t>
  </si>
  <si>
    <t>70:033:2:5:6</t>
  </si>
  <si>
    <t>д Зарубина</t>
  </si>
  <si>
    <t>65724000166</t>
  </si>
  <si>
    <t>70:018:2:5:6</t>
  </si>
  <si>
    <t>д Верхний Талман</t>
  </si>
  <si>
    <t>65724000326</t>
  </si>
  <si>
    <t>70:065:2:5:6</t>
  </si>
  <si>
    <t>д Панова</t>
  </si>
  <si>
    <t>65724000426</t>
  </si>
  <si>
    <t>70:094:2:5:6</t>
  </si>
  <si>
    <t>65724000141</t>
  </si>
  <si>
    <t>70:011:2:5:6</t>
  </si>
  <si>
    <t>65724000351</t>
  </si>
  <si>
    <t>70:072:2:5:6</t>
  </si>
  <si>
    <t>д Поротникова</t>
  </si>
  <si>
    <t>65724000171</t>
  </si>
  <si>
    <t>70:019:2:5:6</t>
  </si>
  <si>
    <t>д Верхняя Плеханова</t>
  </si>
  <si>
    <t>65724000321</t>
  </si>
  <si>
    <t>70:064:2:5:6</t>
  </si>
  <si>
    <t>д Ососкова</t>
  </si>
  <si>
    <t>65724000486</t>
  </si>
  <si>
    <t>70:093:2:3:6</t>
  </si>
  <si>
    <t>п Чупино</t>
  </si>
  <si>
    <t>65724000231</t>
  </si>
  <si>
    <t>70:037:2:5:6</t>
  </si>
  <si>
    <t>д Зырянка</t>
  </si>
  <si>
    <t>65724000296</t>
  </si>
  <si>
    <t>70:057:2:5:6</t>
  </si>
  <si>
    <t>д Неупокоева</t>
  </si>
  <si>
    <t>65724000456</t>
  </si>
  <si>
    <t>70:061:2:3:6</t>
  </si>
  <si>
    <t>п Новодеревенский</t>
  </si>
  <si>
    <t>65724000161</t>
  </si>
  <si>
    <t>70:017:2:5:6</t>
  </si>
  <si>
    <t>д Вахова</t>
  </si>
  <si>
    <t>65724000261</t>
  </si>
  <si>
    <t>70:046:2:5:6</t>
  </si>
  <si>
    <t>д Красногорка</t>
  </si>
  <si>
    <t>65724000366</t>
  </si>
  <si>
    <t>70:076:2:5:6</t>
  </si>
  <si>
    <t>д Речкина</t>
  </si>
  <si>
    <t>65724000281</t>
  </si>
  <si>
    <t>70:053:2:5:6</t>
  </si>
  <si>
    <t>д Медведкова</t>
  </si>
  <si>
    <t>65724000491</t>
  </si>
  <si>
    <t>70:002:2:4:6</t>
  </si>
  <si>
    <t>с Балаир</t>
  </si>
  <si>
    <t>65724000551</t>
  </si>
  <si>
    <t>70:054:2:4:6</t>
  </si>
  <si>
    <t>с Москвинское</t>
  </si>
  <si>
    <t>65724000341</t>
  </si>
  <si>
    <t>70:069:2:5:6</t>
  </si>
  <si>
    <t>д Пиджакова</t>
  </si>
  <si>
    <t>65724000256</t>
  </si>
  <si>
    <t>70:044:2:5:6</t>
  </si>
  <si>
    <t>65724000126</t>
  </si>
  <si>
    <t>70:008:2:5:6</t>
  </si>
  <si>
    <t>д Большая Ефремова</t>
  </si>
  <si>
    <t>65724000236</t>
  </si>
  <si>
    <t>70:038:2:5:6</t>
  </si>
  <si>
    <t>65724000441</t>
  </si>
  <si>
    <t>70:045:2:3:6</t>
  </si>
  <si>
    <t>п Комсомольский</t>
  </si>
  <si>
    <t>65724000226</t>
  </si>
  <si>
    <t>70:036:2:5:6</t>
  </si>
  <si>
    <t>д Зотина</t>
  </si>
  <si>
    <t>65724000451</t>
  </si>
  <si>
    <t>70:050:2:3:6</t>
  </si>
  <si>
    <t>п Мака</t>
  </si>
  <si>
    <t>65724000411</t>
  </si>
  <si>
    <t>70:090:2:5:6</t>
  </si>
  <si>
    <t>д Черемухово</t>
  </si>
  <si>
    <t>65724000221</t>
  </si>
  <si>
    <t>70:035:2:5:6</t>
  </si>
  <si>
    <t>65724000436</t>
  </si>
  <si>
    <t>70:029:2:3:6</t>
  </si>
  <si>
    <t>п Заводской</t>
  </si>
  <si>
    <t>65724000336</t>
  </si>
  <si>
    <t>70:068:2:5:6</t>
  </si>
  <si>
    <t>д Первухина</t>
  </si>
  <si>
    <t>65724000391</t>
  </si>
  <si>
    <t>70:084:2:5:6</t>
  </si>
  <si>
    <t>д Темная</t>
  </si>
  <si>
    <t>65724000361</t>
  </si>
  <si>
    <t>70:075:2:5:6</t>
  </si>
  <si>
    <t>д Ретина</t>
  </si>
  <si>
    <t>65724000181</t>
  </si>
  <si>
    <t>70:022:2:5:6</t>
  </si>
  <si>
    <t>д Гомзикова</t>
  </si>
  <si>
    <t>65724000446</t>
  </si>
  <si>
    <t>70:047:2:3:6</t>
  </si>
  <si>
    <t>п Кузнецовский</t>
  </si>
  <si>
    <t>65724000331</t>
  </si>
  <si>
    <t>70:067:2:5:6</t>
  </si>
  <si>
    <t>65724000306</t>
  </si>
  <si>
    <t>70:060:2:5:6</t>
  </si>
  <si>
    <t>д Новая Деревня</t>
  </si>
  <si>
    <t>65724000271</t>
  </si>
  <si>
    <t>70:051:2:5:6</t>
  </si>
  <si>
    <t>д Малая Ефремова</t>
  </si>
  <si>
    <t>65724000156</t>
  </si>
  <si>
    <t>70:016:2:5:6</t>
  </si>
  <si>
    <t>д Васенина</t>
  </si>
  <si>
    <t>65724000346</t>
  </si>
  <si>
    <t>70:071:2:5:6</t>
  </si>
  <si>
    <t>д Погорелка</t>
  </si>
  <si>
    <t>65724000206</t>
  </si>
  <si>
    <t>70:031:2:4:6</t>
  </si>
  <si>
    <t>с Заречная</t>
  </si>
  <si>
    <t>65724000386</t>
  </si>
  <si>
    <t>70:083:2:5:6</t>
  </si>
  <si>
    <t>д Тарасова</t>
  </si>
  <si>
    <t>65724000121</t>
  </si>
  <si>
    <t>70:007:2:5:6</t>
  </si>
  <si>
    <t>65724000191</t>
  </si>
  <si>
    <t>70:027:2:5:6</t>
  </si>
  <si>
    <t>д Журавлева</t>
  </si>
  <si>
    <t>65724000356</t>
  </si>
  <si>
    <t>70:073:2:5:6</t>
  </si>
  <si>
    <t>д Притыкина</t>
  </si>
  <si>
    <t>65724000566</t>
  </si>
  <si>
    <t>70:087:2:4:6</t>
  </si>
  <si>
    <t>с Уецкое</t>
  </si>
  <si>
    <t>65724000291</t>
  </si>
  <si>
    <t>70:056:2:5:6</t>
  </si>
  <si>
    <t>д Непеина</t>
  </si>
  <si>
    <t>65724000131</t>
  </si>
  <si>
    <t>70:009:2:5:6</t>
  </si>
  <si>
    <t>д Бор</t>
  </si>
  <si>
    <t>65724000371</t>
  </si>
  <si>
    <t>70:077:2:5:6</t>
  </si>
  <si>
    <t>д Серкова</t>
  </si>
  <si>
    <t>65724000286</t>
  </si>
  <si>
    <t>70:055:2:5:6</t>
  </si>
  <si>
    <t>д Мохирева</t>
  </si>
  <si>
    <t>65724000461</t>
  </si>
  <si>
    <t>70:063:2:3:6</t>
  </si>
  <si>
    <t>65724000196</t>
  </si>
  <si>
    <t>70:028:2:5:6</t>
  </si>
  <si>
    <t>д Заборская</t>
  </si>
  <si>
    <t>65724000266</t>
  </si>
  <si>
    <t>70:049:2:5:6</t>
  </si>
  <si>
    <t>65724000531</t>
  </si>
  <si>
    <t>70:030:2:4:6</t>
  </si>
  <si>
    <t>с Завьяловское</t>
  </si>
  <si>
    <t>65724000251</t>
  </si>
  <si>
    <t>70:042:2:5:6</t>
  </si>
  <si>
    <t>65724000501</t>
  </si>
  <si>
    <t>70:006:2:4:6</t>
  </si>
  <si>
    <t>с Беляковское</t>
  </si>
  <si>
    <t>65724000311</t>
  </si>
  <si>
    <t>70:059:2:5:6</t>
  </si>
  <si>
    <t>65724000136</t>
  </si>
  <si>
    <t>70:010:2:5:6</t>
  </si>
  <si>
    <t>д Борзикова</t>
  </si>
  <si>
    <t>65724000216</t>
  </si>
  <si>
    <t>70:034:2:5:6</t>
  </si>
  <si>
    <t>д Заселина</t>
  </si>
  <si>
    <t>65725000151</t>
  </si>
  <si>
    <t>71:015:2:5:6</t>
  </si>
  <si>
    <t>Тугулымский городской округ</t>
  </si>
  <si>
    <t>д Золотова</t>
  </si>
  <si>
    <t>65725000181</t>
  </si>
  <si>
    <t>71:026:2:5:6</t>
  </si>
  <si>
    <t>д Малый Рамыл</t>
  </si>
  <si>
    <t>65725000246</t>
  </si>
  <si>
    <t>71:046:2:5:6</t>
  </si>
  <si>
    <t>д Чураки</t>
  </si>
  <si>
    <t>65725000261</t>
  </si>
  <si>
    <t>71:051:2:5:6</t>
  </si>
  <si>
    <t>д Ядрышникова</t>
  </si>
  <si>
    <t>65725000316</t>
  </si>
  <si>
    <t>71:010:2:4:6</t>
  </si>
  <si>
    <t>с Демино</t>
  </si>
  <si>
    <t>65725000166</t>
  </si>
  <si>
    <t>71:021:2:5:6</t>
  </si>
  <si>
    <t>65725000116</t>
  </si>
  <si>
    <t>71:004:2:5:6</t>
  </si>
  <si>
    <t>д Бочкари</t>
  </si>
  <si>
    <t>65725000111</t>
  </si>
  <si>
    <t>71:003:2:5:6</t>
  </si>
  <si>
    <t>д Большой Рамыл</t>
  </si>
  <si>
    <t>65725000156</t>
  </si>
  <si>
    <t>71:018:2:5:6</t>
  </si>
  <si>
    <t>д Калачики</t>
  </si>
  <si>
    <t>65725000221</t>
  </si>
  <si>
    <t>71:037:2:5:6</t>
  </si>
  <si>
    <t>д Потаскуева</t>
  </si>
  <si>
    <t>65725000336</t>
  </si>
  <si>
    <t>71:027:2:4:6</t>
  </si>
  <si>
    <t>с Мальцево</t>
  </si>
  <si>
    <t>65725000201</t>
  </si>
  <si>
    <t>71:032:2:5:6</t>
  </si>
  <si>
    <t>д Остров</t>
  </si>
  <si>
    <t>65725000211</t>
  </si>
  <si>
    <t>71:035:2:5:6</t>
  </si>
  <si>
    <t>д Полуденка</t>
  </si>
  <si>
    <t>65725000231</t>
  </si>
  <si>
    <t>71:042:2:5:6</t>
  </si>
  <si>
    <t>д Тямкина</t>
  </si>
  <si>
    <t>65725000186</t>
  </si>
  <si>
    <t>71:028:2:5:6</t>
  </si>
  <si>
    <t>д Месед</t>
  </si>
  <si>
    <t>65725000106</t>
  </si>
  <si>
    <t>71:001:2:5:6</t>
  </si>
  <si>
    <t>д Александровка</t>
  </si>
  <si>
    <t>65725000236</t>
  </si>
  <si>
    <t>71:043:2:5:6</t>
  </si>
  <si>
    <t>65725000311</t>
  </si>
  <si>
    <t>71:005:2:4:5</t>
  </si>
  <si>
    <t>с Верховино</t>
  </si>
  <si>
    <t>65725000331</t>
  </si>
  <si>
    <t>71:024:2:4:6</t>
  </si>
  <si>
    <t>с Лучинкино</t>
  </si>
  <si>
    <t>65726000406</t>
  </si>
  <si>
    <t>72:025:2:4:6</t>
  </si>
  <si>
    <t>Туринский городской округ</t>
  </si>
  <si>
    <t>с Ленское</t>
  </si>
  <si>
    <t>65726000441</t>
  </si>
  <si>
    <t>72:063:2:4:6</t>
  </si>
  <si>
    <t>с Шухруповское</t>
  </si>
  <si>
    <t>65726000296</t>
  </si>
  <si>
    <t>72:059:2:5:6</t>
  </si>
  <si>
    <t>д Чернышово</t>
  </si>
  <si>
    <t>65726000371</t>
  </si>
  <si>
    <t>72:009:2:4:6</t>
  </si>
  <si>
    <t>65726000316</t>
  </si>
  <si>
    <t>72:011:2:3:6</t>
  </si>
  <si>
    <t>п Добанчино</t>
  </si>
  <si>
    <t>65726000226</t>
  </si>
  <si>
    <t>72:036:2:5:6</t>
  </si>
  <si>
    <t>д Петрово</t>
  </si>
  <si>
    <t>65726000291</t>
  </si>
  <si>
    <t>72:057:2:5:6</t>
  </si>
  <si>
    <t>д Чеболтасово</t>
  </si>
  <si>
    <t>65726000431</t>
  </si>
  <si>
    <t>72:058:2:4:6</t>
  </si>
  <si>
    <t>с Чекуново</t>
  </si>
  <si>
    <t>65726000281</t>
  </si>
  <si>
    <t>72:054:2:5:6</t>
  </si>
  <si>
    <t>д Устиновка</t>
  </si>
  <si>
    <t>65726000136</t>
  </si>
  <si>
    <t>72:010:2:5:6</t>
  </si>
  <si>
    <t>д Давыдово</t>
  </si>
  <si>
    <t>65726000326</t>
  </si>
  <si>
    <t>72:037:2:3:6</t>
  </si>
  <si>
    <t>п Поречье</t>
  </si>
  <si>
    <t>65726000196</t>
  </si>
  <si>
    <t>72:029:2:5:6</t>
  </si>
  <si>
    <t>д Митрофановка</t>
  </si>
  <si>
    <t>65726000161</t>
  </si>
  <si>
    <t>72:018:2:5:6</t>
  </si>
  <si>
    <t>д Кибирева</t>
  </si>
  <si>
    <t>65726000276</t>
  </si>
  <si>
    <t>72:052:2:5:6</t>
  </si>
  <si>
    <t>д Урусова</t>
  </si>
  <si>
    <t>65726000391</t>
  </si>
  <si>
    <t>72:015:2:4:6</t>
  </si>
  <si>
    <t>с Зеленый Бор</t>
  </si>
  <si>
    <t>65726000116</t>
  </si>
  <si>
    <t>72:004:2:5:6</t>
  </si>
  <si>
    <t>65726000201</t>
  </si>
  <si>
    <t>72:031:2:5:6</t>
  </si>
  <si>
    <t>д Неймышево</t>
  </si>
  <si>
    <t>65726000396</t>
  </si>
  <si>
    <t>72:021:2:4:6</t>
  </si>
  <si>
    <t>с Коркинское</t>
  </si>
  <si>
    <t>65726000356</t>
  </si>
  <si>
    <t>72:055:2:3:6</t>
  </si>
  <si>
    <t>п Фабричное</t>
  </si>
  <si>
    <t>65726000376</t>
  </si>
  <si>
    <t>72:012:2:4:6</t>
  </si>
  <si>
    <t>с Дымковское</t>
  </si>
  <si>
    <t>65726000401</t>
  </si>
  <si>
    <t>72:024:2:4:6</t>
  </si>
  <si>
    <t>с Кумарьинское</t>
  </si>
  <si>
    <t>65726000176</t>
  </si>
  <si>
    <t>72:022:2:5:6</t>
  </si>
  <si>
    <t>д Косарева</t>
  </si>
  <si>
    <t>65726000261</t>
  </si>
  <si>
    <t>72:047:2:5:6</t>
  </si>
  <si>
    <t>д Топорково</t>
  </si>
  <si>
    <t>65726000421</t>
  </si>
  <si>
    <t>72:030:2:4:6</t>
  </si>
  <si>
    <t>с Назарово</t>
  </si>
  <si>
    <t>65726000366</t>
  </si>
  <si>
    <t>72:003:2:4:6</t>
  </si>
  <si>
    <t>с Благовещенское</t>
  </si>
  <si>
    <t>65726000121</t>
  </si>
  <si>
    <t>72:005:2:5:6</t>
  </si>
  <si>
    <t>д Бушланово</t>
  </si>
  <si>
    <t>65726000386</t>
  </si>
  <si>
    <t>72:014:2:4:6</t>
  </si>
  <si>
    <t>с Жуковское</t>
  </si>
  <si>
    <t>65726000131</t>
  </si>
  <si>
    <t>72:008:2:5:6</t>
  </si>
  <si>
    <t>65726000336</t>
  </si>
  <si>
    <t>72:039:2:3:6</t>
  </si>
  <si>
    <t>п Разумово</t>
  </si>
  <si>
    <t>65726000346</t>
  </si>
  <si>
    <t>72:043:2:3:6</t>
  </si>
  <si>
    <t>п Смычка</t>
  </si>
  <si>
    <t>65726000416</t>
  </si>
  <si>
    <t>72:027:2:4:6</t>
  </si>
  <si>
    <t>65726000331</t>
  </si>
  <si>
    <t>72:038:2:3:6</t>
  </si>
  <si>
    <t>п Пролетарка</t>
  </si>
  <si>
    <t>65726000211</t>
  </si>
  <si>
    <t>72:033:2:5:6</t>
  </si>
  <si>
    <t>д Новоостровная</t>
  </si>
  <si>
    <t>65726000126</t>
  </si>
  <si>
    <t>72:007:2:5:6</t>
  </si>
  <si>
    <t>д Галактионовка</t>
  </si>
  <si>
    <t>65726000236</t>
  </si>
  <si>
    <t>72:041:2:5:6</t>
  </si>
  <si>
    <t>д Семухина</t>
  </si>
  <si>
    <t>65726000246</t>
  </si>
  <si>
    <t>72:044:2:5:6</t>
  </si>
  <si>
    <t>д Сутормина</t>
  </si>
  <si>
    <t>65726000206</t>
  </si>
  <si>
    <t>72:032:2:5:6</t>
  </si>
  <si>
    <t>д Новое Шишкино</t>
  </si>
  <si>
    <t>65726000151</t>
  </si>
  <si>
    <t>72:017:2:5:6</t>
  </si>
  <si>
    <t>д Кальтюкова</t>
  </si>
  <si>
    <t>65726000106</t>
  </si>
  <si>
    <t>72:001:2:5:6</t>
  </si>
  <si>
    <t>д Антоновка</t>
  </si>
  <si>
    <t>65726000271</t>
  </si>
  <si>
    <t>72:051:2:5:6</t>
  </si>
  <si>
    <t>д Урваново</t>
  </si>
  <si>
    <t>65726000186</t>
  </si>
  <si>
    <t>72:023:2:5:6</t>
  </si>
  <si>
    <t>65726000436</t>
  </si>
  <si>
    <t>72:060:2:4:6</t>
  </si>
  <si>
    <t>с Чукреевское</t>
  </si>
  <si>
    <t>65726000216</t>
  </si>
  <si>
    <t>72:034:2:5:6</t>
  </si>
  <si>
    <t>65726000191</t>
  </si>
  <si>
    <t>72:028:2:5:6</t>
  </si>
  <si>
    <t>65726000251</t>
  </si>
  <si>
    <t>72:045:2:5:6</t>
  </si>
  <si>
    <t>д Таволожка</t>
  </si>
  <si>
    <t>65726000381</t>
  </si>
  <si>
    <t>72:013:2:4:6</t>
  </si>
  <si>
    <t>с Ерзовское</t>
  </si>
  <si>
    <t>65726000411</t>
  </si>
  <si>
    <t>72:026:2:4:6</t>
  </si>
  <si>
    <t>с Леонтьевское</t>
  </si>
  <si>
    <t>65726000001</t>
  </si>
  <si>
    <t>72:049:1:1:4</t>
  </si>
  <si>
    <t>г Туринск</t>
  </si>
  <si>
    <t>65726000426</t>
  </si>
  <si>
    <t>72:053:2:4:6</t>
  </si>
  <si>
    <t>с Усениново</t>
  </si>
  <si>
    <t>65726000171</t>
  </si>
  <si>
    <t>72:020:2:5:6</t>
  </si>
  <si>
    <t>д Кондрахино</t>
  </si>
  <si>
    <t>65726000361</t>
  </si>
  <si>
    <t>72:062:2:3:6</t>
  </si>
  <si>
    <t>п Шуфрук</t>
  </si>
  <si>
    <t>65726000286</t>
  </si>
  <si>
    <t>72:056:2:5:6</t>
  </si>
  <si>
    <t>д Фирсово</t>
  </si>
  <si>
    <t>65726000166</t>
  </si>
  <si>
    <t>72:019:2:5:6</t>
  </si>
  <si>
    <t>д Кокузово</t>
  </si>
  <si>
    <t>65726000221</t>
  </si>
  <si>
    <t>72:035:2:5:6</t>
  </si>
  <si>
    <t>д Первина</t>
  </si>
  <si>
    <t>65726000146</t>
  </si>
  <si>
    <t>72:016:2:5:6</t>
  </si>
  <si>
    <t>д Казакова</t>
  </si>
  <si>
    <t>65726000256</t>
  </si>
  <si>
    <t>72:046:2:5:6</t>
  </si>
  <si>
    <t>д Тазово</t>
  </si>
  <si>
    <t>65726000266</t>
  </si>
  <si>
    <t>72:048:2:5:6</t>
  </si>
  <si>
    <t>д Туманово</t>
  </si>
  <si>
    <t>65726000301</t>
  </si>
  <si>
    <t>72:061:2:5:6</t>
  </si>
  <si>
    <t>д Шевелевское</t>
  </si>
  <si>
    <t>65726000111</t>
  </si>
  <si>
    <t>72:002:2:5:6</t>
  </si>
  <si>
    <t>д Березово</t>
  </si>
  <si>
    <t>65727000226</t>
  </si>
  <si>
    <t>73:011:2:3:6</t>
  </si>
  <si>
    <t>п Козьял</t>
  </si>
  <si>
    <t>65727000146</t>
  </si>
  <si>
    <t>73:017:2:5:6</t>
  </si>
  <si>
    <t>д Лом</t>
  </si>
  <si>
    <t>65727000181</t>
  </si>
  <si>
    <t>73:029:2:5:6</t>
  </si>
  <si>
    <t>д Симонята</t>
  </si>
  <si>
    <t>65727000161</t>
  </si>
  <si>
    <t>73:020:2:5:6</t>
  </si>
  <si>
    <t>д Низ</t>
  </si>
  <si>
    <t>65727000121</t>
  </si>
  <si>
    <t>73:009:2:5:6</t>
  </si>
  <si>
    <t>д Кедровка</t>
  </si>
  <si>
    <t>65727000131</t>
  </si>
  <si>
    <t>73:013:2:5:6</t>
  </si>
  <si>
    <t>д Коптело-Шамары</t>
  </si>
  <si>
    <t>65727000266</t>
  </si>
  <si>
    <t>73:038:2:3:6</t>
  </si>
  <si>
    <t>п Шутем</t>
  </si>
  <si>
    <t>65727000211</t>
  </si>
  <si>
    <t>73:004:2:3:6</t>
  </si>
  <si>
    <t>п Вырубки</t>
  </si>
  <si>
    <t>65727000251</t>
  </si>
  <si>
    <t>73:030:2:3:6</t>
  </si>
  <si>
    <t>п Стрелки</t>
  </si>
  <si>
    <t>65727000271</t>
  </si>
  <si>
    <t>73:016:2:4:6</t>
  </si>
  <si>
    <t>с Крюк</t>
  </si>
  <si>
    <t>65727000241</t>
  </si>
  <si>
    <t>73:027:2:3:6</t>
  </si>
  <si>
    <t>п Сабик</t>
  </si>
  <si>
    <t>65727000186</t>
  </si>
  <si>
    <t>73:032:2:5:6</t>
  </si>
  <si>
    <t>д Тепляки</t>
  </si>
  <si>
    <t>65727000141</t>
  </si>
  <si>
    <t>73:015:2:5:6</t>
  </si>
  <si>
    <t>д Кремлево</t>
  </si>
  <si>
    <t>65727000231</t>
  </si>
  <si>
    <t>73:012:2:3:5</t>
  </si>
  <si>
    <t>п Колпаковка</t>
  </si>
  <si>
    <t>65727000111</t>
  </si>
  <si>
    <t>73:006:2:5:5</t>
  </si>
  <si>
    <t>д Гора</t>
  </si>
  <si>
    <t>65727000236</t>
  </si>
  <si>
    <t>73:023:2:3:6</t>
  </si>
  <si>
    <t>п Пастушный</t>
  </si>
  <si>
    <t>65727000276</t>
  </si>
  <si>
    <t>73:025:2:4:6</t>
  </si>
  <si>
    <t>с Платоново</t>
  </si>
  <si>
    <t>65727000191</t>
  </si>
  <si>
    <t>73:037:2:5:6</t>
  </si>
  <si>
    <t>д Шигаево</t>
  </si>
  <si>
    <t>65727000106</t>
  </si>
  <si>
    <t>73:002:2:5:6</t>
  </si>
  <si>
    <t>65727000246</t>
  </si>
  <si>
    <t>73:028:2:3:5</t>
  </si>
  <si>
    <t>п Сарга</t>
  </si>
  <si>
    <t>65727000171</t>
  </si>
  <si>
    <t>73:022:2:5:6</t>
  </si>
  <si>
    <t>д Павлы</t>
  </si>
  <si>
    <t>65727000201</t>
  </si>
  <si>
    <t>73:001:2:3:6</t>
  </si>
  <si>
    <t>п Бизь</t>
  </si>
  <si>
    <t>65727000126</t>
  </si>
  <si>
    <t>73:010:2:5:6</t>
  </si>
  <si>
    <t>д Климино</t>
  </si>
  <si>
    <t>65727000136</t>
  </si>
  <si>
    <t>73:014:2:5:6</t>
  </si>
  <si>
    <t>д Коптелы</t>
  </si>
  <si>
    <t>65727000206</t>
  </si>
  <si>
    <t>73:003:2:3:5</t>
  </si>
  <si>
    <t>п Вогулка</t>
  </si>
  <si>
    <t>65727000156</t>
  </si>
  <si>
    <t>73:019:2:5:6</t>
  </si>
  <si>
    <t>д Нижняя Баская</t>
  </si>
  <si>
    <t>65727000261</t>
  </si>
  <si>
    <t>73:036:2:3:5</t>
  </si>
  <si>
    <t>п Шамары</t>
  </si>
  <si>
    <t>65727000196</t>
  </si>
  <si>
    <t>73:039:2:5:6</t>
  </si>
  <si>
    <t>д Юрмыс</t>
  </si>
  <si>
    <t>65727000281</t>
  </si>
  <si>
    <t>73:026:2:4:6</t>
  </si>
  <si>
    <t>с Роща</t>
  </si>
  <si>
    <t>65727000291</t>
  </si>
  <si>
    <t>73:034:2:4:6</t>
  </si>
  <si>
    <t>с Чусовое</t>
  </si>
  <si>
    <t>65727000151</t>
  </si>
  <si>
    <t>73:018:2:5:6</t>
  </si>
  <si>
    <t>д Мартьяново</t>
  </si>
  <si>
    <t>65727000116</t>
  </si>
  <si>
    <t>73:007:2:5:6</t>
  </si>
  <si>
    <t>д Ижболда</t>
  </si>
  <si>
    <t>65727000286</t>
  </si>
  <si>
    <t>73:031:2:4:5</t>
  </si>
  <si>
    <t>с Сылва</t>
  </si>
  <si>
    <t>65727000216</t>
  </si>
  <si>
    <t>73:005:2:3:6</t>
  </si>
  <si>
    <t>п Глухарь</t>
  </si>
  <si>
    <t>65727000256</t>
  </si>
  <si>
    <t>73:033:2:3:6</t>
  </si>
  <si>
    <t>п Унь</t>
  </si>
  <si>
    <t>65727000176</t>
  </si>
  <si>
    <t>73:024:2:5:6</t>
  </si>
  <si>
    <t>д Пермяки</t>
  </si>
  <si>
    <t>65732000181</t>
  </si>
  <si>
    <t>20:018:2:3:6</t>
  </si>
  <si>
    <t>65732000161</t>
  </si>
  <si>
    <t>20:013:2:3:6</t>
  </si>
  <si>
    <t>п Красный Адуй</t>
  </si>
  <si>
    <t>65732000191</t>
  </si>
  <si>
    <t>20:021:2:3:6</t>
  </si>
  <si>
    <t>п Ромашка</t>
  </si>
  <si>
    <t>65732000106</t>
  </si>
  <si>
    <t>20:004:2:5:6</t>
  </si>
  <si>
    <t>д Верхотурка</t>
  </si>
  <si>
    <t>65732000176</t>
  </si>
  <si>
    <t>20:017:2:3:6</t>
  </si>
  <si>
    <t>65732000171</t>
  </si>
  <si>
    <t>20:016:2:3:6</t>
  </si>
  <si>
    <t>п Нагорный</t>
  </si>
  <si>
    <t>65732000111</t>
  </si>
  <si>
    <t>20:020:2:5:6</t>
  </si>
  <si>
    <t>65732000221</t>
  </si>
  <si>
    <t>20:015:2:4:6</t>
  </si>
  <si>
    <t>с Мостовское</t>
  </si>
  <si>
    <t>65733000106</t>
  </si>
  <si>
    <t>19:001:2:3:6</t>
  </si>
  <si>
    <t>Городской округ Верхний Тагил</t>
  </si>
  <si>
    <t>п Белоречка</t>
  </si>
  <si>
    <t>65733000111</t>
  </si>
  <si>
    <t>19:003:2:3:6</t>
  </si>
  <si>
    <t>п Половинный</t>
  </si>
  <si>
    <t>65737000111</t>
  </si>
  <si>
    <t>24:002:2:5:6</t>
  </si>
  <si>
    <t>Городской округ Заречный</t>
  </si>
  <si>
    <t>д Гагарка</t>
  </si>
  <si>
    <t>65737000116</t>
  </si>
  <si>
    <t>24:004:2:5:6</t>
  </si>
  <si>
    <t>д Курманка</t>
  </si>
  <si>
    <t>65738000136</t>
  </si>
  <si>
    <t>38:005:2:3:6</t>
  </si>
  <si>
    <t>Ивдельский городской округ</t>
  </si>
  <si>
    <t>п Денежкино</t>
  </si>
  <si>
    <t>65738000211</t>
  </si>
  <si>
    <t>38:021:2:3:6</t>
  </si>
  <si>
    <t>п Старая Сама</t>
  </si>
  <si>
    <t>65738000221</t>
  </si>
  <si>
    <t>38:023:2:3:6</t>
  </si>
  <si>
    <t>п Талая</t>
  </si>
  <si>
    <t>65738000196</t>
  </si>
  <si>
    <t>38:018:2:3:6</t>
  </si>
  <si>
    <t>п Понил</t>
  </si>
  <si>
    <t>65738000246</t>
  </si>
  <si>
    <t>38:026:2:3:6</t>
  </si>
  <si>
    <t>п Хорпия</t>
  </si>
  <si>
    <t>65738000111</t>
  </si>
  <si>
    <t>38:002:2:3:6</t>
  </si>
  <si>
    <t>п Бурмантово</t>
  </si>
  <si>
    <t>65738000236</t>
  </si>
  <si>
    <t>38:024:2:3:6</t>
  </si>
  <si>
    <t>п Ушма</t>
  </si>
  <si>
    <t>65738000156</t>
  </si>
  <si>
    <t>38:010:2:3:6</t>
  </si>
  <si>
    <t>п Маслово</t>
  </si>
  <si>
    <t>65738000161</t>
  </si>
  <si>
    <t>38:011:2:3:6</t>
  </si>
  <si>
    <t>п Массава</t>
  </si>
  <si>
    <t>65738000121</t>
  </si>
  <si>
    <t>38:003:2:3:6</t>
  </si>
  <si>
    <t>п Вижай</t>
  </si>
  <si>
    <t>65738000216</t>
  </si>
  <si>
    <t>38:022:2:3:6</t>
  </si>
  <si>
    <t>п Суеватпауль</t>
  </si>
  <si>
    <t>65738000206</t>
  </si>
  <si>
    <t>38:020:2:3:6</t>
  </si>
  <si>
    <t>п Северный</t>
  </si>
  <si>
    <t>65738000151</t>
  </si>
  <si>
    <t>38:009:2:3:6</t>
  </si>
  <si>
    <t>п Лозьвинский</t>
  </si>
  <si>
    <t>65738000176</t>
  </si>
  <si>
    <t>38:014:2:3:6</t>
  </si>
  <si>
    <t>п Надымовка</t>
  </si>
  <si>
    <t>65738000141</t>
  </si>
  <si>
    <t>38:006:2:3:6</t>
  </si>
  <si>
    <t>п Екатерининка</t>
  </si>
  <si>
    <t>65738000181</t>
  </si>
  <si>
    <t>38:015:2:3:6</t>
  </si>
  <si>
    <t>п Оус</t>
  </si>
  <si>
    <t>65738000201</t>
  </si>
  <si>
    <t>38:019:2:3:6</t>
  </si>
  <si>
    <t>п Пристань</t>
  </si>
  <si>
    <t>65738000251</t>
  </si>
  <si>
    <t>38:027:2:3:6</t>
  </si>
  <si>
    <t>п Шипичный</t>
  </si>
  <si>
    <t>65711000486</t>
  </si>
  <si>
    <t>39:027:2:3:6</t>
  </si>
  <si>
    <t>п Дорожный</t>
  </si>
  <si>
    <t>65740000126</t>
  </si>
  <si>
    <t>52:007:1:1:2</t>
  </si>
  <si>
    <t>д Токарева</t>
  </si>
  <si>
    <t>65742000126</t>
  </si>
  <si>
    <t>26:005:2:3:6</t>
  </si>
  <si>
    <t>Городской округ Карпинск</t>
  </si>
  <si>
    <t>п Кытлым</t>
  </si>
  <si>
    <t>65742000106</t>
  </si>
  <si>
    <t>26:001:2:3:6</t>
  </si>
  <si>
    <t>п Антипинский</t>
  </si>
  <si>
    <t>65742000121</t>
  </si>
  <si>
    <t>26:003:2:3:6</t>
  </si>
  <si>
    <t>п Каквинские Печи</t>
  </si>
  <si>
    <t>65742000131</t>
  </si>
  <si>
    <t>26:006:2:3:6</t>
  </si>
  <si>
    <t>п Новая Княсьпа</t>
  </si>
  <si>
    <t>65742000116</t>
  </si>
  <si>
    <t>26:002:2:3:6</t>
  </si>
  <si>
    <t>п Веселовка</t>
  </si>
  <si>
    <t>65742000136</t>
  </si>
  <si>
    <t>26:007:2:3:6</t>
  </si>
  <si>
    <t>п Сосновка</t>
  </si>
  <si>
    <t>65743000106</t>
  </si>
  <si>
    <t>42:001:2:3:6</t>
  </si>
  <si>
    <t>п Валериановск</t>
  </si>
  <si>
    <t>65743000111</t>
  </si>
  <si>
    <t>42:002:2:3:6</t>
  </si>
  <si>
    <t>п Именновский</t>
  </si>
  <si>
    <t>65744000141</t>
  </si>
  <si>
    <t>43:009:2:3:6</t>
  </si>
  <si>
    <t>Кировградский городской округ</t>
  </si>
  <si>
    <t>п Тепловая</t>
  </si>
  <si>
    <t>65744000131</t>
  </si>
  <si>
    <t>43:007:2:3:6</t>
  </si>
  <si>
    <t>п Нейва</t>
  </si>
  <si>
    <t>65744000121</t>
  </si>
  <si>
    <t>43:004:2:3:6</t>
  </si>
  <si>
    <t>п Левиха</t>
  </si>
  <si>
    <t>65744000106</t>
  </si>
  <si>
    <t>43:005:2:5:6</t>
  </si>
  <si>
    <t>д Листвянное</t>
  </si>
  <si>
    <t>65744000116</t>
  </si>
  <si>
    <t>43:002:2:3:6</t>
  </si>
  <si>
    <t>п Карпушиха</t>
  </si>
  <si>
    <t>65745000106</t>
  </si>
  <si>
    <t>27:001:2:3:6</t>
  </si>
  <si>
    <t>Городской округ Краснотурьинск</t>
  </si>
  <si>
    <t>п Воронцовка</t>
  </si>
  <si>
    <t>65745000121</t>
  </si>
  <si>
    <t>27:005:2:3:6</t>
  </si>
  <si>
    <t>п Чернореченск</t>
  </si>
  <si>
    <t>65745000126</t>
  </si>
  <si>
    <t>27:003:2:3:6</t>
  </si>
  <si>
    <t>п Прибрежный</t>
  </si>
  <si>
    <t>65746000151</t>
  </si>
  <si>
    <t>28:010:2:3:6</t>
  </si>
  <si>
    <t>п Чирок</t>
  </si>
  <si>
    <t>65746000116</t>
  </si>
  <si>
    <t>28:002:2:3:6</t>
  </si>
  <si>
    <t>п Высокий</t>
  </si>
  <si>
    <t>65746000141</t>
  </si>
  <si>
    <t>28:008:2:3:6</t>
  </si>
  <si>
    <t>п Никольский</t>
  </si>
  <si>
    <t>65746000111</t>
  </si>
  <si>
    <t>28:001:2:3:6</t>
  </si>
  <si>
    <t>п Бородинка</t>
  </si>
  <si>
    <t>65746000106</t>
  </si>
  <si>
    <t>28:011:2:5:6</t>
  </si>
  <si>
    <t>д Ясьва</t>
  </si>
  <si>
    <t>65746000136</t>
  </si>
  <si>
    <t>28:007:2:3:6</t>
  </si>
  <si>
    <t>п Межень</t>
  </si>
  <si>
    <t>65746000001</t>
  </si>
  <si>
    <t>28:006:1:1:4</t>
  </si>
  <si>
    <t>г Красноуральск</t>
  </si>
  <si>
    <t>65746000131</t>
  </si>
  <si>
    <t>28:005:2:3:6</t>
  </si>
  <si>
    <t>п Краснодольский</t>
  </si>
  <si>
    <t>65746000121</t>
  </si>
  <si>
    <t>28:003:2:3:6</t>
  </si>
  <si>
    <t>п Дачный</t>
  </si>
  <si>
    <t>65748000161</t>
  </si>
  <si>
    <t>44:013:2:3:6</t>
  </si>
  <si>
    <t>Кушвинский городской округ</t>
  </si>
  <si>
    <t>п Чекмень</t>
  </si>
  <si>
    <t>65748000116</t>
  </si>
  <si>
    <t>44:008:2:5:6</t>
  </si>
  <si>
    <t>д Молочная</t>
  </si>
  <si>
    <t>65748000106</t>
  </si>
  <si>
    <t>44:003:2:5:6</t>
  </si>
  <si>
    <t>65748000156</t>
  </si>
  <si>
    <t>44:012:2:3:6</t>
  </si>
  <si>
    <t>п Хребет-Уральский</t>
  </si>
  <si>
    <t>65748000121</t>
  </si>
  <si>
    <t>44:009:2:5:6</t>
  </si>
  <si>
    <t>65748000151</t>
  </si>
  <si>
    <t>44:011:2:3:6</t>
  </si>
  <si>
    <t>п Софьянка</t>
  </si>
  <si>
    <t>65749000116</t>
  </si>
  <si>
    <t>15:004:2:3:6</t>
  </si>
  <si>
    <t>Городской округ "Город Лесной"</t>
  </si>
  <si>
    <t>п Чащавита</t>
  </si>
  <si>
    <t>65749000111</t>
  </si>
  <si>
    <t>15:005:2:3:5</t>
  </si>
  <si>
    <t>п Таежный</t>
  </si>
  <si>
    <t>65750000126</t>
  </si>
  <si>
    <t>30:003:2:4:6</t>
  </si>
  <si>
    <t>с Медведево</t>
  </si>
  <si>
    <t>65750000116</t>
  </si>
  <si>
    <t>30:005:2:3:6</t>
  </si>
  <si>
    <t>п Шайтанский Рудник</t>
  </si>
  <si>
    <t>65750000121</t>
  </si>
  <si>
    <t>30:001:2:4:6</t>
  </si>
  <si>
    <t>с Акинфиево</t>
  </si>
  <si>
    <t>65750000106</t>
  </si>
  <si>
    <t>30:002:2:3:6</t>
  </si>
  <si>
    <t>п Встреча</t>
  </si>
  <si>
    <t>65752000126</t>
  </si>
  <si>
    <t>59:006:2:4:5</t>
  </si>
  <si>
    <t>с Тарасково</t>
  </si>
  <si>
    <t>65752000106</t>
  </si>
  <si>
    <t>59:001:2:5:6</t>
  </si>
  <si>
    <t>д Елани</t>
  </si>
  <si>
    <t>65752000121</t>
  </si>
  <si>
    <t>59:002:2:3:6</t>
  </si>
  <si>
    <t>п Мурзинка</t>
  </si>
  <si>
    <t>65752000116</t>
  </si>
  <si>
    <t>59:005:2:5:5</t>
  </si>
  <si>
    <t>д Починок</t>
  </si>
  <si>
    <t>65753000171</t>
  </si>
  <si>
    <t>32:008:2:3:6</t>
  </si>
  <si>
    <t>Городской округ Первоуральск</t>
  </si>
  <si>
    <t>п Канал</t>
  </si>
  <si>
    <t>65753000121</t>
  </si>
  <si>
    <t>32:011:2:5:6</t>
  </si>
  <si>
    <t>д Крылосово</t>
  </si>
  <si>
    <t>65753000181</t>
  </si>
  <si>
    <t>32:012:2:3:6</t>
  </si>
  <si>
    <t>п Кузино</t>
  </si>
  <si>
    <t>65753000166</t>
  </si>
  <si>
    <t>32:006:2:3:6</t>
  </si>
  <si>
    <t>п Ильмовка</t>
  </si>
  <si>
    <t>65753000146</t>
  </si>
  <si>
    <t>32:029:2:5:6</t>
  </si>
  <si>
    <t>д Черемша</t>
  </si>
  <si>
    <t>65753000186</t>
  </si>
  <si>
    <t>32:014:2:3:6</t>
  </si>
  <si>
    <t>п Меркитасиха</t>
  </si>
  <si>
    <t>65753000156</t>
  </si>
  <si>
    <t>32:003:2:3:6</t>
  </si>
  <si>
    <t>п Вересовка</t>
  </si>
  <si>
    <t>65753000126</t>
  </si>
  <si>
    <t>32:013:2:5:6</t>
  </si>
  <si>
    <t>д Макарова</t>
  </si>
  <si>
    <t>65753000241</t>
  </si>
  <si>
    <t>32:017:2:4:6</t>
  </si>
  <si>
    <t>с Новоалексеевское</t>
  </si>
  <si>
    <t>65755000141</t>
  </si>
  <si>
    <t>63:003:2:4:6</t>
  </si>
  <si>
    <t>Североуральский городской округ</t>
  </si>
  <si>
    <t>с Всеволодо-Благодатское</t>
  </si>
  <si>
    <t>65755000121</t>
  </si>
  <si>
    <t>63:005:2:3:5</t>
  </si>
  <si>
    <t>п Покровск-Уральский</t>
  </si>
  <si>
    <t>65755000136</t>
  </si>
  <si>
    <t>63:009:2:3:5</t>
  </si>
  <si>
    <t>п Черемухово</t>
  </si>
  <si>
    <t>65755000106</t>
  </si>
  <si>
    <t>63:001:2:3:6</t>
  </si>
  <si>
    <t>п Баяновка</t>
  </si>
  <si>
    <t>65755000001</t>
  </si>
  <si>
    <t>63:006:1:1:4</t>
  </si>
  <si>
    <t>г Североуральск</t>
  </si>
  <si>
    <t>65755000131</t>
  </si>
  <si>
    <t>63:008:2:3:5</t>
  </si>
  <si>
    <t>п Третий Северный</t>
  </si>
  <si>
    <t>65755000116</t>
  </si>
  <si>
    <t>63:004:2:3:5</t>
  </si>
  <si>
    <t>п Калья</t>
  </si>
  <si>
    <t>65757000116</t>
  </si>
  <si>
    <t>35:001:2:3:6</t>
  </si>
  <si>
    <t>п Кирпичный</t>
  </si>
  <si>
    <t>65757000106</t>
  </si>
  <si>
    <t>35:002:2:5:6</t>
  </si>
  <si>
    <t>д Коптяки</t>
  </si>
  <si>
    <t>65758000146</t>
  </si>
  <si>
    <t>37:020:2:5:6</t>
  </si>
  <si>
    <t>Городской округ Сухой Лог</t>
  </si>
  <si>
    <t>д Сергуловка</t>
  </si>
  <si>
    <t>65758000186</t>
  </si>
  <si>
    <t>37:007:2:4:5</t>
  </si>
  <si>
    <t>65758000106</t>
  </si>
  <si>
    <t>37:002:2:5:6</t>
  </si>
  <si>
    <t>д Боровки</t>
  </si>
  <si>
    <t>65758000141</t>
  </si>
  <si>
    <t>37:015:2:5:6</t>
  </si>
  <si>
    <t>д Мокрая</t>
  </si>
  <si>
    <t>65758000151</t>
  </si>
  <si>
    <t>37:026:2:5:6</t>
  </si>
  <si>
    <t>д Шата</t>
  </si>
  <si>
    <t>65758000221</t>
  </si>
  <si>
    <t>37:023:2:4:6</t>
  </si>
  <si>
    <t>с Таушканское</t>
  </si>
  <si>
    <t>65758000116</t>
  </si>
  <si>
    <t>37:004:2:5:6</t>
  </si>
  <si>
    <t>д Глядены</t>
  </si>
  <si>
    <t>65758000166</t>
  </si>
  <si>
    <t>37:008:2:3:6</t>
  </si>
  <si>
    <t>п Золоторуда</t>
  </si>
  <si>
    <t>65758000226</t>
  </si>
  <si>
    <t>37:024:2:4:5</t>
  </si>
  <si>
    <t>с Филатовское</t>
  </si>
  <si>
    <t>65758000121</t>
  </si>
  <si>
    <t>37:006:2:5:6</t>
  </si>
  <si>
    <t>д Заимка</t>
  </si>
  <si>
    <t>65758000211</t>
  </si>
  <si>
    <t>37:019:2:4:6</t>
  </si>
  <si>
    <t>с Светлое</t>
  </si>
  <si>
    <t>65758000216</t>
  </si>
  <si>
    <t>37:022:2:4:6</t>
  </si>
  <si>
    <t>с Талица</t>
  </si>
  <si>
    <t>65758000126</t>
  </si>
  <si>
    <t>37:009:2:5:6</t>
  </si>
  <si>
    <t>д Казанка</t>
  </si>
  <si>
    <t>65758000161</t>
  </si>
  <si>
    <t>37:005:2:3:6</t>
  </si>
  <si>
    <t>п Глядены-Санаторий</t>
  </si>
  <si>
    <t>65758000156</t>
  </si>
  <si>
    <t>37:001:2:3:5</t>
  </si>
  <si>
    <t>п Алтынай</t>
  </si>
  <si>
    <t>65758000181</t>
  </si>
  <si>
    <t>37:025:2:3:6</t>
  </si>
  <si>
    <t>п Черемшанка</t>
  </si>
  <si>
    <t>65758000111</t>
  </si>
  <si>
    <t>37:003:2:5:6</t>
  </si>
  <si>
    <t>д Брусяна</t>
  </si>
  <si>
    <t>65758000136</t>
  </si>
  <si>
    <t>37:014:2:5:6</t>
  </si>
  <si>
    <t>д Мельничная</t>
  </si>
  <si>
    <t>65758000196</t>
  </si>
  <si>
    <t>37:013:2:4:6</t>
  </si>
  <si>
    <t>с Маханово</t>
  </si>
  <si>
    <t>65758000131</t>
  </si>
  <si>
    <t>37:012:2:5:6</t>
  </si>
  <si>
    <t>д Малый Таушкан</t>
  </si>
  <si>
    <t>65758000201</t>
  </si>
  <si>
    <t>37:016:2:4:5</t>
  </si>
  <si>
    <t>с Новопышминское</t>
  </si>
  <si>
    <t>65758000206</t>
  </si>
  <si>
    <t>37:018:2:4:5</t>
  </si>
  <si>
    <t>с Рудянское</t>
  </si>
  <si>
    <t>65758000176</t>
  </si>
  <si>
    <t>37:017:2:3:6</t>
  </si>
  <si>
    <t>п Рефт</t>
  </si>
  <si>
    <t>65759000051</t>
  </si>
  <si>
    <t>09:001:1:2:4</t>
  </si>
  <si>
    <t>пгт Бисерть</t>
  </si>
  <si>
    <t>65759000106</t>
  </si>
  <si>
    <t>09:003:2:3:6</t>
  </si>
  <si>
    <t>65759000116</t>
  </si>
  <si>
    <t>09:005:2:3:6</t>
  </si>
  <si>
    <t>п Чеботаево</t>
  </si>
  <si>
    <t>65764000116</t>
  </si>
  <si>
    <t>31:003:2:3:6</t>
  </si>
  <si>
    <t>Городской округ Пелым</t>
  </si>
  <si>
    <t>п Кершаль</t>
  </si>
  <si>
    <t>65764000051</t>
  </si>
  <si>
    <t>31:005:1:2:4</t>
  </si>
  <si>
    <t>пгт Пелым</t>
  </si>
  <si>
    <t>65766000111</t>
  </si>
  <si>
    <t>36:002:2:5:6</t>
  </si>
  <si>
    <t>д Курья</t>
  </si>
  <si>
    <t>65766000106</t>
  </si>
  <si>
    <t>36:001:2:5:6</t>
  </si>
  <si>
    <t>д Волыны</t>
  </si>
  <si>
    <t>65771000201</t>
  </si>
  <si>
    <t>49:040:2:5:6</t>
  </si>
  <si>
    <t>д Кулига</t>
  </si>
  <si>
    <t>65707000191</t>
  </si>
  <si>
    <t>16:013:2:3:6</t>
  </si>
  <si>
    <t>п Дубровный</t>
  </si>
  <si>
    <t>65711000386</t>
  </si>
  <si>
    <t>39:075:2:5:6</t>
  </si>
  <si>
    <t>д Ретнева</t>
  </si>
  <si>
    <t>65713000386</t>
  </si>
  <si>
    <t>54:027:2:4:5</t>
  </si>
  <si>
    <t>с Крылово</t>
  </si>
  <si>
    <t>65713000166</t>
  </si>
  <si>
    <t>54:018:2:5:6</t>
  </si>
  <si>
    <t>д Зауфа</t>
  </si>
  <si>
    <t>65713000326</t>
  </si>
  <si>
    <t>54:067:2:5:6</t>
  </si>
  <si>
    <t>д Шуртан</t>
  </si>
  <si>
    <t>65720000001</t>
  </si>
  <si>
    <t>62:024:1:1:4</t>
  </si>
  <si>
    <t>г Реж</t>
  </si>
  <si>
    <t>65639440101</t>
  </si>
  <si>
    <t>65:030:2:4:6</t>
  </si>
  <si>
    <t>65727000051</t>
  </si>
  <si>
    <t>73:035:1:2:4</t>
  </si>
  <si>
    <t>пгт Шаля</t>
  </si>
  <si>
    <t>65738000191</t>
  </si>
  <si>
    <t>38:017:2:3:6</t>
  </si>
  <si>
    <t>п Полуночное</t>
  </si>
  <si>
    <t>65712000376</t>
  </si>
  <si>
    <t>40:040:2:4:5</t>
  </si>
  <si>
    <t>с Позариха</t>
  </si>
  <si>
    <t>65714000241</t>
  </si>
  <si>
    <t>55:035:2:3:6</t>
  </si>
  <si>
    <t>п Цементный</t>
  </si>
  <si>
    <t>65732000131</t>
  </si>
  <si>
    <t>20:007:2:3:6</t>
  </si>
  <si>
    <t>п Залесье</t>
  </si>
  <si>
    <t>65738000261</t>
  </si>
  <si>
    <t>38:029:2:3:6</t>
  </si>
  <si>
    <t>п Юрта Анямова</t>
  </si>
  <si>
    <t>65707000211</t>
  </si>
  <si>
    <t>16:022:2:3:6</t>
  </si>
  <si>
    <t>п Куртугуз</t>
  </si>
  <si>
    <t>65707000196</t>
  </si>
  <si>
    <t>16:012:2:6:6</t>
  </si>
  <si>
    <t>х Дубровный</t>
  </si>
  <si>
    <t>65753000211</t>
  </si>
  <si>
    <t>32:022:2:3:6</t>
  </si>
  <si>
    <t>п Решеты</t>
  </si>
  <si>
    <t>65758000171</t>
  </si>
  <si>
    <t>37:010:2:3:6</t>
  </si>
  <si>
    <t>п Квартал 233</t>
  </si>
  <si>
    <t>65712000321</t>
  </si>
  <si>
    <t>40:056:2:3:6</t>
  </si>
  <si>
    <t>п Травяны</t>
  </si>
  <si>
    <t>65744000111</t>
  </si>
  <si>
    <t>43:001:2:3:6</t>
  </si>
  <si>
    <t>п Ежовский</t>
  </si>
  <si>
    <t>65639470126</t>
  </si>
  <si>
    <t>65:010:2:5:6</t>
  </si>
  <si>
    <t>65706000286</t>
  </si>
  <si>
    <t>07:016:2:4:6</t>
  </si>
  <si>
    <t>с Колюткино</t>
  </si>
  <si>
    <t>65701000241</t>
  </si>
  <si>
    <t>47:002:2:4:6</t>
  </si>
  <si>
    <t>муниципальное образование "город Екатеринбург"</t>
  </si>
  <si>
    <t>с Верхнемакарово</t>
  </si>
  <si>
    <t>1001_М1_Квартиры ЕКБ</t>
  </si>
  <si>
    <t>65701000146</t>
  </si>
  <si>
    <t>47:007:1:1:1</t>
  </si>
  <si>
    <t>п Медный</t>
  </si>
  <si>
    <t>65701000166</t>
  </si>
  <si>
    <t>47:010:1:1:1</t>
  </si>
  <si>
    <t>п Палкинский Торфяник</t>
  </si>
  <si>
    <t>65701000196</t>
  </si>
  <si>
    <t>47:013:1:1:1</t>
  </si>
  <si>
    <t>п Северка</t>
  </si>
  <si>
    <t>65701000221</t>
  </si>
  <si>
    <t>47:016:1:1:1</t>
  </si>
  <si>
    <t>п Чусовское Озеро</t>
  </si>
  <si>
    <t>65701000176</t>
  </si>
  <si>
    <t>47:011:1:1:1</t>
  </si>
  <si>
    <t>п Полеводство</t>
  </si>
  <si>
    <t>65701000206</t>
  </si>
  <si>
    <t>47:014:1:1:1</t>
  </si>
  <si>
    <t>п Совхозный</t>
  </si>
  <si>
    <t>65701000151</t>
  </si>
  <si>
    <t>47:008:1:1:1</t>
  </si>
  <si>
    <t>п Мичуринский</t>
  </si>
  <si>
    <t>65701000126</t>
  </si>
  <si>
    <t>47:005:1:1:1</t>
  </si>
  <si>
    <t>65701000211</t>
  </si>
  <si>
    <t>47:015:1:1:1</t>
  </si>
  <si>
    <t>п Сысерть</t>
  </si>
  <si>
    <t>65749000106</t>
  </si>
  <si>
    <t>15:001:2:3:6</t>
  </si>
  <si>
    <t>п Бушуевка</t>
  </si>
  <si>
    <t>65711000326</t>
  </si>
  <si>
    <t>39:059:2:5:6</t>
  </si>
  <si>
    <t>д Мордяшиха</t>
  </si>
  <si>
    <t>65749000001</t>
  </si>
  <si>
    <t>15:003:1:1:4</t>
  </si>
  <si>
    <t>г Лесной</t>
  </si>
  <si>
    <t>65701000131</t>
  </si>
  <si>
    <t>47:006:1:1:1</t>
  </si>
  <si>
    <t>п Исток</t>
  </si>
  <si>
    <t>65701000106</t>
  </si>
  <si>
    <t>47:017:1:1:1</t>
  </si>
  <si>
    <t>п Шабровский</t>
  </si>
  <si>
    <t>65754000156</t>
  </si>
  <si>
    <t>60:008:2:4:6</t>
  </si>
  <si>
    <t>Полевской городской округ</t>
  </si>
  <si>
    <t>с Курганово</t>
  </si>
  <si>
    <t>65701000231</t>
  </si>
  <si>
    <t>47:019:1:1:1</t>
  </si>
  <si>
    <t>п Шувакиш</t>
  </si>
  <si>
    <t>65701000186</t>
  </si>
  <si>
    <t>47:012:1:1:1</t>
  </si>
  <si>
    <t>п Садовый</t>
  </si>
  <si>
    <t>65701000111</t>
  </si>
  <si>
    <t>47:004:1:1:1</t>
  </si>
  <si>
    <t>п Березит</t>
  </si>
  <si>
    <t>65737000001</t>
  </si>
  <si>
    <t>24:003:1:1:4</t>
  </si>
  <si>
    <t>г Заречный</t>
  </si>
  <si>
    <t>65712000236</t>
  </si>
  <si>
    <t>40:058:2:5:6</t>
  </si>
  <si>
    <t>д Чайкина</t>
  </si>
  <si>
    <t>65767000051</t>
  </si>
  <si>
    <t>48:001:1:2:4</t>
  </si>
  <si>
    <t>муниципальное образование «поселок Уральский»</t>
  </si>
  <si>
    <t>пгт Уральский</t>
  </si>
  <si>
    <t>65747000001</t>
  </si>
  <si>
    <t>29:002:1:1:4</t>
  </si>
  <si>
    <t>г Красноуфимск</t>
  </si>
  <si>
    <t>65608405136</t>
  </si>
  <si>
    <t>06:038:2:5:6</t>
  </si>
  <si>
    <t>65710000261</t>
  </si>
  <si>
    <t>12:012:2:3:6</t>
  </si>
  <si>
    <t>Гаринский городской округ</t>
  </si>
  <si>
    <t>п Киня</t>
  </si>
  <si>
    <t>65710000276</t>
  </si>
  <si>
    <t>12:029:2:3:6</t>
  </si>
  <si>
    <t>п Новый Вагиль</t>
  </si>
  <si>
    <t>65710000291</t>
  </si>
  <si>
    <t>12:039:2:3:6</t>
  </si>
  <si>
    <t>п Татька</t>
  </si>
  <si>
    <t>65710000151</t>
  </si>
  <si>
    <t>12:017:2:5:6</t>
  </si>
  <si>
    <t>д Лапоткова</t>
  </si>
  <si>
    <t>65738000241</t>
  </si>
  <si>
    <t>38:025:2:3:6</t>
  </si>
  <si>
    <t>п Хандыбина Юрта</t>
  </si>
  <si>
    <t>65769000226</t>
  </si>
  <si>
    <t>46:008:2:3:6</t>
  </si>
  <si>
    <t>п Ерзовка</t>
  </si>
  <si>
    <t>65769000156</t>
  </si>
  <si>
    <t>46:017:2:5:6</t>
  </si>
  <si>
    <t>65769000261</t>
  </si>
  <si>
    <t>46:038:2:3:6</t>
  </si>
  <si>
    <t>п Хабарчиха</t>
  </si>
  <si>
    <t>65703000246</t>
  </si>
  <si>
    <t>02:019:2:4:6</t>
  </si>
  <si>
    <t>65703000156</t>
  </si>
  <si>
    <t>02:008:2:3:6</t>
  </si>
  <si>
    <t>п Буланаш</t>
  </si>
  <si>
    <t>65703000251</t>
  </si>
  <si>
    <t>02:022:2:4:6</t>
  </si>
  <si>
    <t>с Писанец</t>
  </si>
  <si>
    <t>65703000201</t>
  </si>
  <si>
    <t>02:026:2:3:6</t>
  </si>
  <si>
    <t>п Сосновый Бор</t>
  </si>
  <si>
    <t>65703000231</t>
  </si>
  <si>
    <t>02:013:2:4:6</t>
  </si>
  <si>
    <t>с Лебедкино</t>
  </si>
  <si>
    <t>65705000231</t>
  </si>
  <si>
    <t>05:036:2:5:6</t>
  </si>
  <si>
    <t>д Малый Ут</t>
  </si>
  <si>
    <t>65705000226</t>
  </si>
  <si>
    <t>05:035:2:5:6</t>
  </si>
  <si>
    <t>д Лямпа</t>
  </si>
  <si>
    <t>65608406206</t>
  </si>
  <si>
    <t>06:060:2:5:6</t>
  </si>
  <si>
    <t>д Чащина</t>
  </si>
  <si>
    <t>65608406101</t>
  </si>
  <si>
    <t>06:002:2:4:5</t>
  </si>
  <si>
    <t>с Байкалово</t>
  </si>
  <si>
    <t>65608406216</t>
  </si>
  <si>
    <t>06:064:2:5:6</t>
  </si>
  <si>
    <t>д Шаламы</t>
  </si>
  <si>
    <t>65706000131</t>
  </si>
  <si>
    <t>07:015:2:5:6</t>
  </si>
  <si>
    <t>65706000111</t>
  </si>
  <si>
    <t>07:009:2:5:6</t>
  </si>
  <si>
    <t>д Головырина</t>
  </si>
  <si>
    <t>65706000281</t>
  </si>
  <si>
    <t>07:014:2:4:6</t>
  </si>
  <si>
    <t>с Камышево</t>
  </si>
  <si>
    <t>65707000221</t>
  </si>
  <si>
    <t>16:033:2:3:6</t>
  </si>
  <si>
    <t>п Сосновский</t>
  </si>
  <si>
    <t>65709000116</t>
  </si>
  <si>
    <t>22:003:2:5:6</t>
  </si>
  <si>
    <t>д Бочкарева</t>
  </si>
  <si>
    <t>65709000191</t>
  </si>
  <si>
    <t>22:023:2:5:6</t>
  </si>
  <si>
    <t>д Костылева</t>
  </si>
  <si>
    <t>65709000331</t>
  </si>
  <si>
    <t>22:031:2:4:6</t>
  </si>
  <si>
    <t>с Меркушино</t>
  </si>
  <si>
    <t>65710000196</t>
  </si>
  <si>
    <t>12:027:2:5:6</t>
  </si>
  <si>
    <t>д Нихвор</t>
  </si>
  <si>
    <t>65710000281</t>
  </si>
  <si>
    <t>12:035:2:3:6</t>
  </si>
  <si>
    <t>п Пуксинка</t>
  </si>
  <si>
    <t>65710000271</t>
  </si>
  <si>
    <t>12:028:2:3:6</t>
  </si>
  <si>
    <t>п Новозыково</t>
  </si>
  <si>
    <t>65710000296</t>
  </si>
  <si>
    <t>12:003:2:4:6</t>
  </si>
  <si>
    <t>с Андрюшино</t>
  </si>
  <si>
    <t>65711000116</t>
  </si>
  <si>
    <t>39:005:2:5:6</t>
  </si>
  <si>
    <t>д Бердюгина</t>
  </si>
  <si>
    <t>65711000561</t>
  </si>
  <si>
    <t>39:037:2:4:6</t>
  </si>
  <si>
    <t>с Кирга</t>
  </si>
  <si>
    <t>65711000351</t>
  </si>
  <si>
    <t>39:063:2:5:6</t>
  </si>
  <si>
    <t>д Никитина</t>
  </si>
  <si>
    <t>65711000106</t>
  </si>
  <si>
    <t>39:001:2:5:6</t>
  </si>
  <si>
    <t>д Азева</t>
  </si>
  <si>
    <t>65711000556</t>
  </si>
  <si>
    <t>39:036:2:4:5</t>
  </si>
  <si>
    <t>с Килачевское</t>
  </si>
  <si>
    <t>65712000346</t>
  </si>
  <si>
    <t>40:015:2:4:5</t>
  </si>
  <si>
    <t>65712000141</t>
  </si>
  <si>
    <t>40:010:2:5:6</t>
  </si>
  <si>
    <t>д Гашенева</t>
  </si>
  <si>
    <t>65713000336</t>
  </si>
  <si>
    <t>54:015:2:3:6</t>
  </si>
  <si>
    <t>п Дегтярка</t>
  </si>
  <si>
    <t>65751000136</t>
  </si>
  <si>
    <t>14:002:2:3:6</t>
  </si>
  <si>
    <t>п Баклушина</t>
  </si>
  <si>
    <t>65751000146</t>
  </si>
  <si>
    <t>14:006:2:3:6</t>
  </si>
  <si>
    <t>п Волчевка</t>
  </si>
  <si>
    <t>65717000376</t>
  </si>
  <si>
    <t>13:038:2:4:6</t>
  </si>
  <si>
    <t>с Новопаньшино</t>
  </si>
  <si>
    <t>65717000276</t>
  </si>
  <si>
    <t>13:037:2:3:6</t>
  </si>
  <si>
    <t>п Новоасбест</t>
  </si>
  <si>
    <t>65717000396</t>
  </si>
  <si>
    <t>13:060:2:4:6</t>
  </si>
  <si>
    <t>с Южаково</t>
  </si>
  <si>
    <t>65718000211</t>
  </si>
  <si>
    <t>61:030:2:5:6</t>
  </si>
  <si>
    <t>65718000281</t>
  </si>
  <si>
    <t>61:019:2:4:6</t>
  </si>
  <si>
    <t>с Пульниково</t>
  </si>
  <si>
    <t>65720000186</t>
  </si>
  <si>
    <t>62:019:2:3:6</t>
  </si>
  <si>
    <t>65720000171</t>
  </si>
  <si>
    <t>62:011:2:3:6</t>
  </si>
  <si>
    <t>п Костоусово</t>
  </si>
  <si>
    <t>65720000176</t>
  </si>
  <si>
    <t>62:012:2:3:6</t>
  </si>
  <si>
    <t>п Крутиха</t>
  </si>
  <si>
    <t>65721000141</t>
  </si>
  <si>
    <t>66:011:2:5:6</t>
  </si>
  <si>
    <t>д Мишина</t>
  </si>
  <si>
    <t>65721000051</t>
  </si>
  <si>
    <t>66:018:1:2:4</t>
  </si>
  <si>
    <t>пгт Сосьва</t>
  </si>
  <si>
    <t>65723000136</t>
  </si>
  <si>
    <t>69:008:2:5:6</t>
  </si>
  <si>
    <t>д Владимировка</t>
  </si>
  <si>
    <t>65723000181</t>
  </si>
  <si>
    <t>69:027:2:5:6</t>
  </si>
  <si>
    <t>д Малое Сатыково</t>
  </si>
  <si>
    <t>65723000126</t>
  </si>
  <si>
    <t>69:006:2:5:6</t>
  </si>
  <si>
    <t>д Ваганово</t>
  </si>
  <si>
    <t>65723000306</t>
  </si>
  <si>
    <t>69:021:2:4:6</t>
  </si>
  <si>
    <t>с Кошуки</t>
  </si>
  <si>
    <t>65723000221</t>
  </si>
  <si>
    <t>69:037:2:5:6</t>
  </si>
  <si>
    <t>д Увал</t>
  </si>
  <si>
    <t>65724000476</t>
  </si>
  <si>
    <t>70:079:2:3:6</t>
  </si>
  <si>
    <t>65724000466</t>
  </si>
  <si>
    <t>70:070:2:3:5</t>
  </si>
  <si>
    <t>п Пионерский</t>
  </si>
  <si>
    <t>65724000481</t>
  </si>
  <si>
    <t>70:086:2:3:5</t>
  </si>
  <si>
    <t>п Троицкий</t>
  </si>
  <si>
    <t>65724000521</t>
  </si>
  <si>
    <t>70:024:2:4:6</t>
  </si>
  <si>
    <t>с Горскино</t>
  </si>
  <si>
    <t>65724000536</t>
  </si>
  <si>
    <t>70:040:2:4:6</t>
  </si>
  <si>
    <t>с Казаковское</t>
  </si>
  <si>
    <t>65724000106</t>
  </si>
  <si>
    <t>70:001:2:5:6</t>
  </si>
  <si>
    <t>д Антонова</t>
  </si>
  <si>
    <t>65724000431</t>
  </si>
  <si>
    <t>70:012:2:3:6</t>
  </si>
  <si>
    <t>п Боровской</t>
  </si>
  <si>
    <t>65724000401</t>
  </si>
  <si>
    <t>70:088:2:5:6</t>
  </si>
  <si>
    <t>д Упорова</t>
  </si>
  <si>
    <t>65724000541</t>
  </si>
  <si>
    <t>70:043:2:4:6</t>
  </si>
  <si>
    <t>с Катарач</t>
  </si>
  <si>
    <t>65724000561</t>
  </si>
  <si>
    <t>70:078:2:4:6</t>
  </si>
  <si>
    <t>с Смолинское</t>
  </si>
  <si>
    <t>65725000346</t>
  </si>
  <si>
    <t>71:039:2:4:6</t>
  </si>
  <si>
    <t>с Трошково</t>
  </si>
  <si>
    <t>65725000341</t>
  </si>
  <si>
    <t>71:033:2:4:6</t>
  </si>
  <si>
    <t>с Ошкуково</t>
  </si>
  <si>
    <t>65725000146</t>
  </si>
  <si>
    <t>71:013:2:5:6</t>
  </si>
  <si>
    <t>65725000276</t>
  </si>
  <si>
    <t>71:041:2:3:6</t>
  </si>
  <si>
    <t>п Тугулым</t>
  </si>
  <si>
    <t>65725000051</t>
  </si>
  <si>
    <t>71:040:1:2:4</t>
  </si>
  <si>
    <t>пгт Тугулым</t>
  </si>
  <si>
    <t>65725000161</t>
  </si>
  <si>
    <t>71:020:2:5:6</t>
  </si>
  <si>
    <t>д Колобова</t>
  </si>
  <si>
    <t>65726000341</t>
  </si>
  <si>
    <t>72:040:2:3:6</t>
  </si>
  <si>
    <t>п Сарагулка</t>
  </si>
  <si>
    <t>65753000201</t>
  </si>
  <si>
    <t>32:020:2:3:6</t>
  </si>
  <si>
    <t>п Перескачка</t>
  </si>
  <si>
    <t>65703000256</t>
  </si>
  <si>
    <t>02:023:2:4:6</t>
  </si>
  <si>
    <t>65703000266</t>
  </si>
  <si>
    <t>02:028:2:4:6</t>
  </si>
  <si>
    <t>с Шогринское</t>
  </si>
  <si>
    <t>65705000211</t>
  </si>
  <si>
    <t>05:032:2:5:6</t>
  </si>
  <si>
    <t>д Корзуновка</t>
  </si>
  <si>
    <t>65608406226</t>
  </si>
  <si>
    <t>06:040:2:4:5</t>
  </si>
  <si>
    <t>с Ляпуново</t>
  </si>
  <si>
    <t>65706000261</t>
  </si>
  <si>
    <t>07:033:2:3:6</t>
  </si>
  <si>
    <t>п Растущий</t>
  </si>
  <si>
    <t>65706000306</t>
  </si>
  <si>
    <t>07:023:2:4:6</t>
  </si>
  <si>
    <t>с Малобрусянское</t>
  </si>
  <si>
    <t>65706000246</t>
  </si>
  <si>
    <t>07:036:2:3:6</t>
  </si>
  <si>
    <t>п Студенческий</t>
  </si>
  <si>
    <t>65706000301</t>
  </si>
  <si>
    <t>07:021:2:4:6</t>
  </si>
  <si>
    <t>с Логиново</t>
  </si>
  <si>
    <t>65711000211</t>
  </si>
  <si>
    <t>39:028:2:5:5</t>
  </si>
  <si>
    <t>д Дубская</t>
  </si>
  <si>
    <t>65711000491</t>
  </si>
  <si>
    <t>39:031:2:3:5</t>
  </si>
  <si>
    <t>п Зайково</t>
  </si>
  <si>
    <t>65712000291</t>
  </si>
  <si>
    <t>40:025:2:3:6</t>
  </si>
  <si>
    <t>п Ленинский</t>
  </si>
  <si>
    <t>65712000421</t>
  </si>
  <si>
    <t>40:066:2:4:6</t>
  </si>
  <si>
    <t>с Щербаково</t>
  </si>
  <si>
    <t>65715000141</t>
  </si>
  <si>
    <t>57:006:2:3:6</t>
  </si>
  <si>
    <t>п Глубокая</t>
  </si>
  <si>
    <t>65716000151</t>
  </si>
  <si>
    <t>58:007:2:3:5</t>
  </si>
  <si>
    <t>п Лобва</t>
  </si>
  <si>
    <t>65716000001</t>
  </si>
  <si>
    <t>58:011:1:1:4</t>
  </si>
  <si>
    <t>г Новая Ляля</t>
  </si>
  <si>
    <t>65717000301</t>
  </si>
  <si>
    <t>13:049:2:3:6</t>
  </si>
  <si>
    <t>п Синегорский</t>
  </si>
  <si>
    <t>65713000146</t>
  </si>
  <si>
    <t>54:012:2:5:6</t>
  </si>
  <si>
    <t>д Верхняя Ирга</t>
  </si>
  <si>
    <t>65713000121</t>
  </si>
  <si>
    <t>54:006:2:5:6</t>
  </si>
  <si>
    <t>д Большое Кошаево</t>
  </si>
  <si>
    <t>65713000191</t>
  </si>
  <si>
    <t>54:025:2:5:6</t>
  </si>
  <si>
    <t>д Красный Турыш</t>
  </si>
  <si>
    <t>65713000141</t>
  </si>
  <si>
    <t>54:011:2:5:6</t>
  </si>
  <si>
    <t>д Верх-Никитино</t>
  </si>
  <si>
    <t>65713000321</t>
  </si>
  <si>
    <t>54:066:2:5:6</t>
  </si>
  <si>
    <t>д Шиловка</t>
  </si>
  <si>
    <t>65713000261</t>
  </si>
  <si>
    <t>54:046:2:5:6</t>
  </si>
  <si>
    <t>д Рябиновка</t>
  </si>
  <si>
    <t>65747000111</t>
  </si>
  <si>
    <t>29:003:2:3:6</t>
  </si>
  <si>
    <t>п Полухино</t>
  </si>
  <si>
    <t>65747000106</t>
  </si>
  <si>
    <t>29:001:2:3:6</t>
  </si>
  <si>
    <t>п Журавлиный Лог</t>
  </si>
  <si>
    <t>65628154051</t>
  </si>
  <si>
    <t>56:003:1:2:4</t>
  </si>
  <si>
    <t>пгт Атиг</t>
  </si>
  <si>
    <t>65716000116</t>
  </si>
  <si>
    <t>58:013:2:5:6</t>
  </si>
  <si>
    <t>д Поздняковка</t>
  </si>
  <si>
    <t>65716000181</t>
  </si>
  <si>
    <t>58:022:2:3:6</t>
  </si>
  <si>
    <t>п Шайтанка</t>
  </si>
  <si>
    <t>65716000176</t>
  </si>
  <si>
    <t>58:021:2:3:6</t>
  </si>
  <si>
    <t>п Черный Яр</t>
  </si>
  <si>
    <t>65716000106</t>
  </si>
  <si>
    <t>58:001:2:5:6</t>
  </si>
  <si>
    <t>д Верхняя Лобва</t>
  </si>
  <si>
    <t>65716000141</t>
  </si>
  <si>
    <t>58:003:2:3:6</t>
  </si>
  <si>
    <t>65717000346</t>
  </si>
  <si>
    <t>13:022:2:4:6</t>
  </si>
  <si>
    <t>с Краснополье</t>
  </si>
  <si>
    <t>65751000111</t>
  </si>
  <si>
    <t>14:011:2:5:6</t>
  </si>
  <si>
    <t>65717000236</t>
  </si>
  <si>
    <t>13:011:2:3:6</t>
  </si>
  <si>
    <t>п Вилюй</t>
  </si>
  <si>
    <t>65717000141</t>
  </si>
  <si>
    <t>13:026:2:5:6</t>
  </si>
  <si>
    <t>65717000326</t>
  </si>
  <si>
    <t>13:008:2:4:6</t>
  </si>
  <si>
    <t>с Бродово</t>
  </si>
  <si>
    <t>65717000386</t>
  </si>
  <si>
    <t>13:042:2:4:6</t>
  </si>
  <si>
    <t>65717000216</t>
  </si>
  <si>
    <t>13:056:2:5:6</t>
  </si>
  <si>
    <t>д Черемшанка</t>
  </si>
  <si>
    <t>65751000181</t>
  </si>
  <si>
    <t>14:019:2:3:6</t>
  </si>
  <si>
    <t>п Таны</t>
  </si>
  <si>
    <t>65751000201</t>
  </si>
  <si>
    <t>14:004:2:4:6</t>
  </si>
  <si>
    <t>с Верхняя Ослянка</t>
  </si>
  <si>
    <t>65751000131</t>
  </si>
  <si>
    <t>14:001:2:3:6</t>
  </si>
  <si>
    <t>п Антоновский</t>
  </si>
  <si>
    <t>65751000116</t>
  </si>
  <si>
    <t>14:012:2:5:6</t>
  </si>
  <si>
    <t>д Захаровка</t>
  </si>
  <si>
    <t>65751000206</t>
  </si>
  <si>
    <t>14:009:2:4:6</t>
  </si>
  <si>
    <t>с Елизаветинское</t>
  </si>
  <si>
    <t>65751000176</t>
  </si>
  <si>
    <t>14:017:2:3:6</t>
  </si>
  <si>
    <t>п Студеный</t>
  </si>
  <si>
    <t>65717000111</t>
  </si>
  <si>
    <t>13:005:2:5:6</t>
  </si>
  <si>
    <t>д Беляковка</t>
  </si>
  <si>
    <t>65717000241</t>
  </si>
  <si>
    <t>13:012:2:3:6</t>
  </si>
  <si>
    <t>п Висим</t>
  </si>
  <si>
    <t>65717000391</t>
  </si>
  <si>
    <t>13:058:2:4:6</t>
  </si>
  <si>
    <t>с Шиловка</t>
  </si>
  <si>
    <t>65717000166</t>
  </si>
  <si>
    <t>13:043:2:5:6</t>
  </si>
  <si>
    <t>д Реши</t>
  </si>
  <si>
    <t>65717000381</t>
  </si>
  <si>
    <t>13:041:2:4:6</t>
  </si>
  <si>
    <t>с Петрокаменское</t>
  </si>
  <si>
    <t>65720000196</t>
  </si>
  <si>
    <t>62:001:2:4:6</t>
  </si>
  <si>
    <t>с Арамашка</t>
  </si>
  <si>
    <t>65756000001</t>
  </si>
  <si>
    <t>64:031:1:1:3</t>
  </si>
  <si>
    <t>Серовский городской округ</t>
  </si>
  <si>
    <t>г Серов</t>
  </si>
  <si>
    <t>65756000186</t>
  </si>
  <si>
    <t>64:010:2:3:5</t>
  </si>
  <si>
    <t>п Красноярка</t>
  </si>
  <si>
    <t>65722000166</t>
  </si>
  <si>
    <t>67:010:2:3:5</t>
  </si>
  <si>
    <t>п Верхняя Сысерть</t>
  </si>
  <si>
    <t>65723000246</t>
  </si>
  <si>
    <t>69:001:2:3:5</t>
  </si>
  <si>
    <t>п Азанка</t>
  </si>
  <si>
    <t>65724000506</t>
  </si>
  <si>
    <t>70:014:2:4:5</t>
  </si>
  <si>
    <t>с Бутка</t>
  </si>
  <si>
    <t>65725000306</t>
  </si>
  <si>
    <t>71:049:2:3:5</t>
  </si>
  <si>
    <t>п Юшала</t>
  </si>
  <si>
    <t>65725000356</t>
  </si>
  <si>
    <t>71:052:2:4:6</t>
  </si>
  <si>
    <t>с Яр</t>
  </si>
  <si>
    <t>65725000196</t>
  </si>
  <si>
    <t>71:031:2:5:6</t>
  </si>
  <si>
    <t>д Нижняя Коркина</t>
  </si>
  <si>
    <t>65725000281</t>
  </si>
  <si>
    <t>71:014:2:3:5</t>
  </si>
  <si>
    <t>п Заводоуспенское</t>
  </si>
  <si>
    <t>65732000186</t>
  </si>
  <si>
    <t>20:019:2:3:6</t>
  </si>
  <si>
    <t>65732000141</t>
  </si>
  <si>
    <t>20:009:2:3:6</t>
  </si>
  <si>
    <t>п Исеть</t>
  </si>
  <si>
    <t>65745000116</t>
  </si>
  <si>
    <t>27:004:2:3:6</t>
  </si>
  <si>
    <t>п Рудничный</t>
  </si>
  <si>
    <t>65753000111</t>
  </si>
  <si>
    <t>32:007:2:5:6</t>
  </si>
  <si>
    <t>д Каменка</t>
  </si>
  <si>
    <t>65753000221</t>
  </si>
  <si>
    <t>32:028:2:3:6</t>
  </si>
  <si>
    <t>п Хрустальная</t>
  </si>
  <si>
    <t>65754000161</t>
  </si>
  <si>
    <t>60:009:2:4:6</t>
  </si>
  <si>
    <t>с Мраморское</t>
  </si>
  <si>
    <t>65754000151</t>
  </si>
  <si>
    <t>60:006:2:4:6</t>
  </si>
  <si>
    <t>с Косой Брод</t>
  </si>
  <si>
    <t>65706000146</t>
  </si>
  <si>
    <t>07:029:2:5:6</t>
  </si>
  <si>
    <t>д Поварня</t>
  </si>
  <si>
    <t>65705000331</t>
  </si>
  <si>
    <t>05:004:2:4:6</t>
  </si>
  <si>
    <t>с Афанасьевское</t>
  </si>
  <si>
    <t>65713000356</t>
  </si>
  <si>
    <t>54:049:2:3:6</t>
  </si>
  <si>
    <t>п Саранинский Завод</t>
  </si>
  <si>
    <t>65704000121</t>
  </si>
  <si>
    <t>03:006:2:5:6</t>
  </si>
  <si>
    <t>д Багышково</t>
  </si>
  <si>
    <t>65704000051</t>
  </si>
  <si>
    <t>03:003:1:2:4</t>
  </si>
  <si>
    <t>пгт Арти</t>
  </si>
  <si>
    <t>65753000161</t>
  </si>
  <si>
    <t>32:004:2:3:6</t>
  </si>
  <si>
    <t>п Дидино</t>
  </si>
  <si>
    <t>65753000216</t>
  </si>
  <si>
    <t>32:026:2:3:6</t>
  </si>
  <si>
    <t>п Флюс</t>
  </si>
  <si>
    <t>65753000131</t>
  </si>
  <si>
    <t>32:024:2:5:6</t>
  </si>
  <si>
    <t>д Старые Решеты</t>
  </si>
  <si>
    <t>65706000166</t>
  </si>
  <si>
    <t>07:045:2:5:6</t>
  </si>
  <si>
    <t>д Ялунина</t>
  </si>
  <si>
    <t>65762000116</t>
  </si>
  <si>
    <t>45:004:2:3:6</t>
  </si>
  <si>
    <t>п Шамейский</t>
  </si>
  <si>
    <t>65730000001</t>
  </si>
  <si>
    <t>04:001:1:1:3</t>
  </si>
  <si>
    <t>г Асбест</t>
  </si>
  <si>
    <t>65706000106</t>
  </si>
  <si>
    <t>07:008:2:5:6</t>
  </si>
  <si>
    <t>д Гилева</t>
  </si>
  <si>
    <t>65706000161</t>
  </si>
  <si>
    <t>07:044:2:5:6</t>
  </si>
  <si>
    <t>д Шиши</t>
  </si>
  <si>
    <t>65722000231</t>
  </si>
  <si>
    <t>67:037:2:3:6</t>
  </si>
  <si>
    <t>п Школьный</t>
  </si>
  <si>
    <t>65725000266</t>
  </si>
  <si>
    <t>71:002:2:3:6</t>
  </si>
  <si>
    <t>п Бахметское</t>
  </si>
  <si>
    <t>65608425151</t>
  </si>
  <si>
    <t>06:033:2:4:6</t>
  </si>
  <si>
    <t>с Ларина</t>
  </si>
  <si>
    <t>65608425101</t>
  </si>
  <si>
    <t>06:030:2:4:6</t>
  </si>
  <si>
    <t>с Краснополянское</t>
  </si>
  <si>
    <t>65608406181</t>
  </si>
  <si>
    <t>06:049:2:5:6</t>
  </si>
  <si>
    <t>д Пелевина</t>
  </si>
  <si>
    <t>65608405141</t>
  </si>
  <si>
    <t>06:041:2:5:6</t>
  </si>
  <si>
    <t>д Макушина</t>
  </si>
  <si>
    <t>65721000176</t>
  </si>
  <si>
    <t>66:001:2:3:5</t>
  </si>
  <si>
    <t>65745000001</t>
  </si>
  <si>
    <t>27:002:1:1:3</t>
  </si>
  <si>
    <t>г Краснотурьинск</t>
  </si>
  <si>
    <t>65738000186</t>
  </si>
  <si>
    <t>38:016:2:3:6</t>
  </si>
  <si>
    <t>п Пакина</t>
  </si>
  <si>
    <t>65738000256</t>
  </si>
  <si>
    <t>38:028:2:3:6</t>
  </si>
  <si>
    <t>п Юркино</t>
  </si>
  <si>
    <t>65738000106</t>
  </si>
  <si>
    <t>38:001:2:3:6</t>
  </si>
  <si>
    <t>п Бахтиярова Юрта</t>
  </si>
  <si>
    <t>65723000261</t>
  </si>
  <si>
    <t>69:018:2:3:6</t>
  </si>
  <si>
    <t>п Карабашка</t>
  </si>
  <si>
    <t>65723000281</t>
  </si>
  <si>
    <t>69:044:2:5:6</t>
  </si>
  <si>
    <t>д Лобазиха</t>
  </si>
  <si>
    <t>65723000296</t>
  </si>
  <si>
    <t>69:043:2:3:6</t>
  </si>
  <si>
    <t>п Эскалбы</t>
  </si>
  <si>
    <t>65723000291</t>
  </si>
  <si>
    <t>69:031:2:3:6</t>
  </si>
  <si>
    <t>п Русаковский</t>
  </si>
  <si>
    <t>65723000001</t>
  </si>
  <si>
    <t>69:034:1:1:4</t>
  </si>
  <si>
    <t>г Тавда</t>
  </si>
  <si>
    <t>65723000161</t>
  </si>
  <si>
    <t>69:015:2:5:6</t>
  </si>
  <si>
    <t>д Индра</t>
  </si>
  <si>
    <t>65723000316</t>
  </si>
  <si>
    <t>69:035:2:4:6</t>
  </si>
  <si>
    <t>с Тагильцы</t>
  </si>
  <si>
    <t>65709000326</t>
  </si>
  <si>
    <t>22:024:2:4:6</t>
  </si>
  <si>
    <t>с Красногорское</t>
  </si>
  <si>
    <t>65769000176</t>
  </si>
  <si>
    <t>46:026:2:5:6</t>
  </si>
  <si>
    <t>д Плюхина</t>
  </si>
  <si>
    <t>65769000106</t>
  </si>
  <si>
    <t>46:001:2:5:6</t>
  </si>
  <si>
    <t>д Анисимова</t>
  </si>
  <si>
    <t>65711000426</t>
  </si>
  <si>
    <t>39:088:2:5:6</t>
  </si>
  <si>
    <t>д Фомина</t>
  </si>
  <si>
    <t>65711000226</t>
  </si>
  <si>
    <t>39:072:2:5:6</t>
  </si>
  <si>
    <t>65711000316</t>
  </si>
  <si>
    <t>39:057:2:5:6</t>
  </si>
  <si>
    <t>65711000246</t>
  </si>
  <si>
    <t>39:038:2:5:6</t>
  </si>
  <si>
    <t>д Кириллова</t>
  </si>
  <si>
    <t>65763000051</t>
  </si>
  <si>
    <t>34:001:1:2:4</t>
  </si>
  <si>
    <t>Городской округ Рефтинский</t>
  </si>
  <si>
    <t>пгт Рефтинский</t>
  </si>
  <si>
    <t>65720000181</t>
  </si>
  <si>
    <t>62:015:2:3:6</t>
  </si>
  <si>
    <t>п Липовка</t>
  </si>
  <si>
    <t>65717000356</t>
  </si>
  <si>
    <t>13:027:2:4:6</t>
  </si>
  <si>
    <t>с Малая Лая</t>
  </si>
  <si>
    <t>65708000166</t>
  </si>
  <si>
    <t>10:008:2:3:6</t>
  </si>
  <si>
    <t>п Ива</t>
  </si>
  <si>
    <t>65715000126</t>
  </si>
  <si>
    <t>57:002:2:3:6</t>
  </si>
  <si>
    <t>п Большая Выя</t>
  </si>
  <si>
    <t>65758000001</t>
  </si>
  <si>
    <t>37:021:1:1:4</t>
  </si>
  <si>
    <t>г Сухой Лог</t>
  </si>
  <si>
    <t>65703000191</t>
  </si>
  <si>
    <t>02:012:2:3:6</t>
  </si>
  <si>
    <t>65717000306</t>
  </si>
  <si>
    <t>13:057:2:3:6</t>
  </si>
  <si>
    <t>п Черноисточинск</t>
  </si>
  <si>
    <t>65753000141</t>
  </si>
  <si>
    <t>32:027:2:5:6</t>
  </si>
  <si>
    <t>д Хомутовка</t>
  </si>
  <si>
    <t>65753000001</t>
  </si>
  <si>
    <t>32:019:1:1:2</t>
  </si>
  <si>
    <t>г Первоуральск</t>
  </si>
  <si>
    <t>1006_М4_Квартиры Первоуральск</t>
  </si>
  <si>
    <t>65731000151</t>
  </si>
  <si>
    <t>08:010:2:3:5</t>
  </si>
  <si>
    <t>п Монетный</t>
  </si>
  <si>
    <t>65701000246</t>
  </si>
  <si>
    <t>47:003:1:1:1</t>
  </si>
  <si>
    <t>с Горный Щит</t>
  </si>
  <si>
    <t>65701000226</t>
  </si>
  <si>
    <t>47:018:1:1:1</t>
  </si>
  <si>
    <t>п Широкая Речка</t>
  </si>
  <si>
    <t>65701000156</t>
  </si>
  <si>
    <t>47:009:1:1:1</t>
  </si>
  <si>
    <t>п Московский</t>
  </si>
  <si>
    <t>65736000001</t>
  </si>
  <si>
    <t>23:003:1:1:4</t>
  </si>
  <si>
    <t>г Дегтярск</t>
  </si>
  <si>
    <t>65722000236</t>
  </si>
  <si>
    <t>67:039:2:4:6</t>
  </si>
  <si>
    <t>с Абрамово</t>
  </si>
  <si>
    <t>65722000146</t>
  </si>
  <si>
    <t>67:036:2:5:6</t>
  </si>
  <si>
    <t>д Шайдурово</t>
  </si>
  <si>
    <t>65722000141</t>
  </si>
  <si>
    <t>67:032:2:5:6</t>
  </si>
  <si>
    <t>д Токарево</t>
  </si>
  <si>
    <t>65722000001</t>
  </si>
  <si>
    <t>67:031:1:1:4</t>
  </si>
  <si>
    <t>г Сысерть</t>
  </si>
  <si>
    <t>65722000281</t>
  </si>
  <si>
    <t>67:035:2:4:6</t>
  </si>
  <si>
    <t>с Черданцево</t>
  </si>
  <si>
    <t>65722000246</t>
  </si>
  <si>
    <t>67:008:2:4:5</t>
  </si>
  <si>
    <t>с Бородулино</t>
  </si>
  <si>
    <t>65722000131</t>
  </si>
  <si>
    <t>67:022:2:5:6</t>
  </si>
  <si>
    <t>д Малое Седельниково</t>
  </si>
  <si>
    <t>65708000146</t>
  </si>
  <si>
    <t>10:003:2:3:6</t>
  </si>
  <si>
    <t>65758000191</t>
  </si>
  <si>
    <t>37:011:2:4:5</t>
  </si>
  <si>
    <t>с Курьи</t>
  </si>
  <si>
    <t>65719000136</t>
  </si>
  <si>
    <t>33:007:2:4:6</t>
  </si>
  <si>
    <t>с Мариинск</t>
  </si>
  <si>
    <t>65722000111</t>
  </si>
  <si>
    <t>67:006:2:5:5</t>
  </si>
  <si>
    <t>д Большое Седельниково</t>
  </si>
  <si>
    <t>65771000181</t>
  </si>
  <si>
    <t>49:033:2:5:6</t>
  </si>
  <si>
    <t>65751000151</t>
  </si>
  <si>
    <t>14:007:2:3:6</t>
  </si>
  <si>
    <t>п Евстюниха</t>
  </si>
  <si>
    <t>65712000171</t>
  </si>
  <si>
    <t>40:023:2:5:6</t>
  </si>
  <si>
    <t>д Кремлевка</t>
  </si>
  <si>
    <t>65707000236</t>
  </si>
  <si>
    <t>16:008:2:4:6</t>
  </si>
  <si>
    <t>с Волковское</t>
  </si>
  <si>
    <t>65712000221</t>
  </si>
  <si>
    <t>40:049:2:5:6</t>
  </si>
  <si>
    <t>65769000151</t>
  </si>
  <si>
    <t>46:016:2:5:6</t>
  </si>
  <si>
    <t>д Ложкина</t>
  </si>
  <si>
    <t>65769000211</t>
  </si>
  <si>
    <t>46:035:2:5:6</t>
  </si>
  <si>
    <t>д Турутина</t>
  </si>
  <si>
    <t>65769000231</t>
  </si>
  <si>
    <t>46:010:2:3:6</t>
  </si>
  <si>
    <t>п Калач</t>
  </si>
  <si>
    <t>65769000161</t>
  </si>
  <si>
    <t>46:018:2:5:6</t>
  </si>
  <si>
    <t>д Маскалка</t>
  </si>
  <si>
    <t>65769000171</t>
  </si>
  <si>
    <t>46:024:2:5:6</t>
  </si>
  <si>
    <t>д Перевалова</t>
  </si>
  <si>
    <t>65769000116</t>
  </si>
  <si>
    <t>46:004:2:5:6</t>
  </si>
  <si>
    <t>д Большая Ерзовка</t>
  </si>
  <si>
    <t>65769000121</t>
  </si>
  <si>
    <t>46:005:2:5:6</t>
  </si>
  <si>
    <t>65769000131</t>
  </si>
  <si>
    <t>46:007:2:5:6</t>
  </si>
  <si>
    <t>д Горсткина</t>
  </si>
  <si>
    <t>65769000241</t>
  </si>
  <si>
    <t>46:022:2:3:6</t>
  </si>
  <si>
    <t>п Муратково</t>
  </si>
  <si>
    <t>65769000246</t>
  </si>
  <si>
    <t>46:025:2:3:6</t>
  </si>
  <si>
    <t>п Плантация</t>
  </si>
  <si>
    <t>65769000136</t>
  </si>
  <si>
    <t>46:011:2:5:6</t>
  </si>
  <si>
    <t>д Карпихина</t>
  </si>
  <si>
    <t>65769000281</t>
  </si>
  <si>
    <t>46:015:2:4:6</t>
  </si>
  <si>
    <t>с Комарово</t>
  </si>
  <si>
    <t>65771000311</t>
  </si>
  <si>
    <t>49:022:2:3:6</t>
  </si>
  <si>
    <t>п Ельничная</t>
  </si>
  <si>
    <t>65771000366</t>
  </si>
  <si>
    <t>49:060:2:3:6</t>
  </si>
  <si>
    <t>п Самоцвет</t>
  </si>
  <si>
    <t>65703000171</t>
  </si>
  <si>
    <t>02:010:2:3:6</t>
  </si>
  <si>
    <t>п Заболотье</t>
  </si>
  <si>
    <t>65703000221</t>
  </si>
  <si>
    <t>02:005:2:4:6</t>
  </si>
  <si>
    <t>с Бичур</t>
  </si>
  <si>
    <t>65703000146</t>
  </si>
  <si>
    <t>02:007:2:3:6</t>
  </si>
  <si>
    <t>65703000141</t>
  </si>
  <si>
    <t>02:004:2:3:6</t>
  </si>
  <si>
    <t>п Березники</t>
  </si>
  <si>
    <t>65703000111</t>
  </si>
  <si>
    <t>02:015:2:5:6</t>
  </si>
  <si>
    <t>д Лисава</t>
  </si>
  <si>
    <t>65703000131</t>
  </si>
  <si>
    <t>02:024:2:5:6</t>
  </si>
  <si>
    <t>д Родники</t>
  </si>
  <si>
    <t>65703000241</t>
  </si>
  <si>
    <t>02:018:2:4:6</t>
  </si>
  <si>
    <t>с Мироново</t>
  </si>
  <si>
    <t>65705000176</t>
  </si>
  <si>
    <t>05:024:2:5:6</t>
  </si>
  <si>
    <t>д Катырева</t>
  </si>
  <si>
    <t>65705000271</t>
  </si>
  <si>
    <t>05:049:2:5:6</t>
  </si>
  <si>
    <t>д Сосновая Гора</t>
  </si>
  <si>
    <t>65705000186</t>
  </si>
  <si>
    <t>05:026:2:5:6</t>
  </si>
  <si>
    <t>д Киршовка</t>
  </si>
  <si>
    <t>65705000346</t>
  </si>
  <si>
    <t>05:009:2:4:6</t>
  </si>
  <si>
    <t>с Быково</t>
  </si>
  <si>
    <t>65705000161</t>
  </si>
  <si>
    <t>05:018:2:5:6</t>
  </si>
  <si>
    <t>д Еремеевка</t>
  </si>
  <si>
    <t>65705000196</t>
  </si>
  <si>
    <t>05:029:2:5:6</t>
  </si>
  <si>
    <t>д Колтаева</t>
  </si>
  <si>
    <t>65706000201</t>
  </si>
  <si>
    <t>07:017:2:3:6</t>
  </si>
  <si>
    <t>п Колюткино</t>
  </si>
  <si>
    <t>65706000276</t>
  </si>
  <si>
    <t>07:005:2:4:6</t>
  </si>
  <si>
    <t>с Бруснятское</t>
  </si>
  <si>
    <t>65706000156</t>
  </si>
  <si>
    <t>07:041:2:5:6</t>
  </si>
  <si>
    <t>д Чернобровкина</t>
  </si>
  <si>
    <t>65706000141</t>
  </si>
  <si>
    <t>07:024:2:5:6</t>
  </si>
  <si>
    <t>д Марамзина</t>
  </si>
  <si>
    <t>65707000216</t>
  </si>
  <si>
    <t>16:023:2:3:6</t>
  </si>
  <si>
    <t>п Луч</t>
  </si>
  <si>
    <t>65707000226</t>
  </si>
  <si>
    <t>16:002:2:4:5</t>
  </si>
  <si>
    <t>с Байны</t>
  </si>
  <si>
    <t>65707000166</t>
  </si>
  <si>
    <t>16:032:2:5:6</t>
  </si>
  <si>
    <t>д Раскатиха</t>
  </si>
  <si>
    <t>65707000136</t>
  </si>
  <si>
    <t>16:024:2:5:6</t>
  </si>
  <si>
    <t>д Мелехина</t>
  </si>
  <si>
    <t>65707000106</t>
  </si>
  <si>
    <t>16:001:2:5:6</t>
  </si>
  <si>
    <t>д Алешина</t>
  </si>
  <si>
    <t>65707000171</t>
  </si>
  <si>
    <t>16:037:2:5:6</t>
  </si>
  <si>
    <t>д Черданцы</t>
  </si>
  <si>
    <t>65707000176</t>
  </si>
  <si>
    <t>16:039:2:5:6</t>
  </si>
  <si>
    <t>д Чудова</t>
  </si>
  <si>
    <t>65707000231</t>
  </si>
  <si>
    <t>16:003:2:4:5</t>
  </si>
  <si>
    <t>65708000121</t>
  </si>
  <si>
    <t>10:011:2:5:6</t>
  </si>
  <si>
    <t>д Моршинино</t>
  </si>
  <si>
    <t>65708000191</t>
  </si>
  <si>
    <t>10:019:2:3:6</t>
  </si>
  <si>
    <t>п Тупик</t>
  </si>
  <si>
    <t>65708000111</t>
  </si>
  <si>
    <t>10:009:2:5:6</t>
  </si>
  <si>
    <t>65708000171</t>
  </si>
  <si>
    <t>10:014:2:3:6</t>
  </si>
  <si>
    <t>п Первый</t>
  </si>
  <si>
    <t>65708000156</t>
  </si>
  <si>
    <t>10:006:2:3:6</t>
  </si>
  <si>
    <t>п Выя</t>
  </si>
  <si>
    <t>65769000256</t>
  </si>
  <si>
    <t>46:030:2:3:6</t>
  </si>
  <si>
    <t>65709000256</t>
  </si>
  <si>
    <t>22:040:2:5:6</t>
  </si>
  <si>
    <t>д Рассол</t>
  </si>
  <si>
    <t>65709000276</t>
  </si>
  <si>
    <t>22:044:2:5:6</t>
  </si>
  <si>
    <t>д Шумкова</t>
  </si>
  <si>
    <t>65709000241</t>
  </si>
  <si>
    <t>22:033:2:5:6</t>
  </si>
  <si>
    <t>65709000111</t>
  </si>
  <si>
    <t>22:002:2:5:6</t>
  </si>
  <si>
    <t>65709000131</t>
  </si>
  <si>
    <t>22:006:2:5:6</t>
  </si>
  <si>
    <t>д Верхняя Постникова</t>
  </si>
  <si>
    <t>65709000161</t>
  </si>
  <si>
    <t>22:013:2:5:6</t>
  </si>
  <si>
    <t>65709000346</t>
  </si>
  <si>
    <t>22:038:2:4:6</t>
  </si>
  <si>
    <t>с Прокопьевская Салда</t>
  </si>
  <si>
    <t>65710000106</t>
  </si>
  <si>
    <t>12:001:2:5:6</t>
  </si>
  <si>
    <t>д Албычева</t>
  </si>
  <si>
    <t>65710000221</t>
  </si>
  <si>
    <t>12:034:2:5:6</t>
  </si>
  <si>
    <t>д Поспелова</t>
  </si>
  <si>
    <t>65710000216</t>
  </si>
  <si>
    <t>12:033:2:5:6</t>
  </si>
  <si>
    <t>д Петрова</t>
  </si>
  <si>
    <t>65710000211</t>
  </si>
  <si>
    <t>12:032:2:5:6</t>
  </si>
  <si>
    <t>д Петим</t>
  </si>
  <si>
    <t>65710000206</t>
  </si>
  <si>
    <t>12:031:2:5:6</t>
  </si>
  <si>
    <t>д Пелым</t>
  </si>
  <si>
    <t>65710000201</t>
  </si>
  <si>
    <t>12:030:2:5:6</t>
  </si>
  <si>
    <t>д Пантелеева</t>
  </si>
  <si>
    <t>65710000186</t>
  </si>
  <si>
    <t>12:025:2:5:6</t>
  </si>
  <si>
    <t>д Мочальная</t>
  </si>
  <si>
    <t>65710000171</t>
  </si>
  <si>
    <t>12:022:2:5:6</t>
  </si>
  <si>
    <t>д Махтыли</t>
  </si>
  <si>
    <t>65710000136</t>
  </si>
  <si>
    <t>12:014:2:5:6</t>
  </si>
  <si>
    <t>д Кошмаки</t>
  </si>
  <si>
    <t>65710000131</t>
  </si>
  <si>
    <t>12:013:2:5:6</t>
  </si>
  <si>
    <t>65710000226</t>
  </si>
  <si>
    <t>12:036:2:5:6</t>
  </si>
  <si>
    <t>д Рагозина</t>
  </si>
  <si>
    <t>65710000126</t>
  </si>
  <si>
    <t>12:011:2:5:6</t>
  </si>
  <si>
    <t>д Каргаева</t>
  </si>
  <si>
    <t>65710000166</t>
  </si>
  <si>
    <t>12:021:2:5:6</t>
  </si>
  <si>
    <t>65710000156</t>
  </si>
  <si>
    <t>12:018:2:5:6</t>
  </si>
  <si>
    <t>65710000251</t>
  </si>
  <si>
    <t>12:007:2:3:6</t>
  </si>
  <si>
    <t>п Горный</t>
  </si>
  <si>
    <t>65710000256</t>
  </si>
  <si>
    <t>12:009:2:3:6</t>
  </si>
  <si>
    <t>п Зимний</t>
  </si>
  <si>
    <t>65710000306</t>
  </si>
  <si>
    <t>12:041:2:4:6</t>
  </si>
  <si>
    <t>с Шабурово</t>
  </si>
  <si>
    <t>65710000301</t>
  </si>
  <si>
    <t>12:008:2:4:6</t>
  </si>
  <si>
    <t>с Еремино</t>
  </si>
  <si>
    <t>65710000286</t>
  </si>
  <si>
    <t>12:038:2:3:6</t>
  </si>
  <si>
    <t>п Стенин Кедр</t>
  </si>
  <si>
    <t>65710000266</t>
  </si>
  <si>
    <t>12:019:2:3:6</t>
  </si>
  <si>
    <t>п Ликино</t>
  </si>
  <si>
    <t>65710000246</t>
  </si>
  <si>
    <t>12:004:2:3:6</t>
  </si>
  <si>
    <t>п Березовый</t>
  </si>
  <si>
    <t>65710000236</t>
  </si>
  <si>
    <t>12:040:2:5:6</t>
  </si>
  <si>
    <t>д Троицкое</t>
  </si>
  <si>
    <t>65711000406</t>
  </si>
  <si>
    <t>39:082:2:5:6</t>
  </si>
  <si>
    <t>65711000466</t>
  </si>
  <si>
    <t>39:101:2:5:6</t>
  </si>
  <si>
    <t>д Шушарина</t>
  </si>
  <si>
    <t>65711000616</t>
  </si>
  <si>
    <t>39:092:2:4:6</t>
  </si>
  <si>
    <t>с Чернорицкое</t>
  </si>
  <si>
    <t>65711000606</t>
  </si>
  <si>
    <t>39:089:2:4:6</t>
  </si>
  <si>
    <t>с Харловское</t>
  </si>
  <si>
    <t>65711000581</t>
  </si>
  <si>
    <t>39:067:2:4:6</t>
  </si>
  <si>
    <t>с Осинцевское</t>
  </si>
  <si>
    <t>65711000496</t>
  </si>
  <si>
    <t>39:049:2:3:6</t>
  </si>
  <si>
    <t>п Курьинский</t>
  </si>
  <si>
    <t>65711000621</t>
  </si>
  <si>
    <t>39:093:2:4:6</t>
  </si>
  <si>
    <t>с Чубаровское</t>
  </si>
  <si>
    <t>65711000536</t>
  </si>
  <si>
    <t>39:004:2:4:6</t>
  </si>
  <si>
    <t>с Белослудское</t>
  </si>
  <si>
    <t>65711000626</t>
  </si>
  <si>
    <t>39:100:2:4:6</t>
  </si>
  <si>
    <t>с Шмаковское</t>
  </si>
  <si>
    <t>65711000591</t>
  </si>
  <si>
    <t>39:077:2:4:6</t>
  </si>
  <si>
    <t>с Рудное</t>
  </si>
  <si>
    <t>65711000566</t>
  </si>
  <si>
    <t>39:039:2:4:6</t>
  </si>
  <si>
    <t>с Ключи</t>
  </si>
  <si>
    <t>65711000451</t>
  </si>
  <si>
    <t>39:097:2:5:6</t>
  </si>
  <si>
    <t>д Шарапова</t>
  </si>
  <si>
    <t>65711000481</t>
  </si>
  <si>
    <t>39:019:2:3:6</t>
  </si>
  <si>
    <t>п Ветерок</t>
  </si>
  <si>
    <t>65711000141</t>
  </si>
  <si>
    <t>39:010:2:5:6</t>
  </si>
  <si>
    <t>д Большая Кочевка</t>
  </si>
  <si>
    <t>65711000506</t>
  </si>
  <si>
    <t>39:053:2:3:6</t>
  </si>
  <si>
    <t>п Лопатково</t>
  </si>
  <si>
    <t>65711000476</t>
  </si>
  <si>
    <t>39:103:2:5:6</t>
  </si>
  <si>
    <t>д Якшина</t>
  </si>
  <si>
    <t>65711000441</t>
  </si>
  <si>
    <t>39:095:2:5:6</t>
  </si>
  <si>
    <t>д Чусовитина</t>
  </si>
  <si>
    <t>65711000121</t>
  </si>
  <si>
    <t>39:006:2:5:6</t>
  </si>
  <si>
    <t>65711000436</t>
  </si>
  <si>
    <t>39:094:2:5:6</t>
  </si>
  <si>
    <t>65711000586</t>
  </si>
  <si>
    <t>39:074:2:4:6</t>
  </si>
  <si>
    <t>с Пьянково</t>
  </si>
  <si>
    <t>65711000126</t>
  </si>
  <si>
    <t>39:007:2:5:6</t>
  </si>
  <si>
    <t>д Бессонова</t>
  </si>
  <si>
    <t>65711000461</t>
  </si>
  <si>
    <t>39:099:2:5:6</t>
  </si>
  <si>
    <t>65711000431</t>
  </si>
  <si>
    <t>39:090:2:5:6</t>
  </si>
  <si>
    <t>65711000391</t>
  </si>
  <si>
    <t>39:076:2:5:6</t>
  </si>
  <si>
    <t>д Речкалова</t>
  </si>
  <si>
    <t>65711000546</t>
  </si>
  <si>
    <t>39:024:2:4:6</t>
  </si>
  <si>
    <t>с Горки</t>
  </si>
  <si>
    <t>65712000246</t>
  </si>
  <si>
    <t>40:060:2:5:6</t>
  </si>
  <si>
    <t>д Черемисская</t>
  </si>
  <si>
    <t>65712000181</t>
  </si>
  <si>
    <t>40:027:2:5:6</t>
  </si>
  <si>
    <t>д Малая Белоносова</t>
  </si>
  <si>
    <t>65712000396</t>
  </si>
  <si>
    <t>40:048:2:4:6</t>
  </si>
  <si>
    <t>65712000251</t>
  </si>
  <si>
    <t>40:062:2:5:6</t>
  </si>
  <si>
    <t>д Черноскутова</t>
  </si>
  <si>
    <t>65712000416</t>
  </si>
  <si>
    <t>40:061:2:4:6</t>
  </si>
  <si>
    <t>с Черемхово</t>
  </si>
  <si>
    <t>65712000126</t>
  </si>
  <si>
    <t>40:006:2:5:6</t>
  </si>
  <si>
    <t>д Боевка</t>
  </si>
  <si>
    <t>65712000151</t>
  </si>
  <si>
    <t>40:016:2:5:6</t>
  </si>
  <si>
    <t>65712000261</t>
  </si>
  <si>
    <t>40:064:2:5:6</t>
  </si>
  <si>
    <t>д Чечулина</t>
  </si>
  <si>
    <t>65712000271</t>
  </si>
  <si>
    <t>40:011:2:3:6</t>
  </si>
  <si>
    <t>65712000136</t>
  </si>
  <si>
    <t>40:009:2:5:6</t>
  </si>
  <si>
    <t>д Бубнова</t>
  </si>
  <si>
    <t>65712000241</t>
  </si>
  <si>
    <t>40:059:2:5:6</t>
  </si>
  <si>
    <t>д Часовая</t>
  </si>
  <si>
    <t>65712000411</t>
  </si>
  <si>
    <t>40:057:2:4:6</t>
  </si>
  <si>
    <t>65712000276</t>
  </si>
  <si>
    <t>40:020:2:3:6</t>
  </si>
  <si>
    <t>п Колчедан</t>
  </si>
  <si>
    <t>65712000266</t>
  </si>
  <si>
    <t>40:065:2:5:6</t>
  </si>
  <si>
    <t>д Шилова</t>
  </si>
  <si>
    <t>65712000111</t>
  </si>
  <si>
    <t>40:003:2:5:6</t>
  </si>
  <si>
    <t>д Беловодье</t>
  </si>
  <si>
    <t>65712000406</t>
  </si>
  <si>
    <t>40:055:2:4:5</t>
  </si>
  <si>
    <t>с Травянское</t>
  </si>
  <si>
    <t>65712000211</t>
  </si>
  <si>
    <t>40:043:2:5:6</t>
  </si>
  <si>
    <t>д Походилова</t>
  </si>
  <si>
    <t>65712000336</t>
  </si>
  <si>
    <t>40:013:2:4:6</t>
  </si>
  <si>
    <t>с Исетское</t>
  </si>
  <si>
    <t>65712000116</t>
  </si>
  <si>
    <t>40:004:2:5:6</t>
  </si>
  <si>
    <t>д Белоносова</t>
  </si>
  <si>
    <t>65712000256</t>
  </si>
  <si>
    <t>40:063:2:5:6</t>
  </si>
  <si>
    <t>д Черноусова</t>
  </si>
  <si>
    <t>65712000301</t>
  </si>
  <si>
    <t>40:035:2:3:6</t>
  </si>
  <si>
    <t>65712000131</t>
  </si>
  <si>
    <t>40:008:2:5:6</t>
  </si>
  <si>
    <t>д Брод</t>
  </si>
  <si>
    <t>65712000366</t>
  </si>
  <si>
    <t>40:036:2:4:6</t>
  </si>
  <si>
    <t>с Окулово</t>
  </si>
  <si>
    <t>65712000156</t>
  </si>
  <si>
    <t>40:017:2:5:6</t>
  </si>
  <si>
    <t>д Ключики</t>
  </si>
  <si>
    <t>65712000161</t>
  </si>
  <si>
    <t>40:021:2:5:6</t>
  </si>
  <si>
    <t>65712000166</t>
  </si>
  <si>
    <t>40:022:2:5:6</t>
  </si>
  <si>
    <t>д Крайчикова</t>
  </si>
  <si>
    <t>65712000341</t>
  </si>
  <si>
    <t>40:014:2:4:5</t>
  </si>
  <si>
    <t>с Кисловское</t>
  </si>
  <si>
    <t>65712000286</t>
  </si>
  <si>
    <t>40:024:2:3:6</t>
  </si>
  <si>
    <t>65712000146</t>
  </si>
  <si>
    <t>40:012:2:5:6</t>
  </si>
  <si>
    <t>д Давыдова</t>
  </si>
  <si>
    <t>65712000311</t>
  </si>
  <si>
    <t>40:046:2:3:6</t>
  </si>
  <si>
    <t>п Синарский</t>
  </si>
  <si>
    <t>65712000216</t>
  </si>
  <si>
    <t>40:045:2:5:6</t>
  </si>
  <si>
    <t>д Свобода</t>
  </si>
  <si>
    <t>65712000206</t>
  </si>
  <si>
    <t>40:042:2:5:6</t>
  </si>
  <si>
    <t>65712000196</t>
  </si>
  <si>
    <t>40:032:2:5:6</t>
  </si>
  <si>
    <t>д Мухлынина</t>
  </si>
  <si>
    <t>65712000201</t>
  </si>
  <si>
    <t>40:038:2:5:6</t>
  </si>
  <si>
    <t>д Перебор</t>
  </si>
  <si>
    <t>65623430106</t>
  </si>
  <si>
    <t>53:054:2:5:6</t>
  </si>
  <si>
    <t>65623415166</t>
  </si>
  <si>
    <t>53:008:2:6:6</t>
  </si>
  <si>
    <t>х Бухаровский</t>
  </si>
  <si>
    <t>65713000126</t>
  </si>
  <si>
    <t>54:008:2:5:6</t>
  </si>
  <si>
    <t>д Верх-Бобровка</t>
  </si>
  <si>
    <t>65713000206</t>
  </si>
  <si>
    <t>54:030:2:5:6</t>
  </si>
  <si>
    <t>д Малый Турыш</t>
  </si>
  <si>
    <t>65713000226</t>
  </si>
  <si>
    <t>54:038:2:5:6</t>
  </si>
  <si>
    <t>д Новый Бугалыш</t>
  </si>
  <si>
    <t>65717000286</t>
  </si>
  <si>
    <t>13:040:2:3:6</t>
  </si>
  <si>
    <t>65717000246</t>
  </si>
  <si>
    <t>13:014:2:3:6</t>
  </si>
  <si>
    <t>п Дальний</t>
  </si>
  <si>
    <t>65717000316</t>
  </si>
  <si>
    <t>13:004:2:4:6</t>
  </si>
  <si>
    <t>с Башкарка</t>
  </si>
  <si>
    <t>65717000206</t>
  </si>
  <si>
    <t>13:054:2:5:6</t>
  </si>
  <si>
    <t>д Фокинцы</t>
  </si>
  <si>
    <t>65717000201</t>
  </si>
  <si>
    <t>13:053:2:5:6</t>
  </si>
  <si>
    <t>д Темно-Осинова</t>
  </si>
  <si>
    <t>65751000186</t>
  </si>
  <si>
    <t>14:020:2:3:6</t>
  </si>
  <si>
    <t>п Уралец</t>
  </si>
  <si>
    <t>65717000331</t>
  </si>
  <si>
    <t>13:009:2:4:6</t>
  </si>
  <si>
    <t>с Бызово</t>
  </si>
  <si>
    <t>65717000266</t>
  </si>
  <si>
    <t>13:031:2:3:6</t>
  </si>
  <si>
    <t>п Молодежный</t>
  </si>
  <si>
    <t>65717000151</t>
  </si>
  <si>
    <t>13:029:2:5:6</t>
  </si>
  <si>
    <t>д Матвеева</t>
  </si>
  <si>
    <t>65751000121</t>
  </si>
  <si>
    <t>14:015:2:5:6</t>
  </si>
  <si>
    <t>д Нижняя Ослянка</t>
  </si>
  <si>
    <t>65717000116</t>
  </si>
  <si>
    <t>13:010:2:5:6</t>
  </si>
  <si>
    <t>д Верхняя Алабашка</t>
  </si>
  <si>
    <t>65717000176</t>
  </si>
  <si>
    <t>13:046:2:5:6</t>
  </si>
  <si>
    <t>д Сартакова</t>
  </si>
  <si>
    <t>65717000186</t>
  </si>
  <si>
    <t>13:050:2:5:6</t>
  </si>
  <si>
    <t>д Слудка</t>
  </si>
  <si>
    <t>65717000131</t>
  </si>
  <si>
    <t>13:020:2:5:6</t>
  </si>
  <si>
    <t>65717000296</t>
  </si>
  <si>
    <t>13:047:2:3:6</t>
  </si>
  <si>
    <t>65717000171</t>
  </si>
  <si>
    <t>13:045:2:5:6</t>
  </si>
  <si>
    <t>д Сарапулка</t>
  </si>
  <si>
    <t>65717000156</t>
  </si>
  <si>
    <t>13:036:2:5:6</t>
  </si>
  <si>
    <t>д Новая Башкарка</t>
  </si>
  <si>
    <t>65717000136</t>
  </si>
  <si>
    <t>13:021:2:5:6</t>
  </si>
  <si>
    <t>д Корнилова</t>
  </si>
  <si>
    <t>65717000256</t>
  </si>
  <si>
    <t>13:023:2:3:6</t>
  </si>
  <si>
    <t>п Лая</t>
  </si>
  <si>
    <t>65717000181</t>
  </si>
  <si>
    <t>13:048:2:5:6</t>
  </si>
  <si>
    <t>д Сизикова</t>
  </si>
  <si>
    <t>65717000126</t>
  </si>
  <si>
    <t>13:018:2:5:6</t>
  </si>
  <si>
    <t>65717000146</t>
  </si>
  <si>
    <t>13:028:2:5:6</t>
  </si>
  <si>
    <t>65717000321</t>
  </si>
  <si>
    <t>13:006:2:4:6</t>
  </si>
  <si>
    <t>с Большие Галашки</t>
  </si>
  <si>
    <t>65717000191</t>
  </si>
  <si>
    <t>13:051:2:5:6</t>
  </si>
  <si>
    <t>д Соседкова</t>
  </si>
  <si>
    <t>65751000166</t>
  </si>
  <si>
    <t>14:013:2:3:6</t>
  </si>
  <si>
    <t>п Канава</t>
  </si>
  <si>
    <t>65718000321</t>
  </si>
  <si>
    <t>61:044:2:4:6</t>
  </si>
  <si>
    <t>с Юрмытское</t>
  </si>
  <si>
    <t>65718000121</t>
  </si>
  <si>
    <t>61:005:2:5:6</t>
  </si>
  <si>
    <t>65718000191</t>
  </si>
  <si>
    <t>61:026:2:5:6</t>
  </si>
  <si>
    <t>д Салопаткина</t>
  </si>
  <si>
    <t>65718000246</t>
  </si>
  <si>
    <t>61:011:2:3:6</t>
  </si>
  <si>
    <t>п Крутоярский</t>
  </si>
  <si>
    <t>65718000226</t>
  </si>
  <si>
    <t>61:036:2:5:6</t>
  </si>
  <si>
    <t>д Фролы</t>
  </si>
  <si>
    <t>65718000221</t>
  </si>
  <si>
    <t>61:035:2:5:6</t>
  </si>
  <si>
    <t>д Устьянка</t>
  </si>
  <si>
    <t>65718000141</t>
  </si>
  <si>
    <t>61:012:2:5:6</t>
  </si>
  <si>
    <t>д Лепихина</t>
  </si>
  <si>
    <t>65718000296</t>
  </si>
  <si>
    <t>61:034:2:4:6</t>
  </si>
  <si>
    <t>с Тупицыно</t>
  </si>
  <si>
    <t>65718000151</t>
  </si>
  <si>
    <t>61:014:2:5:6</t>
  </si>
  <si>
    <t>д Медведева</t>
  </si>
  <si>
    <t>65718000291</t>
  </si>
  <si>
    <t>61:032:2:4:6</t>
  </si>
  <si>
    <t>с Трифоново</t>
  </si>
  <si>
    <t>65718000286</t>
  </si>
  <si>
    <t>61:031:2:4:6</t>
  </si>
  <si>
    <t>с Тимохинское</t>
  </si>
  <si>
    <t>65756000111</t>
  </si>
  <si>
    <t>64:006:2:5:6</t>
  </si>
  <si>
    <t>д Еловый Падун</t>
  </si>
  <si>
    <t>65756000126</t>
  </si>
  <si>
    <t>64:018:2:5:6</t>
  </si>
  <si>
    <t>д Морозково</t>
  </si>
  <si>
    <t>65756000221</t>
  </si>
  <si>
    <t>64:019:2:3:6</t>
  </si>
  <si>
    <t>п Морозково</t>
  </si>
  <si>
    <t>65756000251</t>
  </si>
  <si>
    <t>64:033:2:3:6</t>
  </si>
  <si>
    <t>п Сотрино</t>
  </si>
  <si>
    <t>65756000236</t>
  </si>
  <si>
    <t>64:022:2:3:6</t>
  </si>
  <si>
    <t>65756000231</t>
  </si>
  <si>
    <t>64:021:2:3:6</t>
  </si>
  <si>
    <t>п Новое Сотрино</t>
  </si>
  <si>
    <t>65756000116</t>
  </si>
  <si>
    <t>64:014:2:5:6</t>
  </si>
  <si>
    <t>д Магина</t>
  </si>
  <si>
    <t>65756000136</t>
  </si>
  <si>
    <t>64:027:2:5:6</t>
  </si>
  <si>
    <t>д Поспелкова</t>
  </si>
  <si>
    <t>65756000146</t>
  </si>
  <si>
    <t>64:002:2:3:6</t>
  </si>
  <si>
    <t>п Боровой</t>
  </si>
  <si>
    <t>65756000241</t>
  </si>
  <si>
    <t>64:024:2:3:6</t>
  </si>
  <si>
    <t>п Подгарничный</t>
  </si>
  <si>
    <t>65756000106</t>
  </si>
  <si>
    <t>64:004:2:5:6</t>
  </si>
  <si>
    <t>д Еловка</t>
  </si>
  <si>
    <t>65756000201</t>
  </si>
  <si>
    <t>64:013:2:3:6</t>
  </si>
  <si>
    <t>п Лесоразработки</t>
  </si>
  <si>
    <t>65756000156</t>
  </si>
  <si>
    <t>64:005:2:3:6</t>
  </si>
  <si>
    <t>п Еловка Новая</t>
  </si>
  <si>
    <t>65756000216</t>
  </si>
  <si>
    <t>64:026:2:3:6</t>
  </si>
  <si>
    <t>п Мирный</t>
  </si>
  <si>
    <t>65756000276</t>
  </si>
  <si>
    <t>64:001:2:4:6</t>
  </si>
  <si>
    <t>с Андриановичи</t>
  </si>
  <si>
    <t>65756000261</t>
  </si>
  <si>
    <t>64:030:2:3:6</t>
  </si>
  <si>
    <t>п Танковичи</t>
  </si>
  <si>
    <t>65756000211</t>
  </si>
  <si>
    <t>64:016:2:3:6</t>
  </si>
  <si>
    <t>п Межевая</t>
  </si>
  <si>
    <t>65756000131</t>
  </si>
  <si>
    <t>64:023:2:5:6</t>
  </si>
  <si>
    <t>65756000176</t>
  </si>
  <si>
    <t>64:008:2:3:6</t>
  </si>
  <si>
    <t>п Кордон</t>
  </si>
  <si>
    <t>65756000121</t>
  </si>
  <si>
    <t>64:029:2:5:6</t>
  </si>
  <si>
    <t>д Масловка</t>
  </si>
  <si>
    <t>65756000166</t>
  </si>
  <si>
    <t>64:017:2:6:6</t>
  </si>
  <si>
    <t>х Морозково</t>
  </si>
  <si>
    <t>65756000256</t>
  </si>
  <si>
    <t>64:034:2:3:6</t>
  </si>
  <si>
    <t>п Старое Морозково</t>
  </si>
  <si>
    <t>65756000246</t>
  </si>
  <si>
    <t>64:025:2:3:6</t>
  </si>
  <si>
    <t>п Поперечный</t>
  </si>
  <si>
    <t>65756000151</t>
  </si>
  <si>
    <t>64:003:2:3:6</t>
  </si>
  <si>
    <t>п Вагранская</t>
  </si>
  <si>
    <t>65756000161</t>
  </si>
  <si>
    <t>64:028:2:3:6</t>
  </si>
  <si>
    <t>п Поспелково</t>
  </si>
  <si>
    <t>65756000191</t>
  </si>
  <si>
    <t>64:011:2:3:6</t>
  </si>
  <si>
    <t>65639470146</t>
  </si>
  <si>
    <t>65:014:2:5:6</t>
  </si>
  <si>
    <t>д Замотаева</t>
  </si>
  <si>
    <t>65639470176</t>
  </si>
  <si>
    <t>65:029:2:5:6</t>
  </si>
  <si>
    <t>65639470101</t>
  </si>
  <si>
    <t>65:043:2:4:6</t>
  </si>
  <si>
    <t>с Усть-Ницинское</t>
  </si>
  <si>
    <t>65639470161</t>
  </si>
  <si>
    <t>65:018:2:5:6</t>
  </si>
  <si>
    <t>д Калугина</t>
  </si>
  <si>
    <t>65639470106</t>
  </si>
  <si>
    <t>65:004:2:5:6</t>
  </si>
  <si>
    <t>д Бурмакина</t>
  </si>
  <si>
    <t>65639470136</t>
  </si>
  <si>
    <t>65:012:2:5:6</t>
  </si>
  <si>
    <t>д Ермолина</t>
  </si>
  <si>
    <t>65645450116</t>
  </si>
  <si>
    <t>68:016:2:5:6</t>
  </si>
  <si>
    <t>д Носово</t>
  </si>
  <si>
    <t>65645415146</t>
  </si>
  <si>
    <t>68:026:2:5:6</t>
  </si>
  <si>
    <t>д Фунтусово</t>
  </si>
  <si>
    <t>65645415166</t>
  </si>
  <si>
    <t>68:020:2:3:6</t>
  </si>
  <si>
    <t>п Сарьянка</t>
  </si>
  <si>
    <t>65645415171</t>
  </si>
  <si>
    <t>68:031:2:3:6</t>
  </si>
  <si>
    <t>п Чунь-Чеш</t>
  </si>
  <si>
    <t>65645415126</t>
  </si>
  <si>
    <t>68:010:2:5:6</t>
  </si>
  <si>
    <t>д Икса</t>
  </si>
  <si>
    <t>65645450126</t>
  </si>
  <si>
    <t>68:028:2:5:6</t>
  </si>
  <si>
    <t>д Чернавская</t>
  </si>
  <si>
    <t>65645450111</t>
  </si>
  <si>
    <t>68:009:2:5:6</t>
  </si>
  <si>
    <t>д Ефимовская</t>
  </si>
  <si>
    <t>65645450146</t>
  </si>
  <si>
    <t>68:022:2:3:6</t>
  </si>
  <si>
    <t>п Томский</t>
  </si>
  <si>
    <t>65645450141</t>
  </si>
  <si>
    <t>68:015:2:3:6</t>
  </si>
  <si>
    <t>п Новоселово</t>
  </si>
  <si>
    <t>65645450151</t>
  </si>
  <si>
    <t>68:033:2:3:6</t>
  </si>
  <si>
    <t>п Якшино</t>
  </si>
  <si>
    <t>65645440116</t>
  </si>
  <si>
    <t>68:007:2:5:6</t>
  </si>
  <si>
    <t>д Емельяшевка</t>
  </si>
  <si>
    <t>65645440131</t>
  </si>
  <si>
    <t>68:023:2:5:6</t>
  </si>
  <si>
    <t>д Торомка</t>
  </si>
  <si>
    <t>65645450136</t>
  </si>
  <si>
    <t>68:032:2:5:6</t>
  </si>
  <si>
    <t>д Эхталь</t>
  </si>
  <si>
    <t>65645450101</t>
  </si>
  <si>
    <t>68:024:2:5:6</t>
  </si>
  <si>
    <t>д Унже-Павинская</t>
  </si>
  <si>
    <t>65645440101</t>
  </si>
  <si>
    <t>68:021:2:4:5</t>
  </si>
  <si>
    <t>с Таборы</t>
  </si>
  <si>
    <t>65723000286</t>
  </si>
  <si>
    <t>69:045:2:3:6</t>
  </si>
  <si>
    <t>п Матюшино</t>
  </si>
  <si>
    <t>65724000526</t>
  </si>
  <si>
    <t>70:026:2:4:6</t>
  </si>
  <si>
    <t>65724000151</t>
  </si>
  <si>
    <t>70:015:2:5:6</t>
  </si>
  <si>
    <t>д Буткинское Озеро</t>
  </si>
  <si>
    <t>65724000176</t>
  </si>
  <si>
    <t>70:020:2:5:6</t>
  </si>
  <si>
    <t>д Вихляева</t>
  </si>
  <si>
    <t>65724000116</t>
  </si>
  <si>
    <t>70:005:2:5:6</t>
  </si>
  <si>
    <t>65724000496</t>
  </si>
  <si>
    <t>70:003:2:4:6</t>
  </si>
  <si>
    <t>с Басмановское</t>
  </si>
  <si>
    <t>65724000376</t>
  </si>
  <si>
    <t>70:080:2:5:6</t>
  </si>
  <si>
    <t>д Средний Катарач</t>
  </si>
  <si>
    <t>65724000186</t>
  </si>
  <si>
    <t>70:025:2:5:6</t>
  </si>
  <si>
    <t>д Грозина</t>
  </si>
  <si>
    <t>65724000316</t>
  </si>
  <si>
    <t>70:062:2:5:6</t>
  </si>
  <si>
    <t>д Одина</t>
  </si>
  <si>
    <t>65724000381</t>
  </si>
  <si>
    <t>70:081:2:5:6</t>
  </si>
  <si>
    <t>д Сугат</t>
  </si>
  <si>
    <t>65724000511</t>
  </si>
  <si>
    <t>70:021:2:4:6</t>
  </si>
  <si>
    <t>с Вновь-Юрмытское</t>
  </si>
  <si>
    <t>65724000111</t>
  </si>
  <si>
    <t>70:004:2:5:6</t>
  </si>
  <si>
    <t>д Белая Елань</t>
  </si>
  <si>
    <t>65724000396</t>
  </si>
  <si>
    <t>70:085:2:5:6</t>
  </si>
  <si>
    <t>д Трехозерная</t>
  </si>
  <si>
    <t>65724000201</t>
  </si>
  <si>
    <t>70:032:2:5:6</t>
  </si>
  <si>
    <t>65724000416</t>
  </si>
  <si>
    <t>70:091:2:5:6</t>
  </si>
  <si>
    <t>д Чернова</t>
  </si>
  <si>
    <t>65724000301</t>
  </si>
  <si>
    <t>70:058:2:5:6</t>
  </si>
  <si>
    <t>д Нижний Катарач</t>
  </si>
  <si>
    <t>65725000271</t>
  </si>
  <si>
    <t>71:012:2:3:5</t>
  </si>
  <si>
    <t>п Ертарский</t>
  </si>
  <si>
    <t>65725000121</t>
  </si>
  <si>
    <t>71:006:2:5:6</t>
  </si>
  <si>
    <t>д Галашова</t>
  </si>
  <si>
    <t>65725000256</t>
  </si>
  <si>
    <t>71:050:2:5:6</t>
  </si>
  <si>
    <t>д Юшкова</t>
  </si>
  <si>
    <t>65725000126</t>
  </si>
  <si>
    <t>71:007:2:5:6</t>
  </si>
  <si>
    <t>65725000171</t>
  </si>
  <si>
    <t>71:022:2:5:6</t>
  </si>
  <si>
    <t>65725000301</t>
  </si>
  <si>
    <t>71:048:2:3:6</t>
  </si>
  <si>
    <t>п Щелконоговский</t>
  </si>
  <si>
    <t>65725000131</t>
  </si>
  <si>
    <t>71:008:2:5:6</t>
  </si>
  <si>
    <t>д Гурина</t>
  </si>
  <si>
    <t>65725000351</t>
  </si>
  <si>
    <t>71:044:2:4:6</t>
  </si>
  <si>
    <t>65725000206</t>
  </si>
  <si>
    <t>71:034:2:5:6</t>
  </si>
  <si>
    <t>д Пилигримова</t>
  </si>
  <si>
    <t>65725000326</t>
  </si>
  <si>
    <t>71:017:2:4:6</t>
  </si>
  <si>
    <t>с Ивановка</t>
  </si>
  <si>
    <t>65725000296</t>
  </si>
  <si>
    <t>71:029:2:3:6</t>
  </si>
  <si>
    <t>п Месяды</t>
  </si>
  <si>
    <t>65725000251</t>
  </si>
  <si>
    <t>71:047:2:5:6</t>
  </si>
  <si>
    <t>д Щелконогова</t>
  </si>
  <si>
    <t>65725000176</t>
  </si>
  <si>
    <t>71:025:2:5:6</t>
  </si>
  <si>
    <t>65725000141</t>
  </si>
  <si>
    <t>71:011:2:5:6</t>
  </si>
  <si>
    <t>д Дубровина</t>
  </si>
  <si>
    <t>65725000191</t>
  </si>
  <si>
    <t>71:030:2:5:6</t>
  </si>
  <si>
    <t>д Мостовщики</t>
  </si>
  <si>
    <t>65725000216</t>
  </si>
  <si>
    <t>71:036:2:5:6</t>
  </si>
  <si>
    <t>д Полушина</t>
  </si>
  <si>
    <t>65725000321</t>
  </si>
  <si>
    <t>71:016:2:4:6</t>
  </si>
  <si>
    <t>с Зубково</t>
  </si>
  <si>
    <t>65725000136</t>
  </si>
  <si>
    <t>71:009:2:5:6</t>
  </si>
  <si>
    <t>д Двинская</t>
  </si>
  <si>
    <t>65725000241</t>
  </si>
  <si>
    <t>71:045:2:5:6</t>
  </si>
  <si>
    <t>д Цепошникова</t>
  </si>
  <si>
    <t>65726000311</t>
  </si>
  <si>
    <t>72:006:2:3:6</t>
  </si>
  <si>
    <t>п Водоисточник</t>
  </si>
  <si>
    <t>65726000351</t>
  </si>
  <si>
    <t>72:050:2:3:6</t>
  </si>
  <si>
    <t>п Увельки</t>
  </si>
  <si>
    <t>65728000121</t>
  </si>
  <si>
    <t>50:004:2:3:5</t>
  </si>
  <si>
    <t>п Западный</t>
  </si>
  <si>
    <t>65729000106</t>
  </si>
  <si>
    <t>01:002:2:3:5</t>
  </si>
  <si>
    <t>Арамильский городской округ</t>
  </si>
  <si>
    <t>п Арамиль</t>
  </si>
  <si>
    <t>65732000166</t>
  </si>
  <si>
    <t>20:014:2:3:6</t>
  </si>
  <si>
    <t>п Крутой</t>
  </si>
  <si>
    <t>65732000206</t>
  </si>
  <si>
    <t>20:025:2:3:6</t>
  </si>
  <si>
    <t>п Шахты</t>
  </si>
  <si>
    <t>65732000156</t>
  </si>
  <si>
    <t>20:012:2:3:6</t>
  </si>
  <si>
    <t>п Красный</t>
  </si>
  <si>
    <t>65732000196</t>
  </si>
  <si>
    <t>20:022:2:3:6</t>
  </si>
  <si>
    <t>п Сагра</t>
  </si>
  <si>
    <t>65735000111</t>
  </si>
  <si>
    <t>11:002:2:3:6</t>
  </si>
  <si>
    <t>Волчанский городской округ</t>
  </si>
  <si>
    <t>п Вьюжный</t>
  </si>
  <si>
    <t>65738000146</t>
  </si>
  <si>
    <t>38:008:2:3:6</t>
  </si>
  <si>
    <t>п Лангур</t>
  </si>
  <si>
    <t>65738000131</t>
  </si>
  <si>
    <t>38:004:2:3:6</t>
  </si>
  <si>
    <t>п Глухарный</t>
  </si>
  <si>
    <t>65738000166</t>
  </si>
  <si>
    <t>38:012:2:3:6</t>
  </si>
  <si>
    <t>п Митяево</t>
  </si>
  <si>
    <t>65740000106</t>
  </si>
  <si>
    <t>52:002:1:1:2</t>
  </si>
  <si>
    <t>д Кодинка</t>
  </si>
  <si>
    <t>65748000111</t>
  </si>
  <si>
    <t>44:006:2:5:6</t>
  </si>
  <si>
    <t>65748000136</t>
  </si>
  <si>
    <t>44:004:2:3:6</t>
  </si>
  <si>
    <t>п Валуевский</t>
  </si>
  <si>
    <t>65748000141</t>
  </si>
  <si>
    <t>44:005:2:3:6</t>
  </si>
  <si>
    <t>п Верхняя Баранча</t>
  </si>
  <si>
    <t>65748000126</t>
  </si>
  <si>
    <t>44:001:2:3:6</t>
  </si>
  <si>
    <t>п Азиатская</t>
  </si>
  <si>
    <t>65753000136</t>
  </si>
  <si>
    <t>32:025:2:5:6</t>
  </si>
  <si>
    <t>д Трека</t>
  </si>
  <si>
    <t>65753000226</t>
  </si>
  <si>
    <t>32:030:2:3:6</t>
  </si>
  <si>
    <t>п Шадриха</t>
  </si>
  <si>
    <t>65753000116</t>
  </si>
  <si>
    <t>32:009:2:5:6</t>
  </si>
  <si>
    <t>д Коновалово</t>
  </si>
  <si>
    <t>65753000236</t>
  </si>
  <si>
    <t>32:015:2:4:6</t>
  </si>
  <si>
    <t>с Нижнее Село</t>
  </si>
  <si>
    <t>65753000176</t>
  </si>
  <si>
    <t>32:010:2:3:6</t>
  </si>
  <si>
    <t>п Коуровка</t>
  </si>
  <si>
    <t>65753000231</t>
  </si>
  <si>
    <t>32:002:2:4:6</t>
  </si>
  <si>
    <t>с Битимка</t>
  </si>
  <si>
    <t>65753000191</t>
  </si>
  <si>
    <t>32:016:2:3:6</t>
  </si>
  <si>
    <t>п Новая Трека</t>
  </si>
  <si>
    <t>65754000136</t>
  </si>
  <si>
    <t>60:007:2:3:6</t>
  </si>
  <si>
    <t>п Красная Горка</t>
  </si>
  <si>
    <t>65754000111</t>
  </si>
  <si>
    <t>60:013:2:5:6</t>
  </si>
  <si>
    <t>д Раскуиха</t>
  </si>
  <si>
    <t>65754000126</t>
  </si>
  <si>
    <t>60:003:2:3:6</t>
  </si>
  <si>
    <t>п Зюзельский</t>
  </si>
  <si>
    <t>65754000116</t>
  </si>
  <si>
    <t>60:001:2:3:6</t>
  </si>
  <si>
    <t>п Большая Лавровка</t>
  </si>
  <si>
    <t>65754000106</t>
  </si>
  <si>
    <t>60:004:2:5:6</t>
  </si>
  <si>
    <t>д Кенчурка</t>
  </si>
  <si>
    <t>65755000111</t>
  </si>
  <si>
    <t>63:002:2:3:6</t>
  </si>
  <si>
    <t>п Бокситы</t>
  </si>
  <si>
    <t>65755000126</t>
  </si>
  <si>
    <t>63:007:2:3:6</t>
  </si>
  <si>
    <t>п Сосьва</t>
  </si>
  <si>
    <t>65756000271</t>
  </si>
  <si>
    <t>64:037:2:3:6</t>
  </si>
  <si>
    <t>п Черноярский</t>
  </si>
  <si>
    <t>65756000226</t>
  </si>
  <si>
    <t>64:020:2:3:6</t>
  </si>
  <si>
    <t>п Нижняя Пристань</t>
  </si>
  <si>
    <t>65757000001</t>
  </si>
  <si>
    <t>35:004:1:1:4</t>
  </si>
  <si>
    <t>г Среднеуральск</t>
  </si>
  <si>
    <t>65752000001</t>
  </si>
  <si>
    <t>59:003:1:1:3</t>
  </si>
  <si>
    <t>г Новоуральск</t>
  </si>
  <si>
    <t>65705000051</t>
  </si>
  <si>
    <t>05:005:1:2:4</t>
  </si>
  <si>
    <t>пгт Ачит</t>
  </si>
  <si>
    <t>65710000121</t>
  </si>
  <si>
    <t>12:010:2:5:6</t>
  </si>
  <si>
    <t>д Зыкова</t>
  </si>
  <si>
    <t>65710000146</t>
  </si>
  <si>
    <t>12:016:2:5:6</t>
  </si>
  <si>
    <t>д Кузнецова</t>
  </si>
  <si>
    <t>65710000191</t>
  </si>
  <si>
    <t>12:026:2:5:6</t>
  </si>
  <si>
    <t>д Мочищенская</t>
  </si>
  <si>
    <t>65710000141</t>
  </si>
  <si>
    <t>12:015:2:5:6</t>
  </si>
  <si>
    <t>д Круторечка</t>
  </si>
  <si>
    <t>65710000176</t>
  </si>
  <si>
    <t>12:023:2:5:6</t>
  </si>
  <si>
    <t>65710000051</t>
  </si>
  <si>
    <t>12:006:1:2:4</t>
  </si>
  <si>
    <t>пгт Гари</t>
  </si>
  <si>
    <t>65711000341</t>
  </si>
  <si>
    <t>39:061:2:5:6</t>
  </si>
  <si>
    <t>д Неустроева</t>
  </si>
  <si>
    <t>65712000326</t>
  </si>
  <si>
    <t>40:001:2:4:6</t>
  </si>
  <si>
    <t>с Барабановское</t>
  </si>
  <si>
    <t>65712000106</t>
  </si>
  <si>
    <t>40:002:2:5:6</t>
  </si>
  <si>
    <t>д Бекленищева</t>
  </si>
  <si>
    <t>65712000306</t>
  </si>
  <si>
    <t>40:037:2:3:6</t>
  </si>
  <si>
    <t>65712000351</t>
  </si>
  <si>
    <t>40:019:2:4:5</t>
  </si>
  <si>
    <t>с Колчедан</t>
  </si>
  <si>
    <t>65712000361</t>
  </si>
  <si>
    <t>40:033:2:4:5</t>
  </si>
  <si>
    <t>с Новоисетское</t>
  </si>
  <si>
    <t>65713000301</t>
  </si>
  <si>
    <t>54:060:2:5:6</t>
  </si>
  <si>
    <t>д Усть-Бугалыш</t>
  </si>
  <si>
    <t>65713000201</t>
  </si>
  <si>
    <t>54:029:2:5:6</t>
  </si>
  <si>
    <t>д Лебяжье</t>
  </si>
  <si>
    <t>65713000131</t>
  </si>
  <si>
    <t>54:009:2:5:6</t>
  </si>
  <si>
    <t>д Верхний Баяк</t>
  </si>
  <si>
    <t>65713000311</t>
  </si>
  <si>
    <t>54:063:2:5:6</t>
  </si>
  <si>
    <t>д Черлак</t>
  </si>
  <si>
    <t>65713000196</t>
  </si>
  <si>
    <t>54:028:2:5:6</t>
  </si>
  <si>
    <t>д Куянково</t>
  </si>
  <si>
    <t>65713000436</t>
  </si>
  <si>
    <t>54:068:2:4:6</t>
  </si>
  <si>
    <t>с Юва</t>
  </si>
  <si>
    <t>65713000371</t>
  </si>
  <si>
    <t>54:021:2:4:6</t>
  </si>
  <si>
    <t>с Ключики</t>
  </si>
  <si>
    <t>65713000111</t>
  </si>
  <si>
    <t>54:004:2:5:6</t>
  </si>
  <si>
    <t>д Бишково</t>
  </si>
  <si>
    <t>65713000221</t>
  </si>
  <si>
    <t>54:035:2:5:6</t>
  </si>
  <si>
    <t>д Нижнее Никитино</t>
  </si>
  <si>
    <t>65713000246</t>
  </si>
  <si>
    <t>54:041:2:5:5</t>
  </si>
  <si>
    <t>д Приданниково</t>
  </si>
  <si>
    <t>65713000286</t>
  </si>
  <si>
    <t>54:057:2:5:6</t>
  </si>
  <si>
    <t>д Тактамыш</t>
  </si>
  <si>
    <t>65713000181</t>
  </si>
  <si>
    <t>54:022:2:5:6</t>
  </si>
  <si>
    <t>д Колмаково</t>
  </si>
  <si>
    <t>65713000211</t>
  </si>
  <si>
    <t>54:032:2:5:6</t>
  </si>
  <si>
    <t>д Марийский Усть-Маш</t>
  </si>
  <si>
    <t>65717000221</t>
  </si>
  <si>
    <t>13:059:2:5:6</t>
  </si>
  <si>
    <t>д Шумиха</t>
  </si>
  <si>
    <t>65717000351</t>
  </si>
  <si>
    <t>13:024:2:4:6</t>
  </si>
  <si>
    <t>с Лая</t>
  </si>
  <si>
    <t>65751000211</t>
  </si>
  <si>
    <t>14:016:2:4:6</t>
  </si>
  <si>
    <t>с Серебрянка</t>
  </si>
  <si>
    <t>65719000116</t>
  </si>
  <si>
    <t>33:003:2:3:6</t>
  </si>
  <si>
    <t>п Краснояр</t>
  </si>
  <si>
    <t>65756000141</t>
  </si>
  <si>
    <t>64:032:2:5:6</t>
  </si>
  <si>
    <t>д Семенова</t>
  </si>
  <si>
    <t>65645450106</t>
  </si>
  <si>
    <t>68:001:2:5:6</t>
  </si>
  <si>
    <t>д Александровская</t>
  </si>
  <si>
    <t>65729000111</t>
  </si>
  <si>
    <t>01:003:2:3:5</t>
  </si>
  <si>
    <t>п Светлый</t>
  </si>
  <si>
    <t>65742000001</t>
  </si>
  <si>
    <t>26:004:1:1:4</t>
  </si>
  <si>
    <t>г Карпинск</t>
  </si>
  <si>
    <t>65748000146</t>
  </si>
  <si>
    <t>44:010:2:3:6</t>
  </si>
  <si>
    <t>п Орулиха</t>
  </si>
  <si>
    <t>65748000131</t>
  </si>
  <si>
    <t>44:002:2:3:5</t>
  </si>
  <si>
    <t>п Баранчинский</t>
  </si>
  <si>
    <t>65705000361</t>
  </si>
  <si>
    <t>05:045:2:4:6</t>
  </si>
  <si>
    <t>с Русский Потам</t>
  </si>
  <si>
    <t>65722000161</t>
  </si>
  <si>
    <t>67:007:2:3:5</t>
  </si>
  <si>
    <t>п Большой Исток</t>
  </si>
  <si>
    <t>65730000106</t>
  </si>
  <si>
    <t>04:002:2:3:5</t>
  </si>
  <si>
    <t>п Белокаменный</t>
  </si>
  <si>
    <t>65705000141</t>
  </si>
  <si>
    <t>05:014:2:5:6</t>
  </si>
  <si>
    <t>д Гайны</t>
  </si>
  <si>
    <t>65706000211</t>
  </si>
  <si>
    <t>07:025:2:3:6</t>
  </si>
  <si>
    <t>п Марамзино</t>
  </si>
  <si>
    <t>65706000236</t>
  </si>
  <si>
    <t>07:034:2:3:6</t>
  </si>
  <si>
    <t>п Режик</t>
  </si>
  <si>
    <t>65731000161</t>
  </si>
  <si>
    <t>08:012:2:3:6</t>
  </si>
  <si>
    <t>65735000001</t>
  </si>
  <si>
    <t>11:001:1:1:4</t>
  </si>
  <si>
    <t>г Волчанск</t>
  </si>
  <si>
    <t>65710000111</t>
  </si>
  <si>
    <t>12:002:2:5:6</t>
  </si>
  <si>
    <t>д Ананьевка</t>
  </si>
  <si>
    <t>65710000161</t>
  </si>
  <si>
    <t>12:020:2:5:6</t>
  </si>
  <si>
    <t>д Линты</t>
  </si>
  <si>
    <t>65717000226</t>
  </si>
  <si>
    <t>13:002:2:3:6</t>
  </si>
  <si>
    <t>п Анатольская</t>
  </si>
  <si>
    <t>65717000311</t>
  </si>
  <si>
    <t>13:003:2:4:6</t>
  </si>
  <si>
    <t>с Балакино</t>
  </si>
  <si>
    <t>65717000371</t>
  </si>
  <si>
    <t>13:034:2:4:6</t>
  </si>
  <si>
    <t>с Николо-Павловское</t>
  </si>
  <si>
    <t>65717000291</t>
  </si>
  <si>
    <t>13:044:2:3:6</t>
  </si>
  <si>
    <t>п Ряжик</t>
  </si>
  <si>
    <t>65751000001</t>
  </si>
  <si>
    <t>14:014:1:1:2</t>
  </si>
  <si>
    <t>г Нижний Тагил</t>
  </si>
  <si>
    <t>1005_М2_Квартиры Тагил</t>
  </si>
  <si>
    <t>65751000191</t>
  </si>
  <si>
    <t>14:022:2:3:6</t>
  </si>
  <si>
    <t>п Чауж</t>
  </si>
  <si>
    <t>65751000196</t>
  </si>
  <si>
    <t>14:023:2:3:6</t>
  </si>
  <si>
    <t>п Чащино</t>
  </si>
  <si>
    <t>65749000121</t>
  </si>
  <si>
    <t>15:006:2:3:4</t>
  </si>
  <si>
    <t>п Елкино</t>
  </si>
  <si>
    <t>65707000001</t>
  </si>
  <si>
    <t>16:005:1:1:4</t>
  </si>
  <si>
    <t>г Богданович</t>
  </si>
  <si>
    <t>65707000271</t>
  </si>
  <si>
    <t>16:021:2:4:6</t>
  </si>
  <si>
    <t>с Кунарское</t>
  </si>
  <si>
    <t>65733000001</t>
  </si>
  <si>
    <t>19:002:1:1:4</t>
  </si>
  <si>
    <t>г Верхний Тагил</t>
  </si>
  <si>
    <t>65737000121</t>
  </si>
  <si>
    <t>24:005:2:4:5</t>
  </si>
  <si>
    <t>с Мезенское</t>
  </si>
  <si>
    <t>65764000106</t>
  </si>
  <si>
    <t>31:001:2:3:6</t>
  </si>
  <si>
    <t>п Атымья</t>
  </si>
  <si>
    <t>65764000111</t>
  </si>
  <si>
    <t>31:002:2:3:6</t>
  </si>
  <si>
    <t>п Вершина</t>
  </si>
  <si>
    <t>65719000106</t>
  </si>
  <si>
    <t>33:001:2:3:6</t>
  </si>
  <si>
    <t>п Гусевка</t>
  </si>
  <si>
    <t>65719000001</t>
  </si>
  <si>
    <t>33:008:1:1:3</t>
  </si>
  <si>
    <t>г Ревда</t>
  </si>
  <si>
    <t>65738000001</t>
  </si>
  <si>
    <t>38:007:1:1:4</t>
  </si>
  <si>
    <t>г Ивдель</t>
  </si>
  <si>
    <t>65712000281</t>
  </si>
  <si>
    <t>40:018:2:3:6</t>
  </si>
  <si>
    <t>п Кодинский</t>
  </si>
  <si>
    <t>65712000356</t>
  </si>
  <si>
    <t>40:029:2:4:5</t>
  </si>
  <si>
    <t>с Маминское</t>
  </si>
  <si>
    <t>65712000371</t>
  </si>
  <si>
    <t>40:039:2:4:6</t>
  </si>
  <si>
    <t>с Пирогово</t>
  </si>
  <si>
    <t>65712000401</t>
  </si>
  <si>
    <t>40:052:2:4:5</t>
  </si>
  <si>
    <t>с Сосновское</t>
  </si>
  <si>
    <t>65744000001</t>
  </si>
  <si>
    <t>43:003:1:1:4</t>
  </si>
  <si>
    <t>г Кировград</t>
  </si>
  <si>
    <t>65744000136</t>
  </si>
  <si>
    <t>43:008:2:3:6</t>
  </si>
  <si>
    <t>п Нейво-Рудянка</t>
  </si>
  <si>
    <t>65762000106</t>
  </si>
  <si>
    <t>45:001:2:3:5</t>
  </si>
  <si>
    <t>п Изумруд</t>
  </si>
  <si>
    <t>65771000196</t>
  </si>
  <si>
    <t>49:039:2:5:6</t>
  </si>
  <si>
    <t>д Кочнева</t>
  </si>
  <si>
    <t>65771000356</t>
  </si>
  <si>
    <t>49:052:2:3:6</t>
  </si>
  <si>
    <t>п Новоямово</t>
  </si>
  <si>
    <t>65728000126</t>
  </si>
  <si>
    <t>50:005:2:3:6</t>
  </si>
  <si>
    <t>п Зыряновский</t>
  </si>
  <si>
    <t>65623415146</t>
  </si>
  <si>
    <t>53:004:2:4:6</t>
  </si>
  <si>
    <t>с Большое Пульниково</t>
  </si>
  <si>
    <t>65623415101</t>
  </si>
  <si>
    <t>53:012:2:4:6</t>
  </si>
  <si>
    <t>с Галкинское</t>
  </si>
  <si>
    <t>65623430101</t>
  </si>
  <si>
    <t>53:019:2:4:6</t>
  </si>
  <si>
    <t>с Калиновское</t>
  </si>
  <si>
    <t>65623415151</t>
  </si>
  <si>
    <t>53:021:2:4:6</t>
  </si>
  <si>
    <t>с Квашнинское</t>
  </si>
  <si>
    <t>65623455146</t>
  </si>
  <si>
    <t>53:025:2:3:6</t>
  </si>
  <si>
    <t>п Кокшаровский</t>
  </si>
  <si>
    <t>65713000136</t>
  </si>
  <si>
    <t>54:010:2:5:6</t>
  </si>
  <si>
    <t>д Верхний Бугалыш</t>
  </si>
  <si>
    <t>65713000156</t>
  </si>
  <si>
    <t>54:014:2:5:6</t>
  </si>
  <si>
    <t>д Голенищево</t>
  </si>
  <si>
    <t>65713000186</t>
  </si>
  <si>
    <t>54:023:2:5:6</t>
  </si>
  <si>
    <t>д Красная Поляна</t>
  </si>
  <si>
    <t>65713000381</t>
  </si>
  <si>
    <t>54:026:2:4:5</t>
  </si>
  <si>
    <t>с Криулино</t>
  </si>
  <si>
    <t>65714000251</t>
  </si>
  <si>
    <t>55:004:2:4:6</t>
  </si>
  <si>
    <t>с Быньги</t>
  </si>
  <si>
    <t>65714000121</t>
  </si>
  <si>
    <t>55:019:2:5:6</t>
  </si>
  <si>
    <t>д Нижние Таволги</t>
  </si>
  <si>
    <t>65754000121</t>
  </si>
  <si>
    <t>60:002:2:3:6</t>
  </si>
  <si>
    <t>п Зеленый Лог</t>
  </si>
  <si>
    <t>65754000131</t>
  </si>
  <si>
    <t>60:005:2:3:6</t>
  </si>
  <si>
    <t>п Кладовка</t>
  </si>
  <si>
    <t>65754000166</t>
  </si>
  <si>
    <t>60:011:2:4:6</t>
  </si>
  <si>
    <t>с Полдневая</t>
  </si>
  <si>
    <t>65754000146</t>
  </si>
  <si>
    <t>60:014:2:3:6</t>
  </si>
  <si>
    <t>п Станционный-Полевской</t>
  </si>
  <si>
    <t>65756000171</t>
  </si>
  <si>
    <t>64:007:2:3:6</t>
  </si>
  <si>
    <t>п Ключевой</t>
  </si>
  <si>
    <t>65756000181</t>
  </si>
  <si>
    <t>64:009:2:3:5</t>
  </si>
  <si>
    <t>п Красноглинный</t>
  </si>
  <si>
    <t>65756000196</t>
  </si>
  <si>
    <t>64:012:2:3:6</t>
  </si>
  <si>
    <t>п Ларьковка</t>
  </si>
  <si>
    <t>65756000206</t>
  </si>
  <si>
    <t>64:015:2:3:6</t>
  </si>
  <si>
    <t>п Марсяты</t>
  </si>
  <si>
    <t>65756000266</t>
  </si>
  <si>
    <t>64:035:2:3:6</t>
  </si>
  <si>
    <t>п Урай</t>
  </si>
  <si>
    <t>65756000281</t>
  </si>
  <si>
    <t>64:036:2:4:6</t>
  </si>
  <si>
    <t>с Филькино</t>
  </si>
  <si>
    <t>65639470196</t>
  </si>
  <si>
    <t>65:023:2:4:6</t>
  </si>
  <si>
    <t>с Липчинское</t>
  </si>
  <si>
    <t>65722000176</t>
  </si>
  <si>
    <t>67:012:2:3:6</t>
  </si>
  <si>
    <t>п Габиевский</t>
  </si>
  <si>
    <t>65722000256</t>
  </si>
  <si>
    <t>67:016:2:4:5</t>
  </si>
  <si>
    <t>с Кашино</t>
  </si>
  <si>
    <t>65722000201</t>
  </si>
  <si>
    <t>67:021:2:3:6</t>
  </si>
  <si>
    <t>65724000146</t>
  </si>
  <si>
    <t>70:013:2:5:6</t>
  </si>
  <si>
    <t>д Бубенщикова</t>
  </si>
  <si>
    <t>65724000571</t>
  </si>
  <si>
    <t>70:095:2:4:6</t>
  </si>
  <si>
    <t>65725000286</t>
  </si>
  <si>
    <t>71:019:2:3:6</t>
  </si>
  <si>
    <t>п Кармак</t>
  </si>
  <si>
    <t>65726000241</t>
  </si>
  <si>
    <t>72:042:2:5:6</t>
  </si>
  <si>
    <t>д Сенина</t>
  </si>
  <si>
    <t>65769000286</t>
  </si>
  <si>
    <t>46:020:2:4:6</t>
  </si>
  <si>
    <t>с Мугай</t>
  </si>
  <si>
    <t>65704000211</t>
  </si>
  <si>
    <t>03:026:2:5:6</t>
  </si>
  <si>
    <t>д Кургат</t>
  </si>
  <si>
    <t>65705000301</t>
  </si>
  <si>
    <t>05:019:2:3:6</t>
  </si>
  <si>
    <t>65709000196</t>
  </si>
  <si>
    <t>22:025:2:5:6</t>
  </si>
  <si>
    <t>65710000181</t>
  </si>
  <si>
    <t>12:024:2:5:6</t>
  </si>
  <si>
    <t>д Моисеева</t>
  </si>
  <si>
    <t>65710000116</t>
  </si>
  <si>
    <t>12:005:2:5:6</t>
  </si>
  <si>
    <t>д Векшина</t>
  </si>
  <si>
    <t>65710000241</t>
  </si>
  <si>
    <t>12:042:2:5:6</t>
  </si>
  <si>
    <t>д Шантальская</t>
  </si>
  <si>
    <t>65712000386</t>
  </si>
  <si>
    <t>40:044:2:4:5</t>
  </si>
  <si>
    <t>с Рыбниковское</t>
  </si>
  <si>
    <t>65716000186</t>
  </si>
  <si>
    <t>58:023:2:3:6</t>
  </si>
  <si>
    <t>п Юрты</t>
  </si>
  <si>
    <t>65718000276</t>
  </si>
  <si>
    <t>61:018:2:4:6</t>
  </si>
  <si>
    <t>с Печеркино</t>
  </si>
  <si>
    <t>65645415141</t>
  </si>
  <si>
    <t>68:019:2:5:6</t>
  </si>
  <si>
    <t>д Пальмино</t>
  </si>
  <si>
    <t>65724000556</t>
  </si>
  <si>
    <t>70:066:2:4:6</t>
  </si>
  <si>
    <t>с Пеньки</t>
  </si>
  <si>
    <t>65724000406</t>
  </si>
  <si>
    <t>70:089:2:5:6</t>
  </si>
  <si>
    <t>д Хомутинина</t>
  </si>
  <si>
    <t>65724000246</t>
  </si>
  <si>
    <t>70:041:2:5:6</t>
  </si>
  <si>
    <t>65725000226</t>
  </si>
  <si>
    <t>71:038:2:5:6</t>
  </si>
  <si>
    <t>65728000136</t>
  </si>
  <si>
    <t>50:010:2:3:5</t>
  </si>
  <si>
    <t>п Нейво-Шайтанский</t>
  </si>
  <si>
    <t>65737000106</t>
  </si>
  <si>
    <t>24:001:2:5:6</t>
  </si>
  <si>
    <t>д Боярка</t>
  </si>
  <si>
    <t>65608425126</t>
  </si>
  <si>
    <t>06:019:2:5:6</t>
  </si>
  <si>
    <t>д Игнатьева</t>
  </si>
  <si>
    <t>65716000131</t>
  </si>
  <si>
    <t>58:017:2:5:6</t>
  </si>
  <si>
    <t>д Савинова</t>
  </si>
  <si>
    <t>65759000121</t>
  </si>
  <si>
    <t>09:002:2:4:6</t>
  </si>
  <si>
    <t>с Киргишаны</t>
  </si>
  <si>
    <t>65710000231</t>
  </si>
  <si>
    <t>12:037:2:5:6</t>
  </si>
  <si>
    <t>65718000196</t>
  </si>
  <si>
    <t>61:027:2:5:6</t>
  </si>
  <si>
    <t>д Смирнова</t>
  </si>
  <si>
    <t>65718000236</t>
  </si>
  <si>
    <t>61:042:2:5:6</t>
  </si>
  <si>
    <t>65725000291</t>
  </si>
  <si>
    <t>71:023:2:3:5</t>
  </si>
  <si>
    <t>п Луговской</t>
  </si>
  <si>
    <t>65724000001</t>
  </si>
  <si>
    <t>70:082:1:1:4</t>
  </si>
  <si>
    <t>г Талица</t>
  </si>
  <si>
    <t>65724000546</t>
  </si>
  <si>
    <t>70:048:2:4:6</t>
  </si>
  <si>
    <t>с Куяровское</t>
  </si>
  <si>
    <t>65709000206</t>
  </si>
  <si>
    <t>22:027:2:5:6</t>
  </si>
  <si>
    <t>д Литовская</t>
  </si>
  <si>
    <t>65711000256</t>
  </si>
  <si>
    <t>39:041:2:5:6</t>
  </si>
  <si>
    <t>д Кокшариха</t>
  </si>
  <si>
    <t>65703000121</t>
  </si>
  <si>
    <t>02:017:2:5:6</t>
  </si>
  <si>
    <t>д Малое Трифоново</t>
  </si>
  <si>
    <t>65703000001</t>
  </si>
  <si>
    <t>02:001:1:1:4</t>
  </si>
  <si>
    <t>г Артемовский</t>
  </si>
  <si>
    <t>65706000241</t>
  </si>
  <si>
    <t>07:035:2:3:6</t>
  </si>
  <si>
    <t>65706000051</t>
  </si>
  <si>
    <t>07:002:1:2:4</t>
  </si>
  <si>
    <t>пгт Белоярский</t>
  </si>
  <si>
    <t>65706000321</t>
  </si>
  <si>
    <t>07:042:2:4:6</t>
  </si>
  <si>
    <t>с Черноусово</t>
  </si>
  <si>
    <t>65709000001</t>
  </si>
  <si>
    <t>22:007:1:1:4</t>
  </si>
  <si>
    <t>г Верхотурье</t>
  </si>
  <si>
    <t>65722000156</t>
  </si>
  <si>
    <t>67:005:2:3:5</t>
  </si>
  <si>
    <t>п Бобровский</t>
  </si>
  <si>
    <t>65701000001</t>
  </si>
  <si>
    <t>47:001:1:1:1</t>
  </si>
  <si>
    <t>г Екатеринбург</t>
  </si>
  <si>
    <t>65729000001</t>
  </si>
  <si>
    <t>01:001:1:1:4</t>
  </si>
  <si>
    <t>г Арамиль</t>
  </si>
  <si>
    <t>65722000276</t>
  </si>
  <si>
    <t>67:034:2:4:6</t>
  </si>
  <si>
    <t>с Фомино</t>
  </si>
  <si>
    <t>65732000001</t>
  </si>
  <si>
    <t>20:003:1:1:3</t>
  </si>
  <si>
    <t>г Верхняя Пышма</t>
  </si>
  <si>
    <t>65748000001</t>
  </si>
  <si>
    <t>44:007:1:1:4</t>
  </si>
  <si>
    <t>г Кушва</t>
  </si>
  <si>
    <t>65717000052</t>
  </si>
  <si>
    <t>13:013:1:2:4</t>
  </si>
  <si>
    <t>пгт Горноуральский</t>
  </si>
  <si>
    <t>65753000246</t>
  </si>
  <si>
    <t>32:023:2:4:6</t>
  </si>
  <si>
    <t>с Слобода</t>
  </si>
  <si>
    <t>65753000206</t>
  </si>
  <si>
    <t>32:021:2:3:6</t>
  </si>
  <si>
    <t>п Прогресс</t>
  </si>
  <si>
    <t>65753000196</t>
  </si>
  <si>
    <t>32:018:2:3:6</t>
  </si>
  <si>
    <t>п Новоуткинск</t>
  </si>
  <si>
    <t>65753000151</t>
  </si>
  <si>
    <t>32:001:2:3:6</t>
  </si>
  <si>
    <t>п Билимбай</t>
  </si>
  <si>
    <t>65753000106</t>
  </si>
  <si>
    <t>32:005:2:5:6</t>
  </si>
  <si>
    <t>д Извездная</t>
  </si>
  <si>
    <t>65754000001</t>
  </si>
  <si>
    <t>60:012:1:1:3</t>
  </si>
  <si>
    <t>г Полевской</t>
  </si>
  <si>
    <t>65766000051</t>
  </si>
  <si>
    <t>36:003:1:2:4</t>
  </si>
  <si>
    <t>пгт Староуткинск</t>
  </si>
  <si>
    <t>65705000221</t>
  </si>
  <si>
    <t>05:034:2:5:6</t>
  </si>
  <si>
    <t>д Лузенина</t>
  </si>
  <si>
    <t>65705000341</t>
  </si>
  <si>
    <t>05:008:2:4:6</t>
  </si>
  <si>
    <t>с Большой Ут</t>
  </si>
  <si>
    <t>65728000001</t>
  </si>
  <si>
    <t>50:001:1:1:4</t>
  </si>
  <si>
    <t>г Алапаевск</t>
  </si>
  <si>
    <t>65723000226</t>
  </si>
  <si>
    <t>69:039:2:5:6</t>
  </si>
  <si>
    <t>д Хмелевка</t>
  </si>
  <si>
    <t>65740000001</t>
  </si>
  <si>
    <t>52:001:1:1:2</t>
  </si>
  <si>
    <t>г Каменск-Уральский</t>
  </si>
  <si>
    <t>65729000</t>
  </si>
  <si>
    <t>01:000:0:0:0</t>
  </si>
  <si>
    <t>межселенка</t>
  </si>
  <si>
    <t>65703000</t>
  </si>
  <si>
    <t>02:000:0:0:0</t>
  </si>
  <si>
    <t>65704000</t>
  </si>
  <si>
    <t>03:000:0:0:0</t>
  </si>
  <si>
    <t>65730000</t>
  </si>
  <si>
    <t>04:000:0:0:0</t>
  </si>
  <si>
    <t>65705000</t>
  </si>
  <si>
    <t>05:000:0:0:0</t>
  </si>
  <si>
    <t>65608000</t>
  </si>
  <si>
    <t>06:000:0:0:0</t>
  </si>
  <si>
    <t>65706000</t>
  </si>
  <si>
    <t>07:000:0:0:0</t>
  </si>
  <si>
    <t>65731000</t>
  </si>
  <si>
    <t>08:000:0:0:0</t>
  </si>
  <si>
    <t>65759000</t>
  </si>
  <si>
    <t>09:000:0:0:0</t>
  </si>
  <si>
    <t>65708000</t>
  </si>
  <si>
    <t>10:000:0:0:0</t>
  </si>
  <si>
    <t>65735000</t>
  </si>
  <si>
    <t>11:000:0:0:0</t>
  </si>
  <si>
    <t>65710000</t>
  </si>
  <si>
    <t>12:000:0:0:0</t>
  </si>
  <si>
    <t>65717000</t>
  </si>
  <si>
    <t>13:000:0:0:0</t>
  </si>
  <si>
    <t>65751000</t>
  </si>
  <si>
    <t>14:000:0:0:0</t>
  </si>
  <si>
    <t>65749000</t>
  </si>
  <si>
    <t>15:000:0:0:0</t>
  </si>
  <si>
    <t>65707000</t>
  </si>
  <si>
    <t>16:000:0:0:0</t>
  </si>
  <si>
    <t>65760000</t>
  </si>
  <si>
    <t>17:000:0:0:0</t>
  </si>
  <si>
    <t>65761000</t>
  </si>
  <si>
    <t>18:000:0:0:0</t>
  </si>
  <si>
    <t>65733000</t>
  </si>
  <si>
    <t>19:000:0:0:0</t>
  </si>
  <si>
    <t>65732000</t>
  </si>
  <si>
    <t>20:000:0:0:0</t>
  </si>
  <si>
    <t>65734000</t>
  </si>
  <si>
    <t>21:000:0:0:0</t>
  </si>
  <si>
    <t>65709000</t>
  </si>
  <si>
    <t>22:000:0:0:0</t>
  </si>
  <si>
    <t>65736000</t>
  </si>
  <si>
    <t>23:000:0:0:0</t>
  </si>
  <si>
    <t>65737000</t>
  </si>
  <si>
    <t>24:000:0:0:0</t>
  </si>
  <si>
    <t>65765000051</t>
  </si>
  <si>
    <t>25:001:1:2:4</t>
  </si>
  <si>
    <t>Городской округ ЗАТО Свободный</t>
  </si>
  <si>
    <t>пгт Свободный</t>
  </si>
  <si>
    <t>65742000</t>
  </si>
  <si>
    <t>26:000:0:0:0</t>
  </si>
  <si>
    <t>65745000</t>
  </si>
  <si>
    <t>27:000:0:0:0</t>
  </si>
  <si>
    <t>65746000</t>
  </si>
  <si>
    <t>28:000:0:0:0</t>
  </si>
  <si>
    <t>65747000</t>
  </si>
  <si>
    <t>29:000:0:0:0</t>
  </si>
  <si>
    <t>65750000</t>
  </si>
  <si>
    <t>30:000:0:0:0</t>
  </si>
  <si>
    <t>65764000</t>
  </si>
  <si>
    <t>31:000:0:0:0</t>
  </si>
  <si>
    <t>65753000</t>
  </si>
  <si>
    <t>32:000:0:0:0</t>
  </si>
  <si>
    <t>65719000</t>
  </si>
  <si>
    <t>33:000:0:0:0</t>
  </si>
  <si>
    <t>65763000</t>
  </si>
  <si>
    <t>34:000:0:0:0</t>
  </si>
  <si>
    <t>65757000</t>
  </si>
  <si>
    <t>35:000:0:0:0</t>
  </si>
  <si>
    <t>65766000</t>
  </si>
  <si>
    <t>36:000:0:0:0</t>
  </si>
  <si>
    <t>65758000</t>
  </si>
  <si>
    <t>37:000:0:0:0</t>
  </si>
  <si>
    <t>65738000</t>
  </si>
  <si>
    <t>38:000:0:0:0</t>
  </si>
  <si>
    <t>65711000</t>
  </si>
  <si>
    <t>39:000:0:0:0</t>
  </si>
  <si>
    <t>65712000</t>
  </si>
  <si>
    <t>40:000:0:0:0</t>
  </si>
  <si>
    <t>65741000</t>
  </si>
  <si>
    <t>41:000:0:0:0</t>
  </si>
  <si>
    <t>65743000</t>
  </si>
  <si>
    <t>42:000:0:0:0</t>
  </si>
  <si>
    <t>65744000</t>
  </si>
  <si>
    <t>43:000:0:0:0</t>
  </si>
  <si>
    <t>65748000</t>
  </si>
  <si>
    <t>44:000:0:0:0</t>
  </si>
  <si>
    <t>65762000</t>
  </si>
  <si>
    <t>45:000:0:0:0</t>
  </si>
  <si>
    <t>65769000</t>
  </si>
  <si>
    <t>46:000:0:0:0</t>
  </si>
  <si>
    <t>65728000</t>
  </si>
  <si>
    <t>50:000:0:0:0</t>
  </si>
  <si>
    <t>65739000</t>
  </si>
  <si>
    <t>51:000:0:0:0</t>
  </si>
  <si>
    <t>65740000116</t>
  </si>
  <si>
    <t>52:004:1:1:2</t>
  </si>
  <si>
    <t>65623000</t>
  </si>
  <si>
    <t>53:000:0:0:0</t>
  </si>
  <si>
    <t>65713000</t>
  </si>
  <si>
    <t>54:000:0:0:0</t>
  </si>
  <si>
    <t>65714000</t>
  </si>
  <si>
    <t>55:000:0:0:0</t>
  </si>
  <si>
    <t>65628000</t>
  </si>
  <si>
    <t>56:000:0:0:0</t>
  </si>
  <si>
    <t>65715000</t>
  </si>
  <si>
    <t>57:000:0:0:0</t>
  </si>
  <si>
    <t>65716000</t>
  </si>
  <si>
    <t>58:000:0:0:0</t>
  </si>
  <si>
    <t>65752000</t>
  </si>
  <si>
    <t>59:000:0:0:0</t>
  </si>
  <si>
    <t>65754000</t>
  </si>
  <si>
    <t>60:000:0:0:0</t>
  </si>
  <si>
    <t>65718000</t>
  </si>
  <si>
    <t>61:000:0:0:0</t>
  </si>
  <si>
    <t>65720000</t>
  </si>
  <si>
    <t>62:000:0:0:0</t>
  </si>
  <si>
    <t>65755000</t>
  </si>
  <si>
    <t>63:000:0:0:0</t>
  </si>
  <si>
    <t>65756000</t>
  </si>
  <si>
    <t>64:000:0:0:0</t>
  </si>
  <si>
    <t>65639000</t>
  </si>
  <si>
    <t>65:000:0:0:0</t>
  </si>
  <si>
    <t>65721000</t>
  </si>
  <si>
    <t>66:000:0:0:0</t>
  </si>
  <si>
    <t>65722000</t>
  </si>
  <si>
    <t>67:000:0:0:0</t>
  </si>
  <si>
    <t>65645000</t>
  </si>
  <si>
    <t>68:000:0:0:0</t>
  </si>
  <si>
    <t>65723000</t>
  </si>
  <si>
    <t>69:000:0:0:0</t>
  </si>
  <si>
    <t>65724000</t>
  </si>
  <si>
    <t>70:000:0:0:0</t>
  </si>
  <si>
    <t>65725000</t>
  </si>
  <si>
    <t>71:000:0:0:0</t>
  </si>
  <si>
    <t>65726000</t>
  </si>
  <si>
    <t>72:000:0:0:0</t>
  </si>
  <si>
    <t>65727000</t>
  </si>
  <si>
    <t>73:000:0:0:0</t>
  </si>
  <si>
    <t>65771000</t>
  </si>
  <si>
    <t>49:000:0:0:0</t>
  </si>
  <si>
    <t>65701000</t>
  </si>
  <si>
    <t>65740000</t>
  </si>
  <si>
    <t>52:000:0:0:0</t>
  </si>
  <si>
    <t>65765000</t>
  </si>
  <si>
    <t>65767000</t>
  </si>
  <si>
    <t>65623405</t>
  </si>
  <si>
    <t>65623415</t>
  </si>
  <si>
    <t>65623420</t>
  </si>
  <si>
    <t>65623430</t>
  </si>
  <si>
    <t>65623455</t>
  </si>
  <si>
    <t>65645415</t>
  </si>
  <si>
    <t>65645440</t>
  </si>
  <si>
    <t>65645450</t>
  </si>
  <si>
    <t>65645701</t>
  </si>
  <si>
    <t>65608405</t>
  </si>
  <si>
    <t>65608406</t>
  </si>
  <si>
    <t>65608425</t>
  </si>
  <si>
    <t>65628101</t>
  </si>
  <si>
    <t>65628104</t>
  </si>
  <si>
    <t>65628154</t>
  </si>
  <si>
    <t>65628163</t>
  </si>
  <si>
    <t>65628174</t>
  </si>
  <si>
    <t>65628420</t>
  </si>
  <si>
    <t>65639460</t>
  </si>
  <si>
    <t>65639470</t>
  </si>
  <si>
    <t>65639440</t>
  </si>
  <si>
    <t>65639455</t>
  </si>
  <si>
    <t>0201</t>
  </si>
  <si>
    <t>0202</t>
  </si>
  <si>
    <t>0204</t>
  </si>
  <si>
    <t>0205</t>
  </si>
  <si>
    <t>ИЖС</t>
  </si>
  <si>
    <t>Ценовая зона</t>
  </si>
  <si>
    <t>МС</t>
  </si>
  <si>
    <t>Год1</t>
  </si>
  <si>
    <t>Год2</t>
  </si>
  <si>
    <t>Год  постановки на учет</t>
  </si>
  <si>
    <t>Проверка на количество МС</t>
  </si>
  <si>
    <t>Тип этажности</t>
  </si>
  <si>
    <t>Мин ГК по МС</t>
  </si>
  <si>
    <t>Макс ГК по МС</t>
  </si>
  <si>
    <t>Итоговый ГК по МС</t>
  </si>
  <si>
    <t>Для опр ГК</t>
  </si>
  <si>
    <t>кол пом</t>
  </si>
  <si>
    <t>кол ММ</t>
  </si>
  <si>
    <t>наименования не противоречит  ИЖС</t>
  </si>
  <si>
    <t>Площадь от 10 до 500</t>
  </si>
  <si>
    <t>Этажность меньше 4</t>
  </si>
  <si>
    <t>ФГ ИЖС</t>
  </si>
  <si>
    <t>количество</t>
  </si>
  <si>
    <t>66:51:0106004:304</t>
  </si>
  <si>
    <t>additional_62691</t>
  </si>
  <si>
    <t>Тип территории</t>
  </si>
  <si>
    <t>Отсутствует информация</t>
  </si>
  <si>
    <t>наименования не противоречит  ИЖС у Не Жилых</t>
  </si>
  <si>
    <t>КП</t>
  </si>
  <si>
    <t>Таунхаусы-КП</t>
  </si>
  <si>
    <t>Таунхаусы-КП-МКД</t>
  </si>
  <si>
    <t>КП - гостинницы</t>
  </si>
  <si>
    <t>Таунхаусы</t>
  </si>
  <si>
    <t>Таунхаусы и дачи</t>
  </si>
  <si>
    <t>Сады</t>
  </si>
  <si>
    <t>Коттеджные_поселки</t>
  </si>
  <si>
    <t>ФГ для нежилых</t>
  </si>
  <si>
    <t>ФГ для жилых вне НП</t>
  </si>
  <si>
    <t>ФГ для жилых в НП</t>
  </si>
  <si>
    <t>1 блок гаражного массива</t>
  </si>
  <si>
    <t>Автогараж</t>
  </si>
  <si>
    <t>автогараж на 25 автомашин</t>
  </si>
  <si>
    <t>автомобильный гараж</t>
  </si>
  <si>
    <t>Бокс</t>
  </si>
  <si>
    <t>Гараж</t>
  </si>
  <si>
    <t>Гараж - мастерская</t>
  </si>
  <si>
    <t>Гараж - стоянка</t>
  </si>
  <si>
    <t>Гараж (ангар)</t>
  </si>
  <si>
    <t>Гараж (ГСК)</t>
  </si>
  <si>
    <t>Гараж (ОГСК-232/1)</t>
  </si>
  <si>
    <t>Гараж (пристроенный)</t>
  </si>
  <si>
    <t>Гараж (теплая стоянка)</t>
  </si>
  <si>
    <t>Гараж № 1</t>
  </si>
  <si>
    <t>Гараж № 17</t>
  </si>
  <si>
    <t>Гараж № 18</t>
  </si>
  <si>
    <t>Гараж № 2</t>
  </si>
  <si>
    <t>Гараж № 3</t>
  </si>
  <si>
    <t>Гараж № 5</t>
  </si>
  <si>
    <t>Гараж №12</t>
  </si>
  <si>
    <t>Гараж №14</t>
  </si>
  <si>
    <t>Гараж №17</t>
  </si>
  <si>
    <t>Гараж №18</t>
  </si>
  <si>
    <t>Гараж №19</t>
  </si>
  <si>
    <t>Гараж №2</t>
  </si>
  <si>
    <t>Гараж №21</t>
  </si>
  <si>
    <t>Гараж №22</t>
  </si>
  <si>
    <t>гараж №6</t>
  </si>
  <si>
    <t>Гараж №7</t>
  </si>
  <si>
    <t>Гараж автомобильный</t>
  </si>
  <si>
    <t>Гараж для автомашин</t>
  </si>
  <si>
    <t>Гараж для автомашины</t>
  </si>
  <si>
    <t>Гараж для автомобилей</t>
  </si>
  <si>
    <t>Гараж для грузовых машин</t>
  </si>
  <si>
    <t>Гараж для легкового автотранспорта</t>
  </si>
  <si>
    <t>Гараж для тракторов</t>
  </si>
  <si>
    <t>гараж для хранения индивидуального транспорта</t>
  </si>
  <si>
    <t>Гараж для хранения сельскохозяйственной техники</t>
  </si>
  <si>
    <t>Гараж легкового автотранспорта</t>
  </si>
  <si>
    <t>Гараж МТМ</t>
  </si>
  <si>
    <t>гараж на 10 автомашин</t>
  </si>
  <si>
    <t>Гараж на 2 бокса</t>
  </si>
  <si>
    <t>Гараж на 3 автомашины</t>
  </si>
  <si>
    <t>Гараж на 3 бокса</t>
  </si>
  <si>
    <t>Гараж на два бокса</t>
  </si>
  <si>
    <t>гараж наземный</t>
  </si>
  <si>
    <t>гараж ОВД</t>
  </si>
  <si>
    <t>Гараж отапливаемый на 30 а/м</t>
  </si>
  <si>
    <t>Гараж с котельной</t>
  </si>
  <si>
    <t>Гараж с мастерской</t>
  </si>
  <si>
    <t>Гараж с пристроем</t>
  </si>
  <si>
    <t>Гараж тракторный</t>
  </si>
  <si>
    <t>Гараж&amp;#x0d;</t>
  </si>
  <si>
    <t>Гараж, автомастерская</t>
  </si>
  <si>
    <t>гараж, котельная</t>
  </si>
  <si>
    <t>Гараж, Мастерские</t>
  </si>
  <si>
    <t>Гараж, назначение: нежилое. Площадь: общая 18 кв.м. Этажность: 1.</t>
  </si>
  <si>
    <t>Гараж, назначение: нежилое. Площадь: общая 20.4 кв.м. Этажность: 1.</t>
  </si>
  <si>
    <t>Гараж, назначение: нежилое. Площадь: общая 20.9 кв.м. Количество этажей: 1.</t>
  </si>
  <si>
    <t>Гараж, назначение: нежилое. Площадь: общая 21 кв.м. Этажность: 1.</t>
  </si>
  <si>
    <t>Гараж, назначение: нежилое. Площадь: общая 22 кв.м. Этажность: 1.</t>
  </si>
  <si>
    <t>Гараж, назначение: нежилое. Площадь: общая 24 кв.м.</t>
  </si>
  <si>
    <t>Гараж, назначение: нежилое. Площадь: общая 24 кв.м. Количество этажей: 1.</t>
  </si>
  <si>
    <t>Гараж, назначение: нежилое. Площадь: общая 24 кв.м. Этажность: 1.</t>
  </si>
  <si>
    <t>Гараж, назначение: нежилое. Площадь: общая 24 кв.м. Этажность: 1. Подземная этажность: 0.</t>
  </si>
  <si>
    <t>Гараж, назначение: нежилое. Площадь: общая 26 кв.м.</t>
  </si>
  <si>
    <t>гараж, назначение: нежилое. Площадь: общая 27 кв.м.</t>
  </si>
  <si>
    <t>Гараж, назначение: нежилое. Площадь: общая 30 кв.м. Этажность: 1.</t>
  </si>
  <si>
    <t>Гараж, назначение: нежилое. Площадь: общая 35 кв.м. Этажность: 1.</t>
  </si>
  <si>
    <t>Гараж, назначение: нежилое. Площадь: общая 36 кв.м. Количество этажей: 1.</t>
  </si>
  <si>
    <t>Гараж, расположенный по адресу: Свердловская область, Талицкий район, п. Троицкий, ул. Мира, 82</t>
  </si>
  <si>
    <t>Гараж.</t>
  </si>
  <si>
    <t>Гараж. Площадь: общая 18 кв.м. Этажность: 1. Назначение: нежилое.</t>
  </si>
  <si>
    <t>Гараж. Площадь: общая 19.42 кв.м. Назначение: нежилое.</t>
  </si>
  <si>
    <t>Гараж. Площадь: общая 20 кв.м. Этажность: 1. Назначение: нежилое.</t>
  </si>
  <si>
    <t>Гараж. Площадь: общая 24 кв.м. Этажность: 1. Назначение: нежилое.</t>
  </si>
  <si>
    <t>Гараж. Площадь: общая 27 кв.м. Этажность: 1. Назначение: нежилое</t>
  </si>
  <si>
    <t>Гараж. Площадь: общая 28 кв.м. Этажность: 1. Назначение: нежилое</t>
  </si>
  <si>
    <t>Гараж. Площадь: общая 30 кв.м. Этажность: 1. Назначение: нежилое</t>
  </si>
  <si>
    <t>Гараж.
Назначение: нежилое.
Площадь: общая 39 кв.м.
Количество этажей: 2.</t>
  </si>
  <si>
    <t>Гаража</t>
  </si>
  <si>
    <t>гараж-бокс</t>
  </si>
  <si>
    <t>Гаражи</t>
  </si>
  <si>
    <t>Гаражи при здании администрации</t>
  </si>
  <si>
    <t>гараж-котельная</t>
  </si>
  <si>
    <t>Гараж-мастерская</t>
  </si>
  <si>
    <t>Гаражно – строительный коллектив № 157</t>
  </si>
  <si>
    <t>Гаражно – строительный коллектив № 259</t>
  </si>
  <si>
    <t>Гаражно-строительный кооператив</t>
  </si>
  <si>
    <t>гаражно-строительный кооператив №47</t>
  </si>
  <si>
    <t>Гаражные боксы</t>
  </si>
  <si>
    <t>Гаражный блок</t>
  </si>
  <si>
    <t>Гаражный бок</t>
  </si>
  <si>
    <t>Гаражный бокс</t>
  </si>
  <si>
    <t>гаражный бокс 13</t>
  </si>
  <si>
    <t>гаражный бокс 37</t>
  </si>
  <si>
    <t>Гаражный бокс № 1</t>
  </si>
  <si>
    <t>гаражный бокс № 1 (условно)</t>
  </si>
  <si>
    <t>гаражный бокс № 103</t>
  </si>
  <si>
    <t>Гаражный бокс № 13</t>
  </si>
  <si>
    <t>гаражный бокс № 139</t>
  </si>
  <si>
    <t>гаражный бокс № 140</t>
  </si>
  <si>
    <t>гаражный бокс № 141</t>
  </si>
  <si>
    <t>гаражный бокс № 142</t>
  </si>
  <si>
    <t>гаражный бокс № 145</t>
  </si>
  <si>
    <t>гаражный бокс № 168</t>
  </si>
  <si>
    <t>гаражный бокс № 173</t>
  </si>
  <si>
    <t>Гаражный бокс № 188</t>
  </si>
  <si>
    <t>Гаражный бокс № 194</t>
  </si>
  <si>
    <t>Гаражный бокс № 2</t>
  </si>
  <si>
    <t>Гаражный бокс № 20</t>
  </si>
  <si>
    <t>Гаражный бокс № 3</t>
  </si>
  <si>
    <t>Гаражный бокс № 38</t>
  </si>
  <si>
    <t>гаражный бокс № 40</t>
  </si>
  <si>
    <t>Гаражный бокс № 41</t>
  </si>
  <si>
    <t>гаражный бокс № 43</t>
  </si>
  <si>
    <t>Гаражный бокс № 46</t>
  </si>
  <si>
    <t>Гаражный бокс № 5</t>
  </si>
  <si>
    <t>гаражный бокс № 55</t>
  </si>
  <si>
    <t>гаражный бокс № 56</t>
  </si>
  <si>
    <t>Гаражный бокс № 6</t>
  </si>
  <si>
    <t>гаражный бокс № 61</t>
  </si>
  <si>
    <t>гаражный бокс № 7</t>
  </si>
  <si>
    <t>гаражный бокс № 70</t>
  </si>
  <si>
    <t>гаражный бокс № 75</t>
  </si>
  <si>
    <t>гаражный бокс № 79</t>
  </si>
  <si>
    <t>Гаражный бокс № 80</t>
  </si>
  <si>
    <t>Гаражный бокс № 81</t>
  </si>
  <si>
    <t>Гаражный бокс № 85</t>
  </si>
  <si>
    <t>гаражный бокс № 88</t>
  </si>
  <si>
    <t>гаражный бокс № 89</t>
  </si>
  <si>
    <t>гаражный бокс № 90</t>
  </si>
  <si>
    <t>Гаражный бокс № 91</t>
  </si>
  <si>
    <t>Гаражный бокс № 92</t>
  </si>
  <si>
    <t>гаражный бокс № 99</t>
  </si>
  <si>
    <t>Гаражный бокс №1</t>
  </si>
  <si>
    <t>гаражный бокс №10</t>
  </si>
  <si>
    <t>гаражный бокс №13</t>
  </si>
  <si>
    <t>Гаражный бокс №2</t>
  </si>
  <si>
    <t>гаражный бокс №21</t>
  </si>
  <si>
    <t>Гаражный бокс №3</t>
  </si>
  <si>
    <t>Гаражный бокс №4</t>
  </si>
  <si>
    <t>Гаражный бокс №5</t>
  </si>
  <si>
    <t>Гаражный бокс №55</t>
  </si>
  <si>
    <t>Гаражный бокс №6</t>
  </si>
  <si>
    <t>Гаражный бокс №7</t>
  </si>
  <si>
    <t>Гаражный бокс №71</t>
  </si>
  <si>
    <t>Гаражный бокс со смотровой ямой</t>
  </si>
  <si>
    <t>Гаражный бокс, ГСК-239</t>
  </si>
  <si>
    <t>Гаражный кооператив</t>
  </si>
  <si>
    <t>гаражный кооператив №43 по адресу: Свердловская область, г. Красноуфимск, ул. Бульварная, д. 72</t>
  </si>
  <si>
    <t>Гараж-стоянка</t>
  </si>
  <si>
    <t>Грузовой гараж</t>
  </si>
  <si>
    <t>ГСК</t>
  </si>
  <si>
    <t>ГСК "Бокс"</t>
  </si>
  <si>
    <t>ГСК "Спорт"</t>
  </si>
  <si>
    <t>ГСК "Южный-19"</t>
  </si>
  <si>
    <t>ГСК "Южный-20"</t>
  </si>
  <si>
    <t>ГСК № 119</t>
  </si>
  <si>
    <t>ГСК № 139 "Прогресс-2"</t>
  </si>
  <si>
    <t>ГСК № 30</t>
  </si>
  <si>
    <t>ГСК № 33</t>
  </si>
  <si>
    <t>ГСК № 416</t>
  </si>
  <si>
    <t>ГСК №150</t>
  </si>
  <si>
    <t>ГСК №203</t>
  </si>
  <si>
    <t>ГСК №5</t>
  </si>
  <si>
    <t>ГСК-134</t>
  </si>
  <si>
    <t>ГСК-232/6</t>
  </si>
  <si>
    <t>ГСК-238</t>
  </si>
  <si>
    <t>ГСК-239</t>
  </si>
  <si>
    <t>ГСК-39</t>
  </si>
  <si>
    <t>ГСК-425/41</t>
  </si>
  <si>
    <t>ГСК-480</t>
  </si>
  <si>
    <t>ГСК-62</t>
  </si>
  <si>
    <t>ГСК-73</t>
  </si>
  <si>
    <t>ГСК№5</t>
  </si>
  <si>
    <t>ГЭК-42</t>
  </si>
  <si>
    <t>Здание - гараж для автомашин</t>
  </si>
  <si>
    <t>Здание - гаража</t>
  </si>
  <si>
    <t>Здание (гараж)</t>
  </si>
  <si>
    <t>Здание (капитальный гараж)</t>
  </si>
  <si>
    <t>Здание автогаража</t>
  </si>
  <si>
    <t>Здание автогаража № 1</t>
  </si>
  <si>
    <t>здание автогаража на 25 автомашин</t>
  </si>
  <si>
    <t>Здание автогаража с пристроем</t>
  </si>
  <si>
    <t>Здание автогаража с пристроями</t>
  </si>
  <si>
    <t>Здание автомобильного гаража</t>
  </si>
  <si>
    <t>Здание автотранспортного цеха</t>
  </si>
  <si>
    <t>Здание блока гаражей</t>
  </si>
  <si>
    <t>Здание блока гаражных боксов</t>
  </si>
  <si>
    <t>Здание бокса на 20 автомашин</t>
  </si>
  <si>
    <t>Здание боксов</t>
  </si>
  <si>
    <t>Здание гаража</t>
  </si>
  <si>
    <t>Здание гаража (№ 1 по ПЗУ)</t>
  </si>
  <si>
    <t>Здание гаража (№1 по ПЗУ)</t>
  </si>
  <si>
    <t>Здание гаража (№2 по ПЗУ)</t>
  </si>
  <si>
    <t>Здание гаража (основное строение)</t>
  </si>
  <si>
    <t>Здание гаража (пристроенное)</t>
  </si>
  <si>
    <t>Здание гаража (цех № 970)</t>
  </si>
  <si>
    <t>Здание гаража № 1</t>
  </si>
  <si>
    <t>Здание гаража № 2</t>
  </si>
  <si>
    <t>Здание гаража № 4</t>
  </si>
  <si>
    <t>здание гаража № 4 по плану</t>
  </si>
  <si>
    <t>Здание гаража №2</t>
  </si>
  <si>
    <t>Здание гаража автопогрузчиков</t>
  </si>
  <si>
    <t>здание гаража боксового типа</t>
  </si>
  <si>
    <t>Здание гаража грузовых автомобилей</t>
  </si>
  <si>
    <t>Здание гаража для автомашин</t>
  </si>
  <si>
    <t>Здание гаража для автомашин (цех № 860)</t>
  </si>
  <si>
    <t>Здание гаража для автомашин, назначение: производственное.</t>
  </si>
  <si>
    <t>здание гаража для автомобилей</t>
  </si>
  <si>
    <t>Здание гаража для автопогрузчика</t>
  </si>
  <si>
    <t>Здание гаража для автотранспорта</t>
  </si>
  <si>
    <t>Здание гаража для грузовых машин</t>
  </si>
  <si>
    <t>Здание гаража для дрезины</t>
  </si>
  <si>
    <t>Здание гаража для легковых автомобилей</t>
  </si>
  <si>
    <t>Здание гаража для легковых машин</t>
  </si>
  <si>
    <t>Здание гаража для машин</t>
  </si>
  <si>
    <t>Здание гаража для мотовоза</t>
  </si>
  <si>
    <t>Здание гаража для ремонта с/х техники</t>
  </si>
  <si>
    <t>Здание гаража для тракторов</t>
  </si>
  <si>
    <t>Здание гаража и мастерской</t>
  </si>
  <si>
    <t>Здание гаража легковых автомобилей</t>
  </si>
  <si>
    <t>Здание гаража на 10 автомашин</t>
  </si>
  <si>
    <t>Здание гаража на 2 бокса</t>
  </si>
  <si>
    <t>Здание гаража на 25 боксов</t>
  </si>
  <si>
    <t>Здание гаража на 25 машин</t>
  </si>
  <si>
    <t>Здание гаража на 3 автомашины</t>
  </si>
  <si>
    <t>Здание гаража на 30 автомашин</t>
  </si>
  <si>
    <t>Здание гаража на 4 бокса</t>
  </si>
  <si>
    <t>Здание гаража на 5 автомашин</t>
  </si>
  <si>
    <t>Здание гаража на 5 боксов</t>
  </si>
  <si>
    <t>Здание гаража на 6 боксов</t>
  </si>
  <si>
    <t>Здание гаража на 7 боксов</t>
  </si>
  <si>
    <t>Здание гаража на три бокса</t>
  </si>
  <si>
    <t>Здание гаража на четыре бокса</t>
  </si>
  <si>
    <t>Здание гаража путевых машин Главный карьер, Рудоуправление</t>
  </si>
  <si>
    <t>Здание гаража РСУ</t>
  </si>
  <si>
    <t>Здание гаража с бытовыми помещениями</t>
  </si>
  <si>
    <t>Здание гаража с котельной</t>
  </si>
  <si>
    <t>Здание гаража с крыльцом</t>
  </si>
  <si>
    <t>Здание гаража с мастерскими</t>
  </si>
  <si>
    <t>Здание гаража с мастерской</t>
  </si>
  <si>
    <t>Здание гаража с пристроем</t>
  </si>
  <si>
    <t>здание гаража с пристроями</t>
  </si>
  <si>
    <t>Здание гаража с теплым пристроем</t>
  </si>
  <si>
    <t>здание гаража с хозяйственным блоком</t>
  </si>
  <si>
    <t>Здание гаража тепличного хозяйства</t>
  </si>
  <si>
    <t>Здание гаража тракторного</t>
  </si>
  <si>
    <t>Здание гаража транспортного цеха</t>
  </si>
  <si>
    <t>Здание гаража, Литер Б</t>
  </si>
  <si>
    <t>Здание гаража, литера Б</t>
  </si>
  <si>
    <t>Здание гаража.</t>
  </si>
  <si>
    <t>Здание гаража-ангара</t>
  </si>
  <si>
    <t>Здание гаража-бокса</t>
  </si>
  <si>
    <t>Здание гаража-мастерской</t>
  </si>
  <si>
    <t>Здание гаража-стоянки</t>
  </si>
  <si>
    <t>Здание гаражей</t>
  </si>
  <si>
    <t>здание гаражного бокса</t>
  </si>
  <si>
    <t>Здание гаражного комплекса</t>
  </si>
  <si>
    <t>здание гаражно-строительного кооператива</t>
  </si>
  <si>
    <t>здание гаражных боксов</t>
  </si>
  <si>
    <t>Здание индивидуального гаража</t>
  </si>
  <si>
    <t>Здание нежилого назначения - автогараж</t>
  </si>
  <si>
    <t>Здание нежилого назначения - гараж</t>
  </si>
  <si>
    <t>здание нежилого назначения - здание автогаража</t>
  </si>
  <si>
    <t>Здание нежилого назначения - здание гаража</t>
  </si>
  <si>
    <t>Здание нежилого назначения - здание гаража-стоянки</t>
  </si>
  <si>
    <t>Здание нежилого назначения (автогараж)</t>
  </si>
  <si>
    <t>Здание нежилого назначения (гараж)</t>
  </si>
  <si>
    <t>Здание нежилого назначения (здание гаража)</t>
  </si>
  <si>
    <t>Здание нежилого назначения, гараж</t>
  </si>
  <si>
    <t>Здание нежилого назначения-гараж</t>
  </si>
  <si>
    <t>здание нежилого назначения-здание гаража</t>
  </si>
  <si>
    <t>Здание пожарного депо</t>
  </si>
  <si>
    <t>Здание пожарного депо на 2 автомобиля</t>
  </si>
  <si>
    <t>Здание пожарного депо с пристроем</t>
  </si>
  <si>
    <t>Здание пожарного депо с пристроями</t>
  </si>
  <si>
    <t>Здание пожарного поста</t>
  </si>
  <si>
    <t>Здание пожарной охраны</t>
  </si>
  <si>
    <t>Здание пожарной части</t>
  </si>
  <si>
    <t>Здание пожарно-химической станции</t>
  </si>
  <si>
    <t>Здание пристроя гаража к производственному зданию</t>
  </si>
  <si>
    <t>Здание производственное, гараж</t>
  </si>
  <si>
    <t>здание служебного гаража</t>
  </si>
  <si>
    <t>Здание тракторного гаража</t>
  </si>
  <si>
    <t>здания гаража боксового типа в гаражно-строительном кооперативе №21 "А"</t>
  </si>
  <si>
    <t>Индивидуальные гаражи</t>
  </si>
  <si>
    <t>Индивидуальные гаражные боксы</t>
  </si>
  <si>
    <t>Индивидуальный  гараж</t>
  </si>
  <si>
    <t>Индивидуальный гараж</t>
  </si>
  <si>
    <t>индивидуальный гараж с котельной</t>
  </si>
  <si>
    <t>Индивидуальный гараж, назначение: нежилое. Площадь: общая 19 кв.м. Этажность: 1.</t>
  </si>
  <si>
    <t>Индивидуальный гараж.</t>
  </si>
  <si>
    <t>Индивидуальный гараж. Назначение - нежилое</t>
  </si>
  <si>
    <t>Индивидуальный гаражный бокс</t>
  </si>
  <si>
    <t>Индивидуальный капитальный гараж</t>
  </si>
  <si>
    <t>Индивидульный гараж</t>
  </si>
  <si>
    <t>Капитальный гараж</t>
  </si>
  <si>
    <t>Кооперативные гаражи ГСК 425/4</t>
  </si>
  <si>
    <t>Кооперативный гараж</t>
  </si>
  <si>
    <t>нежилое здание - гараж</t>
  </si>
  <si>
    <t>нежилое здание (гараж)</t>
  </si>
  <si>
    <t>Нежилое здание (гаражный бокс)</t>
  </si>
  <si>
    <t>Нежилое здание (здание гаража)</t>
  </si>
  <si>
    <t>Нежилое здание гаража</t>
  </si>
  <si>
    <t>Нежилое здание капитального гаража</t>
  </si>
  <si>
    <t>Нежилое помещение - гаражный бокс № 2</t>
  </si>
  <si>
    <t>объект гаражной застройки</t>
  </si>
  <si>
    <t>Объект недвижимости признан самостоятельным зданием с назначением «гараж» в силу части 1 статьи 18 Федерального закона от  05.04.2021 № 79-ФЗ «О внесение изменений в отдельные законодательные акты Российской Федерации»</t>
  </si>
  <si>
    <t>Объект недвижимости признан самостоятельным зданием с назначением «гараж» в силу части 1 статьи 18 Федерального закона от 05.04.2021 № 79-ФЗ «О внесении изменений в отдельные законодательные акты Российской Федерации»</t>
  </si>
  <si>
    <t>Объект недвижимости признан самостоятельным зданием с назначением «гараж» в силу части 1 статьи 18 Федерального закона от 05.04.2021 № 79-ФЗ «О внесении изменений в отдельные законодательные акты Российской Федерации».</t>
  </si>
  <si>
    <t>ОГСК Карьер №325</t>
  </si>
  <si>
    <t>одноэтажное здание гаража</t>
  </si>
  <si>
    <t>Отдельно стоящее строение (гараж)</t>
  </si>
  <si>
    <t>Отдельно стоящий гараж</t>
  </si>
  <si>
    <t>отдельно-стоящее здание (гараж)</t>
  </si>
  <si>
    <t>ПГСК №542</t>
  </si>
  <si>
    <t>ПГСК-38А</t>
  </si>
  <si>
    <t>ПГСК-421/31</t>
  </si>
  <si>
    <t>Подземная автостоянка</t>
  </si>
  <si>
    <t>Подземный гараж</t>
  </si>
  <si>
    <t>Пожарная часть</t>
  </si>
  <si>
    <t>Пожарное депо</t>
  </si>
  <si>
    <t>Пожарное депо на 2 автомобиля</t>
  </si>
  <si>
    <t>Пожарное депо на 2 машины</t>
  </si>
  <si>
    <t>Пожарное депо на 4 автомобиля</t>
  </si>
  <si>
    <t>Пожарно-химическая станция</t>
  </si>
  <si>
    <t>Помещение гаража</t>
  </si>
  <si>
    <t>Помещение гаражного бокса</t>
  </si>
  <si>
    <t>пристроенное здание гаража</t>
  </si>
  <si>
    <t>Служебный гараж</t>
  </si>
  <si>
    <t>Сооружение для хранения транспортных средств - гараж</t>
  </si>
  <si>
    <t>Станция пожаротушения</t>
  </si>
  <si>
    <t>Теплый гараж</t>
  </si>
  <si>
    <t>Тракторный гараж</t>
  </si>
  <si>
    <t>Хозяйственная постройка-гараж</t>
  </si>
  <si>
    <t>Хозяйственное строение - Гараж</t>
  </si>
  <si>
    <t>Часть гаража</t>
  </si>
  <si>
    <t>Часть здания (гараж)</t>
  </si>
  <si>
    <t>Часть здания гаража</t>
  </si>
  <si>
    <t>Часть здания гаражного блока</t>
  </si>
  <si>
    <t>Часть здания индивидуального гаража</t>
  </si>
  <si>
    <t>Часть здания пожарного депо</t>
  </si>
  <si>
    <t>Часть здания производственного, гаража</t>
  </si>
  <si>
    <t>Здание гаража №I/251</t>
  </si>
  <si>
    <t>Здание гаража №I/748</t>
  </si>
  <si>
    <t>Здание гаража №I/595</t>
  </si>
  <si>
    <t>Здание гаража №I-310</t>
  </si>
  <si>
    <t>Здание гаража №I/72</t>
  </si>
  <si>
    <t>Наименование</t>
  </si>
  <si>
    <t>Правило</t>
  </si>
  <si>
    <t>0307</t>
  </si>
  <si>
    <t>0304_1</t>
  </si>
  <si>
    <t>0304_2</t>
  </si>
  <si>
    <t>0306</t>
  </si>
  <si>
    <t>Условие на плошадь</t>
  </si>
  <si>
    <t>ФГ1</t>
  </si>
  <si>
    <t>ФГ2</t>
  </si>
  <si>
    <t>0302</t>
  </si>
  <si>
    <t>ФГ Нежилое</t>
  </si>
  <si>
    <t xml:space="preserve">Гараж </t>
  </si>
  <si>
    <t>гаражный бокс № 8</t>
  </si>
  <si>
    <t>гаражный бокс № 10</t>
  </si>
  <si>
    <t>гаражный бокс № 329</t>
  </si>
  <si>
    <t>гаражный бокс № 330</t>
  </si>
  <si>
    <t>гаражный бокс № 333</t>
  </si>
  <si>
    <t>Гараж №IV/358</t>
  </si>
  <si>
    <t>Теплица</t>
  </si>
  <si>
    <t>0705_2</t>
  </si>
  <si>
    <t>Беседка</t>
  </si>
  <si>
    <t>0805_3</t>
  </si>
  <si>
    <t>Сооружение: теплица</t>
  </si>
  <si>
    <t>Здание конторы</t>
  </si>
  <si>
    <t>0604</t>
  </si>
  <si>
    <t>Ангар</t>
  </si>
  <si>
    <t>0727</t>
  </si>
  <si>
    <t>Сарай</t>
  </si>
  <si>
    <t>0904</t>
  </si>
  <si>
    <t>Здание котельной</t>
  </si>
  <si>
    <t>0710</t>
  </si>
  <si>
    <t>овощехранилище</t>
  </si>
  <si>
    <t>0705_3</t>
  </si>
  <si>
    <t>Здание насосной</t>
  </si>
  <si>
    <t>0715</t>
  </si>
  <si>
    <t>Административно-бытовой корпус</t>
  </si>
  <si>
    <t>0603</t>
  </si>
  <si>
    <t>Баня</t>
  </si>
  <si>
    <t>0908</t>
  </si>
  <si>
    <t>Трансформаторная подстанция</t>
  </si>
  <si>
    <t>0706</t>
  </si>
  <si>
    <t>Здание детского сада</t>
  </si>
  <si>
    <t>0821</t>
  </si>
  <si>
    <t>Детский сад</t>
  </si>
  <si>
    <t>Мастерская</t>
  </si>
  <si>
    <t>0722</t>
  </si>
  <si>
    <t>Котельная</t>
  </si>
  <si>
    <t>Теплопункт</t>
  </si>
  <si>
    <t>Здание мастерской</t>
  </si>
  <si>
    <t>Здание коровника</t>
  </si>
  <si>
    <t>0705_1</t>
  </si>
  <si>
    <t>Здание ангара</t>
  </si>
  <si>
    <t>Здание овощехранилища</t>
  </si>
  <si>
    <t>Насосная станция</t>
  </si>
  <si>
    <t>Здание административно-бытового корпуса</t>
  </si>
  <si>
    <t>Здание трансформаторной подстанции</t>
  </si>
  <si>
    <t>Здание контрольно-пропускного пункта</t>
  </si>
  <si>
    <t>Здание бани</t>
  </si>
  <si>
    <t>Административное здание</t>
  </si>
  <si>
    <t>Административное</t>
  </si>
  <si>
    <t>Здание насосной станции</t>
  </si>
  <si>
    <t>Столовая</t>
  </si>
  <si>
    <t>0411</t>
  </si>
  <si>
    <t>0410</t>
  </si>
  <si>
    <t>Здание столовой</t>
  </si>
  <si>
    <t>Магазин</t>
  </si>
  <si>
    <t>0401</t>
  </si>
  <si>
    <t>Здание магазина</t>
  </si>
  <si>
    <t>Здание проходной</t>
  </si>
  <si>
    <t>0703</t>
  </si>
  <si>
    <t>0607</t>
  </si>
  <si>
    <t>Проходная</t>
  </si>
  <si>
    <t>ФГ МКД</t>
  </si>
  <si>
    <t>Без информации в наименовании</t>
  </si>
  <si>
    <t>Справочник наименований</t>
  </si>
  <si>
    <t>для нежилых вне садов</t>
  </si>
  <si>
    <t>гаражи по адресу</t>
  </si>
  <si>
    <t>сады по адресу</t>
  </si>
  <si>
    <t>0305</t>
  </si>
  <si>
    <t>0310</t>
  </si>
  <si>
    <t>Группа</t>
  </si>
  <si>
    <t>ОБЩАЯ</t>
  </si>
  <si>
    <t>0100</t>
  </si>
  <si>
    <t>Многоквартирные дома (дома средне- и многоэтажной жилой застройки)</t>
  </si>
  <si>
    <t>Группа 1. Многоквартирные дома (дома средне- и многоэтажной жилой застройки)</t>
  </si>
  <si>
    <t>Дома жилые экономичного класса (с преобладанием малогабаритных квартир)</t>
  </si>
  <si>
    <t>Дома жилые со встроенными нежилыми помещениями</t>
  </si>
  <si>
    <t>Дома жилые повышенной комфортности (дома с небольшим количеством малогабаритных квартир, дома класса комфорт)</t>
  </si>
  <si>
    <t>Дома жилые повышенной комфортности со встроенными нежилыми помещениями</t>
  </si>
  <si>
    <t>Дома бизнес-класса и выше (дома с повышенными габаритами квартир, уровнем отделки и обслуживания, как правило, расположены в престижных районах застройки)</t>
  </si>
  <si>
    <t>Дома бизнес-класса и выше со встроенными нежилыми помещениями</t>
  </si>
  <si>
    <t>0200</t>
  </si>
  <si>
    <t>Дома малоэтажной жилой застройки, в том числе индивидуальной жилой застройки - индивидуальные, малоэтажные блокированные (таунхаусы), дачных объединений, садоводческих товариществ</t>
  </si>
  <si>
    <t>Группа 2. Дома малоэтажной жилой застройки, в том числе индивидуальной жилой застройки - индивидуальные, малоэтажные блокированные (таунхаусы), дачных объединений, садоводческих товариществ</t>
  </si>
  <si>
    <t>Дома жилые блокированной застройки (таунхаусы)</t>
  </si>
  <si>
    <t>Дома индивидуальные</t>
  </si>
  <si>
    <t>0203</t>
  </si>
  <si>
    <t>Дома индивидуальные с бытовыми пристройками</t>
  </si>
  <si>
    <t>Коттеджи (дома индивидуальные повышенной комфортности с применением качественных материалов, большой площади, наличием систем (как локальных, так и централизованных) инженерного обеспечения, расположенные в однородной среде, в престижных местах)</t>
  </si>
  <si>
    <t>Дачи (дома, не предусматривающие постоянного проживания с применением различных материалов, наличием отдельных систем (как локальных, так и централизованных) инженерного обеспечения, расположенные в однородной среде)</t>
  </si>
  <si>
    <t>0206</t>
  </si>
  <si>
    <t>Домики садовые (летние домики), огородные объединения</t>
  </si>
  <si>
    <t>0207</t>
  </si>
  <si>
    <t>Прочие постройки на садовых участках и огородных объединениях</t>
  </si>
  <si>
    <t>0301</t>
  </si>
  <si>
    <t>Открытые автостоянки автомобилей (покрытые площадки и проезды)</t>
  </si>
  <si>
    <t>Группа 3. Объекты, предназначенные для хранения транспорта</t>
  </si>
  <si>
    <t>Гаражи индивидуальные отдельностоящие до 100 м</t>
  </si>
  <si>
    <t>0302_2</t>
  </si>
  <si>
    <t>Гаражи индивидуальные отдельностоящие более 100 м</t>
  </si>
  <si>
    <t>Гаражные кооперативы (сблокированные индивидуальные гаражи)</t>
  </si>
  <si>
    <t>Подземные паркинги</t>
  </si>
  <si>
    <t>Наземные паркинги</t>
  </si>
  <si>
    <t xml:space="preserve">Гаражи производственные, ведомственные для легковых автомобилей </t>
  </si>
  <si>
    <t>Гаражи производственные, ведомственные для грузовых автомобилей и автобусов</t>
  </si>
  <si>
    <t>Гаражи производственные, ведомственные для спецтехники, включая гаражи, депо пожарных машин</t>
  </si>
  <si>
    <t>0308</t>
  </si>
  <si>
    <t>Открытые стоянки водного транспорта (платформы, причалы, пирсы)</t>
  </si>
  <si>
    <t>0309</t>
  </si>
  <si>
    <t>Гаражи индивидуальные водного транспорта (эллинги)</t>
  </si>
  <si>
    <t>Гаражи производственные, ведомственные водного транспорта (эллинги)</t>
  </si>
  <si>
    <t>0311</t>
  </si>
  <si>
    <t>Открытые стоянки воздушного транспорта</t>
  </si>
  <si>
    <t>0400</t>
  </si>
  <si>
    <t>Группа 4. Объекты коммерческого назначения, предназначенные для оказания услуг населению, включая многофункционального назначения</t>
  </si>
  <si>
    <t>Магазин до 250 кв.м.</t>
  </si>
  <si>
    <t>Магазин 250 и более кв.м.</t>
  </si>
  <si>
    <t>Торгово-развлекательные комплексы</t>
  </si>
  <si>
    <t>0403_5</t>
  </si>
  <si>
    <t>Торговые базы</t>
  </si>
  <si>
    <t>Прочие многофункциональные комплексы</t>
  </si>
  <si>
    <t>0404</t>
  </si>
  <si>
    <t>Рынки</t>
  </si>
  <si>
    <t>0405_1</t>
  </si>
  <si>
    <t>Торговые киоски, ларьки</t>
  </si>
  <si>
    <t>0405_2</t>
  </si>
  <si>
    <t>Павильоны</t>
  </si>
  <si>
    <t>0406</t>
  </si>
  <si>
    <t>Автозаправочные станции (АЗС), газонаполнительные станции, автогазозаправочные станции (АГЗС)</t>
  </si>
  <si>
    <t>0407</t>
  </si>
  <si>
    <t>Автомойки</t>
  </si>
  <si>
    <t>Кафе 750 кв. м (75 человек) и более, производственные столовые, столовые, кухни, кухни-столовые 750 кв.м (75 человек) и более</t>
  </si>
  <si>
    <t>Кафе до 750 кв. м (75 человек), кафетерии, столовые, кухни, кухни-столовые до 750 кв. м (75 человек)</t>
  </si>
  <si>
    <t>0412</t>
  </si>
  <si>
    <t>Летние кафе</t>
  </si>
  <si>
    <t>0413</t>
  </si>
  <si>
    <t>Ломбарды</t>
  </si>
  <si>
    <t>0500</t>
  </si>
  <si>
    <t>Группа 5. Объекты временного проживания, включая объекты рекреационно-оздоровительного значения</t>
  </si>
  <si>
    <t>0505</t>
  </si>
  <si>
    <t>Гостиницы: объекты коттеджного типа</t>
  </si>
  <si>
    <t>0506</t>
  </si>
  <si>
    <t>Мотели</t>
  </si>
  <si>
    <t>0507</t>
  </si>
  <si>
    <t>Общежития</t>
  </si>
  <si>
    <t>0508</t>
  </si>
  <si>
    <t>Пансионаты</t>
  </si>
  <si>
    <t>0509</t>
  </si>
  <si>
    <t>Базы отдыха</t>
  </si>
  <si>
    <t>0510</t>
  </si>
  <si>
    <t>Пионерские лагеря</t>
  </si>
  <si>
    <t>0511</t>
  </si>
  <si>
    <t>Санатории</t>
  </si>
  <si>
    <t>0512</t>
  </si>
  <si>
    <t>Здания барачного типа, летние домики пансионатов и санаториев</t>
  </si>
  <si>
    <t>0513</t>
  </si>
  <si>
    <t>Главные корпуса пансионатов</t>
  </si>
  <si>
    <t>0514</t>
  </si>
  <si>
    <t>Спальные корпуса пансионатов</t>
  </si>
  <si>
    <t>0515</t>
  </si>
  <si>
    <t>Главные корпуса санаториев</t>
  </si>
  <si>
    <t>0516</t>
  </si>
  <si>
    <t>Спальные корпуса санаториев</t>
  </si>
  <si>
    <t>0517</t>
  </si>
  <si>
    <t>Кемпинги</t>
  </si>
  <si>
    <t>0600</t>
  </si>
  <si>
    <t>Группа 6. Административные и бытовые объекты</t>
  </si>
  <si>
    <t>Бытовые, административно-бытовые здания</t>
  </si>
  <si>
    <t>Административные здания, заводоуправления, штабы ВС РФ</t>
  </si>
  <si>
    <t>0605</t>
  </si>
  <si>
    <t>Лабораторные корпуса</t>
  </si>
  <si>
    <t>0606</t>
  </si>
  <si>
    <t>Отделения полиции</t>
  </si>
  <si>
    <t>Контрольно-пропускные пункты, проходные 100 кв.м и более</t>
  </si>
  <si>
    <t>0608</t>
  </si>
  <si>
    <t>Отделения связи, почта, радиосвязь.</t>
  </si>
  <si>
    <t>0609</t>
  </si>
  <si>
    <t>Таможни</t>
  </si>
  <si>
    <t>0700</t>
  </si>
  <si>
    <t>0701</t>
  </si>
  <si>
    <t>Производственные, производственно-складские и административно-производственные здания до 100 кв. м</t>
  </si>
  <si>
    <t>Группа 7. Объекты производственного назначения, за исключением передаточных устройств и сооружений</t>
  </si>
  <si>
    <t>0702</t>
  </si>
  <si>
    <t>Диспетчерские, аппаратные (кроме диспетчерских на транспорте)</t>
  </si>
  <si>
    <t>Контрольно-пропускные пункты, проходные менее 100 кв.м</t>
  </si>
  <si>
    <t>0704_1</t>
  </si>
  <si>
    <t>Производственные и производственно-складские здания площадью до 5000 кв.м</t>
  </si>
  <si>
    <t>0704_2</t>
  </si>
  <si>
    <t>Производственные и производственно-складские здания площадью от 5000 кв.м до 10000 кв.м</t>
  </si>
  <si>
    <t>0704_3</t>
  </si>
  <si>
    <t>Производственные и производственно-складские здания площадью более 10000 кв.м</t>
  </si>
  <si>
    <t>0704_4</t>
  </si>
  <si>
    <t>Административно-производственные здания, административно-складские здания</t>
  </si>
  <si>
    <t>Животноводческие комплексы, птичники</t>
  </si>
  <si>
    <t>Оранжерейные и тепличные  хозяйства</t>
  </si>
  <si>
    <t>Овоще- и зернохранилища</t>
  </si>
  <si>
    <t>Трансформаторные подстанции (ТП), БМТП, РУ, РП, ЦРП</t>
  </si>
  <si>
    <t>0707</t>
  </si>
  <si>
    <t>Электроподстанции, КРУЭ, здания тяговых подстанций, дизельные подстанции</t>
  </si>
  <si>
    <t>0708</t>
  </si>
  <si>
    <t>Энергоблоки</t>
  </si>
  <si>
    <t>0709</t>
  </si>
  <si>
    <t>Центральная тепловая станция (ЦТС), теплоэлектроцентраль (ТЭЦ)</t>
  </si>
  <si>
    <t>Котельные, бойлерные</t>
  </si>
  <si>
    <t>0711</t>
  </si>
  <si>
    <t>ЦТП</t>
  </si>
  <si>
    <t>0712</t>
  </si>
  <si>
    <t>Сушилки, мельницы, вспомогательные объекты</t>
  </si>
  <si>
    <t>0713</t>
  </si>
  <si>
    <t>Станции газораспределительные и газорегуляторные</t>
  </si>
  <si>
    <t>0714</t>
  </si>
  <si>
    <t>Пункты газораспределительные и газорегуляторные</t>
  </si>
  <si>
    <t>Насосные станции</t>
  </si>
  <si>
    <t>0716</t>
  </si>
  <si>
    <t>Водопроводные станции</t>
  </si>
  <si>
    <t>0717</t>
  </si>
  <si>
    <t>Водозаборные узлы и сооружения</t>
  </si>
  <si>
    <t>0718</t>
  </si>
  <si>
    <t>Водомерные узлы, камеры переключения задвижек</t>
  </si>
  <si>
    <t>0719</t>
  </si>
  <si>
    <t>Павильоны над скважинами, насосные  над артезианской скважиной</t>
  </si>
  <si>
    <t>0720</t>
  </si>
  <si>
    <t>Вентиляционные киоски, вентиляционные камеры</t>
  </si>
  <si>
    <t>0721</t>
  </si>
  <si>
    <t>Автоматические телефонные станции (АТС)</t>
  </si>
  <si>
    <t>Мастерские</t>
  </si>
  <si>
    <t>0723_1</t>
  </si>
  <si>
    <t>Складские здания, кроме ангаров, площадью до 5000 кв.м</t>
  </si>
  <si>
    <t>0723_2</t>
  </si>
  <si>
    <t>Складские здания, кроме ангаров, площадью от 5000 до 10000 кв.м</t>
  </si>
  <si>
    <t>0723_3</t>
  </si>
  <si>
    <t>Прочие складские объекты, кроме ангаров и площадью более 10 000 кв.м.</t>
  </si>
  <si>
    <t>0723_4</t>
  </si>
  <si>
    <t>Складские здания класса А</t>
  </si>
  <si>
    <t>0724</t>
  </si>
  <si>
    <t>Здания очистных сооружений</t>
  </si>
  <si>
    <t>0725</t>
  </si>
  <si>
    <t>Весовые автомобильные</t>
  </si>
  <si>
    <t>0726</t>
  </si>
  <si>
    <t>Весовые железнодорожные</t>
  </si>
  <si>
    <t>Здания ангарного типа</t>
  </si>
  <si>
    <t>0728_1</t>
  </si>
  <si>
    <t>Холодильники</t>
  </si>
  <si>
    <t>0728_2</t>
  </si>
  <si>
    <t>Ледники</t>
  </si>
  <si>
    <t>0729</t>
  </si>
  <si>
    <t>Здания гидросооружений (водонапорные башни)</t>
  </si>
  <si>
    <t>0730</t>
  </si>
  <si>
    <t>Станции технического обслуживания автомобилей (СТО), автосервисы</t>
  </si>
  <si>
    <t>0731</t>
  </si>
  <si>
    <t>Ангары для самолетов, вертолетов и других летательных аппаратов</t>
  </si>
  <si>
    <t>0732_1</t>
  </si>
  <si>
    <t>Депо железнодорожные, локомотивные, метрополитена, электродепо</t>
  </si>
  <si>
    <t>0732_2</t>
  </si>
  <si>
    <t>Депо  трамвайные, троллейбусные</t>
  </si>
  <si>
    <t>0733</t>
  </si>
  <si>
    <t>Компрессорные</t>
  </si>
  <si>
    <t>0800</t>
  </si>
  <si>
    <t>0801</t>
  </si>
  <si>
    <t>Ветеринарные объекты</t>
  </si>
  <si>
    <t>Группа 8. Учебные, спортивные объекты, объекты культуры и искусства, культовые объекты, музеи, лечебно-оздоровительные и общественного назначения объекты</t>
  </si>
  <si>
    <t>0802</t>
  </si>
  <si>
    <t>Питомники, гостиницы для животных</t>
  </si>
  <si>
    <t>0803</t>
  </si>
  <si>
    <t>Зоопарк (вольеры, строения для содержания животных)</t>
  </si>
  <si>
    <t>0804</t>
  </si>
  <si>
    <t>Музеи</t>
  </si>
  <si>
    <t>0805_1</t>
  </si>
  <si>
    <t>Памятники гражданского зодчества и дворцовые здания</t>
  </si>
  <si>
    <t>0805_2</t>
  </si>
  <si>
    <t>Оборонные сооружения, крепостные стены и башни</t>
  </si>
  <si>
    <t>Малые архитектурные формы (беседки, мосты, ворота, ограды)</t>
  </si>
  <si>
    <t>0805_4</t>
  </si>
  <si>
    <t>Садово-парковые сооружения (павильоны, гроты…)</t>
  </si>
  <si>
    <t>0805_5</t>
  </si>
  <si>
    <t>Памятники деревянного зодчества</t>
  </si>
  <si>
    <t>0805_6</t>
  </si>
  <si>
    <t>Монументы</t>
  </si>
  <si>
    <t>0806</t>
  </si>
  <si>
    <t>Спортивные комплексы</t>
  </si>
  <si>
    <t>0807</t>
  </si>
  <si>
    <t>Спортивные залы и корпуса, спортивные клубы</t>
  </si>
  <si>
    <t>0808</t>
  </si>
  <si>
    <t>Стадионы, трибуны</t>
  </si>
  <si>
    <t>0809</t>
  </si>
  <si>
    <t>Теннисные корты</t>
  </si>
  <si>
    <t>0810</t>
  </si>
  <si>
    <t>Тиры</t>
  </si>
  <si>
    <t>0811</t>
  </si>
  <si>
    <t>Фитнес-центры, физкультурно-оздоровительные комплексы</t>
  </si>
  <si>
    <t>0812</t>
  </si>
  <si>
    <t>Крытые катки</t>
  </si>
  <si>
    <t>0813</t>
  </si>
  <si>
    <t>Бассейны для плавания</t>
  </si>
  <si>
    <t>0814</t>
  </si>
  <si>
    <t>Яхт-клубы</t>
  </si>
  <si>
    <t>0815</t>
  </si>
  <si>
    <t>Архивы, книгохранилища и фондохранилища, библиотеки</t>
  </si>
  <si>
    <t>0816_1</t>
  </si>
  <si>
    <t>Соборы</t>
  </si>
  <si>
    <t>0816_2</t>
  </si>
  <si>
    <t>Церкви, храмы, монастыри</t>
  </si>
  <si>
    <t>0816_3</t>
  </si>
  <si>
    <t>Часовни, колокольни, звонницы</t>
  </si>
  <si>
    <t>0816_4</t>
  </si>
  <si>
    <t>Прочие религиозные объекты</t>
  </si>
  <si>
    <t>0816_5</t>
  </si>
  <si>
    <t>Мечети, Синагоги</t>
  </si>
  <si>
    <t>0817</t>
  </si>
  <si>
    <t>Оранжереи (не относящиеся к сельскохозяйственному производству)</t>
  </si>
  <si>
    <t>0818</t>
  </si>
  <si>
    <t>Кинотеатры</t>
  </si>
  <si>
    <t>0819</t>
  </si>
  <si>
    <t>Киностудии</t>
  </si>
  <si>
    <t>0820</t>
  </si>
  <si>
    <t>Выставочные залы, дворцы культуры, дома культуры, консерватории, концертные залы, культурно-досуговые центры, мюзик-холлы, планетарии, театры, художественные галереи, цирки</t>
  </si>
  <si>
    <t>0820_1</t>
  </si>
  <si>
    <t>Театры</t>
  </si>
  <si>
    <t>0820_2</t>
  </si>
  <si>
    <t>Цирки</t>
  </si>
  <si>
    <t>Детские сады, ясли, ясли-сады</t>
  </si>
  <si>
    <t>0822_1</t>
  </si>
  <si>
    <t>Дома и дворцы пионеров, клубы, дома творчества юных, изостудии, культурно-бытовые центры</t>
  </si>
  <si>
    <t>0822_2</t>
  </si>
  <si>
    <t>Гимназии, лицеи, школы, церковные школы</t>
  </si>
  <si>
    <t>0822_3</t>
  </si>
  <si>
    <t>Музыкальные школы</t>
  </si>
  <si>
    <t>0822_4</t>
  </si>
  <si>
    <t>Спальные корпуса школ-интернатов</t>
  </si>
  <si>
    <t>0823</t>
  </si>
  <si>
    <t>Колледжи, училища профессионально-технические и ремесленные, техникумы, училища</t>
  </si>
  <si>
    <t>0824</t>
  </si>
  <si>
    <t>Академии, институты образовательные, подготовительные отделения высших учебных заведений, университеты</t>
  </si>
  <si>
    <t>0825_1</t>
  </si>
  <si>
    <t>Больницы</t>
  </si>
  <si>
    <t>0825_2</t>
  </si>
  <si>
    <t>Поликлиники</t>
  </si>
  <si>
    <t>0825_3</t>
  </si>
  <si>
    <t>Станции медицинской скорой помощи, фельдшерские медицинские пункты</t>
  </si>
  <si>
    <t>0825_4</t>
  </si>
  <si>
    <t>Аптеки</t>
  </si>
  <si>
    <t>0825_5</t>
  </si>
  <si>
    <t>Медицинские центры, клинические исследовательские (медицинские), оздоровительно-реабилитационные  центры</t>
  </si>
  <si>
    <t>0826</t>
  </si>
  <si>
    <t>Крематории</t>
  </si>
  <si>
    <t>0827</t>
  </si>
  <si>
    <t>Комплексы аттракционов отдельно стоящие</t>
  </si>
  <si>
    <t>0828</t>
  </si>
  <si>
    <t>Аквапарки</t>
  </si>
  <si>
    <t>0829</t>
  </si>
  <si>
    <t>Объекты бытового обслуживания населения, ателье, парикмахерские, прачечные, пункты проката, молочные кухни</t>
  </si>
  <si>
    <t>0830_1</t>
  </si>
  <si>
    <t>Бани общественные от 150 кв. м, до 1000 кв.м (до 100 чел.), душевые и раздевалки</t>
  </si>
  <si>
    <t>0830_2</t>
  </si>
  <si>
    <t>Банные комплексы 1000 кв. м (на 100 чел.) и более</t>
  </si>
  <si>
    <t>0831</t>
  </si>
  <si>
    <t>Туалеты общественные</t>
  </si>
  <si>
    <t>0832</t>
  </si>
  <si>
    <t>Морги</t>
  </si>
  <si>
    <t>0833</t>
  </si>
  <si>
    <t>Интернаты (школы-интернаты)</t>
  </si>
  <si>
    <t>0834</t>
  </si>
  <si>
    <t>Изоляторы</t>
  </si>
  <si>
    <t>0835</t>
  </si>
  <si>
    <t>Исправительные заведения</t>
  </si>
  <si>
    <t>0836</t>
  </si>
  <si>
    <t>Казармы</t>
  </si>
  <si>
    <t>0837</t>
  </si>
  <si>
    <t>Государственные научные центры</t>
  </si>
  <si>
    <t>0838</t>
  </si>
  <si>
    <t>Проектные институты, конструкторские бюро</t>
  </si>
  <si>
    <t>0842</t>
  </si>
  <si>
    <t>Дома престарелых</t>
  </si>
  <si>
    <t>0843</t>
  </si>
  <si>
    <t>Дома инвалидов</t>
  </si>
  <si>
    <t>0844</t>
  </si>
  <si>
    <t>Автовокзалы</t>
  </si>
  <si>
    <t>0845</t>
  </si>
  <si>
    <t>Аэропорты (аэровокзалы)</t>
  </si>
  <si>
    <t>0846</t>
  </si>
  <si>
    <t>Порты (вокзалы морские)</t>
  </si>
  <si>
    <t>0847</t>
  </si>
  <si>
    <t>Вокзалы железнодорожные</t>
  </si>
  <si>
    <t>0848</t>
  </si>
  <si>
    <t>Станции железнодорожные</t>
  </si>
  <si>
    <t>0849_1</t>
  </si>
  <si>
    <t>Станции метрополитена (подземные)</t>
  </si>
  <si>
    <t>0849_2</t>
  </si>
  <si>
    <t>Станции метрополитена (надземные)</t>
  </si>
  <si>
    <t>0850</t>
  </si>
  <si>
    <t>Вокзалы речные</t>
  </si>
  <si>
    <t>0851_1</t>
  </si>
  <si>
    <t>Станции автобусные, троллейбусные, трамвайные (кроме лодочных)</t>
  </si>
  <si>
    <t>0851_2</t>
  </si>
  <si>
    <t>Станции лодочные (водомоторные станции)</t>
  </si>
  <si>
    <t>0851_3</t>
  </si>
  <si>
    <t>Здания конечных станций, диспетчерские</t>
  </si>
  <si>
    <t>0852</t>
  </si>
  <si>
    <t>Прочие объекты, предназначенные для перевозки и обслуживанию пассажиров, обработки их багажа</t>
  </si>
  <si>
    <t>0900</t>
  </si>
  <si>
    <t>0901</t>
  </si>
  <si>
    <t>Объекты гражданской обороны</t>
  </si>
  <si>
    <t>Группа 9. Прочие объекты</t>
  </si>
  <si>
    <t>0902</t>
  </si>
  <si>
    <t>Погреба</t>
  </si>
  <si>
    <t>Сараи</t>
  </si>
  <si>
    <t>0905</t>
  </si>
  <si>
    <t>Санитарные пропускники</t>
  </si>
  <si>
    <t>0906</t>
  </si>
  <si>
    <t>Гидрометеорологические станции, фотометрические будки, мареографы</t>
  </si>
  <si>
    <t>0907</t>
  </si>
  <si>
    <t>Прочие объекты и объекты вспомогательного назначения, отнесение которых к другим группам невозможно</t>
  </si>
  <si>
    <t>Бани частные/общественные, душевые малой площади до 50 кв.м.</t>
  </si>
  <si>
    <t>0908_1</t>
  </si>
  <si>
    <t>Бани, банные комплексы, бани-прачечные. частные/общественные, душевые средней и большой площади 50 кв.м. - 150 кв.м.</t>
  </si>
  <si>
    <t>1000</t>
  </si>
  <si>
    <t>Аттракционы</t>
  </si>
  <si>
    <t>Сооружения</t>
  </si>
  <si>
    <t>1002_1</t>
  </si>
  <si>
    <t>Вышка, башня</t>
  </si>
  <si>
    <t>1002_2</t>
  </si>
  <si>
    <t>Башня пожарная</t>
  </si>
  <si>
    <t>1002_3</t>
  </si>
  <si>
    <t>Башня водонапорная</t>
  </si>
  <si>
    <t>1002_4</t>
  </si>
  <si>
    <t>Вышка, башня радиорелейная, связи, сотовой связи</t>
  </si>
  <si>
    <t>1003_1</t>
  </si>
  <si>
    <t>Мачта радиорелейная, мачта сотовой связи</t>
  </si>
  <si>
    <t>1003_2</t>
  </si>
  <si>
    <t>Молниеотвод</t>
  </si>
  <si>
    <t>1003_3</t>
  </si>
  <si>
    <t>Вышка сторожевая, караульная</t>
  </si>
  <si>
    <t>1003_4</t>
  </si>
  <si>
    <t>Мачта прожекторная, осветительная</t>
  </si>
  <si>
    <t>1003_5</t>
  </si>
  <si>
    <t>Светофорный объект</t>
  </si>
  <si>
    <t>1003_6</t>
  </si>
  <si>
    <t>Опоры освещения</t>
  </si>
  <si>
    <t>Беседки</t>
  </si>
  <si>
    <t>Гидротехнические сооружения - набережные</t>
  </si>
  <si>
    <t>1005_1</t>
  </si>
  <si>
    <t>Подпорная стенка</t>
  </si>
  <si>
    <t>1006_2</t>
  </si>
  <si>
    <t>Крыльцо</t>
  </si>
  <si>
    <t>1006_3</t>
  </si>
  <si>
    <t>Железнодорожная рампа</t>
  </si>
  <si>
    <t>1006_5</t>
  </si>
  <si>
    <t>Эстакады ж/бетонные</t>
  </si>
  <si>
    <t>1006_6</t>
  </si>
  <si>
    <t>Эстакады металлические</t>
  </si>
  <si>
    <t>1006_11</t>
  </si>
  <si>
    <t>Лестница металлическая</t>
  </si>
  <si>
    <t>1006_12</t>
  </si>
  <si>
    <t>Лестница ж/бетонная</t>
  </si>
  <si>
    <t>1007_1</t>
  </si>
  <si>
    <t>Резервуары (наземные -подземные металлические)</t>
  </si>
  <si>
    <t>1007_2</t>
  </si>
  <si>
    <t>Иловые, песковые площадки</t>
  </si>
  <si>
    <t>1007_3</t>
  </si>
  <si>
    <t>Пылеуловители, циклоны</t>
  </si>
  <si>
    <t>1007_4</t>
  </si>
  <si>
    <t>Мазутохранилище, битумохранилище</t>
  </si>
  <si>
    <t>1007_5</t>
  </si>
  <si>
    <t>Нефтехранилище</t>
  </si>
  <si>
    <t>1007_6</t>
  </si>
  <si>
    <t>Песколовки</t>
  </si>
  <si>
    <t>1007_7</t>
  </si>
  <si>
    <t>Нефтеловушки</t>
  </si>
  <si>
    <t>1007_8</t>
  </si>
  <si>
    <t>Контейнеры</t>
  </si>
  <si>
    <t>1007_9</t>
  </si>
  <si>
    <t>Резервуары пожарные наземные металлические</t>
  </si>
  <si>
    <t>1007_10</t>
  </si>
  <si>
    <t>Сооружения сепаратора газа</t>
  </si>
  <si>
    <t>1007_11</t>
  </si>
  <si>
    <t>Минерализатор аэробный</t>
  </si>
  <si>
    <t>Бункеры</t>
  </si>
  <si>
    <t>1008_1</t>
  </si>
  <si>
    <t>Пункт разгрузки полувагонов</t>
  </si>
  <si>
    <t>Навесы</t>
  </si>
  <si>
    <t>1010_1</t>
  </si>
  <si>
    <t>Кабельные линии до 1 кВ</t>
  </si>
  <si>
    <t>1010_2</t>
  </si>
  <si>
    <t>Кабельные линии до 10 кВ</t>
  </si>
  <si>
    <t>1010_3</t>
  </si>
  <si>
    <t>Кабельные линии до 100 кВ</t>
  </si>
  <si>
    <t>1010_4</t>
  </si>
  <si>
    <t>Кабельные линии до 220 кВ</t>
  </si>
  <si>
    <t>1010_5</t>
  </si>
  <si>
    <t>Кабельные линии до 330 кВ и выше</t>
  </si>
  <si>
    <t>1010_6</t>
  </si>
  <si>
    <t>Кабельные линии освещения</t>
  </si>
  <si>
    <t>1011_1</t>
  </si>
  <si>
    <t>Воздушние линии электропередач до 1 кВ</t>
  </si>
  <si>
    <t>1011_2</t>
  </si>
  <si>
    <t>Воздушные линии электропередач от 1 до 10 кВ</t>
  </si>
  <si>
    <t>1011_3</t>
  </si>
  <si>
    <t>Воздушные линии электропередач до 35 кВ</t>
  </si>
  <si>
    <t>1011_4</t>
  </si>
  <si>
    <t>Воздушные линии электропередач до 110 кВ</t>
  </si>
  <si>
    <t>1011_5</t>
  </si>
  <si>
    <t>Воздушные линии электропередач до 220 кВ</t>
  </si>
  <si>
    <t>1011_6</t>
  </si>
  <si>
    <t>Воздушные линии электропередач 330 кВ и более</t>
  </si>
  <si>
    <t>1011_8</t>
  </si>
  <si>
    <t>Воздушные линии освещения</t>
  </si>
  <si>
    <t>1011_9</t>
  </si>
  <si>
    <t>Контактные сети</t>
  </si>
  <si>
    <t>1011_71</t>
  </si>
  <si>
    <t>Открытые распределительные устройства 35 кВ</t>
  </si>
  <si>
    <t>1011_72</t>
  </si>
  <si>
    <t>Открытые распределительные устройства 110 кВ</t>
  </si>
  <si>
    <t>1011_73</t>
  </si>
  <si>
    <t>Открытые распределительные устройства 220 кВ</t>
  </si>
  <si>
    <t>1011_74</t>
  </si>
  <si>
    <t>Открытые распределительные устройства 500 кВ</t>
  </si>
  <si>
    <t>1012_1</t>
  </si>
  <si>
    <t>Сети газопровода низкого давления</t>
  </si>
  <si>
    <t>1012_2</t>
  </si>
  <si>
    <t>Сети газопровода высокого давления</t>
  </si>
  <si>
    <t>1012_4</t>
  </si>
  <si>
    <t>Аппарат воздушного охлаждения газа</t>
  </si>
  <si>
    <t>1012_5</t>
  </si>
  <si>
    <t>Газоперекачивающий агрегат</t>
  </si>
  <si>
    <t>1012_6</t>
  </si>
  <si>
    <t>Установка очистки газа</t>
  </si>
  <si>
    <t>1013_1</t>
  </si>
  <si>
    <t>Шлюзы</t>
  </si>
  <si>
    <t>1013_2</t>
  </si>
  <si>
    <t>Дамбы, молы оградительные</t>
  </si>
  <si>
    <t>1013_3</t>
  </si>
  <si>
    <t>Каналы</t>
  </si>
  <si>
    <t>1013_4</t>
  </si>
  <si>
    <t>Пирсы</t>
  </si>
  <si>
    <t>1013_5</t>
  </si>
  <si>
    <t>Плотины</t>
  </si>
  <si>
    <t>1013_6</t>
  </si>
  <si>
    <t>Пристани</t>
  </si>
  <si>
    <t>1013_7</t>
  </si>
  <si>
    <t>Причалы</t>
  </si>
  <si>
    <t>1013_9</t>
  </si>
  <si>
    <t>Малая гидроэлектростанция</t>
  </si>
  <si>
    <t>1013_10</t>
  </si>
  <si>
    <t>Прочие гидросооружения</t>
  </si>
  <si>
    <t>1013_11</t>
  </si>
  <si>
    <t>Дренаж</t>
  </si>
  <si>
    <t>1013_12</t>
  </si>
  <si>
    <t>Лотки водоотводные</t>
  </si>
  <si>
    <t>1013_13</t>
  </si>
  <si>
    <t>Глубинный водосброс</t>
  </si>
  <si>
    <t>1013_14</t>
  </si>
  <si>
    <t>Рыбозащитное сооружение</t>
  </si>
  <si>
    <t>1013_21</t>
  </si>
  <si>
    <t>Откосы</t>
  </si>
  <si>
    <t>1013_81</t>
  </si>
  <si>
    <t>Трубопереезды ж/бетонные</t>
  </si>
  <si>
    <t>1013_82</t>
  </si>
  <si>
    <t>Трубопереезды металлические</t>
  </si>
  <si>
    <t>1014_1</t>
  </si>
  <si>
    <t>Тоннельный коллектор</t>
  </si>
  <si>
    <t>1014_2</t>
  </si>
  <si>
    <t>Сети канализационные (шахты)</t>
  </si>
  <si>
    <t>1014_3</t>
  </si>
  <si>
    <t>Коллектор кабельный</t>
  </si>
  <si>
    <t>1014_4</t>
  </si>
  <si>
    <t>Коллектор горячей воды</t>
  </si>
  <si>
    <t>1014_5</t>
  </si>
  <si>
    <t>Коллектор очищенных стоков</t>
  </si>
  <si>
    <t>1014_6</t>
  </si>
  <si>
    <t>Вентиляционные каналы, шахты</t>
  </si>
  <si>
    <t>1015_1</t>
  </si>
  <si>
    <t>Теплосети, диаметром до 100 мм</t>
  </si>
  <si>
    <t>1015_2</t>
  </si>
  <si>
    <t>Теплосети, диаметром до 150 мм</t>
  </si>
  <si>
    <t>1015_3</t>
  </si>
  <si>
    <t>Теплосети, диаметром до 300 мм</t>
  </si>
  <si>
    <t>1015_4</t>
  </si>
  <si>
    <t>Теплосети, диаметром более 300 мм</t>
  </si>
  <si>
    <t>1016_1</t>
  </si>
  <si>
    <t>Водопроводы магистральные диаметром до 200 мм</t>
  </si>
  <si>
    <t>1016_2</t>
  </si>
  <si>
    <t>Водопроводы магистральные диаметром до 300 мм</t>
  </si>
  <si>
    <t>1016_3</t>
  </si>
  <si>
    <t>Водопроводы магистральные диаметром более 300 мм</t>
  </si>
  <si>
    <t>1016_4</t>
  </si>
  <si>
    <t>Водопроводные сети диаметром до 200 мм</t>
  </si>
  <si>
    <t>1016_5</t>
  </si>
  <si>
    <t>Водопроводные сети диаметром до 300 мм</t>
  </si>
  <si>
    <t>1016_6</t>
  </si>
  <si>
    <t>Водопроводные сети диаметром более 300 мм</t>
  </si>
  <si>
    <t>1016_7</t>
  </si>
  <si>
    <t>Пожарный водопровод</t>
  </si>
  <si>
    <t>1017_1</t>
  </si>
  <si>
    <t>Канализация фекальная, ливневая и т.д.</t>
  </si>
  <si>
    <t>1017_2</t>
  </si>
  <si>
    <t>Канализация кабельная</t>
  </si>
  <si>
    <t>1017_3</t>
  </si>
  <si>
    <t>Канализация телефонная</t>
  </si>
  <si>
    <t>1017_4</t>
  </si>
  <si>
    <t>Непроходной канал</t>
  </si>
  <si>
    <t>Фонтаны</t>
  </si>
  <si>
    <t>Градирни</t>
  </si>
  <si>
    <t>Сети инженерные технологические</t>
  </si>
  <si>
    <t>1020_1</t>
  </si>
  <si>
    <t>Воздухопровод</t>
  </si>
  <si>
    <t>1020_2</t>
  </si>
  <si>
    <t>Технологические сети (продуктопровды магистральные)</t>
  </si>
  <si>
    <t>1020_3</t>
  </si>
  <si>
    <t>Продуктопроводы межцеховые</t>
  </si>
  <si>
    <t>1020_4</t>
  </si>
  <si>
    <t>Паропроводы</t>
  </si>
  <si>
    <t>Сети тепловые: камеры теплосети подземные</t>
  </si>
  <si>
    <t>Железнодорожные пути</t>
  </si>
  <si>
    <t>1022_1</t>
  </si>
  <si>
    <t>Железнодорожные переезды</t>
  </si>
  <si>
    <t>1022_2</t>
  </si>
  <si>
    <t>Переездная будка</t>
  </si>
  <si>
    <t>1022_3</t>
  </si>
  <si>
    <t>Смотровая канава</t>
  </si>
  <si>
    <t>1022_4</t>
  </si>
  <si>
    <t>Паравозная гидроколонка</t>
  </si>
  <si>
    <t>1022_5</t>
  </si>
  <si>
    <t>Вагон -бытовка</t>
  </si>
  <si>
    <t>1022_6</t>
  </si>
  <si>
    <t>Железнодорожные пути узкой колеи</t>
  </si>
  <si>
    <t>1022_7</t>
  </si>
  <si>
    <t>Трамвайные пути</t>
  </si>
  <si>
    <t>1022_8</t>
  </si>
  <si>
    <t>Земляное полотно однопутного железнодорожного пути</t>
  </si>
  <si>
    <t>Подкрановые пути</t>
  </si>
  <si>
    <t>Тоннели</t>
  </si>
  <si>
    <t>1024_1</t>
  </si>
  <si>
    <t>Тоннель кабельный</t>
  </si>
  <si>
    <t>1024_2</t>
  </si>
  <si>
    <t>Тоннели технологические</t>
  </si>
  <si>
    <t>1025_1</t>
  </si>
  <si>
    <t>Мосты железобетонные, виадуки</t>
  </si>
  <si>
    <t>1025_2</t>
  </si>
  <si>
    <t>Мосты металлические (железные)</t>
  </si>
  <si>
    <t>1025_3</t>
  </si>
  <si>
    <t>Мосты деревянные</t>
  </si>
  <si>
    <t>1025_4</t>
  </si>
  <si>
    <t>Мосты подвесные, навесные</t>
  </si>
  <si>
    <t>Сооружения связи линейно-кабельные</t>
  </si>
  <si>
    <t>1026_1</t>
  </si>
  <si>
    <t>Сооружение инженерно-технического средства охраны</t>
  </si>
  <si>
    <t>1027_1</t>
  </si>
  <si>
    <t>Магистральный нефтепровод</t>
  </si>
  <si>
    <t>1027_2</t>
  </si>
  <si>
    <t>Магистральный газопровод</t>
  </si>
  <si>
    <t>1027_3</t>
  </si>
  <si>
    <t>Магистральный водопровод</t>
  </si>
  <si>
    <t>1027_4</t>
  </si>
  <si>
    <t>Магистраль теплотрассы</t>
  </si>
  <si>
    <t>Переходы надземные</t>
  </si>
  <si>
    <t>Переходы подземные</t>
  </si>
  <si>
    <t>Прочие сооружения и сооружения вспомогательного назначения, отнесение которых к другим подгруппам невозможно</t>
  </si>
  <si>
    <t>1030_1</t>
  </si>
  <si>
    <t>Дымовые трубы</t>
  </si>
  <si>
    <t>1030_2</t>
  </si>
  <si>
    <t>Дробилки</t>
  </si>
  <si>
    <t>1030_4</t>
  </si>
  <si>
    <t>Газоходы</t>
  </si>
  <si>
    <t>1031_1</t>
  </si>
  <si>
    <t>Асфальтовые дороги</t>
  </si>
  <si>
    <t>1031_2</t>
  </si>
  <si>
    <t>Дороги бетонные</t>
  </si>
  <si>
    <t>1031_3</t>
  </si>
  <si>
    <t>Грунтовые дороги</t>
  </si>
  <si>
    <t>1031_4</t>
  </si>
  <si>
    <t>Гравийные дороги</t>
  </si>
  <si>
    <t>1031_5</t>
  </si>
  <si>
    <t>Канатная дорога</t>
  </si>
  <si>
    <t>1031_6</t>
  </si>
  <si>
    <t>Пешеходная дорожка</t>
  </si>
  <si>
    <t>1031_7</t>
  </si>
  <si>
    <t>Тротуары</t>
  </si>
  <si>
    <t>1031_8</t>
  </si>
  <si>
    <t>Замощение, площадки</t>
  </si>
  <si>
    <t>1031_9</t>
  </si>
  <si>
    <t>Отмостка</t>
  </si>
  <si>
    <t>1031_10</t>
  </si>
  <si>
    <t>Благоустройство, палисадники</t>
  </si>
  <si>
    <t>1031_11</t>
  </si>
  <si>
    <t>Кладбище</t>
  </si>
  <si>
    <t>1031_12</t>
  </si>
  <si>
    <t>Детская площадка</t>
  </si>
  <si>
    <t>1031_13</t>
  </si>
  <si>
    <t>Пожарный проезд</t>
  </si>
  <si>
    <t>1031_14</t>
  </si>
  <si>
    <t>Переезд через теплосети</t>
  </si>
  <si>
    <t>1031_15</t>
  </si>
  <si>
    <t>Контейнерная площадка</t>
  </si>
  <si>
    <t>1031_16</t>
  </si>
  <si>
    <t>Полигоны, открытые склады</t>
  </si>
  <si>
    <t>1031_17</t>
  </si>
  <si>
    <t>Полигоны, открытые склады с подкрановыми путями</t>
  </si>
  <si>
    <t>1031_18</t>
  </si>
  <si>
    <t>Перроны</t>
  </si>
  <si>
    <t xml:space="preserve">1031_19 </t>
  </si>
  <si>
    <t>Золоотвалы</t>
  </si>
  <si>
    <t>1031_20</t>
  </si>
  <si>
    <t>Дорожный знак</t>
  </si>
  <si>
    <t>1031_101</t>
  </si>
  <si>
    <t>Лесопарки, лесополосы (благоустройство)</t>
  </si>
  <si>
    <t>Силосная траншея</t>
  </si>
  <si>
    <t>1032_1</t>
  </si>
  <si>
    <t>Лагуна</t>
  </si>
  <si>
    <t>1032_2</t>
  </si>
  <si>
    <t>Навозохранилище</t>
  </si>
  <si>
    <t>1032_3</t>
  </si>
  <si>
    <t>Шламонакопитель</t>
  </si>
  <si>
    <t>1032_4</t>
  </si>
  <si>
    <t>Канава, траншея</t>
  </si>
  <si>
    <t>1032_5</t>
  </si>
  <si>
    <t>Сооружение биотермической ямы, скотомогильник</t>
  </si>
  <si>
    <t>1032_6</t>
  </si>
  <si>
    <t>Сооружение дезбарьера</t>
  </si>
  <si>
    <t>Скважина</t>
  </si>
  <si>
    <t>Колодцы</t>
  </si>
  <si>
    <t>1034_1</t>
  </si>
  <si>
    <t>Колодец пожарный</t>
  </si>
  <si>
    <t>Водоемы и пруды</t>
  </si>
  <si>
    <t>Ограждение</t>
  </si>
  <si>
    <t>1036_2</t>
  </si>
  <si>
    <t>Ограждения железобетонные сплошные и решетчатые и железобетонные столбы</t>
  </si>
  <si>
    <t>1036_1</t>
  </si>
  <si>
    <t>ограждения металлические</t>
  </si>
  <si>
    <t>1036_3</t>
  </si>
  <si>
    <t>Стена противопожарная (брэндмауэр)</t>
  </si>
  <si>
    <t>1036_4</t>
  </si>
  <si>
    <t>Ворота, калитки</t>
  </si>
  <si>
    <t>Отстойники канализационные</t>
  </si>
  <si>
    <t>1037_1</t>
  </si>
  <si>
    <t>Фильтры адсорбционные</t>
  </si>
  <si>
    <t>1037_2</t>
  </si>
  <si>
    <t>Септики, выгребы</t>
  </si>
  <si>
    <t>Подземные горные выработки вертикальные</t>
  </si>
  <si>
    <t>Доменная печь</t>
  </si>
  <si>
    <t xml:space="preserve">пожарное депо
</t>
  </si>
  <si>
    <t>вид объекта учёта</t>
  </si>
  <si>
    <t>Удельная стоимость</t>
  </si>
  <si>
    <t>Здание</t>
  </si>
  <si>
    <t>0-1000000</t>
  </si>
  <si>
    <t>0-401</t>
  </si>
  <si>
    <t>401-1001</t>
  </si>
  <si>
    <t>1001-3001</t>
  </si>
  <si>
    <t>3001-1000000</t>
  </si>
  <si>
    <t>0-801</t>
  </si>
  <si>
    <t>801-3001</t>
  </si>
  <si>
    <t>3001-5001</t>
  </si>
  <si>
    <t>5001-10001</t>
  </si>
  <si>
    <t>10001-25001</t>
  </si>
  <si>
    <t>25001-1000000</t>
  </si>
  <si>
    <t>0-6101</t>
  </si>
  <si>
    <t>6101-7201</t>
  </si>
  <si>
    <t>7201-1000000</t>
  </si>
  <si>
    <t>0-201</t>
  </si>
  <si>
    <t>201-501</t>
  </si>
  <si>
    <t>501-3001</t>
  </si>
  <si>
    <t>3001-8001</t>
  </si>
  <si>
    <t>8001-1000000</t>
  </si>
  <si>
    <t>0-2001</t>
  </si>
  <si>
    <t>2001-3001</t>
  </si>
  <si>
    <t>3001-4001</t>
  </si>
  <si>
    <t>4001-5001</t>
  </si>
  <si>
    <t>5001-8001</t>
  </si>
  <si>
    <t>8001-9001</t>
  </si>
  <si>
    <t>9001-17001</t>
  </si>
  <si>
    <t>17001-1000000</t>
  </si>
  <si>
    <t>0-151</t>
  </si>
  <si>
    <t>151-351</t>
  </si>
  <si>
    <t>351-501</t>
  </si>
  <si>
    <t>501-801</t>
  </si>
  <si>
    <t>801-2501</t>
  </si>
  <si>
    <t>2501-1000000</t>
  </si>
  <si>
    <t>0-71</t>
  </si>
  <si>
    <t>71-151</t>
  </si>
  <si>
    <t>151-1000000</t>
  </si>
  <si>
    <t>0-561</t>
  </si>
  <si>
    <t>561-1401</t>
  </si>
  <si>
    <t>1401-3001</t>
  </si>
  <si>
    <t>3001-5501</t>
  </si>
  <si>
    <t>5501-12001</t>
  </si>
  <si>
    <t>12001-1000000</t>
  </si>
  <si>
    <t>801-1101</t>
  </si>
  <si>
    <t>1101-3501</t>
  </si>
  <si>
    <t>3501-8001</t>
  </si>
  <si>
    <t>8001-15001</t>
  </si>
  <si>
    <t>15001-26001</t>
  </si>
  <si>
    <t>26001-1000000</t>
  </si>
  <si>
    <t>0-3301</t>
  </si>
  <si>
    <t>3301-8001</t>
  </si>
  <si>
    <t>8001-12001</t>
  </si>
  <si>
    <t>12001-25001</t>
  </si>
  <si>
    <t>25001-40001</t>
  </si>
  <si>
    <t>40001-1000000</t>
  </si>
  <si>
    <t>0-1501</t>
  </si>
  <si>
    <t>1501-4501</t>
  </si>
  <si>
    <t>4501-10001</t>
  </si>
  <si>
    <t>25001-35001</t>
  </si>
  <si>
    <t>35001-55001</t>
  </si>
  <si>
    <t>55001-1000000</t>
  </si>
  <si>
    <t>3001-6001</t>
  </si>
  <si>
    <t>6001-8801</t>
  </si>
  <si>
    <t>8801-12001</t>
  </si>
  <si>
    <t>12001-16501</t>
  </si>
  <si>
    <t>16501-1000000</t>
  </si>
  <si>
    <t>0-10001</t>
  </si>
  <si>
    <t>10001-15001</t>
  </si>
  <si>
    <t>15001-20001</t>
  </si>
  <si>
    <t>20001-25001</t>
  </si>
  <si>
    <t>35001-1000000</t>
  </si>
  <si>
    <t>0-8001</t>
  </si>
  <si>
    <t>15001-25001</t>
  </si>
  <si>
    <t>40001-60001</t>
  </si>
  <si>
    <t>60001-100001</t>
  </si>
  <si>
    <t>100001-1000000</t>
  </si>
  <si>
    <t>0-1001</t>
  </si>
  <si>
    <t>1001-2001</t>
  </si>
  <si>
    <t>5001-7501</t>
  </si>
  <si>
    <t>7501-10001</t>
  </si>
  <si>
    <t>10001-1000000</t>
  </si>
  <si>
    <t>0-11</t>
  </si>
  <si>
    <t>21-36</t>
  </si>
  <si>
    <t>36-76</t>
  </si>
  <si>
    <t>76-1000000</t>
  </si>
  <si>
    <t>0-601</t>
  </si>
  <si>
    <t>601-1000000</t>
  </si>
  <si>
    <t>0-3501</t>
  </si>
  <si>
    <t>3501-1000000</t>
  </si>
  <si>
    <t>0-101</t>
  </si>
  <si>
    <t>101-251</t>
  </si>
  <si>
    <t>251-501</t>
  </si>
  <si>
    <t>501-2001</t>
  </si>
  <si>
    <t>2001-4501</t>
  </si>
  <si>
    <t>4501-1000000</t>
  </si>
  <si>
    <t>501-601</t>
  </si>
  <si>
    <t>0-751</t>
  </si>
  <si>
    <t>751-1501</t>
  </si>
  <si>
    <t>1501-2501</t>
  </si>
  <si>
    <t>2501-4001</t>
  </si>
  <si>
    <t>4001-7001</t>
  </si>
  <si>
    <t>7001-1000000</t>
  </si>
  <si>
    <t>1001-6001</t>
  </si>
  <si>
    <t>6001-1000000</t>
  </si>
  <si>
    <t>0-5001</t>
  </si>
  <si>
    <t>0-2501</t>
  </si>
  <si>
    <t>2501-4401</t>
  </si>
  <si>
    <t>4401-1000000</t>
  </si>
  <si>
    <t>1001-2501</t>
  </si>
  <si>
    <t>5001-1000000</t>
  </si>
  <si>
    <t>3501-5001</t>
  </si>
  <si>
    <t>10001-22001</t>
  </si>
  <si>
    <t>22001-30001</t>
  </si>
  <si>
    <t>30001-1000000</t>
  </si>
  <si>
    <t>0-1601</t>
  </si>
  <si>
    <t>1601-2201</t>
  </si>
  <si>
    <t>2201-6401</t>
  </si>
  <si>
    <t>6401-9001</t>
  </si>
  <si>
    <t>9001-20601</t>
  </si>
  <si>
    <t>20601-1000000</t>
  </si>
  <si>
    <t>30001-30000</t>
  </si>
  <si>
    <t>0-2201</t>
  </si>
  <si>
    <t>2201-4701</t>
  </si>
  <si>
    <t>4701-6101</t>
  </si>
  <si>
    <t>6101-9501</t>
  </si>
  <si>
    <t>9501-17101</t>
  </si>
  <si>
    <t>17101-25001</t>
  </si>
  <si>
    <t>0-1551</t>
  </si>
  <si>
    <t>1551-3501</t>
  </si>
  <si>
    <t>3501-6001</t>
  </si>
  <si>
    <t>0-501</t>
  </si>
  <si>
    <t>501-1001</t>
  </si>
  <si>
    <t>2501-4701</t>
  </si>
  <si>
    <t>4701-7001</t>
  </si>
  <si>
    <t>2501-5001</t>
  </si>
  <si>
    <t>5001-15001</t>
  </si>
  <si>
    <t>501-1501</t>
  </si>
  <si>
    <t>1501-5001</t>
  </si>
  <si>
    <t>0-2301</t>
  </si>
  <si>
    <t>2301-6001</t>
  </si>
  <si>
    <t>501-1000000</t>
  </si>
  <si>
    <t>0-301</t>
  </si>
  <si>
    <t>301-601</t>
  </si>
  <si>
    <t>0-91</t>
  </si>
  <si>
    <t>91-201</t>
  </si>
  <si>
    <t>201-1000000</t>
  </si>
  <si>
    <t>0-9</t>
  </si>
  <si>
    <t>26-126</t>
  </si>
  <si>
    <t>126-1000000</t>
  </si>
  <si>
    <t>0-33</t>
  </si>
  <si>
    <t>33-71</t>
  </si>
  <si>
    <t>71-1000000</t>
  </si>
  <si>
    <t>0-701</t>
  </si>
  <si>
    <t>701-1401</t>
  </si>
  <si>
    <t>1401-2301</t>
  </si>
  <si>
    <t>2301-2801</t>
  </si>
  <si>
    <t>2801-3501</t>
  </si>
  <si>
    <t>0-12001</t>
  </si>
  <si>
    <t>12001-13001</t>
  </si>
  <si>
    <t>13001-15001</t>
  </si>
  <si>
    <t>25001-46000</t>
  </si>
  <si>
    <t>46000-51000</t>
  </si>
  <si>
    <t>51000-63000</t>
  </si>
  <si>
    <t>63000-83000</t>
  </si>
  <si>
    <t>83000-93000</t>
  </si>
  <si>
    <t>93000-125000</t>
  </si>
  <si>
    <t>125000-10000000</t>
  </si>
  <si>
    <t>501-951</t>
  </si>
  <si>
    <t>951-1501</t>
  </si>
  <si>
    <t>1501-2801</t>
  </si>
  <si>
    <t>601-1201</t>
  </si>
  <si>
    <t>1201-1000000</t>
  </si>
  <si>
    <t>501-1201</t>
  </si>
  <si>
    <t>1201-2001</t>
  </si>
  <si>
    <t>2001-1000000</t>
  </si>
  <si>
    <t>0-81</t>
  </si>
  <si>
    <t>81-151</t>
  </si>
  <si>
    <t>0-121</t>
  </si>
  <si>
    <t>121-501</t>
  </si>
  <si>
    <t>2001-4001</t>
  </si>
  <si>
    <t>4001-1000000</t>
  </si>
  <si>
    <t>0-61</t>
  </si>
  <si>
    <t>61-101</t>
  </si>
  <si>
    <t>101-1000000</t>
  </si>
  <si>
    <t>0-86</t>
  </si>
  <si>
    <t>86-121</t>
  </si>
  <si>
    <t>121-166</t>
  </si>
  <si>
    <t>166-1000000</t>
  </si>
  <si>
    <t>0-176</t>
  </si>
  <si>
    <t>176-501</t>
  </si>
  <si>
    <t>1001-1000000</t>
  </si>
  <si>
    <t>0-21</t>
  </si>
  <si>
    <t>21-1000000</t>
  </si>
  <si>
    <t>1501-1000000</t>
  </si>
  <si>
    <t>1001-1501</t>
  </si>
  <si>
    <t>1501-2001</t>
  </si>
  <si>
    <t>0-451</t>
  </si>
  <si>
    <t>451-851</t>
  </si>
  <si>
    <t>851-2001</t>
  </si>
  <si>
    <t>0-15001</t>
  </si>
  <si>
    <t>15001-17001</t>
  </si>
  <si>
    <t>17001-25001</t>
  </si>
  <si>
    <t>15001-40001</t>
  </si>
  <si>
    <t>0-3001</t>
  </si>
  <si>
    <t>1001-3201</t>
  </si>
  <si>
    <t>3201-5001</t>
  </si>
  <si>
    <t>101-301</t>
  </si>
  <si>
    <t>301-501</t>
  </si>
  <si>
    <t>801-1001</t>
  </si>
  <si>
    <t>0-251</t>
  </si>
  <si>
    <t>251-751</t>
  </si>
  <si>
    <t>751-1000000</t>
  </si>
  <si>
    <t>0-51</t>
  </si>
  <si>
    <t>51-101</t>
  </si>
  <si>
    <t>101-201</t>
  </si>
  <si>
    <t>201-250</t>
  </si>
  <si>
    <t>250-1000000</t>
  </si>
  <si>
    <t>0-4001</t>
  </si>
  <si>
    <t>7001-8001</t>
  </si>
  <si>
    <t>8001-10001</t>
  </si>
  <si>
    <t>10001-13001</t>
  </si>
  <si>
    <t>13001-20001</t>
  </si>
  <si>
    <t>20001-35001</t>
  </si>
  <si>
    <t>35001-58001</t>
  </si>
  <si>
    <t>58001-1000000</t>
  </si>
  <si>
    <t>3501-9001</t>
  </si>
  <si>
    <t>9001-1000000</t>
  </si>
  <si>
    <t>0-7001</t>
  </si>
  <si>
    <t>7001-9001</t>
  </si>
  <si>
    <t>9001-13001</t>
  </si>
  <si>
    <t>13001-1000000</t>
  </si>
  <si>
    <t>801-4501</t>
  </si>
  <si>
    <t>4501-12001</t>
  </si>
  <si>
    <t>3001-7001</t>
  </si>
  <si>
    <t>7001-11001</t>
  </si>
  <si>
    <t>11001-18001</t>
  </si>
  <si>
    <t>18001-26001</t>
  </si>
  <si>
    <t>0-1251</t>
  </si>
  <si>
    <t>1251-3251</t>
  </si>
  <si>
    <t>3251-1000000</t>
  </si>
  <si>
    <t>4001-7000</t>
  </si>
  <si>
    <t>7000-1000000</t>
  </si>
  <si>
    <t>0-901</t>
  </si>
  <si>
    <t>901-1851</t>
  </si>
  <si>
    <t>1851-4501</t>
  </si>
  <si>
    <t>4501-15001</t>
  </si>
  <si>
    <t>15001-1000000</t>
  </si>
  <si>
    <t>0-700</t>
  </si>
  <si>
    <t>700-1201</t>
  </si>
  <si>
    <t>1201-2601</t>
  </si>
  <si>
    <t>2601-7401</t>
  </si>
  <si>
    <t>7401-1000000</t>
  </si>
  <si>
    <t>501-1251</t>
  </si>
  <si>
    <t>1251-2501</t>
  </si>
  <si>
    <t>2501-6001</t>
  </si>
  <si>
    <t>6001-9001</t>
  </si>
  <si>
    <t>3001-6000</t>
  </si>
  <si>
    <t>7001-15001</t>
  </si>
  <si>
    <t>12001-14001</t>
  </si>
  <si>
    <t>14001-16001</t>
  </si>
  <si>
    <t>16001-20001</t>
  </si>
  <si>
    <t>20001-1000000</t>
  </si>
  <si>
    <t>3001-10001</t>
  </si>
  <si>
    <t>10001-12001</t>
  </si>
  <si>
    <t>91-121</t>
  </si>
  <si>
    <t>121-251</t>
  </si>
  <si>
    <t>601-1801</t>
  </si>
  <si>
    <t>1801-1000000</t>
  </si>
  <si>
    <t>4001-8001</t>
  </si>
  <si>
    <t>8001-11001</t>
  </si>
  <si>
    <t>201-451</t>
  </si>
  <si>
    <t>451-601</t>
  </si>
  <si>
    <t>2001-3501</t>
  </si>
  <si>
    <t>81-141</t>
  </si>
  <si>
    <t>141-251</t>
  </si>
  <si>
    <t>251-1000000</t>
  </si>
  <si>
    <t>151-251</t>
  </si>
  <si>
    <t>251-1001</t>
  </si>
  <si>
    <t>4001-10000</t>
  </si>
  <si>
    <t>10000-1000000</t>
  </si>
  <si>
    <t>501-1101</t>
  </si>
  <si>
    <t>1101-1000000</t>
  </si>
  <si>
    <t>0845_1</t>
  </si>
  <si>
    <t>0845_2</t>
  </si>
  <si>
    <t>0-120.5</t>
  </si>
  <si>
    <t>120.5-121</t>
  </si>
  <si>
    <t>121-200.5</t>
  </si>
  <si>
    <t>200.5-300.5</t>
  </si>
  <si>
    <t>300.5-350.5</t>
  </si>
  <si>
    <t>350.5-400.5</t>
  </si>
  <si>
    <t>400.5-550.5</t>
  </si>
  <si>
    <t>550.5-700.00001</t>
  </si>
  <si>
    <t>700.00001-1000000</t>
  </si>
  <si>
    <t>ИтогФГ1</t>
  </si>
  <si>
    <t>склады, ангары</t>
  </si>
  <si>
    <t>городской округ Староуткинск</t>
  </si>
  <si>
    <t>вид использования по документу</t>
  </si>
  <si>
    <t>Код расчёта вида использования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</si>
</sst>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rgb="FF2C2D2E"/>
      <name val="Arial"/>
      <family val="2"/>
      <charset val="204"/>
    </font>
    <font>
      <b/>
      <i/>
      <sz val="1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</patternFill>
    </fill>
    <fill>
      <patternFill patternType="solid">
        <fgColor indexed="22"/>
      </patternFill>
    </fill>
    <fill>
      <patternFill patternType="solid">
        <fgColor rgb="FF00B0F0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4" fillId="0" borderId="0"/>
    <xf numFmtId="0" fontId="1" fillId="0" borderId="0"/>
  </cellStyleXfs>
  <cellXfs count="50">
    <xf numFmtId="0" fontId="0" fillId="0" borderId="0" xfId="0"/>
    <xf numFmtId="0" fontId="0" fillId="2" borderId="0" xfId="0" applyFill="1"/>
    <xf numFmtId="0" fontId="0" fillId="3" borderId="0" xfId="0" applyFill="1"/>
    <xf numFmtId="0" fontId="2" fillId="4" borderId="0" xfId="1" applyFill="1"/>
    <xf numFmtId="0" fontId="0" fillId="5" borderId="0" xfId="0" applyFill="1"/>
    <xf numFmtId="14" fontId="0" fillId="0" borderId="0" xfId="0" applyNumberFormat="1"/>
    <xf numFmtId="0" fontId="1" fillId="0" borderId="0" xfId="2"/>
    <xf numFmtId="0" fontId="4" fillId="0" borderId="0" xfId="3"/>
    <xf numFmtId="0" fontId="4" fillId="7" borderId="0" xfId="3" applyFill="1"/>
    <xf numFmtId="0" fontId="0" fillId="7" borderId="0" xfId="0" applyFill="1"/>
    <xf numFmtId="0" fontId="0" fillId="0" borderId="0" xfId="0"/>
    <xf numFmtId="49" fontId="0" fillId="2" borderId="0" xfId="0" applyNumberFormat="1" applyFill="1"/>
    <xf numFmtId="49" fontId="0" fillId="0" borderId="0" xfId="0" applyNumberFormat="1"/>
    <xf numFmtId="0" fontId="5" fillId="0" borderId="0" xfId="0" applyFont="1"/>
    <xf numFmtId="49" fontId="1" fillId="0" borderId="0" xfId="2" applyNumberFormat="1" applyAlignment="1">
      <alignment vertical="center"/>
    </xf>
    <xf numFmtId="49" fontId="1" fillId="0" borderId="0" xfId="2" applyNumberFormat="1"/>
    <xf numFmtId="49" fontId="3" fillId="0" borderId="0" xfId="2" quotePrefix="1" applyNumberFormat="1" applyFont="1" applyAlignment="1">
      <alignment vertical="top" wrapText="1"/>
    </xf>
    <xf numFmtId="49" fontId="3" fillId="0" borderId="0" xfId="2" applyNumberFormat="1" applyFont="1" applyAlignment="1">
      <alignment vertical="top" wrapText="1"/>
    </xf>
    <xf numFmtId="0" fontId="1" fillId="0" borderId="0" xfId="2" quotePrefix="1"/>
    <xf numFmtId="0" fontId="0" fillId="2" borderId="0" xfId="0" applyNumberFormat="1" applyFill="1"/>
    <xf numFmtId="0" fontId="0" fillId="0" borderId="0" xfId="0" applyNumberFormat="1"/>
    <xf numFmtId="0" fontId="0" fillId="8" borderId="0" xfId="0" applyFill="1"/>
    <xf numFmtId="0" fontId="1" fillId="0" borderId="0" xfId="2"/>
    <xf numFmtId="49" fontId="0" fillId="0" borderId="0" xfId="0" applyNumberFormat="1"/>
    <xf numFmtId="49" fontId="0" fillId="8" borderId="0" xfId="0" applyNumberFormat="1" applyFill="1"/>
    <xf numFmtId="0" fontId="0" fillId="0" borderId="0" xfId="0" applyAlignment="1">
      <alignment horizontal="center"/>
    </xf>
    <xf numFmtId="49" fontId="0" fillId="0" borderId="0" xfId="0" quotePrefix="1" applyNumberFormat="1"/>
    <xf numFmtId="49" fontId="6" fillId="0" borderId="0" xfId="0" applyNumberFormat="1" applyFont="1"/>
    <xf numFmtId="49" fontId="0" fillId="0" borderId="0" xfId="0" applyNumberFormat="1" applyAlignment="1">
      <alignment horizontal="left"/>
    </xf>
    <xf numFmtId="0" fontId="0" fillId="2" borderId="0" xfId="0" applyNumberFormat="1" applyFill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49" fontId="0" fillId="2" borderId="0" xfId="0" applyNumberFormat="1" applyFill="1" applyAlignment="1">
      <alignment wrapText="1"/>
    </xf>
    <xf numFmtId="0" fontId="0" fillId="0" borderId="0" xfId="0"/>
    <xf numFmtId="0" fontId="0" fillId="3" borderId="0" xfId="0" applyFill="1"/>
    <xf numFmtId="49" fontId="0" fillId="0" borderId="0" xfId="0" applyNumberFormat="1"/>
    <xf numFmtId="0" fontId="0" fillId="0" borderId="0" xfId="0" applyAlignment="1">
      <alignment wrapText="1"/>
    </xf>
    <xf numFmtId="0" fontId="2" fillId="4" borderId="0" xfId="1" applyFill="1" applyAlignment="1">
      <alignment wrapText="1"/>
    </xf>
    <xf numFmtId="0" fontId="2" fillId="6" borderId="0" xfId="1" applyFill="1" applyAlignment="1">
      <alignment wrapText="1"/>
    </xf>
    <xf numFmtId="0" fontId="0" fillId="8" borderId="0" xfId="0" applyFill="1" applyAlignment="1">
      <alignment wrapText="1"/>
    </xf>
    <xf numFmtId="49" fontId="0" fillId="8" borderId="0" xfId="0" applyNumberFormat="1" applyFill="1" applyAlignment="1">
      <alignment wrapText="1"/>
    </xf>
    <xf numFmtId="0" fontId="0" fillId="0" borderId="0" xfId="0"/>
    <xf numFmtId="0" fontId="0" fillId="3" borderId="0" xfId="0" applyFill="1"/>
    <xf numFmtId="49" fontId="0" fillId="0" borderId="0" xfId="0" applyNumberFormat="1"/>
    <xf numFmtId="0" fontId="0" fillId="3" borderId="0" xfId="0" applyFill="1" applyAlignment="1">
      <alignment wrapText="1"/>
    </xf>
    <xf numFmtId="49" fontId="0" fillId="0" borderId="0" xfId="0" applyNumberFormat="1"/>
    <xf numFmtId="49" fontId="7" fillId="9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/>
    <xf numFmtId="0" fontId="0" fillId="0" borderId="1" xfId="0" applyBorder="1"/>
    <xf numFmtId="0" fontId="6" fillId="0" borderId="0" xfId="0" applyFont="1"/>
  </cellXfs>
  <cellStyles count="5">
    <cellStyle name="Обычный" xfId="0" builtinId="0"/>
    <cellStyle name="Обычный 2" xfId="1" xr:uid="{C3E39D69-BDF5-4188-84A5-C1766CC5A881}"/>
    <cellStyle name="Обычный 3" xfId="3" xr:uid="{4AA18C1E-D135-401B-8389-A659E8BC377E}"/>
    <cellStyle name="Обычный 4" xfId="2" xr:uid="{824D8D54-7023-4223-9DFB-ABC37CF64CE5}"/>
    <cellStyle name="Обычный 5" xfId="4" xr:uid="{D6BCDEE6-AD1D-4C72-907A-2DE7F8EB1B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5;&#1088;&#1086;&#1084;&#1077;&#1078;&#1091;&#1090;&#1086;&#1095;&#1085;&#1072;&#1103;%20&#1090;&#1072;&#1073;&#1083;%20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1062;&#1043;&#1050;&#1054;\&#1054;&#1090;&#1076;&#1077;&#1083;%20&#1084;&#1072;&#1089;&#1089;&#1086;&#1074;&#1086;&#1081;%20&#1086;&#1094;&#1077;&#1085;&#1082;&#1080;\18.%2020%20&#1080;%2021%20&#1089;&#1090;&#1072;&#1090;&#1100;&#1103;\&#1056;&#1072;&#1089;&#1095;&#1077;&#1090;&#1085;&#1099;&#1077;%20&#1092;&#1072;&#1081;&#1083;&#1099;%20&#1050;&#1074;&#1072;&#1088;&#1090;&#1080;&#1088;&#1099;\_1002_21&#1089;&#1090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межуточная табл 2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ыгрузка_расчет"/>
      <sheetName val="На загрузку"/>
      <sheetName val="поправки"/>
      <sheetName val="справочник кодов нп"/>
      <sheetName val="материал стен"/>
    </sheetNames>
    <sheetDataSet>
      <sheetData sheetId="0"/>
      <sheetData sheetId="1"/>
      <sheetData sheetId="2"/>
      <sheetData sheetId="3">
        <row r="1">
          <cell r="A1" t="str">
            <v>Code_City</v>
          </cell>
          <cell r="B1" t="str">
            <v>Полное наименование МО</v>
          </cell>
          <cell r="C1"/>
          <cell r="D1" t="str">
            <v>Численность</v>
          </cell>
        </row>
        <row r="2">
          <cell r="A2" t="str">
            <v>01:001:1:1:4</v>
          </cell>
          <cell r="B2" t="str">
            <v>Арамильский городской округ</v>
          </cell>
          <cell r="C2">
            <v>4</v>
          </cell>
          <cell r="D2" t="str">
            <v>городские населенные пункты с численностью населения менее 50 000 человек;</v>
          </cell>
        </row>
        <row r="3">
          <cell r="A3" t="str">
            <v>01:002:2:3:5</v>
          </cell>
          <cell r="B3" t="str">
            <v>Арамильский городской округ</v>
          </cell>
          <cell r="C3">
            <v>5</v>
          </cell>
          <cell r="D3" t="str">
            <v>сельские населенные пункты с численностью населения более 1 000 человек;</v>
          </cell>
        </row>
        <row r="4">
          <cell r="A4" t="str">
            <v>01:003:2:3:5</v>
          </cell>
          <cell r="B4" t="str">
            <v>Арамильский городской округ</v>
          </cell>
          <cell r="C4">
            <v>5</v>
          </cell>
          <cell r="D4" t="str">
            <v>сельские населенные пункты с численностью населения более 1 000 человек;</v>
          </cell>
        </row>
        <row r="5">
          <cell r="A5" t="str">
            <v>01:000:0:0:0</v>
          </cell>
          <cell r="B5" t="str">
            <v>Арамильский городской округ</v>
          </cell>
          <cell r="C5">
            <v>0</v>
          </cell>
          <cell r="D5" t="str">
            <v>межселенная территория</v>
          </cell>
        </row>
        <row r="6">
          <cell r="A6" t="str">
            <v>02:009:2:5:6</v>
          </cell>
          <cell r="B6" t="str">
            <v>Артемовский городской округ</v>
          </cell>
          <cell r="C6">
            <v>6</v>
          </cell>
          <cell r="D6" t="str">
            <v>сельские населенные пункты с численностью населения менее 1 000 человек.</v>
          </cell>
        </row>
        <row r="7">
          <cell r="A7" t="str">
            <v>02:005:2:4:6</v>
          </cell>
          <cell r="B7" t="str">
            <v>Артемовский городской округ</v>
          </cell>
          <cell r="C7">
            <v>6</v>
          </cell>
          <cell r="D7" t="str">
            <v>сельские населенные пункты с численностью населения менее 1 000 человек.</v>
          </cell>
        </row>
        <row r="8">
          <cell r="A8" t="str">
            <v>02:025:2:4:6</v>
          </cell>
          <cell r="B8" t="str">
            <v>Артемовский городской округ</v>
          </cell>
          <cell r="C8">
            <v>6</v>
          </cell>
          <cell r="D8" t="str">
            <v>сельские населенные пункты с численностью населения менее 1 000 человек.</v>
          </cell>
        </row>
        <row r="9">
          <cell r="A9" t="str">
            <v>02:021:2:3:6</v>
          </cell>
          <cell r="B9" t="str">
            <v>Артемовский городской округ</v>
          </cell>
          <cell r="C9">
            <v>6</v>
          </cell>
          <cell r="D9" t="str">
            <v>сельские населенные пункты с численностью населения менее 1 000 человек.</v>
          </cell>
        </row>
        <row r="10">
          <cell r="A10" t="str">
            <v>02:024:2:5:6</v>
          </cell>
          <cell r="B10" t="str">
            <v>Артемовский городской округ</v>
          </cell>
          <cell r="C10">
            <v>6</v>
          </cell>
          <cell r="D10" t="str">
            <v>сельские населенные пункты с численностью населения менее 1 000 человек.</v>
          </cell>
        </row>
        <row r="11">
          <cell r="A11" t="str">
            <v>02:010:2:3:6</v>
          </cell>
          <cell r="B11" t="str">
            <v>Артемовский городской округ</v>
          </cell>
          <cell r="C11">
            <v>6</v>
          </cell>
          <cell r="D11" t="str">
            <v>сельские населенные пункты с численностью населения менее 1 000 человек.</v>
          </cell>
        </row>
        <row r="12">
          <cell r="A12" t="str">
            <v>02:015:2:5:6</v>
          </cell>
          <cell r="B12" t="str">
            <v>Артемовский городской округ</v>
          </cell>
          <cell r="C12">
            <v>6</v>
          </cell>
          <cell r="D12" t="str">
            <v>сельские населенные пункты с численностью населения менее 1 000 человек.</v>
          </cell>
        </row>
        <row r="13">
          <cell r="A13" t="str">
            <v>02:017:2:5:6</v>
          </cell>
          <cell r="B13" t="str">
            <v>Артемовский городской округ</v>
          </cell>
          <cell r="C13">
            <v>6</v>
          </cell>
          <cell r="D13" t="str">
            <v>сельские населенные пункты с численностью населения менее 1 000 человек.</v>
          </cell>
        </row>
        <row r="14">
          <cell r="A14" t="str">
            <v>02:020:2:5:6</v>
          </cell>
          <cell r="B14" t="str">
            <v>Артемовский городской округ</v>
          </cell>
          <cell r="C14">
            <v>6</v>
          </cell>
          <cell r="D14" t="str">
            <v>сельские населенные пункты с численностью населения менее 1 000 человек.</v>
          </cell>
        </row>
        <row r="15">
          <cell r="A15" t="str">
            <v>02:022:2:4:6</v>
          </cell>
          <cell r="B15" t="str">
            <v>Артемовский городской округ</v>
          </cell>
          <cell r="C15">
            <v>6</v>
          </cell>
          <cell r="D15" t="str">
            <v>сельские населенные пункты с численностью населения менее 1 000 человек.</v>
          </cell>
        </row>
        <row r="16">
          <cell r="A16" t="str">
            <v>02:011:2:3:6</v>
          </cell>
          <cell r="B16" t="str">
            <v>Артемовский городской округ</v>
          </cell>
          <cell r="C16">
            <v>6</v>
          </cell>
          <cell r="D16" t="str">
            <v>сельские населенные пункты с численностью населения менее 1 000 человек.</v>
          </cell>
        </row>
        <row r="17">
          <cell r="A17" t="str">
            <v>02:004:2:3:6</v>
          </cell>
          <cell r="B17" t="str">
            <v>Артемовский городской округ</v>
          </cell>
          <cell r="C17">
            <v>6</v>
          </cell>
          <cell r="D17" t="str">
            <v>сельские населенные пункты с численностью населения менее 1 000 человек.</v>
          </cell>
        </row>
        <row r="18">
          <cell r="A18" t="str">
            <v>02:003:2:3:6</v>
          </cell>
          <cell r="B18" t="str">
            <v>Артемовский городской округ</v>
          </cell>
          <cell r="C18">
            <v>6</v>
          </cell>
          <cell r="D18" t="str">
            <v>сельские населенные пункты с численностью населения менее 1 000 человек.</v>
          </cell>
        </row>
        <row r="19">
          <cell r="A19" t="str">
            <v>02:013:2:4:6</v>
          </cell>
          <cell r="B19" t="str">
            <v>Артемовский городской округ</v>
          </cell>
          <cell r="C19">
            <v>6</v>
          </cell>
          <cell r="D19" t="str">
            <v>сельские населенные пункты с численностью населения менее 1 000 человек.</v>
          </cell>
        </row>
        <row r="20">
          <cell r="A20" t="str">
            <v>02:002:2:4:6</v>
          </cell>
          <cell r="B20" t="str">
            <v>Артемовский городской округ</v>
          </cell>
          <cell r="C20">
            <v>6</v>
          </cell>
          <cell r="D20" t="str">
            <v>сельские населенные пункты с численностью населения менее 1 000 человек.</v>
          </cell>
        </row>
        <row r="21">
          <cell r="A21" t="str">
            <v>02:018:2:4:6</v>
          </cell>
          <cell r="B21" t="str">
            <v>Артемовский городской округ</v>
          </cell>
          <cell r="C21">
            <v>6</v>
          </cell>
          <cell r="D21" t="str">
            <v>сельские населенные пункты с численностью населения менее 1 000 человек.</v>
          </cell>
        </row>
        <row r="22">
          <cell r="A22" t="str">
            <v>02:023:2:4:6</v>
          </cell>
          <cell r="B22" t="str">
            <v>Артемовский городской округ</v>
          </cell>
          <cell r="C22">
            <v>6</v>
          </cell>
          <cell r="D22" t="str">
            <v>сельские населенные пункты с численностью населения менее 1 000 человек.</v>
          </cell>
        </row>
        <row r="23">
          <cell r="A23" t="str">
            <v>02:006:2:4:6</v>
          </cell>
          <cell r="B23" t="str">
            <v>Артемовский городской округ</v>
          </cell>
          <cell r="C23">
            <v>6</v>
          </cell>
          <cell r="D23" t="str">
            <v>сельские населенные пункты с численностью населения менее 1 000 человек.</v>
          </cell>
        </row>
        <row r="24">
          <cell r="A24" t="str">
            <v>02:028:2:4:6</v>
          </cell>
          <cell r="B24" t="str">
            <v>Артемовский городской округ</v>
          </cell>
          <cell r="C24">
            <v>6</v>
          </cell>
          <cell r="D24" t="str">
            <v>сельские населенные пункты с численностью населения менее 1 000 человек.</v>
          </cell>
        </row>
        <row r="25">
          <cell r="A25" t="str">
            <v>02:019:2:4:6</v>
          </cell>
          <cell r="B25" t="str">
            <v>Артемовский городской округ</v>
          </cell>
          <cell r="C25">
            <v>6</v>
          </cell>
          <cell r="D25" t="str">
            <v>сельские населенные пункты с численностью населения менее 1 000 человек.</v>
          </cell>
        </row>
        <row r="26">
          <cell r="A26" t="str">
            <v>02:026:2:3:6</v>
          </cell>
          <cell r="B26" t="str">
            <v>Артемовский городской округ</v>
          </cell>
          <cell r="C26">
            <v>6</v>
          </cell>
          <cell r="D26" t="str">
            <v>сельские населенные пункты с численностью населения менее 1 000 человек.</v>
          </cell>
        </row>
        <row r="27">
          <cell r="A27" t="str">
            <v>02:012:2:3:6</v>
          </cell>
          <cell r="B27" t="str">
            <v>Артемовский городской округ</v>
          </cell>
          <cell r="C27">
            <v>6</v>
          </cell>
          <cell r="D27" t="str">
            <v>сельские населенные пункты с численностью населения менее 1 000 человек.</v>
          </cell>
        </row>
        <row r="28">
          <cell r="A28" t="str">
            <v>02:008:2:3:6</v>
          </cell>
          <cell r="B28" t="str">
            <v>Артемовский городской округ</v>
          </cell>
          <cell r="C28">
            <v>6</v>
          </cell>
          <cell r="D28" t="str">
            <v>сельские населенные пункты с численностью населения менее 1 000 человек.</v>
          </cell>
        </row>
        <row r="29">
          <cell r="A29" t="str">
            <v>02:001:1:1:4</v>
          </cell>
          <cell r="B29" t="str">
            <v>Артемовский городской округ</v>
          </cell>
          <cell r="C29">
            <v>4</v>
          </cell>
          <cell r="D29" t="str">
            <v>городские населенные пункты с численностью населения менее 50 000 человек;</v>
          </cell>
        </row>
        <row r="30">
          <cell r="A30" t="str">
            <v>02:014:2:4:6</v>
          </cell>
          <cell r="B30" t="str">
            <v>Артемовский городской округ</v>
          </cell>
          <cell r="C30">
            <v>6</v>
          </cell>
          <cell r="D30" t="str">
            <v>сельские населенные пункты с численностью населения менее 1 000 человек.</v>
          </cell>
        </row>
        <row r="31">
          <cell r="A31" t="str">
            <v>02:016:2:5:6</v>
          </cell>
          <cell r="B31" t="str">
            <v>Артемовский городской округ</v>
          </cell>
          <cell r="C31">
            <v>6</v>
          </cell>
          <cell r="D31" t="str">
            <v>сельские населенные пункты с численностью населения менее 1 000 человек.</v>
          </cell>
        </row>
        <row r="32">
          <cell r="A32" t="str">
            <v>02:007:2:3:6</v>
          </cell>
          <cell r="B32" t="str">
            <v>Артемовский городской округ</v>
          </cell>
          <cell r="C32">
            <v>6</v>
          </cell>
          <cell r="D32" t="str">
            <v>сельские населенные пункты с численностью населения менее 1 000 человек.</v>
          </cell>
        </row>
        <row r="33">
          <cell r="A33" t="str">
            <v>02:000:0:0:0</v>
          </cell>
          <cell r="B33" t="str">
            <v>Артемовский городской округ</v>
          </cell>
          <cell r="C33">
            <v>0</v>
          </cell>
          <cell r="D33" t="str">
            <v>межселенная территория</v>
          </cell>
        </row>
        <row r="34">
          <cell r="A34" t="str">
            <v>03:008:2:5:6</v>
          </cell>
          <cell r="B34" t="str">
            <v>Артинский городской округ</v>
          </cell>
          <cell r="C34">
            <v>6</v>
          </cell>
          <cell r="D34" t="str">
            <v>сельские населенные пункты с численностью населения менее 1 000 человек.</v>
          </cell>
        </row>
        <row r="35">
          <cell r="A35" t="str">
            <v>03:053:2:5:6</v>
          </cell>
          <cell r="B35" t="str">
            <v>Артинский городской округ</v>
          </cell>
          <cell r="C35">
            <v>6</v>
          </cell>
          <cell r="D35" t="str">
            <v>сельские населенные пункты с численностью населения менее 1 000 человек.</v>
          </cell>
        </row>
        <row r="36">
          <cell r="A36" t="str">
            <v>03:012:2:5:6</v>
          </cell>
          <cell r="B36" t="str">
            <v>Артинский городской округ</v>
          </cell>
          <cell r="C36">
            <v>6</v>
          </cell>
          <cell r="D36" t="str">
            <v>сельские населенные пункты с численностью населения менее 1 000 человек.</v>
          </cell>
        </row>
        <row r="37">
          <cell r="A37" t="str">
            <v>03:021:2:5:6</v>
          </cell>
          <cell r="B37" t="str">
            <v>Артинский городской округ</v>
          </cell>
          <cell r="C37">
            <v>6</v>
          </cell>
          <cell r="D37" t="str">
            <v>сельские населенные пункты с численностью населения менее 1 000 человек.</v>
          </cell>
        </row>
        <row r="38">
          <cell r="A38" t="str">
            <v>03:019:2:5:6</v>
          </cell>
          <cell r="B38" t="str">
            <v>Артинский городской округ</v>
          </cell>
          <cell r="C38">
            <v>6</v>
          </cell>
          <cell r="D38" t="str">
            <v>сельские населенные пункты с численностью населения менее 1 000 человек.</v>
          </cell>
        </row>
        <row r="39">
          <cell r="A39" t="str">
            <v>03:018:2:5:6</v>
          </cell>
          <cell r="B39" t="str">
            <v>Артинский городской округ</v>
          </cell>
          <cell r="C39">
            <v>6</v>
          </cell>
          <cell r="D39" t="str">
            <v>сельские населенные пункты с численностью населения менее 1 000 человек.</v>
          </cell>
        </row>
        <row r="40">
          <cell r="A40" t="str">
            <v>03:032:2:5:6</v>
          </cell>
          <cell r="B40" t="str">
            <v>Артинский городской округ</v>
          </cell>
          <cell r="C40">
            <v>6</v>
          </cell>
          <cell r="D40" t="str">
            <v>сельские населенные пункты с численностью населения менее 1 000 человек.</v>
          </cell>
        </row>
        <row r="41">
          <cell r="A41" t="str">
            <v>03:024:2:5:6</v>
          </cell>
          <cell r="B41" t="str">
            <v>Артинский городской округ</v>
          </cell>
          <cell r="C41">
            <v>6</v>
          </cell>
          <cell r="D41" t="str">
            <v>сельские населенные пункты с численностью населения менее 1 000 человек.</v>
          </cell>
        </row>
        <row r="42">
          <cell r="A42" t="str">
            <v>03:059:2:5:6</v>
          </cell>
          <cell r="B42" t="str">
            <v>Артинский городской округ</v>
          </cell>
          <cell r="C42">
            <v>6</v>
          </cell>
          <cell r="D42" t="str">
            <v>сельские населенные пункты с численностью населения менее 1 000 человек.</v>
          </cell>
        </row>
        <row r="43">
          <cell r="A43" t="str">
            <v>03:023:2:5:6</v>
          </cell>
          <cell r="B43" t="str">
            <v>Артинский городской округ</v>
          </cell>
          <cell r="C43">
            <v>6</v>
          </cell>
          <cell r="D43" t="str">
            <v>сельские населенные пункты с численностью населения менее 1 000 человек.</v>
          </cell>
        </row>
        <row r="44">
          <cell r="A44" t="str">
            <v>03:033:2:5:6</v>
          </cell>
          <cell r="B44" t="str">
            <v>Артинский городской округ</v>
          </cell>
          <cell r="C44">
            <v>6</v>
          </cell>
          <cell r="D44" t="str">
            <v>сельские населенные пункты с численностью населения менее 1 000 человек.</v>
          </cell>
        </row>
        <row r="45">
          <cell r="A45" t="str">
            <v>03:050:2:5:6</v>
          </cell>
          <cell r="B45" t="str">
            <v>Артинский городской округ</v>
          </cell>
          <cell r="C45">
            <v>6</v>
          </cell>
          <cell r="D45" t="str">
            <v>сельские населенные пункты с численностью населения менее 1 000 человек.</v>
          </cell>
        </row>
        <row r="46">
          <cell r="A46" t="str">
            <v>03:015:2:5:6</v>
          </cell>
          <cell r="B46" t="str">
            <v>Артинский городской округ</v>
          </cell>
          <cell r="C46">
            <v>6</v>
          </cell>
          <cell r="D46" t="str">
            <v>сельские населенные пункты с численностью населения менее 1 000 человек.</v>
          </cell>
        </row>
        <row r="47">
          <cell r="A47" t="str">
            <v>03:005:2:5:6</v>
          </cell>
          <cell r="B47" t="str">
            <v>Артинский городской округ</v>
          </cell>
          <cell r="C47">
            <v>6</v>
          </cell>
          <cell r="D47" t="str">
            <v>сельские населенные пункты с численностью населения менее 1 000 человек.</v>
          </cell>
        </row>
        <row r="48">
          <cell r="A48" t="str">
            <v>03:054:2:3:6</v>
          </cell>
          <cell r="B48" t="str">
            <v>Артинский городской округ</v>
          </cell>
          <cell r="C48">
            <v>6</v>
          </cell>
          <cell r="D48" t="str">
            <v>сельские населенные пункты с численностью населения менее 1 000 человек.</v>
          </cell>
        </row>
        <row r="49">
          <cell r="A49" t="str">
            <v>03:016:2:5:6</v>
          </cell>
          <cell r="B49" t="str">
            <v>Артинский городской округ</v>
          </cell>
          <cell r="C49">
            <v>6</v>
          </cell>
          <cell r="D49" t="str">
            <v>сельские населенные пункты с численностью населения менее 1 000 человек.</v>
          </cell>
        </row>
        <row r="50">
          <cell r="A50" t="str">
            <v>03:055:2:5:6</v>
          </cell>
          <cell r="B50" t="str">
            <v>Артинский городской округ</v>
          </cell>
          <cell r="C50">
            <v>6</v>
          </cell>
          <cell r="D50" t="str">
            <v>сельские населенные пункты с численностью населения менее 1 000 человек.</v>
          </cell>
        </row>
        <row r="51">
          <cell r="A51" t="str">
            <v>03:038:2:5:6</v>
          </cell>
          <cell r="B51" t="str">
            <v>Артинский городской округ</v>
          </cell>
          <cell r="C51">
            <v>6</v>
          </cell>
          <cell r="D51" t="str">
            <v>сельские населенные пункты с численностью населения менее 1 000 человек.</v>
          </cell>
        </row>
        <row r="52">
          <cell r="A52" t="str">
            <v>03:028:2:5:6</v>
          </cell>
          <cell r="B52" t="str">
            <v>Артинский городской округ</v>
          </cell>
          <cell r="C52">
            <v>6</v>
          </cell>
          <cell r="D52" t="str">
            <v>сельские населенные пункты с численностью населения менее 1 000 человек.</v>
          </cell>
        </row>
        <row r="53">
          <cell r="A53" t="str">
            <v>03:051:2:5:6</v>
          </cell>
          <cell r="B53" t="str">
            <v>Артинский городской округ</v>
          </cell>
          <cell r="C53">
            <v>6</v>
          </cell>
          <cell r="D53" t="str">
            <v>сельские населенные пункты с численностью населения менее 1 000 человек.</v>
          </cell>
        </row>
        <row r="54">
          <cell r="A54" t="str">
            <v>03:020:2:5:6</v>
          </cell>
          <cell r="B54" t="str">
            <v>Артинский городской округ</v>
          </cell>
          <cell r="C54">
            <v>6</v>
          </cell>
          <cell r="D54" t="str">
            <v>сельские населенные пункты с численностью населения менее 1 000 человек.</v>
          </cell>
        </row>
        <row r="55">
          <cell r="A55" t="str">
            <v>03:017:2:5:6</v>
          </cell>
          <cell r="B55" t="str">
            <v>Артинский городской округ</v>
          </cell>
          <cell r="C55">
            <v>6</v>
          </cell>
          <cell r="D55" t="str">
            <v>сельские населенные пункты с численностью населения менее 1 000 человек.</v>
          </cell>
        </row>
        <row r="56">
          <cell r="A56" t="str">
            <v>03:056:2:5:6</v>
          </cell>
          <cell r="B56" t="str">
            <v>Артинский городской округ</v>
          </cell>
          <cell r="C56">
            <v>6</v>
          </cell>
          <cell r="D56" t="str">
            <v>сельские населенные пункты с численностью населения менее 1 000 человек.</v>
          </cell>
        </row>
        <row r="57">
          <cell r="A57" t="str">
            <v>03:058:2:5:6</v>
          </cell>
          <cell r="B57" t="str">
            <v>Артинский городской округ</v>
          </cell>
          <cell r="C57">
            <v>6</v>
          </cell>
          <cell r="D57" t="str">
            <v>сельские населенные пункты с численностью населения менее 1 000 человек.</v>
          </cell>
        </row>
        <row r="58">
          <cell r="A58" t="str">
            <v>03:052:2:5:6</v>
          </cell>
          <cell r="B58" t="str">
            <v>Артинский городской округ</v>
          </cell>
          <cell r="C58">
            <v>6</v>
          </cell>
          <cell r="D58" t="str">
            <v>сельские населенные пункты с численностью населения менее 1 000 человек.</v>
          </cell>
        </row>
        <row r="59">
          <cell r="A59" t="str">
            <v>03:026:2:5:6</v>
          </cell>
          <cell r="B59" t="str">
            <v>Артинский городской округ</v>
          </cell>
          <cell r="C59">
            <v>6</v>
          </cell>
          <cell r="D59" t="str">
            <v>сельские населенные пункты с численностью населения менее 1 000 человек.</v>
          </cell>
        </row>
        <row r="60">
          <cell r="A60" t="str">
            <v>03:047:2:5:6</v>
          </cell>
          <cell r="B60" t="str">
            <v>Артинский городской округ</v>
          </cell>
          <cell r="C60">
            <v>6</v>
          </cell>
          <cell r="D60" t="str">
            <v>сельские населенные пункты с численностью населения менее 1 000 человек.</v>
          </cell>
        </row>
        <row r="61">
          <cell r="A61" t="str">
            <v>03:041:2:5:6</v>
          </cell>
          <cell r="B61" t="str">
            <v>Артинский городской округ</v>
          </cell>
          <cell r="C61">
            <v>6</v>
          </cell>
          <cell r="D61" t="str">
            <v>сельские населенные пункты с численностью населения менее 1 000 человек.</v>
          </cell>
        </row>
        <row r="62">
          <cell r="A62" t="str">
            <v>03:044:2:5:6</v>
          </cell>
          <cell r="B62" t="str">
            <v>Артинский городской округ</v>
          </cell>
          <cell r="C62">
            <v>6</v>
          </cell>
          <cell r="D62" t="str">
            <v>сельские населенные пункты с численностью населения менее 1 000 человек.</v>
          </cell>
        </row>
        <row r="63">
          <cell r="A63" t="str">
            <v>03:010:2:5:6</v>
          </cell>
          <cell r="B63" t="str">
            <v>Артинский городской округ</v>
          </cell>
          <cell r="C63">
            <v>6</v>
          </cell>
          <cell r="D63" t="str">
            <v>сельские населенные пункты с численностью населения менее 1 000 человек.</v>
          </cell>
        </row>
        <row r="64">
          <cell r="A64" t="str">
            <v>03:025:2:5:6</v>
          </cell>
          <cell r="B64" t="str">
            <v>Артинский городской округ</v>
          </cell>
          <cell r="C64">
            <v>6</v>
          </cell>
          <cell r="D64" t="str">
            <v>сельские населенные пункты с численностью населения менее 1 000 человек.</v>
          </cell>
        </row>
        <row r="65">
          <cell r="A65" t="str">
            <v>03:046:2:5:6</v>
          </cell>
          <cell r="B65" t="str">
            <v>Артинский городской округ</v>
          </cell>
          <cell r="C65">
            <v>6</v>
          </cell>
          <cell r="D65" t="str">
            <v>сельские населенные пункты с численностью населения менее 1 000 человек.</v>
          </cell>
        </row>
        <row r="66">
          <cell r="A66" t="str">
            <v>03:009:2:4:6</v>
          </cell>
          <cell r="B66" t="str">
            <v>Артинский городской округ</v>
          </cell>
          <cell r="C66">
            <v>6</v>
          </cell>
          <cell r="D66" t="str">
            <v>сельские населенные пункты с численностью населения менее 1 000 человек.</v>
          </cell>
        </row>
        <row r="67">
          <cell r="A67" t="str">
            <v>03:035:2:5:6</v>
          </cell>
          <cell r="B67" t="str">
            <v>Артинский городской округ</v>
          </cell>
          <cell r="C67">
            <v>6</v>
          </cell>
          <cell r="D67" t="str">
            <v>сельские населенные пункты с численностью населения менее 1 000 человек.</v>
          </cell>
        </row>
        <row r="68">
          <cell r="A68" t="str">
            <v>03:004:2:5:6</v>
          </cell>
          <cell r="B68" t="str">
            <v>Артинский городской округ</v>
          </cell>
          <cell r="C68">
            <v>6</v>
          </cell>
          <cell r="D68" t="str">
            <v>сельские населенные пункты с численностью населения менее 1 000 человек.</v>
          </cell>
        </row>
        <row r="69">
          <cell r="A69" t="str">
            <v>03:002:2:5:6</v>
          </cell>
          <cell r="B69" t="str">
            <v>Артинский городской округ</v>
          </cell>
          <cell r="C69">
            <v>6</v>
          </cell>
          <cell r="D69" t="str">
            <v>сельские населенные пункты с численностью населения менее 1 000 человек.</v>
          </cell>
        </row>
        <row r="70">
          <cell r="A70" t="str">
            <v>03:037:2:5:6</v>
          </cell>
          <cell r="B70" t="str">
            <v>Артинский городской округ</v>
          </cell>
          <cell r="C70">
            <v>6</v>
          </cell>
          <cell r="D70" t="str">
            <v>сельские населенные пункты с численностью населения менее 1 000 человек.</v>
          </cell>
        </row>
        <row r="71">
          <cell r="A71" t="str">
            <v>03:022:2:5:6</v>
          </cell>
          <cell r="B71" t="str">
            <v>Артинский городской округ</v>
          </cell>
          <cell r="C71">
            <v>6</v>
          </cell>
          <cell r="D71" t="str">
            <v>сельские населенные пункты с численностью населения менее 1 000 человек.</v>
          </cell>
        </row>
        <row r="72">
          <cell r="A72" t="str">
            <v>03:006:2:5:6</v>
          </cell>
          <cell r="B72" t="str">
            <v>Артинский городской округ</v>
          </cell>
          <cell r="C72">
            <v>6</v>
          </cell>
          <cell r="D72" t="str">
            <v>сельские населенные пункты с численностью населения менее 1 000 человек.</v>
          </cell>
        </row>
        <row r="73">
          <cell r="A73" t="str">
            <v>03:011:2:5:6</v>
          </cell>
          <cell r="B73" t="str">
            <v>Артинский городской округ</v>
          </cell>
          <cell r="C73">
            <v>6</v>
          </cell>
          <cell r="D73" t="str">
            <v>сельские населенные пункты с численностью населения менее 1 000 человек.</v>
          </cell>
        </row>
        <row r="74">
          <cell r="A74" t="str">
            <v>03:001:2:4:6</v>
          </cell>
          <cell r="B74" t="str">
            <v>Артинский городской округ</v>
          </cell>
          <cell r="C74">
            <v>6</v>
          </cell>
          <cell r="D74" t="str">
            <v>сельские населенные пункты с численностью населения менее 1 000 человек.</v>
          </cell>
        </row>
        <row r="75">
          <cell r="A75" t="str">
            <v>03:031:2:4:5</v>
          </cell>
          <cell r="B75" t="str">
            <v>Артинский городской округ</v>
          </cell>
          <cell r="C75">
            <v>5</v>
          </cell>
          <cell r="D75" t="str">
            <v>сельские населенные пункты с численностью населения более 1 000 человек;</v>
          </cell>
        </row>
        <row r="76">
          <cell r="A76" t="str">
            <v>03:027:2:4:6</v>
          </cell>
          <cell r="B76" t="str">
            <v>Артинский городской округ</v>
          </cell>
          <cell r="C76">
            <v>6</v>
          </cell>
          <cell r="D76" t="str">
            <v>сельские населенные пункты с численностью населения менее 1 000 человек.</v>
          </cell>
        </row>
        <row r="77">
          <cell r="A77" t="str">
            <v>03:045:2:4:6</v>
          </cell>
          <cell r="B77" t="str">
            <v>Артинский городской округ</v>
          </cell>
          <cell r="C77">
            <v>6</v>
          </cell>
          <cell r="D77" t="str">
            <v>сельские населенные пункты с численностью населения менее 1 000 человек.</v>
          </cell>
        </row>
        <row r="78">
          <cell r="A78" t="str">
            <v>03:040:2:4:5</v>
          </cell>
          <cell r="B78" t="str">
            <v>Артинский городской округ</v>
          </cell>
          <cell r="C78">
            <v>5</v>
          </cell>
          <cell r="D78" t="str">
            <v>сельские населенные пункты с численностью населения более 1 000 человек;</v>
          </cell>
        </row>
        <row r="79">
          <cell r="A79" t="str">
            <v>03:003:1:2:4</v>
          </cell>
          <cell r="B79" t="str">
            <v>Артинский городской округ</v>
          </cell>
          <cell r="C79">
            <v>4</v>
          </cell>
          <cell r="D79" t="str">
            <v>городские населенные пункты с численностью населения менее 50 000 человек;</v>
          </cell>
        </row>
        <row r="80">
          <cell r="A80" t="str">
            <v>03:042:2:4:5</v>
          </cell>
          <cell r="B80" t="str">
            <v>Артинский городской округ</v>
          </cell>
          <cell r="C80">
            <v>5</v>
          </cell>
          <cell r="D80" t="str">
            <v>сельские населенные пункты с численностью населения более 1 000 человек;</v>
          </cell>
        </row>
        <row r="81">
          <cell r="A81" t="str">
            <v>03:013:2:4:6</v>
          </cell>
          <cell r="B81" t="str">
            <v>Артинский городской округ</v>
          </cell>
          <cell r="C81">
            <v>6</v>
          </cell>
          <cell r="D81" t="str">
            <v>сельские населенные пункты с численностью населения менее 1 000 человек.</v>
          </cell>
        </row>
        <row r="82">
          <cell r="A82" t="str">
            <v>03:036:2:5:6</v>
          </cell>
          <cell r="B82" t="str">
            <v>Артинский городской округ</v>
          </cell>
          <cell r="C82">
            <v>6</v>
          </cell>
          <cell r="D82" t="str">
            <v>сельские населенные пункты с численностью населения менее 1 000 человек.</v>
          </cell>
        </row>
        <row r="83">
          <cell r="A83" t="str">
            <v>03:048:2:4:6</v>
          </cell>
          <cell r="B83" t="str">
            <v>Артинский городской округ</v>
          </cell>
          <cell r="C83">
            <v>6</v>
          </cell>
          <cell r="D83" t="str">
            <v>сельские населенные пункты с численностью населения менее 1 000 человек.</v>
          </cell>
        </row>
        <row r="84">
          <cell r="A84" t="str">
            <v>03:034:2:4:6</v>
          </cell>
          <cell r="B84" t="str">
            <v>Артинский городской округ</v>
          </cell>
          <cell r="C84">
            <v>6</v>
          </cell>
          <cell r="D84" t="str">
            <v>сельские населенные пункты с численностью населения менее 1 000 человек.</v>
          </cell>
        </row>
        <row r="85">
          <cell r="A85" t="str">
            <v>03:039:2:4:6</v>
          </cell>
          <cell r="B85" t="str">
            <v>Артинский городской округ</v>
          </cell>
          <cell r="C85">
            <v>6</v>
          </cell>
          <cell r="D85" t="str">
            <v>сельские населенные пункты с численностью населения менее 1 000 человек.</v>
          </cell>
        </row>
        <row r="86">
          <cell r="A86" t="str">
            <v>03:029:2:4:6</v>
          </cell>
          <cell r="B86" t="str">
            <v>Артинский городской округ</v>
          </cell>
          <cell r="C86">
            <v>6</v>
          </cell>
          <cell r="D86" t="str">
            <v>сельские населенные пункты с численностью населения менее 1 000 человек.</v>
          </cell>
        </row>
        <row r="87">
          <cell r="A87" t="str">
            <v>03:043:2:4:6</v>
          </cell>
          <cell r="B87" t="str">
            <v>Артинский городской округ</v>
          </cell>
          <cell r="C87">
            <v>6</v>
          </cell>
          <cell r="D87" t="str">
            <v>сельские населенные пункты с численностью населения менее 1 000 человек.</v>
          </cell>
        </row>
        <row r="88">
          <cell r="A88" t="str">
            <v>03:030:2:5:6</v>
          </cell>
          <cell r="B88" t="str">
            <v>Артинский городской округ</v>
          </cell>
          <cell r="C88">
            <v>6</v>
          </cell>
          <cell r="D88" t="str">
            <v>сельские населенные пункты с численностью населения менее 1 000 человек.</v>
          </cell>
        </row>
        <row r="89">
          <cell r="A89" t="str">
            <v>03:007:2:5:6</v>
          </cell>
          <cell r="B89" t="str">
            <v>Артинский городской округ</v>
          </cell>
          <cell r="C89">
            <v>6</v>
          </cell>
          <cell r="D89" t="str">
            <v>сельские населенные пункты с численностью населения менее 1 000 человек.</v>
          </cell>
        </row>
        <row r="90">
          <cell r="A90" t="str">
            <v>03:049:2:4:6</v>
          </cell>
          <cell r="B90" t="str">
            <v>Артинский городской округ</v>
          </cell>
          <cell r="C90">
            <v>6</v>
          </cell>
          <cell r="D90" t="str">
            <v>сельские населенные пункты с численностью населения менее 1 000 человек.</v>
          </cell>
        </row>
        <row r="91">
          <cell r="A91" t="str">
            <v>03:057:2:5:6</v>
          </cell>
          <cell r="B91" t="str">
            <v>Артинский городской округ</v>
          </cell>
          <cell r="C91">
            <v>6</v>
          </cell>
          <cell r="D91" t="str">
            <v>сельские населенные пункты с численностью населения менее 1 000 человек.</v>
          </cell>
        </row>
        <row r="92">
          <cell r="A92" t="str">
            <v>03:014:2:5:6</v>
          </cell>
          <cell r="B92" t="str">
            <v>Артинский городской округ</v>
          </cell>
          <cell r="C92">
            <v>6</v>
          </cell>
          <cell r="D92" t="str">
            <v>сельские населенные пункты с численностью населения менее 1 000 человек.</v>
          </cell>
        </row>
        <row r="93">
          <cell r="A93" t="str">
            <v>03:000:0:0:0</v>
          </cell>
          <cell r="B93" t="str">
            <v>Артинский городской округ</v>
          </cell>
          <cell r="C93">
            <v>0</v>
          </cell>
          <cell r="D93" t="str">
            <v>межселенная территория</v>
          </cell>
        </row>
        <row r="94">
          <cell r="A94" t="str">
            <v>04:003:2:3:6</v>
          </cell>
          <cell r="B94" t="str">
            <v>Асбестовский городской округ</v>
          </cell>
          <cell r="C94">
            <v>6</v>
          </cell>
          <cell r="D94" t="str">
            <v>сельские населенные пункты с численностью населения менее 1 000 человек.</v>
          </cell>
        </row>
        <row r="95">
          <cell r="A95" t="str">
            <v>04:002:2:3:5</v>
          </cell>
          <cell r="B95" t="str">
            <v>Асбестовский городской округ</v>
          </cell>
          <cell r="C95">
            <v>5</v>
          </cell>
          <cell r="D95" t="str">
            <v>сельские населенные пункты с численностью населения более 1 000 человек;</v>
          </cell>
        </row>
        <row r="96">
          <cell r="A96" t="str">
            <v>04:001:1:1:3</v>
          </cell>
          <cell r="B96" t="str">
            <v>Асбестовский городской округ</v>
          </cell>
          <cell r="C96">
            <v>3</v>
          </cell>
          <cell r="D96" t="str">
            <v>городские населенные пункты с численностью населения от 100 000 до 50 000 человек;</v>
          </cell>
        </row>
        <row r="97">
          <cell r="A97" t="str">
            <v>04:000:0:0:0</v>
          </cell>
          <cell r="B97" t="str">
            <v>Асбестовский городской округ</v>
          </cell>
          <cell r="C97">
            <v>0</v>
          </cell>
          <cell r="D97" t="str">
            <v>межселенная территория</v>
          </cell>
        </row>
        <row r="98">
          <cell r="A98" t="str">
            <v>00:002:0:0:0</v>
          </cell>
          <cell r="B98" t="str">
            <v>Ачитский городской округ</v>
          </cell>
          <cell r="C98">
            <v>0</v>
          </cell>
          <cell r="D98" t="str">
            <v>межселенная территория</v>
          </cell>
        </row>
        <row r="99">
          <cell r="A99" t="str">
            <v>05:049:2:5:6</v>
          </cell>
          <cell r="B99" t="str">
            <v>Ачитский городской округ</v>
          </cell>
          <cell r="C99">
            <v>6</v>
          </cell>
          <cell r="D99" t="str">
            <v>сельские населенные пункты с численностью населения менее 1 000 человек.</v>
          </cell>
        </row>
        <row r="100">
          <cell r="A100" t="str">
            <v>05:013:2:5:6</v>
          </cell>
          <cell r="B100" t="str">
            <v>Ачитский городской округ</v>
          </cell>
          <cell r="C100">
            <v>6</v>
          </cell>
          <cell r="D100" t="str">
            <v>сельские населенные пункты с численностью населения менее 1 000 человек.</v>
          </cell>
        </row>
        <row r="101">
          <cell r="A101" t="str">
            <v>05:034:2:5:6</v>
          </cell>
          <cell r="B101" t="str">
            <v>Ачитский городской округ</v>
          </cell>
          <cell r="C101">
            <v>6</v>
          </cell>
          <cell r="D101" t="str">
            <v>сельские населенные пункты с численностью населения менее 1 000 человек.</v>
          </cell>
        </row>
        <row r="102">
          <cell r="A102" t="str">
            <v>05:041:2:3:6</v>
          </cell>
          <cell r="B102" t="str">
            <v>Ачитский городской округ</v>
          </cell>
          <cell r="C102">
            <v>6</v>
          </cell>
          <cell r="D102" t="str">
            <v>сельские населенные пункты с численностью населения менее 1 000 человек.</v>
          </cell>
        </row>
        <row r="103">
          <cell r="A103" t="str">
            <v>05:016:2:5:6</v>
          </cell>
          <cell r="B103" t="str">
            <v>Ачитский городской округ</v>
          </cell>
          <cell r="C103">
            <v>6</v>
          </cell>
          <cell r="D103" t="str">
            <v>сельские населенные пункты с численностью населения менее 1 000 человек.</v>
          </cell>
        </row>
        <row r="104">
          <cell r="A104" t="str">
            <v>00:030:0:0:0</v>
          </cell>
          <cell r="B104" t="str">
            <v>Ачитский городской округ</v>
          </cell>
          <cell r="C104">
            <v>0</v>
          </cell>
          <cell r="D104" t="str">
            <v>межселенная территория</v>
          </cell>
        </row>
        <row r="105">
          <cell r="A105" t="str">
            <v>05:042:2:5:6</v>
          </cell>
          <cell r="B105" t="str">
            <v>Ачитский городской округ</v>
          </cell>
          <cell r="C105">
            <v>6</v>
          </cell>
          <cell r="D105" t="str">
            <v>сельские населенные пункты с численностью населения менее 1 000 человек.</v>
          </cell>
        </row>
        <row r="106">
          <cell r="A106" t="str">
            <v>05:046:2:3:6</v>
          </cell>
          <cell r="B106" t="str">
            <v>Ачитский городской округ</v>
          </cell>
          <cell r="C106">
            <v>6</v>
          </cell>
          <cell r="D106" t="str">
            <v>сельские населенные пункты с численностью населения менее 1 000 человек.</v>
          </cell>
        </row>
        <row r="107">
          <cell r="A107" t="str">
            <v>05:027:2:5:6</v>
          </cell>
          <cell r="B107" t="str">
            <v>Ачитский городской округ</v>
          </cell>
          <cell r="C107">
            <v>6</v>
          </cell>
          <cell r="D107" t="str">
            <v>сельские населенные пункты с численностью населения менее 1 000 человек.</v>
          </cell>
        </row>
        <row r="108">
          <cell r="A108" t="str">
            <v>05:020:2:3:6</v>
          </cell>
          <cell r="B108" t="str">
            <v>Ачитский городской округ</v>
          </cell>
          <cell r="C108">
            <v>6</v>
          </cell>
          <cell r="D108" t="str">
            <v>сельские населенные пункты с численностью населения менее 1 000 человек.</v>
          </cell>
        </row>
        <row r="109">
          <cell r="A109" t="str">
            <v>05:029:2:5:6</v>
          </cell>
          <cell r="B109" t="str">
            <v>Ачитский городской округ</v>
          </cell>
          <cell r="C109">
            <v>6</v>
          </cell>
          <cell r="D109" t="str">
            <v>сельские населенные пункты с численностью населения менее 1 000 человек.</v>
          </cell>
        </row>
        <row r="110">
          <cell r="A110" t="str">
            <v>05:036:2:5:6</v>
          </cell>
          <cell r="B110" t="str">
            <v>Ачитский городской округ</v>
          </cell>
          <cell r="C110">
            <v>6</v>
          </cell>
          <cell r="D110" t="str">
            <v>сельские населенные пункты с численностью населения менее 1 000 человек.</v>
          </cell>
        </row>
        <row r="111">
          <cell r="A111" t="str">
            <v>05:018:2:5:6</v>
          </cell>
          <cell r="B111" t="str">
            <v>Ачитский городской округ</v>
          </cell>
          <cell r="C111">
            <v>6</v>
          </cell>
          <cell r="D111" t="str">
            <v>сельские населенные пункты с численностью населения менее 1 000 человек.</v>
          </cell>
        </row>
        <row r="112">
          <cell r="A112" t="str">
            <v>05:026:2:5:6</v>
          </cell>
          <cell r="B112" t="str">
            <v>Ачитский городской округ</v>
          </cell>
          <cell r="C112">
            <v>6</v>
          </cell>
          <cell r="D112" t="str">
            <v>сельские населенные пункты с численностью населения менее 1 000 человек.</v>
          </cell>
        </row>
        <row r="113">
          <cell r="A113" t="str">
            <v>05:035:2:5:6</v>
          </cell>
          <cell r="B113" t="str">
            <v>Ачитский городской округ</v>
          </cell>
          <cell r="C113">
            <v>6</v>
          </cell>
          <cell r="D113" t="str">
            <v>сельские населенные пункты с численностью населения менее 1 000 человек.</v>
          </cell>
        </row>
        <row r="114">
          <cell r="A114" t="str">
            <v>05:001:2:5:6</v>
          </cell>
          <cell r="B114" t="str">
            <v>Ачитский городской округ</v>
          </cell>
          <cell r="C114">
            <v>6</v>
          </cell>
          <cell r="D114" t="str">
            <v>сельские населенные пункты с численностью населения менее 1 000 человек.</v>
          </cell>
        </row>
        <row r="115">
          <cell r="A115" t="str">
            <v>05:044:2:5:6</v>
          </cell>
          <cell r="B115" t="str">
            <v>Ачитский городской округ</v>
          </cell>
          <cell r="C115">
            <v>6</v>
          </cell>
          <cell r="D115" t="str">
            <v>сельские населенные пункты с численностью населения менее 1 000 человек.</v>
          </cell>
        </row>
        <row r="116">
          <cell r="A116" t="str">
            <v>05:015:2:5:6</v>
          </cell>
          <cell r="B116" t="str">
            <v>Ачитский городской округ</v>
          </cell>
          <cell r="C116">
            <v>6</v>
          </cell>
          <cell r="D116" t="str">
            <v>сельские населенные пункты с численностью населения менее 1 000 человек.</v>
          </cell>
        </row>
        <row r="117">
          <cell r="A117" t="str">
            <v>05:033:2:5:6</v>
          </cell>
          <cell r="B117" t="str">
            <v>Ачитский городской округ</v>
          </cell>
          <cell r="C117">
            <v>6</v>
          </cell>
          <cell r="D117" t="str">
            <v>сельские населенные пункты с численностью населения менее 1 000 человек.</v>
          </cell>
        </row>
        <row r="118">
          <cell r="A118" t="str">
            <v>05:002:2:5:6</v>
          </cell>
          <cell r="B118" t="str">
            <v>Ачитский городской округ</v>
          </cell>
          <cell r="C118">
            <v>6</v>
          </cell>
          <cell r="D118" t="str">
            <v>сельские населенные пункты с численностью населения менее 1 000 человек.</v>
          </cell>
        </row>
        <row r="119">
          <cell r="A119" t="str">
            <v>05:048:2:5:6</v>
          </cell>
          <cell r="B119" t="str">
            <v>Ачитский городской округ</v>
          </cell>
          <cell r="C119">
            <v>6</v>
          </cell>
          <cell r="D119" t="str">
            <v>сельские населенные пункты с численностью населения менее 1 000 человек.</v>
          </cell>
        </row>
        <row r="120">
          <cell r="A120" t="str">
            <v>05:047:2:5:6</v>
          </cell>
          <cell r="B120" t="str">
            <v>Ачитский городской округ</v>
          </cell>
          <cell r="C120">
            <v>6</v>
          </cell>
          <cell r="D120" t="str">
            <v>сельские населенные пункты с численностью населения менее 1 000 человек.</v>
          </cell>
        </row>
        <row r="121">
          <cell r="A121" t="str">
            <v>05:039:2:3:6</v>
          </cell>
          <cell r="B121" t="str">
            <v>Ачитский городской округ</v>
          </cell>
          <cell r="C121">
            <v>6</v>
          </cell>
          <cell r="D121" t="str">
            <v>сельские населенные пункты с численностью населения менее 1 000 человек.</v>
          </cell>
        </row>
        <row r="122">
          <cell r="A122" t="str">
            <v>05:007:2:5:6</v>
          </cell>
          <cell r="B122" t="str">
            <v>Ачитский городской округ</v>
          </cell>
          <cell r="C122">
            <v>6</v>
          </cell>
          <cell r="D122" t="str">
            <v>сельские населенные пункты с численностью населения менее 1 000 человек.</v>
          </cell>
        </row>
        <row r="123">
          <cell r="A123" t="str">
            <v>05:021:2:5:6</v>
          </cell>
          <cell r="B123" t="str">
            <v>Ачитский городской округ</v>
          </cell>
          <cell r="C123">
            <v>6</v>
          </cell>
          <cell r="D123" t="str">
            <v>сельские населенные пункты с численностью населения менее 1 000 человек.</v>
          </cell>
        </row>
        <row r="124">
          <cell r="A124" t="str">
            <v>05:051:2:5:6</v>
          </cell>
          <cell r="B124" t="str">
            <v>Ачитский городской округ</v>
          </cell>
          <cell r="C124">
            <v>6</v>
          </cell>
          <cell r="D124" t="str">
            <v>сельские населенные пункты с численностью населения менее 1 000 человек.</v>
          </cell>
        </row>
        <row r="125">
          <cell r="A125" t="str">
            <v>05:030:2:5:6</v>
          </cell>
          <cell r="B125" t="str">
            <v>Ачитский городской округ</v>
          </cell>
          <cell r="C125">
            <v>6</v>
          </cell>
          <cell r="D125" t="str">
            <v>сельские населенные пункты с численностью населения менее 1 000 человек.</v>
          </cell>
        </row>
        <row r="126">
          <cell r="A126" t="str">
            <v>05:003:2:3:6</v>
          </cell>
          <cell r="B126" t="str">
            <v>Ачитский городской округ</v>
          </cell>
          <cell r="C126">
            <v>6</v>
          </cell>
          <cell r="D126" t="str">
            <v>сельские населенные пункты с численностью населения менее 1 000 человек.</v>
          </cell>
        </row>
        <row r="127">
          <cell r="A127" t="str">
            <v>05:040:2:5:6</v>
          </cell>
          <cell r="B127" t="str">
            <v>Ачитский городской округ</v>
          </cell>
          <cell r="C127">
            <v>6</v>
          </cell>
          <cell r="D127" t="str">
            <v>сельские населенные пункты с численностью населения менее 1 000 человек.</v>
          </cell>
        </row>
        <row r="128">
          <cell r="A128" t="str">
            <v>05:022:2:5:6</v>
          </cell>
          <cell r="B128" t="str">
            <v>Ачитский городской округ</v>
          </cell>
          <cell r="C128">
            <v>6</v>
          </cell>
          <cell r="D128" t="str">
            <v>сельские населенные пункты с численностью населения менее 1 000 человек.</v>
          </cell>
        </row>
        <row r="129">
          <cell r="A129" t="str">
            <v>05:050:2:5:6</v>
          </cell>
          <cell r="B129" t="str">
            <v>Ачитский городской округ</v>
          </cell>
          <cell r="C129">
            <v>6</v>
          </cell>
          <cell r="D129" t="str">
            <v>сельские населенные пункты с численностью населения менее 1 000 человек.</v>
          </cell>
        </row>
        <row r="130">
          <cell r="A130" t="str">
            <v>05:010:2:5:6</v>
          </cell>
          <cell r="B130" t="str">
            <v>Ачитский городской округ</v>
          </cell>
          <cell r="C130">
            <v>6</v>
          </cell>
          <cell r="D130" t="str">
            <v>сельские населенные пункты с численностью населения менее 1 000 человек.</v>
          </cell>
        </row>
        <row r="131">
          <cell r="A131" t="str">
            <v>05:017:2:5:6</v>
          </cell>
          <cell r="B131" t="str">
            <v>Ачитский городской округ</v>
          </cell>
          <cell r="C131">
            <v>6</v>
          </cell>
          <cell r="D131" t="str">
            <v>сельские населенные пункты с численностью населения менее 1 000 человек.</v>
          </cell>
        </row>
        <row r="132">
          <cell r="A132" t="str">
            <v>05:025:2:5:6</v>
          </cell>
          <cell r="B132" t="str">
            <v>Ачитский городской округ</v>
          </cell>
          <cell r="C132">
            <v>6</v>
          </cell>
          <cell r="D132" t="str">
            <v>сельские населенные пункты с численностью населения менее 1 000 человек.</v>
          </cell>
        </row>
        <row r="133">
          <cell r="A133" t="str">
            <v>05:008:2:4:6</v>
          </cell>
          <cell r="B133" t="str">
            <v>Ачитский городской округ</v>
          </cell>
          <cell r="C133">
            <v>6</v>
          </cell>
          <cell r="D133" t="str">
            <v>сельские населенные пункты с численностью населения менее 1 000 человек.</v>
          </cell>
        </row>
        <row r="134">
          <cell r="A134" t="str">
            <v>05:032:2:5:6</v>
          </cell>
          <cell r="B134" t="str">
            <v>Ачитский городской округ</v>
          </cell>
          <cell r="C134">
            <v>6</v>
          </cell>
          <cell r="D134" t="str">
            <v>сельские населенные пункты с численностью населения менее 1 000 человек.</v>
          </cell>
        </row>
        <row r="135">
          <cell r="A135" t="str">
            <v>05:011:2:5:6</v>
          </cell>
          <cell r="B135" t="str">
            <v>Ачитский городской округ</v>
          </cell>
          <cell r="C135">
            <v>6</v>
          </cell>
          <cell r="D135" t="str">
            <v>сельские населенные пункты с численностью населения менее 1 000 человек.</v>
          </cell>
        </row>
        <row r="136">
          <cell r="A136" t="str">
            <v>05:009:2:4:6</v>
          </cell>
          <cell r="B136" t="str">
            <v>Ачитский городской округ</v>
          </cell>
          <cell r="C136">
            <v>6</v>
          </cell>
          <cell r="D136" t="str">
            <v>сельские населенные пункты с численностью населения менее 1 000 человек.</v>
          </cell>
        </row>
        <row r="137">
          <cell r="A137" t="str">
            <v>05:012:2:5:6</v>
          </cell>
          <cell r="B137" t="str">
            <v>Ачитский городской округ</v>
          </cell>
          <cell r="C137">
            <v>6</v>
          </cell>
          <cell r="D137" t="str">
            <v>сельские населенные пункты с численностью населения менее 1 000 человек.</v>
          </cell>
        </row>
        <row r="138">
          <cell r="A138" t="str">
            <v>05:006:2:4:6</v>
          </cell>
          <cell r="B138" t="str">
            <v>Ачитский городской округ</v>
          </cell>
          <cell r="C138">
            <v>6</v>
          </cell>
          <cell r="D138" t="str">
            <v>сельские населенные пункты с численностью населения менее 1 000 человек.</v>
          </cell>
        </row>
        <row r="139">
          <cell r="A139" t="str">
            <v>05:045:2:4:6</v>
          </cell>
          <cell r="B139" t="str">
            <v>Ачитский городской округ</v>
          </cell>
          <cell r="C139">
            <v>6</v>
          </cell>
          <cell r="D139" t="str">
            <v>сельские населенные пункты с численностью населения менее 1 000 человек.</v>
          </cell>
        </row>
        <row r="140">
          <cell r="A140" t="str">
            <v>05:037:2:5:6</v>
          </cell>
          <cell r="B140" t="str">
            <v>Ачитский городской округ</v>
          </cell>
          <cell r="C140">
            <v>6</v>
          </cell>
          <cell r="D140" t="str">
            <v>сельские населенные пункты с численностью населения менее 1 000 человек.</v>
          </cell>
        </row>
        <row r="141">
          <cell r="A141" t="str">
            <v>05:005:1:2:4</v>
          </cell>
          <cell r="B141" t="str">
            <v>Ачитский городской округ</v>
          </cell>
          <cell r="C141">
            <v>4</v>
          </cell>
          <cell r="D141" t="str">
            <v>городские населенные пункты с численностью населения менее 50 000 человек;</v>
          </cell>
        </row>
        <row r="142">
          <cell r="A142" t="str">
            <v>05:054:2:5:6</v>
          </cell>
          <cell r="B142" t="str">
            <v>Ачитский городской округ</v>
          </cell>
          <cell r="C142">
            <v>6</v>
          </cell>
          <cell r="D142" t="str">
            <v>сельские населенные пункты с численностью населения менее 1 000 человек.</v>
          </cell>
        </row>
        <row r="143">
          <cell r="A143" t="str">
            <v>05:019:2:3:6</v>
          </cell>
          <cell r="B143" t="str">
            <v>Ачитский городской округ</v>
          </cell>
          <cell r="C143">
            <v>6</v>
          </cell>
          <cell r="D143" t="str">
            <v>сельские населенные пункты с численностью населения менее 1 000 человек.</v>
          </cell>
        </row>
        <row r="144">
          <cell r="A144" t="str">
            <v>05:014:2:5:6</v>
          </cell>
          <cell r="B144" t="str">
            <v>Ачитский городской округ</v>
          </cell>
          <cell r="C144">
            <v>6</v>
          </cell>
          <cell r="D144" t="str">
            <v>сельские населенные пункты с численностью населения менее 1 000 человек.</v>
          </cell>
        </row>
        <row r="145">
          <cell r="A145" t="str">
            <v>05:052:2:5:6</v>
          </cell>
          <cell r="B145" t="str">
            <v>Ачитский городской округ</v>
          </cell>
          <cell r="C145">
            <v>6</v>
          </cell>
          <cell r="D145" t="str">
            <v>сельские населенные пункты с численностью населения менее 1 000 человек.</v>
          </cell>
        </row>
        <row r="146">
          <cell r="A146" t="str">
            <v>05:038:2:5:6</v>
          </cell>
          <cell r="B146" t="str">
            <v>Ачитский городской округ</v>
          </cell>
          <cell r="C146">
            <v>6</v>
          </cell>
          <cell r="D146" t="str">
            <v>сельские населенные пункты с численностью населения менее 1 000 человек.</v>
          </cell>
        </row>
        <row r="147">
          <cell r="A147" t="str">
            <v>05:053:2:3:5</v>
          </cell>
          <cell r="B147" t="str">
            <v>Ачитский городской округ</v>
          </cell>
          <cell r="C147">
            <v>5</v>
          </cell>
          <cell r="D147" t="str">
            <v>сельские населенные пункты с численностью населения более 1 000 человек;</v>
          </cell>
        </row>
        <row r="148">
          <cell r="A148" t="str">
            <v>05:024:2:5:6</v>
          </cell>
          <cell r="B148" t="str">
            <v>Ачитский городской округ</v>
          </cell>
          <cell r="C148">
            <v>6</v>
          </cell>
          <cell r="D148" t="str">
            <v>сельские населенные пункты с численностью населения менее 1 000 человек.</v>
          </cell>
        </row>
        <row r="149">
          <cell r="A149" t="str">
            <v>05:023:2:4:6</v>
          </cell>
          <cell r="B149" t="str">
            <v>Ачитский городской округ</v>
          </cell>
          <cell r="C149">
            <v>6</v>
          </cell>
          <cell r="D149" t="str">
            <v>сельские населенные пункты с численностью населения менее 1 000 человек.</v>
          </cell>
        </row>
        <row r="150">
          <cell r="A150" t="str">
            <v>05:028:2:4:6</v>
          </cell>
          <cell r="B150" t="str">
            <v>Ачитский городской округ</v>
          </cell>
          <cell r="C150">
            <v>6</v>
          </cell>
          <cell r="D150" t="str">
            <v>сельские населенные пункты с численностью населения менее 1 000 человек.</v>
          </cell>
        </row>
        <row r="151">
          <cell r="A151" t="str">
            <v>05:031:2:5:6</v>
          </cell>
          <cell r="B151" t="str">
            <v>Ачитский городской округ</v>
          </cell>
          <cell r="C151">
            <v>6</v>
          </cell>
          <cell r="D151" t="str">
            <v>сельские населенные пункты с численностью населения менее 1 000 человек.</v>
          </cell>
        </row>
        <row r="152">
          <cell r="A152" t="str">
            <v>05:043:2:5:6</v>
          </cell>
          <cell r="B152" t="str">
            <v>Ачитский городской округ</v>
          </cell>
          <cell r="C152">
            <v>6</v>
          </cell>
          <cell r="D152" t="str">
            <v>сельские населенные пункты с численностью населения менее 1 000 человек.</v>
          </cell>
        </row>
        <row r="153">
          <cell r="A153" t="str">
            <v>05:004:2:4:6</v>
          </cell>
          <cell r="B153" t="str">
            <v>Ачитский городской округ</v>
          </cell>
          <cell r="C153">
            <v>6</v>
          </cell>
          <cell r="D153" t="str">
            <v>сельские населенные пункты с численностью населения менее 1 000 человек.</v>
          </cell>
        </row>
        <row r="154">
          <cell r="A154" t="str">
            <v>05:000:0:0:0</v>
          </cell>
          <cell r="B154" t="str">
            <v>Ачитский городской округ</v>
          </cell>
          <cell r="C154">
            <v>0</v>
          </cell>
          <cell r="D154" t="str">
            <v>межселенная территория</v>
          </cell>
        </row>
        <row r="155">
          <cell r="A155" t="str">
            <v>06:038:2:5:6</v>
          </cell>
          <cell r="B155" t="str">
            <v>Байкаловский муниципальный район</v>
          </cell>
          <cell r="C155">
            <v>6</v>
          </cell>
          <cell r="D155" t="str">
            <v>сельские населенные пункты с численностью населения менее 1 000 человек.</v>
          </cell>
        </row>
        <row r="156">
          <cell r="A156" t="str">
            <v>00:003:0:0:0</v>
          </cell>
          <cell r="B156" t="str">
            <v>Байкаловский муниципальный район</v>
          </cell>
          <cell r="C156">
            <v>0</v>
          </cell>
          <cell r="D156" t="str">
            <v>межселенная территория</v>
          </cell>
        </row>
        <row r="157">
          <cell r="A157" t="str">
            <v>06:015:2:5:6</v>
          </cell>
          <cell r="B157" t="str">
            <v>Байкаловский муниципальный район</v>
          </cell>
          <cell r="C157">
            <v>6</v>
          </cell>
          <cell r="D157" t="str">
            <v>сельские населенные пункты с численностью населения менее 1 000 человек.</v>
          </cell>
        </row>
        <row r="158">
          <cell r="A158" t="str">
            <v>06:031:2:3:6</v>
          </cell>
          <cell r="B158" t="str">
            <v>Байкаловский муниципальный район</v>
          </cell>
          <cell r="C158">
            <v>6</v>
          </cell>
          <cell r="D158" t="str">
            <v>сельские населенные пункты с численностью населения менее 1 000 человек.</v>
          </cell>
        </row>
        <row r="159">
          <cell r="A159" t="str">
            <v>06:068:2:5:6</v>
          </cell>
          <cell r="B159" t="str">
            <v>Байкаловский муниципальный район</v>
          </cell>
          <cell r="C159">
            <v>6</v>
          </cell>
          <cell r="D159" t="str">
            <v>сельские населенные пункты с численностью населения менее 1 000 человек.</v>
          </cell>
        </row>
        <row r="160">
          <cell r="A160" t="str">
            <v>06:005:2:5:6</v>
          </cell>
          <cell r="B160" t="str">
            <v>Байкаловский муниципальный район</v>
          </cell>
          <cell r="C160">
            <v>6</v>
          </cell>
          <cell r="D160" t="str">
            <v>сельские населенные пункты с численностью населения менее 1 000 человек.</v>
          </cell>
        </row>
        <row r="161">
          <cell r="A161" t="str">
            <v>06:018:2:5:6</v>
          </cell>
          <cell r="B161" t="str">
            <v>Байкаловский муниципальный район</v>
          </cell>
          <cell r="C161">
            <v>6</v>
          </cell>
          <cell r="D161" t="str">
            <v>сельские населенные пункты с численностью населения менее 1 000 человек.</v>
          </cell>
        </row>
        <row r="162">
          <cell r="A162" t="str">
            <v>06:007:2:5:6</v>
          </cell>
          <cell r="B162" t="str">
            <v>Байкаловский муниципальный район</v>
          </cell>
          <cell r="C162">
            <v>6</v>
          </cell>
          <cell r="D162" t="str">
            <v>сельские населенные пункты с численностью населения менее 1 000 человек.</v>
          </cell>
        </row>
        <row r="163">
          <cell r="A163" t="str">
            <v>06:024:2:5:6</v>
          </cell>
          <cell r="B163" t="str">
            <v>Байкаловский муниципальный район</v>
          </cell>
          <cell r="C163">
            <v>6</v>
          </cell>
          <cell r="D163" t="str">
            <v>сельские населенные пункты с численностью населения менее 1 000 человек.</v>
          </cell>
        </row>
        <row r="164">
          <cell r="A164" t="str">
            <v>06:067:2:5:6</v>
          </cell>
          <cell r="B164" t="str">
            <v>Байкаловский муниципальный район</v>
          </cell>
          <cell r="C164">
            <v>6</v>
          </cell>
          <cell r="D164" t="str">
            <v>сельские населенные пункты с численностью населения менее 1 000 человек.</v>
          </cell>
        </row>
        <row r="165">
          <cell r="A165" t="str">
            <v>06:039:2:5:6</v>
          </cell>
          <cell r="B165" t="str">
            <v>Байкаловский муниципальный район</v>
          </cell>
          <cell r="C165">
            <v>6</v>
          </cell>
          <cell r="D165" t="str">
            <v>сельские населенные пункты с численностью населения менее 1 000 человек.</v>
          </cell>
        </row>
        <row r="166">
          <cell r="A166" t="str">
            <v>06:021:2:5:6</v>
          </cell>
          <cell r="B166" t="str">
            <v>Байкаловский муниципальный район</v>
          </cell>
          <cell r="C166">
            <v>6</v>
          </cell>
          <cell r="D166" t="str">
            <v>сельские населенные пункты с численностью населения менее 1 000 человек.</v>
          </cell>
        </row>
        <row r="167">
          <cell r="A167" t="str">
            <v>06:054:2:5:6</v>
          </cell>
          <cell r="B167" t="str">
            <v>Байкаловский муниципальный район</v>
          </cell>
          <cell r="C167">
            <v>6</v>
          </cell>
          <cell r="D167" t="str">
            <v>сельские населенные пункты с численностью населения менее 1 000 человек.</v>
          </cell>
        </row>
        <row r="168">
          <cell r="A168" t="str">
            <v>06:029:2:5:6</v>
          </cell>
          <cell r="B168" t="str">
            <v>Байкаловский муниципальный район</v>
          </cell>
          <cell r="C168">
            <v>6</v>
          </cell>
          <cell r="D168" t="str">
            <v>сельские населенные пункты с численностью населения менее 1 000 человек.</v>
          </cell>
        </row>
        <row r="169">
          <cell r="A169" t="str">
            <v>06:058:2:5:6</v>
          </cell>
          <cell r="B169" t="str">
            <v>Байкаловский муниципальный район</v>
          </cell>
          <cell r="C169">
            <v>6</v>
          </cell>
          <cell r="D169" t="str">
            <v>сельские населенные пункты с численностью населения менее 1 000 человек.</v>
          </cell>
        </row>
        <row r="170">
          <cell r="A170" t="str">
            <v>06:053:2:5:6</v>
          </cell>
          <cell r="B170" t="str">
            <v>Байкаловский муниципальный район</v>
          </cell>
          <cell r="C170">
            <v>6</v>
          </cell>
          <cell r="D170" t="str">
            <v>сельские населенные пункты с численностью населения менее 1 000 человек.</v>
          </cell>
        </row>
        <row r="171">
          <cell r="A171" t="str">
            <v>06:060:2:5:6</v>
          </cell>
          <cell r="B171" t="str">
            <v>Байкаловский муниципальный район</v>
          </cell>
          <cell r="C171">
            <v>6</v>
          </cell>
          <cell r="D171" t="str">
            <v>сельские населенные пункты с численностью населения менее 1 000 человек.</v>
          </cell>
        </row>
        <row r="172">
          <cell r="A172" t="str">
            <v>06:027:2:5:6</v>
          </cell>
          <cell r="B172" t="str">
            <v>Байкаловский муниципальный район</v>
          </cell>
          <cell r="C172">
            <v>6</v>
          </cell>
          <cell r="D172" t="str">
            <v>сельские населенные пункты с численностью населения менее 1 000 человек.</v>
          </cell>
        </row>
        <row r="173">
          <cell r="A173" t="str">
            <v>06:045:2:5:6</v>
          </cell>
          <cell r="B173" t="str">
            <v>Байкаловский муниципальный район</v>
          </cell>
          <cell r="C173">
            <v>6</v>
          </cell>
          <cell r="D173" t="str">
            <v>сельские населенные пункты с численностью населения менее 1 000 человек.</v>
          </cell>
        </row>
        <row r="174">
          <cell r="A174" t="str">
            <v>06:046:2:5:6</v>
          </cell>
          <cell r="B174" t="str">
            <v>Байкаловский муниципальный район</v>
          </cell>
          <cell r="C174">
            <v>6</v>
          </cell>
          <cell r="D174" t="str">
            <v>сельские населенные пункты с численностью населения менее 1 000 человек.</v>
          </cell>
        </row>
        <row r="175">
          <cell r="A175" t="str">
            <v>06:019:2:5:6</v>
          </cell>
          <cell r="B175" t="str">
            <v>Байкаловский муниципальный район</v>
          </cell>
          <cell r="C175">
            <v>6</v>
          </cell>
          <cell r="D175" t="str">
            <v>сельские населенные пункты с численностью населения менее 1 000 человек.</v>
          </cell>
        </row>
        <row r="176">
          <cell r="A176" t="str">
            <v>06:034:2:5:6</v>
          </cell>
          <cell r="B176" t="str">
            <v>Байкаловский муниципальный район</v>
          </cell>
          <cell r="C176">
            <v>6</v>
          </cell>
          <cell r="D176" t="str">
            <v>сельские населенные пункты с численностью населения менее 1 000 человек.</v>
          </cell>
        </row>
        <row r="177">
          <cell r="A177" t="str">
            <v>06:041:2:5:6</v>
          </cell>
          <cell r="B177" t="str">
            <v>Байкаловский муниципальный район</v>
          </cell>
          <cell r="C177">
            <v>6</v>
          </cell>
          <cell r="D177" t="str">
            <v>сельские населенные пункты с численностью населения менее 1 000 человек.</v>
          </cell>
        </row>
        <row r="178">
          <cell r="A178" t="str">
            <v>06:022:2:5:6</v>
          </cell>
          <cell r="B178" t="str">
            <v>Байкаловский муниципальный район</v>
          </cell>
          <cell r="C178">
            <v>6</v>
          </cell>
          <cell r="D178" t="str">
            <v>сельские населенные пункты с численностью населения менее 1 000 человек.</v>
          </cell>
        </row>
        <row r="179">
          <cell r="A179" t="str">
            <v>06:001:2:4:6</v>
          </cell>
          <cell r="B179" t="str">
            <v>Байкаловский муниципальный район</v>
          </cell>
          <cell r="C179">
            <v>6</v>
          </cell>
          <cell r="D179" t="str">
            <v>сельские населенные пункты с численностью населения менее 1 000 человек.</v>
          </cell>
        </row>
        <row r="180">
          <cell r="A180" t="str">
            <v>06:057:2:5:6</v>
          </cell>
          <cell r="B180" t="str">
            <v>Байкаловский муниципальный район</v>
          </cell>
          <cell r="C180">
            <v>6</v>
          </cell>
          <cell r="D180" t="str">
            <v>сельские населенные пункты с численностью населения менее 1 000 человек.</v>
          </cell>
        </row>
        <row r="181">
          <cell r="A181" t="str">
            <v>06:006:2:5:6</v>
          </cell>
          <cell r="B181" t="str">
            <v>Байкаловский муниципальный район</v>
          </cell>
          <cell r="C181">
            <v>6</v>
          </cell>
          <cell r="D181" t="str">
            <v>сельские населенные пункты с численностью населения менее 1 000 человек.</v>
          </cell>
        </row>
        <row r="182">
          <cell r="A182" t="str">
            <v>06:011:2:5:6</v>
          </cell>
          <cell r="B182" t="str">
            <v>Байкаловский муниципальный район</v>
          </cell>
          <cell r="C182">
            <v>6</v>
          </cell>
          <cell r="D182" t="str">
            <v>сельские населенные пункты с численностью населения менее 1 000 человек.</v>
          </cell>
        </row>
        <row r="183">
          <cell r="A183" t="str">
            <v>06:055:2:5:6</v>
          </cell>
          <cell r="B183" t="str">
            <v>Байкаловский муниципальный район</v>
          </cell>
          <cell r="C183">
            <v>6</v>
          </cell>
          <cell r="D183" t="str">
            <v>сельские населенные пункты с численностью населения менее 1 000 человек.</v>
          </cell>
        </row>
        <row r="184">
          <cell r="A184" t="str">
            <v>06:026:2:5:6</v>
          </cell>
          <cell r="B184" t="str">
            <v>Байкаловский муниципальный район</v>
          </cell>
          <cell r="C184">
            <v>6</v>
          </cell>
          <cell r="D184" t="str">
            <v>сельские населенные пункты с численностью населения менее 1 000 человек.</v>
          </cell>
        </row>
        <row r="185">
          <cell r="A185" t="str">
            <v>06:049:2:5:6</v>
          </cell>
          <cell r="B185" t="str">
            <v>Байкаловский муниципальный район</v>
          </cell>
          <cell r="C185">
            <v>6</v>
          </cell>
          <cell r="D185" t="str">
            <v>сельские населенные пункты с численностью населения менее 1 000 человек.</v>
          </cell>
        </row>
        <row r="186">
          <cell r="A186" t="str">
            <v>06:017:2:5:6</v>
          </cell>
          <cell r="B186" t="str">
            <v>Байкаловский муниципальный район</v>
          </cell>
          <cell r="C186">
            <v>6</v>
          </cell>
          <cell r="D186" t="str">
            <v>сельские населенные пункты с численностью населения менее 1 000 человек.</v>
          </cell>
        </row>
        <row r="187">
          <cell r="A187" t="str">
            <v>06:028:2:5:6</v>
          </cell>
          <cell r="B187" t="str">
            <v>Байкаловский муниципальный район</v>
          </cell>
          <cell r="C187">
            <v>6</v>
          </cell>
          <cell r="D187" t="str">
            <v>сельские населенные пункты с численностью населения менее 1 000 человек.</v>
          </cell>
        </row>
        <row r="188">
          <cell r="A188" t="str">
            <v>06:035:2:5:6</v>
          </cell>
          <cell r="B188" t="str">
            <v>Байкаловский муниципальный район</v>
          </cell>
          <cell r="C188">
            <v>6</v>
          </cell>
          <cell r="D188" t="str">
            <v>сельские населенные пункты с численностью населения менее 1 000 человек.</v>
          </cell>
        </row>
        <row r="189">
          <cell r="A189" t="str">
            <v>06:023:2:5:6</v>
          </cell>
          <cell r="B189" t="str">
            <v>Байкаловский муниципальный район</v>
          </cell>
          <cell r="C189">
            <v>6</v>
          </cell>
          <cell r="D189" t="str">
            <v>сельские населенные пункты с численностью населения менее 1 000 человек.</v>
          </cell>
        </row>
        <row r="190">
          <cell r="A190" t="str">
            <v>06:051:2:5:6</v>
          </cell>
          <cell r="B190" t="str">
            <v>Байкаловский муниципальный район</v>
          </cell>
          <cell r="C190">
            <v>6</v>
          </cell>
          <cell r="D190" t="str">
            <v>сельские населенные пункты с численностью населения менее 1 000 человек.</v>
          </cell>
        </row>
        <row r="191">
          <cell r="A191" t="str">
            <v>06:065:2:5:6</v>
          </cell>
          <cell r="B191" t="str">
            <v>Байкаловский муниципальный район</v>
          </cell>
          <cell r="C191">
            <v>6</v>
          </cell>
          <cell r="D191" t="str">
            <v>сельские населенные пункты с численностью населения менее 1 000 человек.</v>
          </cell>
        </row>
        <row r="192">
          <cell r="A192" t="str">
            <v>06:025:2:5:6</v>
          </cell>
          <cell r="B192" t="str">
            <v>Байкаловский муниципальный район</v>
          </cell>
          <cell r="C192">
            <v>6</v>
          </cell>
          <cell r="D192" t="str">
            <v>сельские населенные пункты с численностью населения менее 1 000 человек.</v>
          </cell>
        </row>
        <row r="193">
          <cell r="A193" t="str">
            <v>06:003:2:5:6</v>
          </cell>
          <cell r="B193" t="str">
            <v>Байкаловский муниципальный район</v>
          </cell>
          <cell r="C193">
            <v>6</v>
          </cell>
          <cell r="D193" t="str">
            <v>сельские населенные пункты с численностью населения менее 1 000 человек.</v>
          </cell>
        </row>
        <row r="194">
          <cell r="A194" t="str">
            <v>06:032:2:5:6</v>
          </cell>
          <cell r="B194" t="str">
            <v>Байкаловский муниципальный район</v>
          </cell>
          <cell r="C194">
            <v>6</v>
          </cell>
          <cell r="D194" t="str">
            <v>сельские населенные пункты с численностью населения менее 1 000 человек.</v>
          </cell>
        </row>
        <row r="195">
          <cell r="A195" t="str">
            <v>06:013:2:5:6</v>
          </cell>
          <cell r="B195" t="str">
            <v>Байкаловский муниципальный район</v>
          </cell>
          <cell r="C195">
            <v>6</v>
          </cell>
          <cell r="D195" t="str">
            <v>сельские населенные пункты с численностью населения менее 1 000 человек.</v>
          </cell>
        </row>
        <row r="196">
          <cell r="A196" t="str">
            <v>06:050:2:5:6</v>
          </cell>
          <cell r="B196" t="str">
            <v>Байкаловский муниципальный район</v>
          </cell>
          <cell r="C196">
            <v>6</v>
          </cell>
          <cell r="D196" t="str">
            <v>сельские населенные пункты с численностью населения менее 1 000 человек.</v>
          </cell>
        </row>
        <row r="197">
          <cell r="A197" t="str">
            <v>06:008:2:5:6</v>
          </cell>
          <cell r="B197" t="str">
            <v>Байкаловский муниципальный район</v>
          </cell>
          <cell r="C197">
            <v>6</v>
          </cell>
          <cell r="D197" t="str">
            <v>сельские населенные пункты с численностью населения менее 1 000 человек.</v>
          </cell>
        </row>
        <row r="198">
          <cell r="A198" t="str">
            <v>06:061:2:5:6</v>
          </cell>
          <cell r="B198" t="str">
            <v>Байкаловский муниципальный район</v>
          </cell>
          <cell r="C198">
            <v>6</v>
          </cell>
          <cell r="D198" t="str">
            <v>сельские населенные пункты с численностью населения менее 1 000 человек.</v>
          </cell>
        </row>
        <row r="199">
          <cell r="A199" t="str">
            <v>06:012:2:5:6</v>
          </cell>
          <cell r="B199" t="str">
            <v>Байкаловский муниципальный район</v>
          </cell>
          <cell r="C199">
            <v>6</v>
          </cell>
          <cell r="D199" t="str">
            <v>сельские населенные пункты с численностью населения менее 1 000 человек.</v>
          </cell>
        </row>
        <row r="200">
          <cell r="A200" t="str">
            <v>06:016:2:5:6</v>
          </cell>
          <cell r="B200" t="str">
            <v>Байкаловский муниципальный район</v>
          </cell>
          <cell r="C200">
            <v>6</v>
          </cell>
          <cell r="D200" t="str">
            <v>сельские населенные пункты с численностью населения менее 1 000 человек.</v>
          </cell>
        </row>
        <row r="201">
          <cell r="A201" t="str">
            <v>06:044:2:5:6</v>
          </cell>
          <cell r="B201" t="str">
            <v>Байкаловский муниципальный район</v>
          </cell>
          <cell r="C201">
            <v>6</v>
          </cell>
          <cell r="D201" t="str">
            <v>сельские населенные пункты с численностью населения менее 1 000 человек.</v>
          </cell>
        </row>
        <row r="202">
          <cell r="A202" t="str">
            <v>06:004:2:5:6</v>
          </cell>
          <cell r="B202" t="str">
            <v>Байкаловский муниципальный район</v>
          </cell>
          <cell r="C202">
            <v>6</v>
          </cell>
          <cell r="D202" t="str">
            <v>сельские населенные пункты с численностью населения менее 1 000 человек.</v>
          </cell>
        </row>
        <row r="203">
          <cell r="A203" t="str">
            <v>06:020:2:5:6</v>
          </cell>
          <cell r="B203" t="str">
            <v>Байкаловский муниципальный район</v>
          </cell>
          <cell r="C203">
            <v>6</v>
          </cell>
          <cell r="D203" t="str">
            <v>сельские населенные пункты с численностью населения менее 1 000 человек.</v>
          </cell>
        </row>
        <row r="204">
          <cell r="A204" t="str">
            <v>06:052:2:5:6</v>
          </cell>
          <cell r="B204" t="str">
            <v>Байкаловский муниципальный район</v>
          </cell>
          <cell r="C204">
            <v>6</v>
          </cell>
          <cell r="D204" t="str">
            <v>сельские населенные пункты с численностью населения менее 1 000 человек.</v>
          </cell>
        </row>
        <row r="205">
          <cell r="A205" t="str">
            <v>06:056:2:5:6</v>
          </cell>
          <cell r="B205" t="str">
            <v>Байкаловский муниципальный район</v>
          </cell>
          <cell r="C205">
            <v>6</v>
          </cell>
          <cell r="D205" t="str">
            <v>сельские населенные пункты с численностью населения менее 1 000 человек.</v>
          </cell>
        </row>
        <row r="206">
          <cell r="A206" t="str">
            <v>06:066:2:5:6</v>
          </cell>
          <cell r="B206" t="str">
            <v>Байкаловский муниципальный район</v>
          </cell>
          <cell r="C206">
            <v>6</v>
          </cell>
          <cell r="D206" t="str">
            <v>сельские населенные пункты с численностью населения менее 1 000 человек.</v>
          </cell>
        </row>
        <row r="207">
          <cell r="A207" t="str">
            <v>06:037:2:5:6</v>
          </cell>
          <cell r="B207" t="str">
            <v>Байкаловский муниципальный район</v>
          </cell>
          <cell r="C207">
            <v>6</v>
          </cell>
          <cell r="D207" t="str">
            <v>сельские населенные пункты с численностью населения менее 1 000 человек.</v>
          </cell>
        </row>
        <row r="208">
          <cell r="A208" t="str">
            <v>06:033:2:4:6</v>
          </cell>
          <cell r="B208" t="str">
            <v>Байкаловский муниципальный район</v>
          </cell>
          <cell r="C208">
            <v>6</v>
          </cell>
          <cell r="D208" t="str">
            <v>сельские населенные пункты с численностью населения менее 1 000 человек.</v>
          </cell>
        </row>
        <row r="209">
          <cell r="A209" t="str">
            <v>06:063:2:4:6</v>
          </cell>
          <cell r="B209" t="str">
            <v>Байкаловский муниципальный район</v>
          </cell>
          <cell r="C209">
            <v>6</v>
          </cell>
          <cell r="D209" t="str">
            <v>сельские населенные пункты с численностью населения менее 1 000 человек.</v>
          </cell>
        </row>
        <row r="210">
          <cell r="A210" t="str">
            <v>06:059:2:5:6</v>
          </cell>
          <cell r="B210" t="str">
            <v>Байкаловский муниципальный район</v>
          </cell>
          <cell r="C210">
            <v>6</v>
          </cell>
          <cell r="D210" t="str">
            <v>сельские населенные пункты с численностью населения менее 1 000 человек.</v>
          </cell>
        </row>
        <row r="211">
          <cell r="A211" t="str">
            <v>06:036:2:5:6</v>
          </cell>
          <cell r="B211" t="str">
            <v>Байкаловский муниципальный район</v>
          </cell>
          <cell r="C211">
            <v>6</v>
          </cell>
          <cell r="D211" t="str">
            <v>сельские населенные пункты с численностью населения менее 1 000 человек.</v>
          </cell>
        </row>
        <row r="212">
          <cell r="A212" t="str">
            <v>06:042:2:5:6</v>
          </cell>
          <cell r="B212" t="str">
            <v>Байкаловский муниципальный район</v>
          </cell>
          <cell r="C212">
            <v>6</v>
          </cell>
          <cell r="D212" t="str">
            <v>сельские населенные пункты с численностью населения менее 1 000 человек.</v>
          </cell>
        </row>
        <row r="213">
          <cell r="A213" t="str">
            <v>06:064:2:5:6</v>
          </cell>
          <cell r="B213" t="str">
            <v>Байкаловский муниципальный район</v>
          </cell>
          <cell r="C213">
            <v>6</v>
          </cell>
          <cell r="D213" t="str">
            <v>сельские населенные пункты с численностью населения менее 1 000 человек.</v>
          </cell>
        </row>
        <row r="214">
          <cell r="A214" t="str">
            <v>06:014:2:4:6</v>
          </cell>
          <cell r="B214" t="str">
            <v>Байкаловский муниципальный район</v>
          </cell>
          <cell r="C214">
            <v>6</v>
          </cell>
          <cell r="D214" t="str">
            <v>сельские населенные пункты с численностью населения менее 1 000 человек.</v>
          </cell>
        </row>
        <row r="215">
          <cell r="A215" t="str">
            <v>06:010:2:4:6</v>
          </cell>
          <cell r="B215" t="str">
            <v>Байкаловский муниципальный район</v>
          </cell>
          <cell r="C215">
            <v>6</v>
          </cell>
          <cell r="D215" t="str">
            <v>сельские населенные пункты с численностью населения менее 1 000 человек.</v>
          </cell>
        </row>
        <row r="216">
          <cell r="A216" t="str">
            <v>06:048:2:5:6</v>
          </cell>
          <cell r="B216" t="str">
            <v>Байкаловский муниципальный район</v>
          </cell>
          <cell r="C216">
            <v>6</v>
          </cell>
          <cell r="D216" t="str">
            <v>сельские населенные пункты с численностью населения менее 1 000 человек.</v>
          </cell>
        </row>
        <row r="217">
          <cell r="A217" t="str">
            <v>06:009:2:5:6</v>
          </cell>
          <cell r="B217" t="str">
            <v>Байкаловский муниципальный район</v>
          </cell>
          <cell r="C217">
            <v>6</v>
          </cell>
          <cell r="D217" t="str">
            <v>сельские населенные пункты с численностью населения менее 1 000 человек.</v>
          </cell>
        </row>
        <row r="218">
          <cell r="A218" t="str">
            <v>06:047:2:5:6</v>
          </cell>
          <cell r="B218" t="str">
            <v>Байкаловский муниципальный район</v>
          </cell>
          <cell r="C218">
            <v>6</v>
          </cell>
          <cell r="D218" t="str">
            <v>сельские населенные пункты с численностью населения менее 1 000 человек.</v>
          </cell>
        </row>
        <row r="219">
          <cell r="A219" t="str">
            <v>06:002:2:4:5</v>
          </cell>
          <cell r="B219" t="str">
            <v>Байкаловский муниципальный район</v>
          </cell>
          <cell r="C219">
            <v>5</v>
          </cell>
          <cell r="D219" t="str">
            <v>сельские населенные пункты с численностью населения более 1 000 человек;</v>
          </cell>
        </row>
        <row r="220">
          <cell r="A220" t="str">
            <v>06:062:2:4:6</v>
          </cell>
          <cell r="B220" t="str">
            <v>Байкаловский муниципальный район</v>
          </cell>
          <cell r="C220">
            <v>6</v>
          </cell>
          <cell r="D220" t="str">
            <v>сельские населенные пункты с численностью населения менее 1 000 человек.</v>
          </cell>
        </row>
        <row r="221">
          <cell r="A221" t="str">
            <v>06:040:2:4:5</v>
          </cell>
          <cell r="B221" t="str">
            <v>Байкаловский муниципальный район</v>
          </cell>
          <cell r="C221">
            <v>5</v>
          </cell>
          <cell r="D221" t="str">
            <v>сельские населенные пункты с численностью населения более 1 000 человек;</v>
          </cell>
        </row>
        <row r="222">
          <cell r="A222" t="str">
            <v>06:043:2:5:6</v>
          </cell>
          <cell r="B222" t="str">
            <v>Байкаловский муниципальный район</v>
          </cell>
          <cell r="C222">
            <v>6</v>
          </cell>
          <cell r="D222" t="str">
            <v>сельские населенные пункты с численностью населения менее 1 000 человек.</v>
          </cell>
        </row>
        <row r="223">
          <cell r="A223" t="str">
            <v>06:030:2:4:6</v>
          </cell>
          <cell r="B223" t="str">
            <v>Байкаловский муниципальный район</v>
          </cell>
          <cell r="C223">
            <v>6</v>
          </cell>
          <cell r="D223" t="str">
            <v>сельские населенные пункты с численностью населения менее 1 000 человек.</v>
          </cell>
        </row>
        <row r="224">
          <cell r="A224" t="str">
            <v>06:069:2:4:6</v>
          </cell>
          <cell r="B224" t="str">
            <v>Байкаловский муниципальный район</v>
          </cell>
          <cell r="C224">
            <v>6</v>
          </cell>
          <cell r="D224" t="str">
            <v>сельские населенные пункты с численностью населения менее 1 000 человек.</v>
          </cell>
        </row>
        <row r="225">
          <cell r="A225" t="str">
            <v>06:000:0:0:0</v>
          </cell>
          <cell r="B225" t="str">
            <v>Байкаловский муниципальный район</v>
          </cell>
          <cell r="C225">
            <v>0</v>
          </cell>
          <cell r="D225" t="str">
            <v>межселенная территория</v>
          </cell>
        </row>
        <row r="226">
          <cell r="A226" t="str">
            <v>07:030:2:3:6</v>
          </cell>
          <cell r="B226" t="str">
            <v>Белоярский городской округ</v>
          </cell>
          <cell r="C226">
            <v>6</v>
          </cell>
          <cell r="D226" t="str">
            <v>сельские населенные пункты с численностью населения менее 1 000 человек.</v>
          </cell>
        </row>
        <row r="227">
          <cell r="A227" t="str">
            <v>07:022:2:5:6</v>
          </cell>
          <cell r="B227" t="str">
            <v>Белоярский городской округ</v>
          </cell>
          <cell r="C227">
            <v>6</v>
          </cell>
          <cell r="D227" t="str">
            <v>сельские населенные пункты с численностью населения менее 1 000 человек.</v>
          </cell>
        </row>
        <row r="228">
          <cell r="A228" t="str">
            <v>07:043:2:3:6</v>
          </cell>
          <cell r="B228" t="str">
            <v>Белоярский городской округ</v>
          </cell>
          <cell r="C228">
            <v>6</v>
          </cell>
          <cell r="D228" t="str">
            <v>сельские населенные пункты с численностью населения менее 1 000 человек.</v>
          </cell>
        </row>
        <row r="229">
          <cell r="A229" t="str">
            <v>07:037:2:3:6</v>
          </cell>
          <cell r="B229" t="str">
            <v>Белоярский городской округ</v>
          </cell>
          <cell r="C229">
            <v>6</v>
          </cell>
          <cell r="D229" t="str">
            <v>сельские населенные пункты с численностью населения менее 1 000 человек.</v>
          </cell>
        </row>
        <row r="230">
          <cell r="A230" t="str">
            <v>07:015:2:5:6</v>
          </cell>
          <cell r="B230" t="str">
            <v>Белоярский городской округ</v>
          </cell>
          <cell r="C230">
            <v>6</v>
          </cell>
          <cell r="D230" t="str">
            <v>сельские населенные пункты с численностью населения менее 1 000 человек.</v>
          </cell>
        </row>
        <row r="231">
          <cell r="A231" t="str">
            <v>07:038:2:3:6</v>
          </cell>
          <cell r="B231" t="str">
            <v>Белоярский городской округ</v>
          </cell>
          <cell r="C231">
            <v>6</v>
          </cell>
          <cell r="D231" t="str">
            <v>сельские населенные пункты с численностью населения менее 1 000 человек.</v>
          </cell>
        </row>
        <row r="232">
          <cell r="A232" t="str">
            <v>07:007:2:3:6</v>
          </cell>
          <cell r="B232" t="str">
            <v>Белоярский городской округ</v>
          </cell>
          <cell r="C232">
            <v>6</v>
          </cell>
          <cell r="D232" t="str">
            <v>сельские населенные пункты с численностью населения менее 1 000 человек.</v>
          </cell>
        </row>
        <row r="233">
          <cell r="A233" t="str">
            <v>07:033:2:3:6</v>
          </cell>
          <cell r="B233" t="str">
            <v>Белоярский городской округ</v>
          </cell>
          <cell r="C233">
            <v>6</v>
          </cell>
          <cell r="D233" t="str">
            <v>сельские населенные пункты с численностью населения менее 1 000 человек.</v>
          </cell>
        </row>
        <row r="234">
          <cell r="A234" t="str">
            <v>07:031:2:3:6</v>
          </cell>
          <cell r="B234" t="str">
            <v>Белоярский городской округ</v>
          </cell>
          <cell r="C234">
            <v>6</v>
          </cell>
          <cell r="D234" t="str">
            <v>сельские населенные пункты с численностью населения менее 1 000 человек.</v>
          </cell>
        </row>
        <row r="235">
          <cell r="A235" t="str">
            <v>07:019:2:4:6</v>
          </cell>
          <cell r="B235" t="str">
            <v>Белоярский городской округ</v>
          </cell>
          <cell r="C235">
            <v>6</v>
          </cell>
          <cell r="D235" t="str">
            <v>сельские населенные пункты с численностью населения менее 1 000 человек.</v>
          </cell>
        </row>
        <row r="236">
          <cell r="A236" t="str">
            <v>07:032:2:3:6</v>
          </cell>
          <cell r="B236" t="str">
            <v>Белоярский городской округ</v>
          </cell>
          <cell r="C236">
            <v>6</v>
          </cell>
          <cell r="D236" t="str">
            <v>сельские населенные пункты с численностью населения менее 1 000 человек.</v>
          </cell>
        </row>
        <row r="237">
          <cell r="A237" t="str">
            <v>07:023:2:4:6</v>
          </cell>
          <cell r="B237" t="str">
            <v>Белоярский городской округ</v>
          </cell>
          <cell r="C237">
            <v>6</v>
          </cell>
          <cell r="D237" t="str">
            <v>сельские населенные пункты с численностью населения менее 1 000 человек.</v>
          </cell>
        </row>
        <row r="238">
          <cell r="A238" t="str">
            <v>07:010:2:5:6</v>
          </cell>
          <cell r="B238" t="str">
            <v>Белоярский городской округ</v>
          </cell>
          <cell r="C238">
            <v>6</v>
          </cell>
          <cell r="D238" t="str">
            <v>сельские населенные пункты с численностью населения менее 1 000 человек.</v>
          </cell>
        </row>
        <row r="239">
          <cell r="A239" t="str">
            <v>07:036:2:3:6</v>
          </cell>
          <cell r="B239" t="str">
            <v>Белоярский городской округ</v>
          </cell>
          <cell r="C239">
            <v>6</v>
          </cell>
          <cell r="D239" t="str">
            <v>сельские населенные пункты с численностью населения менее 1 000 человек.</v>
          </cell>
        </row>
        <row r="240">
          <cell r="A240" t="str">
            <v>07:027:2:3:6</v>
          </cell>
          <cell r="B240" t="str">
            <v>Белоярский городской округ</v>
          </cell>
          <cell r="C240">
            <v>6</v>
          </cell>
          <cell r="D240" t="str">
            <v>сельские населенные пункты с численностью населения менее 1 000 человек.</v>
          </cell>
        </row>
        <row r="241">
          <cell r="A241" t="str">
            <v>07:001:2:3:6</v>
          </cell>
          <cell r="B241" t="str">
            <v>Белоярский городской округ</v>
          </cell>
          <cell r="C241">
            <v>6</v>
          </cell>
          <cell r="D241" t="str">
            <v>сельские населенные пункты с численностью населения менее 1 000 человек.</v>
          </cell>
        </row>
        <row r="242">
          <cell r="A242" t="str">
            <v>07:034:2:3:6</v>
          </cell>
          <cell r="B242" t="str">
            <v>Белоярский городской округ</v>
          </cell>
          <cell r="C242">
            <v>6</v>
          </cell>
          <cell r="D242" t="str">
            <v>сельские населенные пункты с численностью населения менее 1 000 человек.</v>
          </cell>
        </row>
        <row r="243">
          <cell r="A243" t="str">
            <v>07:002:1:2:4</v>
          </cell>
          <cell r="B243" t="str">
            <v>Белоярский городской округ</v>
          </cell>
          <cell r="C243">
            <v>4</v>
          </cell>
          <cell r="D243" t="str">
            <v>городские населенные пункты с численностью населения менее 50 000 человек;</v>
          </cell>
        </row>
        <row r="244">
          <cell r="A244" t="str">
            <v>07:005:2:4:6</v>
          </cell>
          <cell r="B244" t="str">
            <v>Белоярский городской округ</v>
          </cell>
          <cell r="C244">
            <v>6</v>
          </cell>
          <cell r="D244" t="str">
            <v>сельские населенные пункты с численностью населения менее 1 000 человек.</v>
          </cell>
        </row>
        <row r="245">
          <cell r="A245" t="str">
            <v>07:012:2:5:6</v>
          </cell>
          <cell r="B245" t="str">
            <v>Белоярский городской округ</v>
          </cell>
          <cell r="C245">
            <v>6</v>
          </cell>
          <cell r="D245" t="str">
            <v>сельские населенные пункты с численностью населения менее 1 000 человек.</v>
          </cell>
        </row>
        <row r="246">
          <cell r="A246" t="str">
            <v>07:041:2:5:6</v>
          </cell>
          <cell r="B246" t="str">
            <v>Белоярский городской округ</v>
          </cell>
          <cell r="C246">
            <v>6</v>
          </cell>
          <cell r="D246" t="str">
            <v>сельские населенные пункты с численностью населения менее 1 000 человек.</v>
          </cell>
        </row>
        <row r="247">
          <cell r="A247" t="str">
            <v>07:028:2:3:6</v>
          </cell>
          <cell r="B247" t="str">
            <v>Белоярский городской округ</v>
          </cell>
          <cell r="C247">
            <v>6</v>
          </cell>
          <cell r="D247" t="str">
            <v>сельские населенные пункты с численностью населения менее 1 000 человек.</v>
          </cell>
        </row>
        <row r="248">
          <cell r="A248" t="str">
            <v>07:026:2:4:6</v>
          </cell>
          <cell r="B248" t="str">
            <v>Белоярский городской округ</v>
          </cell>
          <cell r="C248">
            <v>6</v>
          </cell>
          <cell r="D248" t="str">
            <v>сельские населенные пункты с численностью населения менее 1 000 человек.</v>
          </cell>
        </row>
        <row r="249">
          <cell r="A249" t="str">
            <v>07:004:2:4:6</v>
          </cell>
          <cell r="B249" t="str">
            <v>Белоярский городской округ</v>
          </cell>
          <cell r="C249">
            <v>6</v>
          </cell>
          <cell r="D249" t="str">
            <v>сельские населенные пункты с численностью населения менее 1 000 человек.</v>
          </cell>
        </row>
        <row r="250">
          <cell r="A250" t="str">
            <v>07:021:2:4:6</v>
          </cell>
          <cell r="B250" t="str">
            <v>Белоярский городской округ</v>
          </cell>
          <cell r="C250">
            <v>6</v>
          </cell>
          <cell r="D250" t="str">
            <v>сельские населенные пункты с численностью населения менее 1 000 человек.</v>
          </cell>
        </row>
        <row r="251">
          <cell r="A251" t="str">
            <v>07:020:2:4:6</v>
          </cell>
          <cell r="B251" t="str">
            <v>Белоярский городской округ</v>
          </cell>
          <cell r="C251">
            <v>6</v>
          </cell>
          <cell r="D251" t="str">
            <v>сельские населенные пункты с численностью населения менее 1 000 человек.</v>
          </cell>
        </row>
        <row r="252">
          <cell r="A252" t="str">
            <v>07:018:2:3:6</v>
          </cell>
          <cell r="B252" t="str">
            <v>Белоярский городской округ</v>
          </cell>
          <cell r="C252">
            <v>6</v>
          </cell>
          <cell r="D252" t="str">
            <v>сельские населенные пункты с численностью населения менее 1 000 человек.</v>
          </cell>
        </row>
        <row r="253">
          <cell r="A253" t="str">
            <v>07:025:2:3:6</v>
          </cell>
          <cell r="B253" t="str">
            <v>Белоярский городской округ</v>
          </cell>
          <cell r="C253">
            <v>6</v>
          </cell>
          <cell r="D253" t="str">
            <v>сельские населенные пункты с численностью населения менее 1 000 человек.</v>
          </cell>
        </row>
        <row r="254">
          <cell r="A254" t="str">
            <v>07:039:2:4:6</v>
          </cell>
          <cell r="B254" t="str">
            <v>Белоярский городской округ</v>
          </cell>
          <cell r="C254">
            <v>6</v>
          </cell>
          <cell r="D254" t="str">
            <v>сельские населенные пункты с численностью населения менее 1 000 человек.</v>
          </cell>
        </row>
        <row r="255">
          <cell r="A255" t="str">
            <v>07:011:2:5:6</v>
          </cell>
          <cell r="B255" t="str">
            <v>Белоярский городской округ</v>
          </cell>
          <cell r="C255">
            <v>6</v>
          </cell>
          <cell r="D255" t="str">
            <v>сельские населенные пункты с численностью населения менее 1 000 человек.</v>
          </cell>
        </row>
        <row r="256">
          <cell r="A256" t="str">
            <v>07:035:2:3:6</v>
          </cell>
          <cell r="B256" t="str">
            <v>Белоярский городской округ</v>
          </cell>
          <cell r="C256">
            <v>6</v>
          </cell>
          <cell r="D256" t="str">
            <v>сельские населенные пункты с численностью населения менее 1 000 человек.</v>
          </cell>
        </row>
        <row r="257">
          <cell r="A257" t="str">
            <v>07:014:2:4:6</v>
          </cell>
          <cell r="B257" t="str">
            <v>Белоярский городской округ</v>
          </cell>
          <cell r="C257">
            <v>6</v>
          </cell>
          <cell r="D257" t="str">
            <v>сельские населенные пункты с численностью населения менее 1 000 человек.</v>
          </cell>
        </row>
        <row r="258">
          <cell r="A258" t="str">
            <v>07:006:2:3:6</v>
          </cell>
          <cell r="B258" t="str">
            <v>Белоярский городской округ</v>
          </cell>
          <cell r="C258">
            <v>6</v>
          </cell>
          <cell r="D258" t="str">
            <v>сельские населенные пункты с численностью населения менее 1 000 человек.</v>
          </cell>
        </row>
        <row r="259">
          <cell r="A259" t="str">
            <v>07:013:2:3:6</v>
          </cell>
          <cell r="B259" t="str">
            <v>Белоярский городской округ</v>
          </cell>
          <cell r="C259">
            <v>6</v>
          </cell>
          <cell r="D259" t="str">
            <v>сельские населенные пункты с численностью населения менее 1 000 человек.</v>
          </cell>
        </row>
        <row r="260">
          <cell r="A260" t="str">
            <v>07:045:2:5:6</v>
          </cell>
          <cell r="B260" t="str">
            <v>Белоярский городской округ</v>
          </cell>
          <cell r="C260">
            <v>6</v>
          </cell>
          <cell r="D260" t="str">
            <v>сельские населенные пункты с численностью населения менее 1 000 человек.</v>
          </cell>
        </row>
        <row r="261">
          <cell r="A261" t="str">
            <v>07:017:2:3:6</v>
          </cell>
          <cell r="B261" t="str">
            <v>Белоярский городской округ</v>
          </cell>
          <cell r="C261">
            <v>6</v>
          </cell>
          <cell r="D261" t="str">
            <v>сельские населенные пункты с численностью населения менее 1 000 человек.</v>
          </cell>
        </row>
        <row r="262">
          <cell r="A262" t="str">
            <v>07:044:2:5:6</v>
          </cell>
          <cell r="B262" t="str">
            <v>Белоярский городской округ</v>
          </cell>
          <cell r="C262">
            <v>6</v>
          </cell>
          <cell r="D262" t="str">
            <v>сельские населенные пункты с численностью населения менее 1 000 человек.</v>
          </cell>
        </row>
        <row r="263">
          <cell r="A263" t="str">
            <v>07:008:2:5:6</v>
          </cell>
          <cell r="B263" t="str">
            <v>Белоярский городской округ</v>
          </cell>
          <cell r="C263">
            <v>6</v>
          </cell>
          <cell r="D263" t="str">
            <v>сельские населенные пункты с численностью населения менее 1 000 человек.</v>
          </cell>
        </row>
        <row r="264">
          <cell r="A264" t="str">
            <v>07:024:2:5:6</v>
          </cell>
          <cell r="B264" t="str">
            <v>Белоярский городской округ</v>
          </cell>
          <cell r="C264">
            <v>6</v>
          </cell>
          <cell r="D264" t="str">
            <v>сельские населенные пункты с численностью населения менее 1 000 человек.</v>
          </cell>
        </row>
        <row r="265">
          <cell r="A265" t="str">
            <v>07:040:2:5:6</v>
          </cell>
          <cell r="B265" t="str">
            <v>Белоярский городской округ</v>
          </cell>
          <cell r="C265">
            <v>6</v>
          </cell>
          <cell r="D265" t="str">
            <v>сельские населенные пункты с численностью населения менее 1 000 человек.</v>
          </cell>
        </row>
        <row r="266">
          <cell r="A266" t="str">
            <v>07:009:2:5:6</v>
          </cell>
          <cell r="B266" t="str">
            <v>Белоярский городской округ</v>
          </cell>
          <cell r="C266">
            <v>6</v>
          </cell>
          <cell r="D266" t="str">
            <v>сельские населенные пункты с численностью населения менее 1 000 человек.</v>
          </cell>
        </row>
        <row r="267">
          <cell r="A267" t="str">
            <v>07:003:2:3:6</v>
          </cell>
          <cell r="B267" t="str">
            <v>Белоярский городской округ</v>
          </cell>
          <cell r="C267">
            <v>6</v>
          </cell>
          <cell r="D267" t="str">
            <v>сельские населенные пункты с численностью населения менее 1 000 человек.</v>
          </cell>
        </row>
        <row r="268">
          <cell r="A268" t="str">
            <v>07:042:2:4:6</v>
          </cell>
          <cell r="B268" t="str">
            <v>Белоярский городской округ</v>
          </cell>
          <cell r="C268">
            <v>6</v>
          </cell>
          <cell r="D268" t="str">
            <v>сельские населенные пункты с численностью населения менее 1 000 человек.</v>
          </cell>
        </row>
        <row r="269">
          <cell r="A269" t="str">
            <v>07:029:2:5:6</v>
          </cell>
          <cell r="B269" t="str">
            <v>Белоярский городской округ</v>
          </cell>
          <cell r="C269">
            <v>6</v>
          </cell>
          <cell r="D269" t="str">
            <v>сельские населенные пункты с численностью населения менее 1 000 человек.</v>
          </cell>
        </row>
        <row r="270">
          <cell r="A270" t="str">
            <v>07:016:2:4:6</v>
          </cell>
          <cell r="B270" t="str">
            <v>Белоярский городской округ</v>
          </cell>
          <cell r="C270">
            <v>6</v>
          </cell>
          <cell r="D270" t="str">
            <v>сельские населенные пункты с численностью населения менее 1 000 человек.</v>
          </cell>
        </row>
        <row r="271">
          <cell r="A271" t="str">
            <v>07:000:0:0:0</v>
          </cell>
          <cell r="B271" t="str">
            <v>Белоярский городской округ</v>
          </cell>
          <cell r="C271">
            <v>0</v>
          </cell>
          <cell r="D271" t="str">
            <v>межселенная территория</v>
          </cell>
        </row>
        <row r="272">
          <cell r="A272" t="str">
            <v>08:014:2:3:6</v>
          </cell>
          <cell r="B272" t="str">
            <v>Березовский городской округ</v>
          </cell>
          <cell r="C272">
            <v>6</v>
          </cell>
          <cell r="D272" t="str">
            <v>сельские населенные пункты с численностью населения менее 1 000 человек.</v>
          </cell>
        </row>
        <row r="273">
          <cell r="A273" t="str">
            <v>08:003:2:3:6</v>
          </cell>
          <cell r="B273" t="str">
            <v>Березовский городской округ</v>
          </cell>
          <cell r="C273">
            <v>6</v>
          </cell>
          <cell r="D273" t="str">
            <v>сельские населенные пункты с численностью населения менее 1 000 человек.</v>
          </cell>
        </row>
        <row r="274">
          <cell r="A274" t="str">
            <v>08:016:2:3:6</v>
          </cell>
          <cell r="B274" t="str">
            <v>Березовский городской округ</v>
          </cell>
          <cell r="C274">
            <v>6</v>
          </cell>
          <cell r="D274" t="str">
            <v>сельские населенные пункты с численностью населения менее 1 000 человек.</v>
          </cell>
        </row>
        <row r="275">
          <cell r="A275" t="str">
            <v>08:009:2:3:6</v>
          </cell>
          <cell r="B275" t="str">
            <v>Березовский городской округ</v>
          </cell>
          <cell r="C275">
            <v>6</v>
          </cell>
          <cell r="D275" t="str">
            <v>сельские населенные пункты с численностью населения менее 1 000 человек.</v>
          </cell>
        </row>
        <row r="276">
          <cell r="A276" t="str">
            <v>08:001:2:3:6</v>
          </cell>
          <cell r="B276" t="str">
            <v>Березовский городской округ</v>
          </cell>
          <cell r="C276">
            <v>6</v>
          </cell>
          <cell r="D276" t="str">
            <v>сельские населенные пункты с численностью населения менее 1 000 человек.</v>
          </cell>
        </row>
        <row r="277">
          <cell r="A277" t="str">
            <v>08:002:1:1:3</v>
          </cell>
          <cell r="B277" t="str">
            <v>Березовский городской округ</v>
          </cell>
          <cell r="C277">
            <v>3</v>
          </cell>
          <cell r="D277" t="str">
            <v>городские населенные пункты с численностью населения от 100 000 до 50 000 человек;</v>
          </cell>
        </row>
        <row r="278">
          <cell r="A278" t="str">
            <v>08:008:2:3:5</v>
          </cell>
          <cell r="B278" t="str">
            <v>Березовский городской округ</v>
          </cell>
          <cell r="C278">
            <v>5</v>
          </cell>
          <cell r="D278" t="str">
            <v>сельские населенные пункты с численностью населения более 1 000 человек;</v>
          </cell>
        </row>
        <row r="279">
          <cell r="A279" t="str">
            <v>08:005:2:3:5</v>
          </cell>
          <cell r="B279" t="str">
            <v>Березовский городской округ</v>
          </cell>
          <cell r="C279">
            <v>5</v>
          </cell>
          <cell r="D279" t="str">
            <v>сельские населенные пункты с численностью населения более 1 000 человек;</v>
          </cell>
        </row>
        <row r="280">
          <cell r="A280" t="str">
            <v>08:010:2:3:5</v>
          </cell>
          <cell r="B280" t="str">
            <v>Березовский городской округ</v>
          </cell>
          <cell r="C280">
            <v>5</v>
          </cell>
          <cell r="D280" t="str">
            <v>сельские населенные пункты с численностью населения более 1 000 человек;</v>
          </cell>
        </row>
        <row r="281">
          <cell r="A281" t="str">
            <v>08:012:2:3:6</v>
          </cell>
          <cell r="B281" t="str">
            <v>Березовский городской округ</v>
          </cell>
          <cell r="C281">
            <v>6</v>
          </cell>
          <cell r="D281" t="str">
            <v>сельские населенные пункты с численностью населения менее 1 000 человек.</v>
          </cell>
        </row>
        <row r="282">
          <cell r="A282" t="str">
            <v>08:018:2:3:5</v>
          </cell>
          <cell r="B282" t="str">
            <v>Березовский городской округ</v>
          </cell>
          <cell r="C282">
            <v>5</v>
          </cell>
          <cell r="D282" t="str">
            <v>сельские населенные пункты с численностью населения более 1 000 человек;</v>
          </cell>
        </row>
        <row r="283">
          <cell r="A283" t="str">
            <v>08:017:2:3:6</v>
          </cell>
          <cell r="B283" t="str">
            <v>Березовский городской округ</v>
          </cell>
          <cell r="C283">
            <v>6</v>
          </cell>
          <cell r="D283" t="str">
            <v>сельские населенные пункты с численностью населения менее 1 000 человек.</v>
          </cell>
        </row>
        <row r="284">
          <cell r="A284" t="str">
            <v>08:015:2:3:6</v>
          </cell>
          <cell r="B284" t="str">
            <v>Березовский городской округ</v>
          </cell>
          <cell r="C284">
            <v>6</v>
          </cell>
          <cell r="D284" t="str">
            <v>сельские населенные пункты с численностью населения менее 1 000 человек.</v>
          </cell>
        </row>
        <row r="285">
          <cell r="A285" t="str">
            <v>08:004:2:3:5</v>
          </cell>
          <cell r="B285" t="str">
            <v>Березовский городской округ</v>
          </cell>
          <cell r="C285">
            <v>5</v>
          </cell>
          <cell r="D285" t="str">
            <v>сельские населенные пункты с численностью населения более 1 000 человек;</v>
          </cell>
        </row>
        <row r="286">
          <cell r="A286" t="str">
            <v>08:011:2:3:6</v>
          </cell>
          <cell r="B286" t="str">
            <v>Березовский городской округ</v>
          </cell>
          <cell r="C286">
            <v>6</v>
          </cell>
          <cell r="D286" t="str">
            <v>сельские населенные пункты с численностью населения менее 1 000 человек.</v>
          </cell>
        </row>
        <row r="287">
          <cell r="A287" t="str">
            <v>08:007:2:3:6</v>
          </cell>
          <cell r="B287" t="str">
            <v>Березовский городской округ</v>
          </cell>
          <cell r="C287">
            <v>6</v>
          </cell>
          <cell r="D287" t="str">
            <v>сельские населенные пункты с численностью населения менее 1 000 человек.</v>
          </cell>
        </row>
        <row r="288">
          <cell r="A288" t="str">
            <v>08:013:2:3:6</v>
          </cell>
          <cell r="B288" t="str">
            <v>Березовский городской округ</v>
          </cell>
          <cell r="C288">
            <v>6</v>
          </cell>
          <cell r="D288" t="str">
            <v>сельские населенные пункты с численностью населения менее 1 000 человек.</v>
          </cell>
        </row>
        <row r="289">
          <cell r="A289" t="str">
            <v>08:006:2:3:6</v>
          </cell>
          <cell r="B289" t="str">
            <v>Березовский городской округ</v>
          </cell>
          <cell r="C289">
            <v>6</v>
          </cell>
          <cell r="D289" t="str">
            <v>сельские населенные пункты с численностью населения менее 1 000 человек.</v>
          </cell>
        </row>
        <row r="290">
          <cell r="A290" t="str">
            <v>00:044:0:0:0</v>
          </cell>
          <cell r="B290" t="str">
            <v>Березовский городской округ</v>
          </cell>
          <cell r="C290">
            <v>0</v>
          </cell>
          <cell r="D290" t="str">
            <v>межселенная территория</v>
          </cell>
        </row>
        <row r="291">
          <cell r="A291" t="str">
            <v>08:000:0:0:0</v>
          </cell>
          <cell r="B291" t="str">
            <v>Березовский городской округ</v>
          </cell>
          <cell r="C291">
            <v>0</v>
          </cell>
          <cell r="D291" t="str">
            <v>межселенная территория</v>
          </cell>
        </row>
        <row r="292">
          <cell r="A292" t="str">
            <v>09:001:1:2:4</v>
          </cell>
          <cell r="B292" t="str">
            <v>Бисертский городской округ</v>
          </cell>
          <cell r="C292">
            <v>4</v>
          </cell>
          <cell r="D292" t="str">
            <v>городские населенные пункты с численностью населения менее 50 000 человек;</v>
          </cell>
        </row>
        <row r="293">
          <cell r="A293" t="str">
            <v>09:002:2:4:6</v>
          </cell>
          <cell r="B293" t="str">
            <v>Бисертский городской округ</v>
          </cell>
          <cell r="C293">
            <v>6</v>
          </cell>
          <cell r="D293" t="str">
            <v>сельские населенные пункты с численностью населения менее 1 000 человек.</v>
          </cell>
        </row>
        <row r="294">
          <cell r="A294" t="str">
            <v>09:005:2:3:6</v>
          </cell>
          <cell r="B294" t="str">
            <v>Бисертский городской округ</v>
          </cell>
          <cell r="C294">
            <v>6</v>
          </cell>
          <cell r="D294" t="str">
            <v>сельские населенные пункты с численностью населения менее 1 000 человек.</v>
          </cell>
        </row>
        <row r="295">
          <cell r="A295" t="str">
            <v>09:004:2:3:6</v>
          </cell>
          <cell r="B295" t="str">
            <v>Бисертский городской округ</v>
          </cell>
          <cell r="C295">
            <v>6</v>
          </cell>
          <cell r="D295" t="str">
            <v>сельские населенные пункты с численностью населения менее 1 000 человек.</v>
          </cell>
        </row>
        <row r="296">
          <cell r="A296" t="str">
            <v>09:003:2:3:6</v>
          </cell>
          <cell r="B296" t="str">
            <v>Бисертский городской округ</v>
          </cell>
          <cell r="C296">
            <v>6</v>
          </cell>
          <cell r="D296" t="str">
            <v>сельские населенные пункты с численностью населения менее 1 000 человек.</v>
          </cell>
        </row>
        <row r="297">
          <cell r="A297" t="str">
            <v>09:000:0:0:0</v>
          </cell>
          <cell r="B297" t="str">
            <v>Бисертский городской округ</v>
          </cell>
          <cell r="C297">
            <v>0</v>
          </cell>
          <cell r="D297" t="str">
            <v>межселенная территория</v>
          </cell>
        </row>
        <row r="298">
          <cell r="A298" t="str">
            <v>10:009:2:5:6</v>
          </cell>
          <cell r="B298" t="str">
            <v>Верхнесалдинский городской округ</v>
          </cell>
          <cell r="C298">
            <v>6</v>
          </cell>
          <cell r="D298" t="str">
            <v>сельские населенные пункты с численностью населения менее 1 000 человек.</v>
          </cell>
        </row>
        <row r="299">
          <cell r="A299" t="str">
            <v>10:006:2:3:6</v>
          </cell>
          <cell r="B299" t="str">
            <v>Верхнесалдинский городской округ</v>
          </cell>
          <cell r="C299">
            <v>6</v>
          </cell>
          <cell r="D299" t="str">
            <v>сельские населенные пункты с численностью населения менее 1 000 человек.</v>
          </cell>
        </row>
        <row r="300">
          <cell r="A300" t="str">
            <v>10:014:2:3:6</v>
          </cell>
          <cell r="B300" t="str">
            <v>Верхнесалдинский городской округ</v>
          </cell>
          <cell r="C300">
            <v>6</v>
          </cell>
          <cell r="D300" t="str">
            <v>сельские населенные пункты с численностью населения менее 1 000 человек.</v>
          </cell>
        </row>
        <row r="301">
          <cell r="A301" t="str">
            <v>10:011:2:5:6</v>
          </cell>
          <cell r="B301" t="str">
            <v>Верхнесалдинский городской округ</v>
          </cell>
          <cell r="C301">
            <v>6</v>
          </cell>
          <cell r="D301" t="str">
            <v>сельские населенные пункты с численностью населения менее 1 000 человек.</v>
          </cell>
        </row>
        <row r="302">
          <cell r="A302" t="str">
            <v>10:015:2:3:6</v>
          </cell>
          <cell r="B302" t="str">
            <v>Верхнесалдинский городской округ</v>
          </cell>
          <cell r="C302">
            <v>6</v>
          </cell>
          <cell r="D302" t="str">
            <v>сельские населенные пункты с численностью населения менее 1 000 человек.</v>
          </cell>
        </row>
        <row r="303">
          <cell r="A303" t="str">
            <v>10:007:2:3:6</v>
          </cell>
          <cell r="B303" t="str">
            <v>Верхнесалдинский городской округ</v>
          </cell>
          <cell r="C303">
            <v>6</v>
          </cell>
          <cell r="D303" t="str">
            <v>сельские населенные пункты с численностью населения менее 1 000 человек.</v>
          </cell>
        </row>
        <row r="304">
          <cell r="A304" t="str">
            <v>10:016:2:3:6</v>
          </cell>
          <cell r="B304" t="str">
            <v>Верхнесалдинский городской округ</v>
          </cell>
          <cell r="C304">
            <v>6</v>
          </cell>
          <cell r="D304" t="str">
            <v>сельские населенные пункты с численностью населения менее 1 000 человек.</v>
          </cell>
        </row>
        <row r="305">
          <cell r="A305" t="str">
            <v>10:018:2:3:6</v>
          </cell>
          <cell r="B305" t="str">
            <v>Верхнесалдинский городской округ</v>
          </cell>
          <cell r="C305">
            <v>6</v>
          </cell>
          <cell r="D305" t="str">
            <v>сельские населенные пункты с численностью населения менее 1 000 человек.</v>
          </cell>
        </row>
        <row r="306">
          <cell r="A306" t="str">
            <v>10:010:2:5:6</v>
          </cell>
          <cell r="B306" t="str">
            <v>Верхнесалдинский городской округ</v>
          </cell>
          <cell r="C306">
            <v>6</v>
          </cell>
          <cell r="D306" t="str">
            <v>сельские населенные пункты с численностью населения менее 1 000 человек.</v>
          </cell>
        </row>
        <row r="307">
          <cell r="A307" t="str">
            <v>10:003:2:3:6</v>
          </cell>
          <cell r="B307" t="str">
            <v>Верхнесалдинский городской округ</v>
          </cell>
          <cell r="C307">
            <v>6</v>
          </cell>
          <cell r="D307" t="str">
            <v>сельские населенные пункты с численностью населения менее 1 000 человек.</v>
          </cell>
        </row>
        <row r="308">
          <cell r="A308" t="str">
            <v>10:008:2:3:6</v>
          </cell>
          <cell r="B308" t="str">
            <v>Верхнесалдинский городской округ</v>
          </cell>
          <cell r="C308">
            <v>6</v>
          </cell>
          <cell r="D308" t="str">
            <v>сельские населенные пункты с численностью населения менее 1 000 человек.</v>
          </cell>
        </row>
        <row r="309">
          <cell r="A309" t="str">
            <v>10:001:2:5:6</v>
          </cell>
          <cell r="B309" t="str">
            <v>Верхнесалдинский городской округ</v>
          </cell>
          <cell r="C309">
            <v>6</v>
          </cell>
          <cell r="D309" t="str">
            <v>сельские населенные пункты с численностью населения менее 1 000 человек.</v>
          </cell>
        </row>
        <row r="310">
          <cell r="A310" t="str">
            <v>10:012:2:5:6</v>
          </cell>
          <cell r="B310" t="str">
            <v>Верхнесалдинский городской округ</v>
          </cell>
          <cell r="C310">
            <v>6</v>
          </cell>
          <cell r="D310" t="str">
            <v>сельские населенные пункты с численностью населения менее 1 000 человек.</v>
          </cell>
        </row>
        <row r="311">
          <cell r="A311" t="str">
            <v>10:002:2:3:6</v>
          </cell>
          <cell r="B311" t="str">
            <v>Верхнесалдинский городской округ</v>
          </cell>
          <cell r="C311">
            <v>6</v>
          </cell>
          <cell r="D311" t="str">
            <v>сельские населенные пункты с численностью населения менее 1 000 человек.</v>
          </cell>
        </row>
        <row r="312">
          <cell r="A312" t="str">
            <v>10:004:1:1:4</v>
          </cell>
          <cell r="B312" t="str">
            <v>Верхнесалдинский городской округ</v>
          </cell>
          <cell r="C312">
            <v>4</v>
          </cell>
          <cell r="D312" t="str">
            <v>городские населенные пункты с численностью населения менее 50 000 человек;</v>
          </cell>
        </row>
        <row r="313">
          <cell r="A313" t="str">
            <v>10:017:2:5:6</v>
          </cell>
          <cell r="B313" t="str">
            <v>Верхнесалдинский городской округ</v>
          </cell>
          <cell r="C313">
            <v>6</v>
          </cell>
          <cell r="D313" t="str">
            <v>сельские населенные пункты с численностью населения менее 1 000 человек.</v>
          </cell>
        </row>
        <row r="314">
          <cell r="A314" t="str">
            <v>10:013:2:5:6</v>
          </cell>
          <cell r="B314" t="str">
            <v>Верхнесалдинский городской округ</v>
          </cell>
          <cell r="C314">
            <v>6</v>
          </cell>
          <cell r="D314" t="str">
            <v>сельские населенные пункты с численностью населения менее 1 000 человек.</v>
          </cell>
        </row>
        <row r="315">
          <cell r="A315" t="str">
            <v>10:019:2:3:6</v>
          </cell>
          <cell r="B315" t="str">
            <v>Верхнесалдинский городской округ</v>
          </cell>
          <cell r="C315">
            <v>6</v>
          </cell>
          <cell r="D315" t="str">
            <v>сельские населенные пункты с численностью населения менее 1 000 человек.</v>
          </cell>
        </row>
        <row r="316">
          <cell r="A316" t="str">
            <v>10:005:2:3:6</v>
          </cell>
          <cell r="B316" t="str">
            <v>Верхнесалдинский городской округ</v>
          </cell>
          <cell r="C316">
            <v>6</v>
          </cell>
          <cell r="D316" t="str">
            <v>сельские населенные пункты с численностью населения менее 1 000 человек.</v>
          </cell>
        </row>
        <row r="317">
          <cell r="A317" t="str">
            <v>10:000:0:0:0</v>
          </cell>
          <cell r="B317" t="str">
            <v>Верхнесалдинский городской округ</v>
          </cell>
          <cell r="C317">
            <v>0</v>
          </cell>
          <cell r="D317" t="str">
            <v>межселенная территория</v>
          </cell>
        </row>
        <row r="318">
          <cell r="A318" t="str">
            <v>11:002:2:3:6</v>
          </cell>
          <cell r="B318" t="str">
            <v>Волчанский городской округ</v>
          </cell>
          <cell r="C318">
            <v>6</v>
          </cell>
          <cell r="D318" t="str">
            <v>сельские населенные пункты с численностью населения менее 1 000 человек.</v>
          </cell>
        </row>
        <row r="319">
          <cell r="A319" t="str">
            <v>11:001:1:1:4</v>
          </cell>
          <cell r="B319" t="str">
            <v>Волчанский городской округ</v>
          </cell>
          <cell r="C319">
            <v>4</v>
          </cell>
          <cell r="D319" t="str">
            <v>городские населенные пункты с численностью населения менее 50 000 человек;</v>
          </cell>
        </row>
        <row r="320">
          <cell r="A320" t="str">
            <v>11:003:2:5:6</v>
          </cell>
          <cell r="B320" t="str">
            <v>Волчанский городской округ</v>
          </cell>
          <cell r="C320">
            <v>6</v>
          </cell>
          <cell r="D320" t="str">
            <v>сельские населенные пункты с численностью населения менее 1 000 человек.</v>
          </cell>
        </row>
        <row r="321">
          <cell r="A321" t="str">
            <v>11:000:0:0:0</v>
          </cell>
          <cell r="B321" t="str">
            <v>Волчанский городской округ</v>
          </cell>
          <cell r="C321">
            <v>0</v>
          </cell>
          <cell r="D321" t="str">
            <v>межселенная территория</v>
          </cell>
        </row>
        <row r="322">
          <cell r="A322" t="str">
            <v>12:013:2:5:6</v>
          </cell>
          <cell r="B322" t="str">
            <v>Гаринский городской округ</v>
          </cell>
          <cell r="C322">
            <v>6</v>
          </cell>
          <cell r="D322" t="str">
            <v>сельские населенные пункты с численностью населения менее 1 000 человек.</v>
          </cell>
        </row>
        <row r="323">
          <cell r="A323" t="str">
            <v>12:012:2:3:6</v>
          </cell>
          <cell r="B323" t="str">
            <v>Гаринский городской округ</v>
          </cell>
          <cell r="C323">
            <v>6</v>
          </cell>
          <cell r="D323" t="str">
            <v>сельские населенные пункты с численностью населения менее 1 000 человек.</v>
          </cell>
        </row>
        <row r="324">
          <cell r="A324" t="str">
            <v>12:005:2:5:6</v>
          </cell>
          <cell r="B324" t="str">
            <v>Гаринский городской округ</v>
          </cell>
          <cell r="C324">
            <v>6</v>
          </cell>
          <cell r="D324" t="str">
            <v>сельские населенные пункты с численностью населения менее 1 000 человек.</v>
          </cell>
        </row>
        <row r="325">
          <cell r="A325" t="str">
            <v>12:030:2:5:6</v>
          </cell>
          <cell r="B325" t="str">
            <v>Гаринский городской округ</v>
          </cell>
          <cell r="C325">
            <v>6</v>
          </cell>
          <cell r="D325" t="str">
            <v>сельские населенные пункты с численностью населения менее 1 000 человек.</v>
          </cell>
        </row>
        <row r="326">
          <cell r="A326" t="str">
            <v>12:011:2:5:6</v>
          </cell>
          <cell r="B326" t="str">
            <v>Гаринский городской округ</v>
          </cell>
          <cell r="C326">
            <v>6</v>
          </cell>
          <cell r="D326" t="str">
            <v>сельские населенные пункты с численностью населения менее 1 000 человек.</v>
          </cell>
        </row>
        <row r="327">
          <cell r="A327" t="str">
            <v>12:042:2:5:6</v>
          </cell>
          <cell r="B327" t="str">
            <v>Гаринский городской округ</v>
          </cell>
          <cell r="C327">
            <v>6</v>
          </cell>
          <cell r="D327" t="str">
            <v>сельские населенные пункты с численностью населения менее 1 000 человек.</v>
          </cell>
        </row>
        <row r="328">
          <cell r="A328" t="str">
            <v>12:029:2:3:6</v>
          </cell>
          <cell r="B328" t="str">
            <v>Гаринский городской округ</v>
          </cell>
          <cell r="C328">
            <v>6</v>
          </cell>
          <cell r="D328" t="str">
            <v>сельские населенные пункты с численностью населения менее 1 000 человек.</v>
          </cell>
        </row>
        <row r="329">
          <cell r="A329" t="str">
            <v>12:019:2:3:6</v>
          </cell>
          <cell r="B329" t="str">
            <v>Гаринский городской округ</v>
          </cell>
          <cell r="C329">
            <v>6</v>
          </cell>
          <cell r="D329" t="str">
            <v>сельские населенные пункты с численностью населения менее 1 000 человек.</v>
          </cell>
        </row>
        <row r="330">
          <cell r="A330" t="str">
            <v>12:008:2:4:6</v>
          </cell>
          <cell r="B330" t="str">
            <v>Гаринский городской округ</v>
          </cell>
          <cell r="C330">
            <v>6</v>
          </cell>
          <cell r="D330" t="str">
            <v>сельские населенные пункты с численностью населения менее 1 000 человек.</v>
          </cell>
        </row>
        <row r="331">
          <cell r="A331" t="str">
            <v>12:022:2:5:6</v>
          </cell>
          <cell r="B331" t="str">
            <v>Гаринский городской округ</v>
          </cell>
          <cell r="C331">
            <v>6</v>
          </cell>
          <cell r="D331" t="str">
            <v>сельские населенные пункты с численностью населения менее 1 000 человек.</v>
          </cell>
        </row>
        <row r="332">
          <cell r="A332" t="str">
            <v>12:039:2:3:6</v>
          </cell>
          <cell r="B332" t="str">
            <v>Гаринский городской округ</v>
          </cell>
          <cell r="C332">
            <v>6</v>
          </cell>
          <cell r="D332" t="str">
            <v>сельские населенные пункты с численностью населения менее 1 000 человек.</v>
          </cell>
        </row>
        <row r="333">
          <cell r="A333" t="str">
            <v>12:009:2:3:6</v>
          </cell>
          <cell r="B333" t="str">
            <v>Гаринский городской округ</v>
          </cell>
          <cell r="C333">
            <v>6</v>
          </cell>
          <cell r="D333" t="str">
            <v>сельские населенные пункты с численностью населения менее 1 000 человек.</v>
          </cell>
        </row>
        <row r="334">
          <cell r="A334" t="str">
            <v>12:041:2:4:6</v>
          </cell>
          <cell r="B334" t="str">
            <v>Гаринский городской округ</v>
          </cell>
          <cell r="C334">
            <v>6</v>
          </cell>
          <cell r="D334" t="str">
            <v>сельские населенные пункты с численностью населения менее 1 000 человек.</v>
          </cell>
        </row>
        <row r="335">
          <cell r="A335" t="str">
            <v>12:031:2:5:6</v>
          </cell>
          <cell r="B335" t="str">
            <v>Гаринский городской округ</v>
          </cell>
          <cell r="C335">
            <v>6</v>
          </cell>
          <cell r="D335" t="str">
            <v>сельские населенные пункты с численностью населения менее 1 000 человек.</v>
          </cell>
        </row>
        <row r="336">
          <cell r="A336" t="str">
            <v>12:017:2:5:6</v>
          </cell>
          <cell r="B336" t="str">
            <v>Гаринский городской округ</v>
          </cell>
          <cell r="C336">
            <v>6</v>
          </cell>
          <cell r="D336" t="str">
            <v>сельские населенные пункты с численностью населения менее 1 000 человек.</v>
          </cell>
        </row>
        <row r="337">
          <cell r="A337" t="str">
            <v>12:016:2:5:6</v>
          </cell>
          <cell r="B337" t="str">
            <v>Гаринский городской округ</v>
          </cell>
          <cell r="C337">
            <v>6</v>
          </cell>
          <cell r="D337" t="str">
            <v>сельские населенные пункты с численностью населения менее 1 000 человек.</v>
          </cell>
        </row>
        <row r="338">
          <cell r="A338" t="str">
            <v>12:014:2:5:6</v>
          </cell>
          <cell r="B338" t="str">
            <v>Гаринский городской округ</v>
          </cell>
          <cell r="C338">
            <v>6</v>
          </cell>
          <cell r="D338" t="str">
            <v>сельские населенные пункты с численностью населения менее 1 000 человек.</v>
          </cell>
        </row>
        <row r="339">
          <cell r="A339" t="str">
            <v>12:020:2:5:6</v>
          </cell>
          <cell r="B339" t="str">
            <v>Гаринский городской округ</v>
          </cell>
          <cell r="C339">
            <v>6</v>
          </cell>
          <cell r="D339" t="str">
            <v>сельские населенные пункты с численностью населения менее 1 000 человек.</v>
          </cell>
        </row>
        <row r="340">
          <cell r="A340" t="str">
            <v>00:031:0:0:0</v>
          </cell>
          <cell r="B340" t="str">
            <v>Гаринский городской округ</v>
          </cell>
          <cell r="C340">
            <v>0</v>
          </cell>
          <cell r="D340" t="str">
            <v>межселенная территория</v>
          </cell>
        </row>
        <row r="341">
          <cell r="A341" t="str">
            <v>12:033:2:5:6</v>
          </cell>
          <cell r="B341" t="str">
            <v>Гаринский городской округ</v>
          </cell>
          <cell r="C341">
            <v>6</v>
          </cell>
          <cell r="D341" t="str">
            <v>сельские населенные пункты с численностью населения менее 1 000 человек.</v>
          </cell>
        </row>
        <row r="342">
          <cell r="A342" t="str">
            <v>12:040:2:5:6</v>
          </cell>
          <cell r="B342" t="str">
            <v>Гаринский городской округ</v>
          </cell>
          <cell r="C342">
            <v>6</v>
          </cell>
          <cell r="D342" t="str">
            <v>сельские населенные пункты с численностью населения менее 1 000 человек.</v>
          </cell>
        </row>
        <row r="343">
          <cell r="A343" t="str">
            <v>12:038:2:3:6</v>
          </cell>
          <cell r="B343" t="str">
            <v>Гаринский городской округ</v>
          </cell>
          <cell r="C343">
            <v>6</v>
          </cell>
          <cell r="D343" t="str">
            <v>сельские населенные пункты с численностью населения менее 1 000 человек.</v>
          </cell>
        </row>
        <row r="344">
          <cell r="A344" t="str">
            <v>12:036:2:5:6</v>
          </cell>
          <cell r="B344" t="str">
            <v>Гаринский городской округ</v>
          </cell>
          <cell r="C344">
            <v>6</v>
          </cell>
          <cell r="D344" t="str">
            <v>сельские населенные пункты с численностью населения менее 1 000 человек.</v>
          </cell>
        </row>
        <row r="345">
          <cell r="A345" t="str">
            <v>12:024:2:5:6</v>
          </cell>
          <cell r="B345" t="str">
            <v>Гаринский городской округ</v>
          </cell>
          <cell r="C345">
            <v>6</v>
          </cell>
          <cell r="D345" t="str">
            <v>сельские населенные пункты с численностью населения менее 1 000 человек.</v>
          </cell>
        </row>
        <row r="346">
          <cell r="A346" t="str">
            <v>12:026:2:5:6</v>
          </cell>
          <cell r="B346" t="str">
            <v>Гаринский городской округ</v>
          </cell>
          <cell r="C346">
            <v>6</v>
          </cell>
          <cell r="D346" t="str">
            <v>сельские населенные пункты с численностью населения менее 1 000 человек.</v>
          </cell>
        </row>
        <row r="347">
          <cell r="A347" t="str">
            <v>12:032:2:5:6</v>
          </cell>
          <cell r="B347" t="str">
            <v>Гаринский городской округ</v>
          </cell>
          <cell r="C347">
            <v>6</v>
          </cell>
          <cell r="D347" t="str">
            <v>сельские населенные пункты с численностью населения менее 1 000 человек.</v>
          </cell>
        </row>
        <row r="348">
          <cell r="A348" t="str">
            <v>00:032:0:0:0</v>
          </cell>
          <cell r="B348" t="str">
            <v>Гаринский городской округ</v>
          </cell>
          <cell r="C348">
            <v>0</v>
          </cell>
          <cell r="D348" t="str">
            <v>межселенная территория</v>
          </cell>
        </row>
        <row r="349">
          <cell r="A349" t="str">
            <v>12:002:2:5:6</v>
          </cell>
          <cell r="B349" t="str">
            <v>Гаринский городской округ</v>
          </cell>
          <cell r="C349">
            <v>6</v>
          </cell>
          <cell r="D349" t="str">
            <v>сельские населенные пункты с численностью населения менее 1 000 человек.</v>
          </cell>
        </row>
        <row r="350">
          <cell r="A350" t="str">
            <v>00:033:0:0:0</v>
          </cell>
          <cell r="B350" t="str">
            <v>Гаринский городской округ</v>
          </cell>
          <cell r="C350">
            <v>0</v>
          </cell>
          <cell r="D350" t="str">
            <v>межселенная территория</v>
          </cell>
        </row>
        <row r="351">
          <cell r="A351" t="str">
            <v>12:025:2:5:6</v>
          </cell>
          <cell r="B351" t="str">
            <v>Гаринский городской округ</v>
          </cell>
          <cell r="C351">
            <v>6</v>
          </cell>
          <cell r="D351" t="str">
            <v>сельские населенные пункты с численностью населения менее 1 000 человек.</v>
          </cell>
        </row>
        <row r="352">
          <cell r="A352" t="str">
            <v>12:035:2:3:6</v>
          </cell>
          <cell r="B352" t="str">
            <v>Гаринский городской округ</v>
          </cell>
          <cell r="C352">
            <v>6</v>
          </cell>
          <cell r="D352" t="str">
            <v>сельские населенные пункты с численностью населения менее 1 000 человек.</v>
          </cell>
        </row>
        <row r="353">
          <cell r="A353" t="str">
            <v>12:028:2:3:6</v>
          </cell>
          <cell r="B353" t="str">
            <v>Гаринский городской округ</v>
          </cell>
          <cell r="C353">
            <v>6</v>
          </cell>
          <cell r="D353" t="str">
            <v>сельские населенные пункты с численностью населения менее 1 000 человек.</v>
          </cell>
        </row>
        <row r="354">
          <cell r="A354" t="str">
            <v>12:010:2:5:6</v>
          </cell>
          <cell r="B354" t="str">
            <v>Гаринский городской округ</v>
          </cell>
          <cell r="C354">
            <v>6</v>
          </cell>
          <cell r="D354" t="str">
            <v>сельские населенные пункты с численностью населения менее 1 000 человек.</v>
          </cell>
        </row>
        <row r="355">
          <cell r="A355" t="str">
            <v>12:007:2:3:6</v>
          </cell>
          <cell r="B355" t="str">
            <v>Гаринский городской округ</v>
          </cell>
          <cell r="C355">
            <v>6</v>
          </cell>
          <cell r="D355" t="str">
            <v>сельские населенные пункты с численностью населения менее 1 000 человек.</v>
          </cell>
        </row>
        <row r="356">
          <cell r="A356" t="str">
            <v>12:037:2:5:6</v>
          </cell>
          <cell r="B356" t="str">
            <v>Гаринский городской округ</v>
          </cell>
          <cell r="C356">
            <v>6</v>
          </cell>
          <cell r="D356" t="str">
            <v>сельские населенные пункты с численностью населения менее 1 000 человек.</v>
          </cell>
        </row>
        <row r="357">
          <cell r="A357" t="str">
            <v>12:001:2:5:6</v>
          </cell>
          <cell r="B357" t="str">
            <v>Гаринский городской округ</v>
          </cell>
          <cell r="C357">
            <v>6</v>
          </cell>
          <cell r="D357" t="str">
            <v>сельские населенные пункты с численностью населения менее 1 000 человек.</v>
          </cell>
        </row>
        <row r="358">
          <cell r="A358" t="str">
            <v>12:018:2:5:6</v>
          </cell>
          <cell r="B358" t="str">
            <v>Гаринский городской округ</v>
          </cell>
          <cell r="C358">
            <v>6</v>
          </cell>
          <cell r="D358" t="str">
            <v>сельские населенные пункты с численностью населения менее 1 000 человек.</v>
          </cell>
        </row>
        <row r="359">
          <cell r="A359" t="str">
            <v>12:034:2:5:6</v>
          </cell>
          <cell r="B359" t="str">
            <v>Гаринский городской округ</v>
          </cell>
          <cell r="C359">
            <v>6</v>
          </cell>
          <cell r="D359" t="str">
            <v>сельские населенные пункты с численностью населения менее 1 000 человек.</v>
          </cell>
        </row>
        <row r="360">
          <cell r="A360" t="str">
            <v>12:021:2:5:6</v>
          </cell>
          <cell r="B360" t="str">
            <v>Гаринский городской округ</v>
          </cell>
          <cell r="C360">
            <v>6</v>
          </cell>
          <cell r="D360" t="str">
            <v>сельские населенные пункты с численностью населения менее 1 000 человек.</v>
          </cell>
        </row>
        <row r="361">
          <cell r="A361" t="str">
            <v>12:027:2:5:6</v>
          </cell>
          <cell r="B361" t="str">
            <v>Гаринский городской округ</v>
          </cell>
          <cell r="C361">
            <v>6</v>
          </cell>
          <cell r="D361" t="str">
            <v>сельские населенные пункты с численностью населения менее 1 000 человек.</v>
          </cell>
        </row>
        <row r="362">
          <cell r="A362" t="str">
            <v>12:003:2:4:6</v>
          </cell>
          <cell r="B362" t="str">
            <v>Гаринский городской округ</v>
          </cell>
          <cell r="C362">
            <v>6</v>
          </cell>
          <cell r="D362" t="str">
            <v>сельские населенные пункты с численностью населения менее 1 000 человек.</v>
          </cell>
        </row>
        <row r="363">
          <cell r="A363" t="str">
            <v>12:015:2:5:6</v>
          </cell>
          <cell r="B363" t="str">
            <v>Гаринский городской округ</v>
          </cell>
          <cell r="C363">
            <v>6</v>
          </cell>
          <cell r="D363" t="str">
            <v>сельские населенные пункты с численностью населения менее 1 000 человек.</v>
          </cell>
        </row>
        <row r="364">
          <cell r="A364" t="str">
            <v>12:006:1:2:4</v>
          </cell>
          <cell r="B364" t="str">
            <v>Гаринский городской округ</v>
          </cell>
          <cell r="C364">
            <v>4</v>
          </cell>
          <cell r="D364" t="str">
            <v>городские населенные пункты с численностью населения менее 50 000 человек;</v>
          </cell>
        </row>
        <row r="365">
          <cell r="A365" t="str">
            <v>12:023:2:5:6</v>
          </cell>
          <cell r="B365" t="str">
            <v>Гаринский городской округ</v>
          </cell>
          <cell r="C365">
            <v>6</v>
          </cell>
          <cell r="D365" t="str">
            <v>сельские населенные пункты с численностью населения менее 1 000 человек.</v>
          </cell>
        </row>
        <row r="366">
          <cell r="A366" t="str">
            <v>12:004:2:3:6</v>
          </cell>
          <cell r="B366" t="str">
            <v>Гаринский городской округ</v>
          </cell>
          <cell r="C366">
            <v>6</v>
          </cell>
          <cell r="D366" t="str">
            <v>сельские населенные пункты с численностью населения менее 1 000 человек.</v>
          </cell>
        </row>
        <row r="367">
          <cell r="A367" t="str">
            <v>12:000:0:0:0</v>
          </cell>
          <cell r="B367" t="str">
            <v>Гаринский городской округ</v>
          </cell>
          <cell r="C367">
            <v>0</v>
          </cell>
          <cell r="D367" t="str">
            <v>межселенная территория</v>
          </cell>
        </row>
        <row r="368">
          <cell r="A368" t="str">
            <v>13:055:2:5:6</v>
          </cell>
          <cell r="B368" t="str">
            <v>Горноуральский городской округ</v>
          </cell>
          <cell r="C368">
            <v>6</v>
          </cell>
          <cell r="D368" t="str">
            <v>сельские населенные пункты с численностью населения менее 1 000 человек.</v>
          </cell>
        </row>
        <row r="369">
          <cell r="A369" t="str">
            <v>13:006:2:4:6</v>
          </cell>
          <cell r="B369" t="str">
            <v>Горноуральский городской округ</v>
          </cell>
          <cell r="C369">
            <v>6</v>
          </cell>
          <cell r="D369" t="str">
            <v>сельские населенные пункты с численностью населения менее 1 000 человек.</v>
          </cell>
        </row>
        <row r="370">
          <cell r="A370" t="str">
            <v>13:047:2:3:6</v>
          </cell>
          <cell r="B370" t="str">
            <v>Горноуральский городской округ</v>
          </cell>
          <cell r="C370">
            <v>6</v>
          </cell>
          <cell r="D370" t="str">
            <v>сельские населенные пункты с численностью населения менее 1 000 человек.</v>
          </cell>
        </row>
        <row r="371">
          <cell r="A371" t="str">
            <v>13:023:2:3:6</v>
          </cell>
          <cell r="B371" t="str">
            <v>Горноуральский городской округ</v>
          </cell>
          <cell r="C371">
            <v>6</v>
          </cell>
          <cell r="D371" t="str">
            <v>сельские населенные пункты с численностью населения менее 1 000 человек.</v>
          </cell>
        </row>
        <row r="372">
          <cell r="A372" t="str">
            <v>13:025:2:3:6</v>
          </cell>
          <cell r="B372" t="str">
            <v>Горноуральский городской округ</v>
          </cell>
          <cell r="C372">
            <v>6</v>
          </cell>
          <cell r="D372" t="str">
            <v>сельские населенные пункты с численностью населения менее 1 000 человек.</v>
          </cell>
        </row>
        <row r="373">
          <cell r="A373" t="str">
            <v>13:002:2:3:6</v>
          </cell>
          <cell r="B373" t="str">
            <v>Горноуральский городской округ</v>
          </cell>
          <cell r="C373">
            <v>6</v>
          </cell>
          <cell r="D373" t="str">
            <v>сельские населенные пункты с численностью населения менее 1 000 человек.</v>
          </cell>
        </row>
        <row r="374">
          <cell r="A374" t="str">
            <v>13:051:2:5:6</v>
          </cell>
          <cell r="B374" t="str">
            <v>Горноуральский городской округ</v>
          </cell>
          <cell r="C374">
            <v>6</v>
          </cell>
          <cell r="D374" t="str">
            <v>сельские населенные пункты с численностью населения менее 1 000 человек.</v>
          </cell>
        </row>
        <row r="375">
          <cell r="A375" t="str">
            <v>13:056:2:5:6</v>
          </cell>
          <cell r="B375" t="str">
            <v>Горноуральский городской округ</v>
          </cell>
          <cell r="C375">
            <v>6</v>
          </cell>
          <cell r="D375" t="str">
            <v>сельские населенные пункты с численностью населения менее 1 000 человек.</v>
          </cell>
        </row>
        <row r="376">
          <cell r="A376" t="str">
            <v>13:050:2:5:6</v>
          </cell>
          <cell r="B376" t="str">
            <v>Горноуральский городской округ</v>
          </cell>
          <cell r="C376">
            <v>6</v>
          </cell>
          <cell r="D376" t="str">
            <v>сельские населенные пункты с численностью населения менее 1 000 человек.</v>
          </cell>
        </row>
        <row r="377">
          <cell r="A377" t="str">
            <v>13:053:2:5:6</v>
          </cell>
          <cell r="B377" t="str">
            <v>Горноуральский городской округ</v>
          </cell>
          <cell r="C377">
            <v>6</v>
          </cell>
          <cell r="D377" t="str">
            <v>сельские населенные пункты с численностью населения менее 1 000 человек.</v>
          </cell>
        </row>
        <row r="378">
          <cell r="A378" t="str">
            <v>13:016:2:5:6</v>
          </cell>
          <cell r="B378" t="str">
            <v>Горноуральский городской округ</v>
          </cell>
          <cell r="C378">
            <v>6</v>
          </cell>
          <cell r="D378" t="str">
            <v>сельские населенные пункты с численностью населения менее 1 000 человек.</v>
          </cell>
        </row>
        <row r="379">
          <cell r="A379" t="str">
            <v>13:054:2:5:6</v>
          </cell>
          <cell r="B379" t="str">
            <v>Горноуральский городской округ</v>
          </cell>
          <cell r="C379">
            <v>6</v>
          </cell>
          <cell r="D379" t="str">
            <v>сельские населенные пункты с численностью населения менее 1 000 человек.</v>
          </cell>
        </row>
        <row r="380">
          <cell r="A380" t="str">
            <v>13:020:2:5:6</v>
          </cell>
          <cell r="B380" t="str">
            <v>Горноуральский городской округ</v>
          </cell>
          <cell r="C380">
            <v>6</v>
          </cell>
          <cell r="D380" t="str">
            <v>сельские населенные пункты с численностью населения менее 1 000 человек.</v>
          </cell>
        </row>
        <row r="381">
          <cell r="A381" t="str">
            <v>13:028:2:5:6</v>
          </cell>
          <cell r="B381" t="str">
            <v>Горноуральский городской округ</v>
          </cell>
          <cell r="C381">
            <v>6</v>
          </cell>
          <cell r="D381" t="str">
            <v>сельские населенные пункты с численностью населения менее 1 000 человек.</v>
          </cell>
        </row>
        <row r="382">
          <cell r="A382" t="str">
            <v>13:018:2:5:6</v>
          </cell>
          <cell r="B382" t="str">
            <v>Горноуральский городской округ</v>
          </cell>
          <cell r="C382">
            <v>6</v>
          </cell>
          <cell r="D382" t="str">
            <v>сельские населенные пункты с численностью населения менее 1 000 человек.</v>
          </cell>
        </row>
        <row r="383">
          <cell r="A383" t="str">
            <v>13:045:2:5:6</v>
          </cell>
          <cell r="B383" t="str">
            <v>Горноуральский городской округ</v>
          </cell>
          <cell r="C383">
            <v>6</v>
          </cell>
          <cell r="D383" t="str">
            <v>сельские населенные пункты с численностью населения менее 1 000 человек.</v>
          </cell>
        </row>
        <row r="384">
          <cell r="A384" t="str">
            <v>13:046:2:5:6</v>
          </cell>
          <cell r="B384" t="str">
            <v>Горноуральский городской округ</v>
          </cell>
          <cell r="C384">
            <v>6</v>
          </cell>
          <cell r="D384" t="str">
            <v>сельские населенные пункты с численностью населения менее 1 000 человек.</v>
          </cell>
        </row>
        <row r="385">
          <cell r="A385" t="str">
            <v>13:027:2:4:6</v>
          </cell>
          <cell r="B385" t="str">
            <v>Горноуральский городской округ</v>
          </cell>
          <cell r="C385">
            <v>6</v>
          </cell>
          <cell r="D385" t="str">
            <v>сельские населенные пункты с численностью населения менее 1 000 человек.</v>
          </cell>
        </row>
        <row r="386">
          <cell r="A386" t="str">
            <v>13:003:2:4:6</v>
          </cell>
          <cell r="B386" t="str">
            <v>Горноуральский городской округ</v>
          </cell>
          <cell r="C386">
            <v>6</v>
          </cell>
          <cell r="D386" t="str">
            <v>сельские населенные пункты с численностью населения менее 1 000 человек.</v>
          </cell>
        </row>
        <row r="387">
          <cell r="A387" t="str">
            <v>13:031:2:3:6</v>
          </cell>
          <cell r="B387" t="str">
            <v>Горноуральский городской округ</v>
          </cell>
          <cell r="C387">
            <v>6</v>
          </cell>
          <cell r="D387" t="str">
            <v>сельские населенные пункты с численностью населения менее 1 000 человек.</v>
          </cell>
        </row>
        <row r="388">
          <cell r="A388" t="str">
            <v>13:039:2:3:6</v>
          </cell>
          <cell r="B388" t="str">
            <v>Горноуральский городской округ</v>
          </cell>
          <cell r="C388">
            <v>6</v>
          </cell>
          <cell r="D388" t="str">
            <v>сельские населенные пункты с численностью населения менее 1 000 человек.</v>
          </cell>
        </row>
        <row r="389">
          <cell r="A389" t="str">
            <v>13:001:2:5:6</v>
          </cell>
          <cell r="B389" t="str">
            <v>Горноуральский городской округ</v>
          </cell>
          <cell r="C389">
            <v>6</v>
          </cell>
          <cell r="D389" t="str">
            <v>сельские населенные пункты с численностью населения менее 1 000 человек.</v>
          </cell>
        </row>
        <row r="390">
          <cell r="A390" t="str">
            <v>13:011:2:3:6</v>
          </cell>
          <cell r="B390" t="str">
            <v>Горноуральский городской округ</v>
          </cell>
          <cell r="C390">
            <v>6</v>
          </cell>
          <cell r="D390" t="str">
            <v>сельские населенные пункты с численностью населения менее 1 000 человек.</v>
          </cell>
        </row>
        <row r="391">
          <cell r="A391" t="str">
            <v>13:044:2:3:6</v>
          </cell>
          <cell r="B391" t="str">
            <v>Горноуральский городской округ</v>
          </cell>
          <cell r="C391">
            <v>6</v>
          </cell>
          <cell r="D391" t="str">
            <v>сельские населенные пункты с численностью населения менее 1 000 человек.</v>
          </cell>
        </row>
        <row r="392">
          <cell r="A392" t="str">
            <v>13:015:2:4:6</v>
          </cell>
          <cell r="B392" t="str">
            <v>Горноуральский городской округ</v>
          </cell>
          <cell r="C392">
            <v>6</v>
          </cell>
          <cell r="D392" t="str">
            <v>сельские населенные пункты с численностью населения менее 1 000 человек.</v>
          </cell>
        </row>
        <row r="393">
          <cell r="A393" t="str">
            <v>13:059:2:5:6</v>
          </cell>
          <cell r="B393" t="str">
            <v>Горноуральский городской округ</v>
          </cell>
          <cell r="C393">
            <v>6</v>
          </cell>
          <cell r="D393" t="str">
            <v>сельские населенные пункты с численностью населения менее 1 000 человек.</v>
          </cell>
        </row>
        <row r="394">
          <cell r="A394" t="str">
            <v>13:005:2:5:6</v>
          </cell>
          <cell r="B394" t="str">
            <v>Горноуральский городской округ</v>
          </cell>
          <cell r="C394">
            <v>6</v>
          </cell>
          <cell r="D394" t="str">
            <v>сельские населенные пункты с численностью населения менее 1 000 человек.</v>
          </cell>
        </row>
        <row r="395">
          <cell r="A395" t="str">
            <v>13:029:2:5:6</v>
          </cell>
          <cell r="B395" t="str">
            <v>Горноуральский городской округ</v>
          </cell>
          <cell r="C395">
            <v>6</v>
          </cell>
          <cell r="D395" t="str">
            <v>сельские населенные пункты с численностью населения менее 1 000 человек.</v>
          </cell>
        </row>
        <row r="396">
          <cell r="A396" t="str">
            <v>13:030:2:4:6</v>
          </cell>
          <cell r="B396" t="str">
            <v>Горноуральский городской округ</v>
          </cell>
          <cell r="C396">
            <v>6</v>
          </cell>
          <cell r="D396" t="str">
            <v>сельские населенные пункты с численностью населения менее 1 000 человек.</v>
          </cell>
        </row>
        <row r="397">
          <cell r="A397" t="str">
            <v>13:026:2:5:6</v>
          </cell>
          <cell r="B397" t="str">
            <v>Горноуральский городской округ</v>
          </cell>
          <cell r="C397">
            <v>6</v>
          </cell>
          <cell r="D397" t="str">
            <v>сельские населенные пункты с численностью населения менее 1 000 человек.</v>
          </cell>
        </row>
        <row r="398">
          <cell r="A398" t="str">
            <v>13:048:2:5:6</v>
          </cell>
          <cell r="B398" t="str">
            <v>Горноуральский городской округ</v>
          </cell>
          <cell r="C398">
            <v>6</v>
          </cell>
          <cell r="D398" t="str">
            <v>сельские населенные пункты с численностью населения менее 1 000 человек.</v>
          </cell>
        </row>
        <row r="399">
          <cell r="A399" t="str">
            <v>13:036:2:5:6</v>
          </cell>
          <cell r="B399" t="str">
            <v>Горноуральский городской округ</v>
          </cell>
          <cell r="C399">
            <v>6</v>
          </cell>
          <cell r="D399" t="str">
            <v>сельские населенные пункты с численностью населения менее 1 000 человек.</v>
          </cell>
        </row>
        <row r="400">
          <cell r="A400" t="str">
            <v>13:052:2:5:6</v>
          </cell>
          <cell r="B400" t="str">
            <v>Горноуральский городской округ</v>
          </cell>
          <cell r="C400">
            <v>6</v>
          </cell>
          <cell r="D400" t="str">
            <v>сельские населенные пункты с численностью населения менее 1 000 человек.</v>
          </cell>
        </row>
        <row r="401">
          <cell r="A401" t="str">
            <v>13:021:2:5:6</v>
          </cell>
          <cell r="B401" t="str">
            <v>Горноуральский городской округ</v>
          </cell>
          <cell r="C401">
            <v>6</v>
          </cell>
          <cell r="D401" t="str">
            <v>сельские населенные пункты с численностью населения менее 1 000 человек.</v>
          </cell>
        </row>
        <row r="402">
          <cell r="A402" t="str">
            <v>13:049:2:3:6</v>
          </cell>
          <cell r="B402" t="str">
            <v>Горноуральский городской округ</v>
          </cell>
          <cell r="C402">
            <v>6</v>
          </cell>
          <cell r="D402" t="str">
            <v>сельские населенные пункты с численностью населения менее 1 000 человек.</v>
          </cell>
        </row>
        <row r="403">
          <cell r="A403" t="str">
            <v>13:057:2:3:6</v>
          </cell>
          <cell r="B403" t="str">
            <v>Горноуральский городской округ</v>
          </cell>
          <cell r="C403">
            <v>6</v>
          </cell>
          <cell r="D403" t="str">
            <v>сельские населенные пункты с численностью населения менее 1 000 человек.</v>
          </cell>
        </row>
        <row r="404">
          <cell r="A404" t="str">
            <v>13:012:2:3:6</v>
          </cell>
          <cell r="B404" t="str">
            <v>Горноуральский городской округ</v>
          </cell>
          <cell r="C404">
            <v>6</v>
          </cell>
          <cell r="D404" t="str">
            <v>сельские населенные пункты с численностью населения менее 1 000 человек.</v>
          </cell>
        </row>
        <row r="405">
          <cell r="A405" t="str">
            <v>13:042:2:4:6</v>
          </cell>
          <cell r="B405" t="str">
            <v>Горноуральский городской округ</v>
          </cell>
          <cell r="C405">
            <v>6</v>
          </cell>
          <cell r="D405" t="str">
            <v>сельские населенные пункты с численностью населения менее 1 000 человек.</v>
          </cell>
        </row>
        <row r="406">
          <cell r="A406" t="str">
            <v>13:017:2:3:6</v>
          </cell>
          <cell r="B406" t="str">
            <v>Горноуральский городской округ</v>
          </cell>
          <cell r="C406">
            <v>6</v>
          </cell>
          <cell r="D406" t="str">
            <v>сельские населенные пункты с численностью населения менее 1 000 человек.</v>
          </cell>
        </row>
        <row r="407">
          <cell r="A407" t="str">
            <v>13:034:2:4:6</v>
          </cell>
          <cell r="B407" t="str">
            <v>Горноуральский городской округ</v>
          </cell>
          <cell r="C407">
            <v>6</v>
          </cell>
          <cell r="D407" t="str">
            <v>сельские населенные пункты с численностью населения менее 1 000 человек.</v>
          </cell>
        </row>
        <row r="408">
          <cell r="A408" t="str">
            <v>13:058:2:4:6</v>
          </cell>
          <cell r="B408" t="str">
            <v>Горноуральский городской округ</v>
          </cell>
          <cell r="C408">
            <v>6</v>
          </cell>
          <cell r="D408" t="str">
            <v>сельские населенные пункты с численностью населения менее 1 000 человек.</v>
          </cell>
        </row>
        <row r="409">
          <cell r="A409" t="str">
            <v>13:037:2:3:6</v>
          </cell>
          <cell r="B409" t="str">
            <v>Горноуральский городской округ</v>
          </cell>
          <cell r="C409">
            <v>6</v>
          </cell>
          <cell r="D409" t="str">
            <v>сельские населенные пункты с численностью населения менее 1 000 человек.</v>
          </cell>
        </row>
        <row r="410">
          <cell r="A410" t="str">
            <v>13:040:2:3:6</v>
          </cell>
          <cell r="B410" t="str">
            <v>Горноуральский городской округ</v>
          </cell>
          <cell r="C410">
            <v>6</v>
          </cell>
          <cell r="D410" t="str">
            <v>сельские населенные пункты с численностью населения менее 1 000 человек.</v>
          </cell>
        </row>
        <row r="411">
          <cell r="A411" t="str">
            <v>13:022:2:4:6</v>
          </cell>
          <cell r="B411" t="str">
            <v>Горноуральский городской округ</v>
          </cell>
          <cell r="C411">
            <v>6</v>
          </cell>
          <cell r="D411" t="str">
            <v>сельские населенные пункты с численностью населения менее 1 000 человек.</v>
          </cell>
        </row>
        <row r="412">
          <cell r="A412" t="str">
            <v>13:008:2:4:6</v>
          </cell>
          <cell r="B412" t="str">
            <v>Горноуральский городской округ</v>
          </cell>
          <cell r="C412">
            <v>6</v>
          </cell>
          <cell r="D412" t="str">
            <v>сельские населенные пункты с численностью населения менее 1 000 человек.</v>
          </cell>
        </row>
        <row r="413">
          <cell r="A413" t="str">
            <v>13:041:2:4:6</v>
          </cell>
          <cell r="B413" t="str">
            <v>Горноуральский городской округ</v>
          </cell>
          <cell r="C413">
            <v>6</v>
          </cell>
          <cell r="D413" t="str">
            <v>сельские населенные пункты с численностью населения менее 1 000 человек.</v>
          </cell>
        </row>
        <row r="414">
          <cell r="A414" t="str">
            <v>13:033:2:4:6</v>
          </cell>
          <cell r="B414" t="str">
            <v>Горноуральский городской округ</v>
          </cell>
          <cell r="C414">
            <v>6</v>
          </cell>
          <cell r="D414" t="str">
            <v>сельские населенные пункты с численностью населения менее 1 000 человек.</v>
          </cell>
        </row>
        <row r="415">
          <cell r="A415" t="str">
            <v>13:004:2:4:6</v>
          </cell>
          <cell r="B415" t="str">
            <v>Горноуральский городской округ</v>
          </cell>
          <cell r="C415">
            <v>6</v>
          </cell>
          <cell r="D415" t="str">
            <v>сельские населенные пункты с численностью населения менее 1 000 человек.</v>
          </cell>
        </row>
        <row r="416">
          <cell r="A416" t="str">
            <v>13:060:2:4:6</v>
          </cell>
          <cell r="B416" t="str">
            <v>Горноуральский городской округ</v>
          </cell>
          <cell r="C416">
            <v>6</v>
          </cell>
          <cell r="D416" t="str">
            <v>сельские населенные пункты с численностью населения менее 1 000 человек.</v>
          </cell>
        </row>
        <row r="417">
          <cell r="A417" t="str">
            <v>13:038:2:4:6</v>
          </cell>
          <cell r="B417" t="str">
            <v>Горноуральский городской округ</v>
          </cell>
          <cell r="C417">
            <v>6</v>
          </cell>
          <cell r="D417" t="str">
            <v>сельские населенные пункты с численностью населения менее 1 000 человек.</v>
          </cell>
        </row>
        <row r="418">
          <cell r="A418" t="str">
            <v>13:009:2:4:6</v>
          </cell>
          <cell r="B418" t="str">
            <v>Горноуральский городской округ</v>
          </cell>
          <cell r="C418">
            <v>6</v>
          </cell>
          <cell r="D418" t="str">
            <v>сельские населенные пункты с численностью населения менее 1 000 человек.</v>
          </cell>
        </row>
        <row r="419">
          <cell r="A419" t="str">
            <v>13:019:2:4:6</v>
          </cell>
          <cell r="B419" t="str">
            <v>Горноуральский городской округ</v>
          </cell>
          <cell r="C419">
            <v>6</v>
          </cell>
          <cell r="D419" t="str">
            <v>сельские населенные пункты с численностью населения менее 1 000 человек.</v>
          </cell>
        </row>
        <row r="420">
          <cell r="A420" t="str">
            <v>13:013:1:2:4</v>
          </cell>
          <cell r="B420" t="str">
            <v>Горноуральский городской округ</v>
          </cell>
          <cell r="C420">
            <v>4</v>
          </cell>
          <cell r="D420" t="str">
            <v>городские населенные пункты с численностью населения менее 50 000 человек;</v>
          </cell>
        </row>
        <row r="421">
          <cell r="A421" t="str">
            <v>13:024:2:4:6</v>
          </cell>
          <cell r="B421" t="str">
            <v>Горноуральский городской округ</v>
          </cell>
          <cell r="C421">
            <v>6</v>
          </cell>
          <cell r="D421" t="str">
            <v>сельские населенные пункты с численностью населения менее 1 000 человек.</v>
          </cell>
        </row>
        <row r="422">
          <cell r="A422" t="str">
            <v>13:043:2:5:6</v>
          </cell>
          <cell r="B422" t="str">
            <v>Горноуральский городской округ</v>
          </cell>
          <cell r="C422">
            <v>6</v>
          </cell>
          <cell r="D422" t="str">
            <v>сельские населенные пункты с численностью населения менее 1 000 человек.</v>
          </cell>
        </row>
        <row r="423">
          <cell r="A423" t="str">
            <v>13:007:2:3:6</v>
          </cell>
          <cell r="B423" t="str">
            <v>Горноуральский городской округ</v>
          </cell>
          <cell r="C423">
            <v>6</v>
          </cell>
          <cell r="D423" t="str">
            <v>сельские населенные пункты с численностью населения менее 1 000 человек.</v>
          </cell>
        </row>
        <row r="424">
          <cell r="A424" t="str">
            <v>13:014:2:3:6</v>
          </cell>
          <cell r="B424" t="str">
            <v>Горноуральский городской округ</v>
          </cell>
          <cell r="C424">
            <v>6</v>
          </cell>
          <cell r="D424" t="str">
            <v>сельские населенные пункты с численностью населения менее 1 000 человек.</v>
          </cell>
        </row>
        <row r="425">
          <cell r="A425" t="str">
            <v>13:032:2:3:6</v>
          </cell>
          <cell r="B425" t="str">
            <v>Горноуральский городской округ</v>
          </cell>
          <cell r="C425">
            <v>6</v>
          </cell>
          <cell r="D425" t="str">
            <v>сельские населенные пункты с численностью населения менее 1 000 человек.</v>
          </cell>
        </row>
        <row r="426">
          <cell r="A426" t="str">
            <v>13:035:2:5:6</v>
          </cell>
          <cell r="B426" t="str">
            <v>Горноуральский городской округ</v>
          </cell>
          <cell r="C426">
            <v>6</v>
          </cell>
          <cell r="D426" t="str">
            <v>сельские населенные пункты с численностью населения менее 1 000 человек.</v>
          </cell>
        </row>
        <row r="427">
          <cell r="A427" t="str">
            <v>13:010:2:5:6</v>
          </cell>
          <cell r="B427" t="str">
            <v>Горноуральский городской округ</v>
          </cell>
          <cell r="C427">
            <v>6</v>
          </cell>
          <cell r="D427" t="str">
            <v>сельские населенные пункты с численностью населения менее 1 000 человек.</v>
          </cell>
        </row>
        <row r="428">
          <cell r="A428" t="str">
            <v>13:000:0:0:0</v>
          </cell>
          <cell r="B428" t="str">
            <v>Горноуральский городской округ</v>
          </cell>
          <cell r="C428">
            <v>0</v>
          </cell>
          <cell r="D428" t="str">
            <v>межселенная территория</v>
          </cell>
        </row>
        <row r="429">
          <cell r="A429" t="str">
            <v>14:011:2:5:6</v>
          </cell>
          <cell r="B429" t="str">
            <v>Город Нижний Тагил</v>
          </cell>
          <cell r="C429">
            <v>6</v>
          </cell>
          <cell r="D429" t="str">
            <v>сельские населенные пункты с численностью населения менее 1 000 человек.</v>
          </cell>
        </row>
        <row r="430">
          <cell r="A430" t="str">
            <v>14:015:2:5:6</v>
          </cell>
          <cell r="B430" t="str">
            <v>Город Нижний Тагил</v>
          </cell>
          <cell r="C430">
            <v>6</v>
          </cell>
          <cell r="D430" t="str">
            <v>сельские населенные пункты с численностью населения менее 1 000 человек.</v>
          </cell>
        </row>
        <row r="431">
          <cell r="A431" t="str">
            <v>14:002:2:3:6</v>
          </cell>
          <cell r="B431" t="str">
            <v>Город Нижний Тагил</v>
          </cell>
          <cell r="C431">
            <v>6</v>
          </cell>
          <cell r="D431" t="str">
            <v>сельские населенные пункты с численностью населения менее 1 000 человек.</v>
          </cell>
        </row>
        <row r="432">
          <cell r="A432" t="str">
            <v>14:006:2:3:6</v>
          </cell>
          <cell r="B432" t="str">
            <v>Город Нижний Тагил</v>
          </cell>
          <cell r="C432">
            <v>6</v>
          </cell>
          <cell r="D432" t="str">
            <v>сельские населенные пункты с численностью населения менее 1 000 человек.</v>
          </cell>
        </row>
        <row r="433">
          <cell r="A433" t="str">
            <v>14:022:2:3:6</v>
          </cell>
          <cell r="B433" t="str">
            <v>Город Нижний Тагил</v>
          </cell>
          <cell r="C433">
            <v>6</v>
          </cell>
          <cell r="D433" t="str">
            <v>сельские населенные пункты с численностью населения менее 1 000 человек.</v>
          </cell>
        </row>
        <row r="434">
          <cell r="A434" t="str">
            <v>14:008:2:3:6</v>
          </cell>
          <cell r="B434" t="str">
            <v>Город Нижний Тагил</v>
          </cell>
          <cell r="C434">
            <v>6</v>
          </cell>
          <cell r="D434" t="str">
            <v>сельские населенные пункты с численностью населения менее 1 000 человек.</v>
          </cell>
        </row>
        <row r="435">
          <cell r="A435" t="str">
            <v>14:003:2:5:6</v>
          </cell>
          <cell r="B435" t="str">
            <v>Город Нижний Тагил</v>
          </cell>
          <cell r="C435">
            <v>6</v>
          </cell>
          <cell r="D435" t="str">
            <v>сельские населенные пункты с численностью населения менее 1 000 человек.</v>
          </cell>
        </row>
        <row r="436">
          <cell r="A436" t="str">
            <v>14:019:2:3:6</v>
          </cell>
          <cell r="B436" t="str">
            <v>Город Нижний Тагил</v>
          </cell>
          <cell r="C436">
            <v>6</v>
          </cell>
          <cell r="D436" t="str">
            <v>сельские населенные пункты с численностью населения менее 1 000 человек.</v>
          </cell>
        </row>
        <row r="437">
          <cell r="A437" t="str">
            <v>14:012:2:5:6</v>
          </cell>
          <cell r="B437" t="str">
            <v>Город Нижний Тагил</v>
          </cell>
          <cell r="C437">
            <v>6</v>
          </cell>
          <cell r="D437" t="str">
            <v>сельские населенные пункты с численностью населения менее 1 000 человек.</v>
          </cell>
        </row>
        <row r="438">
          <cell r="A438" t="str">
            <v>14:013:2:3:6</v>
          </cell>
          <cell r="B438" t="str">
            <v>Город Нижний Тагил</v>
          </cell>
          <cell r="C438">
            <v>6</v>
          </cell>
          <cell r="D438" t="str">
            <v>сельские населенные пункты с численностью населения менее 1 000 человек.</v>
          </cell>
        </row>
        <row r="439">
          <cell r="A439" t="str">
            <v>14:001:2:3:6</v>
          </cell>
          <cell r="B439" t="str">
            <v>Город Нижний Тагил</v>
          </cell>
          <cell r="C439">
            <v>6</v>
          </cell>
          <cell r="D439" t="str">
            <v>сельские населенные пункты с численностью населения менее 1 000 человек.</v>
          </cell>
        </row>
        <row r="440">
          <cell r="A440" t="str">
            <v>14:004:2:4:6</v>
          </cell>
          <cell r="B440" t="str">
            <v>Город Нижний Тагил</v>
          </cell>
          <cell r="C440">
            <v>6</v>
          </cell>
          <cell r="D440" t="str">
            <v>сельские населенные пункты с численностью населения менее 1 000 человек.</v>
          </cell>
        </row>
        <row r="441">
          <cell r="A441" t="str">
            <v>14:009:2:4:6</v>
          </cell>
          <cell r="B441" t="str">
            <v>Город Нижний Тагил</v>
          </cell>
          <cell r="C441">
            <v>6</v>
          </cell>
          <cell r="D441" t="str">
            <v>сельские населенные пункты с численностью населения менее 1 000 человек.</v>
          </cell>
        </row>
        <row r="442">
          <cell r="A442" t="str">
            <v>14:023:2:3:6</v>
          </cell>
          <cell r="B442" t="str">
            <v>Город Нижний Тагил</v>
          </cell>
          <cell r="C442">
            <v>6</v>
          </cell>
          <cell r="D442" t="str">
            <v>сельские населенные пункты с численностью населения менее 1 000 человек.</v>
          </cell>
        </row>
        <row r="443">
          <cell r="A443" t="str">
            <v>14:017:2:3:6</v>
          </cell>
          <cell r="B443" t="str">
            <v>Город Нижний Тагил</v>
          </cell>
          <cell r="C443">
            <v>6</v>
          </cell>
          <cell r="D443" t="str">
            <v>сельские населенные пункты с численностью населения менее 1 000 человек.</v>
          </cell>
        </row>
        <row r="444">
          <cell r="A444" t="str">
            <v>14:021:2:5:6</v>
          </cell>
          <cell r="B444" t="str">
            <v>Город Нижний Тагил</v>
          </cell>
          <cell r="C444">
            <v>6</v>
          </cell>
          <cell r="D444" t="str">
            <v>сельские населенные пункты с численностью населения менее 1 000 человек.</v>
          </cell>
        </row>
        <row r="445">
          <cell r="A445" t="str">
            <v>14:018:2:4:6</v>
          </cell>
          <cell r="B445" t="str">
            <v>Город Нижний Тагил</v>
          </cell>
          <cell r="C445">
            <v>6</v>
          </cell>
          <cell r="D445" t="str">
            <v>сельские населенные пункты с численностью населения менее 1 000 человек.</v>
          </cell>
        </row>
        <row r="446">
          <cell r="A446" t="str">
            <v>14:007:2:3:6</v>
          </cell>
          <cell r="B446" t="str">
            <v>Город Нижний Тагил</v>
          </cell>
          <cell r="C446">
            <v>6</v>
          </cell>
          <cell r="D446" t="str">
            <v>сельские населенные пункты с численностью населения менее 1 000 человек.</v>
          </cell>
        </row>
        <row r="447">
          <cell r="A447" t="str">
            <v>14:016:2:4:6</v>
          </cell>
          <cell r="B447" t="str">
            <v>Город Нижний Тагил</v>
          </cell>
          <cell r="C447">
            <v>6</v>
          </cell>
          <cell r="D447" t="str">
            <v>сельские населенные пункты с численностью населения менее 1 000 человек.</v>
          </cell>
        </row>
        <row r="448">
          <cell r="A448" t="str">
            <v>14:005:2:3:6</v>
          </cell>
          <cell r="B448" t="str">
            <v>Город Нижний Тагил</v>
          </cell>
          <cell r="C448">
            <v>6</v>
          </cell>
          <cell r="D448" t="str">
            <v>сельские населенные пункты с численностью населения менее 1 000 человек.</v>
          </cell>
        </row>
        <row r="449">
          <cell r="A449" t="str">
            <v>14:020:2:3:6</v>
          </cell>
          <cell r="B449" t="str">
            <v>Город Нижний Тагил</v>
          </cell>
          <cell r="C449">
            <v>6</v>
          </cell>
          <cell r="D449" t="str">
            <v>сельские населенные пункты с численностью населения менее 1 000 человек.</v>
          </cell>
        </row>
        <row r="450">
          <cell r="A450" t="str">
            <v>14:014:1:1:2</v>
          </cell>
          <cell r="B450" t="str">
            <v>Город Нижний Тагил</v>
          </cell>
          <cell r="C450">
            <v>2</v>
          </cell>
          <cell r="D450" t="str">
            <v>городские населенные пункты с численностью населения больше 100 000 человек;</v>
          </cell>
        </row>
        <row r="451">
          <cell r="A451" t="str">
            <v>14:010:2:3:6</v>
          </cell>
          <cell r="B451" t="str">
            <v>Город Нижний Тагил</v>
          </cell>
          <cell r="C451">
            <v>6</v>
          </cell>
          <cell r="D451" t="str">
            <v>сельские населенные пункты с численностью населения менее 1 000 человек.</v>
          </cell>
        </row>
        <row r="452">
          <cell r="A452" t="str">
            <v>14:000:0:0:0</v>
          </cell>
          <cell r="B452" t="str">
            <v>Город Нижний Тагил</v>
          </cell>
          <cell r="C452">
            <v>0</v>
          </cell>
          <cell r="D452" t="str">
            <v>межселенная территория</v>
          </cell>
        </row>
        <row r="453">
          <cell r="A453" t="str">
            <v>15:003:1:1:4</v>
          </cell>
          <cell r="B453" t="str">
            <v>Городской округ "Город Лесной"</v>
          </cell>
          <cell r="C453">
            <v>4</v>
          </cell>
          <cell r="D453" t="str">
            <v>городские населенные пункты с численностью населения менее 50 000 человек;</v>
          </cell>
        </row>
        <row r="454">
          <cell r="A454" t="str">
            <v>15:004:2:3:6</v>
          </cell>
          <cell r="B454" t="str">
            <v>Городской округ "Город Лесной"</v>
          </cell>
          <cell r="C454">
            <v>6</v>
          </cell>
          <cell r="D454" t="str">
            <v>сельские населенные пункты с численностью населения менее 1 000 человек.</v>
          </cell>
        </row>
        <row r="455">
          <cell r="A455" t="str">
            <v>15:005:2:3:5</v>
          </cell>
          <cell r="B455" t="str">
            <v>Городской округ "Город Лесной"</v>
          </cell>
          <cell r="C455">
            <v>5</v>
          </cell>
          <cell r="D455" t="str">
            <v>сельские населенные пункты с численностью населения более 1 000 человек;</v>
          </cell>
        </row>
        <row r="456">
          <cell r="A456" t="str">
            <v>15:001:2:3:6</v>
          </cell>
          <cell r="B456" t="str">
            <v>Городской округ "Город Лесной"</v>
          </cell>
          <cell r="C456">
            <v>6</v>
          </cell>
          <cell r="D456" t="str">
            <v>сельские населенные пункты с численностью населения менее 1 000 человек.</v>
          </cell>
        </row>
        <row r="457">
          <cell r="A457" t="str">
            <v>15:002:1:2:4</v>
          </cell>
          <cell r="B457" t="str">
            <v>Городской округ "Город Лесной"</v>
          </cell>
          <cell r="C457">
            <v>4</v>
          </cell>
          <cell r="D457" t="str">
            <v>городские населенные пункты с численностью населения менее 50 000 человек;</v>
          </cell>
        </row>
        <row r="458">
          <cell r="A458" t="str">
            <v>15:006:2:3:4</v>
          </cell>
          <cell r="B458" t="str">
            <v>Городской округ "Город Лесной"</v>
          </cell>
          <cell r="C458">
            <v>4</v>
          </cell>
          <cell r="D458" t="str">
            <v>городские населенные пункты с численностью населения менее 50 000 человек;</v>
          </cell>
        </row>
        <row r="459">
          <cell r="A459" t="str">
            <v>15:000:0:0:0</v>
          </cell>
          <cell r="B459" t="str">
            <v>Городской округ "Город Лесной"</v>
          </cell>
          <cell r="C459">
            <v>0</v>
          </cell>
          <cell r="D459" t="str">
            <v>межселенная территория</v>
          </cell>
        </row>
        <row r="460">
          <cell r="A460" t="str">
            <v>16:039:2:5:6</v>
          </cell>
          <cell r="B460" t="str">
            <v>Городской округ Богданович</v>
          </cell>
          <cell r="C460">
            <v>6</v>
          </cell>
          <cell r="D460" t="str">
            <v>сельские населенные пункты с численностью населения менее 1 000 человек.</v>
          </cell>
        </row>
        <row r="461">
          <cell r="A461" t="str">
            <v>16:018:2:5:6</v>
          </cell>
          <cell r="B461" t="str">
            <v>Городской округ Богданович</v>
          </cell>
          <cell r="C461">
            <v>6</v>
          </cell>
          <cell r="D461" t="str">
            <v>сельские населенные пункты с численностью населения менее 1 000 человек.</v>
          </cell>
        </row>
        <row r="462">
          <cell r="A462" t="str">
            <v>16:029:2:5:6</v>
          </cell>
          <cell r="B462" t="str">
            <v>Городской округ Богданович</v>
          </cell>
          <cell r="C462">
            <v>6</v>
          </cell>
          <cell r="D462" t="str">
            <v>сельские населенные пункты с численностью населения менее 1 000 человек.</v>
          </cell>
        </row>
        <row r="463">
          <cell r="A463" t="str">
            <v>16:019:2:3:6</v>
          </cell>
          <cell r="B463" t="str">
            <v>Городской округ Богданович</v>
          </cell>
          <cell r="C463">
            <v>6</v>
          </cell>
          <cell r="D463" t="str">
            <v>сельские населенные пункты с численностью населения менее 1 000 человек.</v>
          </cell>
        </row>
        <row r="464">
          <cell r="A464" t="str">
            <v>16:010:2:3:6</v>
          </cell>
          <cell r="B464" t="str">
            <v>Городской округ Богданович</v>
          </cell>
          <cell r="C464">
            <v>6</v>
          </cell>
          <cell r="D464" t="str">
            <v>сельские населенные пункты с численностью населения менее 1 000 человек.</v>
          </cell>
        </row>
        <row r="465">
          <cell r="A465" t="str">
            <v>16:024:2:5:6</v>
          </cell>
          <cell r="B465" t="str">
            <v>Городской округ Богданович</v>
          </cell>
          <cell r="C465">
            <v>6</v>
          </cell>
          <cell r="D465" t="str">
            <v>сельские населенные пункты с численностью населения менее 1 000 человек.</v>
          </cell>
        </row>
        <row r="466">
          <cell r="A466" t="str">
            <v>16:004:2:5:6</v>
          </cell>
          <cell r="B466" t="str">
            <v>Городской округ Богданович</v>
          </cell>
          <cell r="C466">
            <v>6</v>
          </cell>
          <cell r="D466" t="str">
            <v>сельские населенные пункты с численностью населения менее 1 000 человек.</v>
          </cell>
        </row>
        <row r="467">
          <cell r="A467" t="str">
            <v>16:006:2:5:6</v>
          </cell>
          <cell r="B467" t="str">
            <v>Городской округ Богданович</v>
          </cell>
          <cell r="C467">
            <v>6</v>
          </cell>
          <cell r="D467" t="str">
            <v>сельские населенные пункты с численностью населения менее 1 000 человек.</v>
          </cell>
        </row>
        <row r="468">
          <cell r="A468" t="str">
            <v>16:016:2:5:6</v>
          </cell>
          <cell r="B468" t="str">
            <v>Городской округ Богданович</v>
          </cell>
          <cell r="C468">
            <v>6</v>
          </cell>
          <cell r="D468" t="str">
            <v>сельские населенные пункты с численностью населения менее 1 000 человек.</v>
          </cell>
        </row>
        <row r="469">
          <cell r="A469" t="str">
            <v>16:031:2:5:6</v>
          </cell>
          <cell r="B469" t="str">
            <v>Городской округ Богданович</v>
          </cell>
          <cell r="C469">
            <v>6</v>
          </cell>
          <cell r="D469" t="str">
            <v>сельские населенные пункты с численностью населения менее 1 000 человек.</v>
          </cell>
        </row>
        <row r="470">
          <cell r="A470" t="str">
            <v>16:017:2:4:5</v>
          </cell>
          <cell r="B470" t="str">
            <v>Городской округ Богданович</v>
          </cell>
          <cell r="C470">
            <v>5</v>
          </cell>
          <cell r="D470" t="str">
            <v>сельские населенные пункты с численностью населения более 1 000 человек;</v>
          </cell>
        </row>
        <row r="471">
          <cell r="A471" t="str">
            <v>16:026:2:5:6</v>
          </cell>
          <cell r="B471" t="str">
            <v>Городской округ Богданович</v>
          </cell>
          <cell r="C471">
            <v>6</v>
          </cell>
          <cell r="D471" t="str">
            <v>сельские населенные пункты с численностью населения менее 1 000 человек.</v>
          </cell>
        </row>
        <row r="472">
          <cell r="A472" t="str">
            <v>16:023:2:3:6</v>
          </cell>
          <cell r="B472" t="str">
            <v>Городской округ Богданович</v>
          </cell>
          <cell r="C472">
            <v>6</v>
          </cell>
          <cell r="D472" t="str">
            <v>сельские населенные пункты с численностью населения менее 1 000 человек.</v>
          </cell>
        </row>
        <row r="473">
          <cell r="A473" t="str">
            <v>16:033:2:3:6</v>
          </cell>
          <cell r="B473" t="str">
            <v>Городской округ Богданович</v>
          </cell>
          <cell r="C473">
            <v>6</v>
          </cell>
          <cell r="D473" t="str">
            <v>сельские населенные пункты с численностью населения менее 1 000 человек.</v>
          </cell>
        </row>
        <row r="474">
          <cell r="A474" t="str">
            <v>16:020:2:4:6</v>
          </cell>
          <cell r="B474" t="str">
            <v>Городской округ Богданович</v>
          </cell>
          <cell r="C474">
            <v>6</v>
          </cell>
          <cell r="D474" t="str">
            <v>сельские населенные пункты с численностью населения менее 1 000 человек.</v>
          </cell>
        </row>
        <row r="475">
          <cell r="A475" t="str">
            <v>16:028:2:3:5</v>
          </cell>
          <cell r="B475" t="str">
            <v>Городской округ Богданович</v>
          </cell>
          <cell r="C475">
            <v>5</v>
          </cell>
          <cell r="D475" t="str">
            <v>сельские населенные пункты с численностью населения более 1 000 человек;</v>
          </cell>
        </row>
        <row r="476">
          <cell r="A476" t="str">
            <v>16:007:2:5:6</v>
          </cell>
          <cell r="B476" t="str">
            <v>Городской округ Богданович</v>
          </cell>
          <cell r="C476">
            <v>6</v>
          </cell>
          <cell r="D476" t="str">
            <v>сельские населенные пункты с численностью населения менее 1 000 человек.</v>
          </cell>
        </row>
        <row r="477">
          <cell r="A477" t="str">
            <v>16:025:2:5:6</v>
          </cell>
          <cell r="B477" t="str">
            <v>Городской округ Богданович</v>
          </cell>
          <cell r="C477">
            <v>6</v>
          </cell>
          <cell r="D477" t="str">
            <v>сельские населенные пункты с численностью населения менее 1 000 человек.</v>
          </cell>
        </row>
        <row r="478">
          <cell r="A478" t="str">
            <v>16:041:2:5:6</v>
          </cell>
          <cell r="B478" t="str">
            <v>Городской округ Богданович</v>
          </cell>
          <cell r="C478">
            <v>6</v>
          </cell>
          <cell r="D478" t="str">
            <v>сельские населенные пункты с численностью населения менее 1 000 человек.</v>
          </cell>
        </row>
        <row r="479">
          <cell r="A479" t="str">
            <v>16:037:2:5:6</v>
          </cell>
          <cell r="B479" t="str">
            <v>Городской округ Богданович</v>
          </cell>
          <cell r="C479">
            <v>6</v>
          </cell>
          <cell r="D479" t="str">
            <v>сельские населенные пункты с численностью населения менее 1 000 человек.</v>
          </cell>
        </row>
        <row r="480">
          <cell r="A480" t="str">
            <v>16:001:2:5:6</v>
          </cell>
          <cell r="B480" t="str">
            <v>Городской округ Богданович</v>
          </cell>
          <cell r="C480">
            <v>6</v>
          </cell>
          <cell r="D480" t="str">
            <v>сельские населенные пункты с численностью населения менее 1 000 человек.</v>
          </cell>
        </row>
        <row r="481">
          <cell r="A481" t="str">
            <v>16:038:2:4:6</v>
          </cell>
          <cell r="B481" t="str">
            <v>Городской округ Богданович</v>
          </cell>
          <cell r="C481">
            <v>6</v>
          </cell>
          <cell r="D481" t="str">
            <v>сельские населенные пункты с численностью населения менее 1 000 человек.</v>
          </cell>
        </row>
        <row r="482">
          <cell r="A482" t="str">
            <v>16:032:2:5:6</v>
          </cell>
          <cell r="B482" t="str">
            <v>Городской округ Богданович</v>
          </cell>
          <cell r="C482">
            <v>6</v>
          </cell>
          <cell r="D482" t="str">
            <v>сельские населенные пункты с численностью населения менее 1 000 человек.</v>
          </cell>
        </row>
        <row r="483">
          <cell r="A483" t="str">
            <v>16:027:2:5:6</v>
          </cell>
          <cell r="B483" t="str">
            <v>Городской округ Богданович</v>
          </cell>
          <cell r="C483">
            <v>6</v>
          </cell>
          <cell r="D483" t="str">
            <v>сельские населенные пункты с численностью населения менее 1 000 человек.</v>
          </cell>
        </row>
        <row r="484">
          <cell r="A484" t="str">
            <v>16:040:2:4:6</v>
          </cell>
          <cell r="B484" t="str">
            <v>Городской округ Богданович</v>
          </cell>
          <cell r="C484">
            <v>6</v>
          </cell>
          <cell r="D484" t="str">
            <v>сельские населенные пункты с численностью населения менее 1 000 человек.</v>
          </cell>
        </row>
        <row r="485">
          <cell r="A485" t="str">
            <v>16:008:2:4:6</v>
          </cell>
          <cell r="B485" t="str">
            <v>Городской округ Богданович</v>
          </cell>
          <cell r="C485">
            <v>6</v>
          </cell>
          <cell r="D485" t="str">
            <v>сельские населенные пункты с численностью населения менее 1 000 человек.</v>
          </cell>
        </row>
        <row r="486">
          <cell r="A486" t="str">
            <v>16:034:2:4:6</v>
          </cell>
          <cell r="B486" t="str">
            <v>Городской округ Богданович</v>
          </cell>
          <cell r="C486">
            <v>6</v>
          </cell>
          <cell r="D486" t="str">
            <v>сельские населенные пункты с численностью населения менее 1 000 человек.</v>
          </cell>
        </row>
        <row r="487">
          <cell r="A487" t="str">
            <v>16:011:2:4:5</v>
          </cell>
          <cell r="B487" t="str">
            <v>Городской округ Богданович</v>
          </cell>
          <cell r="C487">
            <v>5</v>
          </cell>
          <cell r="D487" t="str">
            <v>сельские населенные пункты с численностью населения более 1 000 человек;</v>
          </cell>
        </row>
        <row r="488">
          <cell r="A488" t="str">
            <v>16:021:2:4:6</v>
          </cell>
          <cell r="B488" t="str">
            <v>Городской округ Богданович</v>
          </cell>
          <cell r="C488">
            <v>6</v>
          </cell>
          <cell r="D488" t="str">
            <v>сельские населенные пункты с численностью населения менее 1 000 человек.</v>
          </cell>
        </row>
        <row r="489">
          <cell r="A489" t="str">
            <v>16:036:2:4:5</v>
          </cell>
          <cell r="B489" t="str">
            <v>Городской округ Богданович</v>
          </cell>
          <cell r="C489">
            <v>5</v>
          </cell>
          <cell r="D489" t="str">
            <v>сельские населенные пункты с численностью населения более 1 000 человек;</v>
          </cell>
        </row>
        <row r="490">
          <cell r="A490" t="str">
            <v>16:005:1:1:4</v>
          </cell>
          <cell r="B490" t="str">
            <v>Городской округ Богданович</v>
          </cell>
          <cell r="C490">
            <v>4</v>
          </cell>
          <cell r="D490" t="str">
            <v>городские населенные пункты с численностью населения менее 50 000 человек;</v>
          </cell>
        </row>
        <row r="491">
          <cell r="A491" t="str">
            <v>16:003:2:4:5</v>
          </cell>
          <cell r="B491" t="str">
            <v>Городской округ Богданович</v>
          </cell>
          <cell r="C491">
            <v>5</v>
          </cell>
          <cell r="D491" t="str">
            <v>сельские населенные пункты с численностью населения более 1 000 человек;</v>
          </cell>
        </row>
        <row r="492">
          <cell r="A492" t="str">
            <v>16:015:2:4:6</v>
          </cell>
          <cell r="B492" t="str">
            <v>Городской округ Богданович</v>
          </cell>
          <cell r="C492">
            <v>6</v>
          </cell>
          <cell r="D492" t="str">
            <v>сельские населенные пункты с численностью населения менее 1 000 человек.</v>
          </cell>
        </row>
        <row r="493">
          <cell r="A493" t="str">
            <v>16:035:2:4:5</v>
          </cell>
          <cell r="B493" t="str">
            <v>Городской округ Богданович</v>
          </cell>
          <cell r="C493">
            <v>5</v>
          </cell>
          <cell r="D493" t="str">
            <v>сельские населенные пункты с численностью населения более 1 000 человек;</v>
          </cell>
        </row>
        <row r="494">
          <cell r="A494" t="str">
            <v>16:002:2:4:5</v>
          </cell>
          <cell r="B494" t="str">
            <v>Городской округ Богданович</v>
          </cell>
          <cell r="C494">
            <v>5</v>
          </cell>
          <cell r="D494" t="str">
            <v>сельские населенные пункты с численностью населения более 1 000 человек;</v>
          </cell>
        </row>
        <row r="495">
          <cell r="A495" t="str">
            <v>16:014:2:4:6</v>
          </cell>
          <cell r="B495" t="str">
            <v>Городской округ Богданович</v>
          </cell>
          <cell r="C495">
            <v>6</v>
          </cell>
          <cell r="D495" t="str">
            <v>сельские населенные пункты с численностью населения менее 1 000 человек.</v>
          </cell>
        </row>
        <row r="496">
          <cell r="A496" t="str">
            <v>16:009:2:4:6</v>
          </cell>
          <cell r="B496" t="str">
            <v>Городской округ Богданович</v>
          </cell>
          <cell r="C496">
            <v>6</v>
          </cell>
          <cell r="D496" t="str">
            <v>сельские населенные пункты с численностью населения менее 1 000 человек.</v>
          </cell>
        </row>
        <row r="497">
          <cell r="A497" t="str">
            <v>16:030:2:5:6</v>
          </cell>
          <cell r="B497" t="str">
            <v>Городской округ Богданович</v>
          </cell>
          <cell r="C497">
            <v>6</v>
          </cell>
          <cell r="D497" t="str">
            <v>сельские населенные пункты с численностью населения менее 1 000 человек.</v>
          </cell>
        </row>
        <row r="498">
          <cell r="A498" t="str">
            <v>16:022:2:3:6</v>
          </cell>
          <cell r="B498" t="str">
            <v>Городской округ Богданович</v>
          </cell>
          <cell r="C498">
            <v>6</v>
          </cell>
          <cell r="D498" t="str">
            <v>сельские населенные пункты с численностью населения менее 1 000 человек.</v>
          </cell>
        </row>
        <row r="499">
          <cell r="A499" t="str">
            <v>16:012:2:6:6</v>
          </cell>
          <cell r="B499" t="str">
            <v>Городской округ Богданович</v>
          </cell>
          <cell r="C499">
            <v>6</v>
          </cell>
          <cell r="D499" t="str">
            <v>сельские населенные пункты с численностью населения менее 1 000 человек.</v>
          </cell>
        </row>
        <row r="500">
          <cell r="A500" t="str">
            <v>16:013:2:3:6</v>
          </cell>
          <cell r="B500" t="str">
            <v>Городской округ Богданович</v>
          </cell>
          <cell r="C500">
            <v>6</v>
          </cell>
          <cell r="D500" t="str">
            <v>сельские населенные пункты с численностью населения менее 1 000 человек.</v>
          </cell>
        </row>
        <row r="501">
          <cell r="A501" t="str">
            <v>16:000:0:0:0</v>
          </cell>
          <cell r="B501" t="str">
            <v>Городской округ Богданович</v>
          </cell>
          <cell r="C501">
            <v>0</v>
          </cell>
          <cell r="D501" t="str">
            <v>межселенная территория</v>
          </cell>
        </row>
        <row r="502">
          <cell r="A502" t="str">
            <v>17:001:1:2:4</v>
          </cell>
          <cell r="B502" t="str">
            <v>Городской округ Верхнее Дуброво</v>
          </cell>
          <cell r="C502">
            <v>4</v>
          </cell>
          <cell r="D502" t="str">
            <v>городские населенные пункты с численностью населения менее 50 000 человек;</v>
          </cell>
        </row>
        <row r="503">
          <cell r="A503" t="str">
            <v>17:000:0:0:0</v>
          </cell>
          <cell r="B503" t="str">
            <v>Городской округ Верхнее Дуброво</v>
          </cell>
          <cell r="C503">
            <v>0</v>
          </cell>
          <cell r="D503" t="str">
            <v>межселенная территория</v>
          </cell>
        </row>
        <row r="504">
          <cell r="A504" t="str">
            <v>18:001:1:2:4</v>
          </cell>
          <cell r="B504" t="str">
            <v>Городской округ Верх-Нейвинский</v>
          </cell>
          <cell r="C504">
            <v>4</v>
          </cell>
          <cell r="D504" t="str">
            <v>городские населенные пункты с численностью населения менее 50 000 человек;</v>
          </cell>
        </row>
        <row r="505">
          <cell r="A505" t="str">
            <v>18:000:0:0:0</v>
          </cell>
          <cell r="B505" t="str">
            <v>Городской округ Верх-Нейвинский</v>
          </cell>
          <cell r="C505">
            <v>0</v>
          </cell>
          <cell r="D505" t="str">
            <v>межселенная территория</v>
          </cell>
        </row>
        <row r="506">
          <cell r="A506" t="str">
            <v>19:002:1:1:4</v>
          </cell>
          <cell r="B506" t="str">
            <v>Городской округ Верхний Тагил</v>
          </cell>
          <cell r="C506">
            <v>4</v>
          </cell>
          <cell r="D506" t="str">
            <v>городские населенные пункты с численностью населения менее 50 000 человек;</v>
          </cell>
        </row>
        <row r="507">
          <cell r="A507" t="str">
            <v>19:003:2:3:6</v>
          </cell>
          <cell r="B507" t="str">
            <v>Городской округ Верхний Тагил</v>
          </cell>
          <cell r="C507">
            <v>6</v>
          </cell>
          <cell r="D507" t="str">
            <v>сельские населенные пункты с численностью населения менее 1 000 человек.</v>
          </cell>
        </row>
        <row r="508">
          <cell r="A508" t="str">
            <v>19:001:2:3:6</v>
          </cell>
          <cell r="B508" t="str">
            <v>Городской округ Верхний Тагил</v>
          </cell>
          <cell r="C508">
            <v>6</v>
          </cell>
          <cell r="D508" t="str">
            <v>сельские населенные пункты с численностью населения менее 1 000 человек.</v>
          </cell>
        </row>
        <row r="509">
          <cell r="A509" t="str">
            <v>19:000:0:0:0</v>
          </cell>
          <cell r="B509" t="str">
            <v>Городской округ Верхний Тагил</v>
          </cell>
          <cell r="C509">
            <v>0</v>
          </cell>
          <cell r="D509" t="str">
            <v>межселенная территория</v>
          </cell>
        </row>
        <row r="510">
          <cell r="A510" t="str">
            <v>20:004:2:5:6</v>
          </cell>
          <cell r="B510" t="str">
            <v>Городской округ Верхняя Пышма</v>
          </cell>
          <cell r="C510">
            <v>6</v>
          </cell>
          <cell r="D510" t="str">
            <v>сельские населенные пункты с численностью населения менее 1 000 человек.</v>
          </cell>
        </row>
        <row r="511">
          <cell r="A511" t="str">
            <v>20:020:2:5:6</v>
          </cell>
          <cell r="B511" t="str">
            <v>Городской округ Верхняя Пышма</v>
          </cell>
          <cell r="C511">
            <v>6</v>
          </cell>
          <cell r="D511" t="str">
            <v>сельские населенные пункты с численностью населения менее 1 000 человек.</v>
          </cell>
        </row>
        <row r="512">
          <cell r="A512" t="str">
            <v>20:024:2:3:6</v>
          </cell>
          <cell r="B512" t="str">
            <v>Городской округ Верхняя Пышма</v>
          </cell>
          <cell r="C512">
            <v>6</v>
          </cell>
          <cell r="D512" t="str">
            <v>сельские населенные пункты с численностью населения менее 1 000 человек.</v>
          </cell>
        </row>
        <row r="513">
          <cell r="A513" t="str">
            <v>20:003:1:1:3</v>
          </cell>
          <cell r="B513" t="str">
            <v>Городской округ Верхняя Пышма</v>
          </cell>
          <cell r="C513">
            <v>3</v>
          </cell>
          <cell r="D513" t="str">
            <v>городские населенные пункты с численностью населения от 100 000 до 50 000 человек;</v>
          </cell>
        </row>
        <row r="514">
          <cell r="A514" t="str">
            <v>20:017:2:3:6</v>
          </cell>
          <cell r="B514" t="str">
            <v>Городской округ Верхняя Пышма</v>
          </cell>
          <cell r="C514">
            <v>6</v>
          </cell>
          <cell r="D514" t="str">
            <v>сельские населенные пункты с численностью населения менее 1 000 человек.</v>
          </cell>
        </row>
        <row r="515">
          <cell r="A515" t="str">
            <v>20:018:2:3:6</v>
          </cell>
          <cell r="B515" t="str">
            <v>Городской округ Верхняя Пышма</v>
          </cell>
          <cell r="C515">
            <v>6</v>
          </cell>
          <cell r="D515" t="str">
            <v>сельские населенные пункты с численностью населения менее 1 000 человек.</v>
          </cell>
        </row>
        <row r="516">
          <cell r="A516" t="str">
            <v>20:011:2:3:6</v>
          </cell>
          <cell r="B516" t="str">
            <v>Городской округ Верхняя Пышма</v>
          </cell>
          <cell r="C516">
            <v>6</v>
          </cell>
          <cell r="D516" t="str">
            <v>сельские населенные пункты с численностью населения менее 1 000 человек.</v>
          </cell>
        </row>
        <row r="517">
          <cell r="A517" t="str">
            <v>20:015:2:4:6</v>
          </cell>
          <cell r="B517" t="str">
            <v>Городской округ Верхняя Пышма</v>
          </cell>
          <cell r="C517">
            <v>6</v>
          </cell>
          <cell r="D517" t="str">
            <v>сельские населенные пункты с численностью населения менее 1 000 человек.</v>
          </cell>
        </row>
        <row r="518">
          <cell r="A518" t="str">
            <v>20:013:2:3:6</v>
          </cell>
          <cell r="B518" t="str">
            <v>Городской округ Верхняя Пышма</v>
          </cell>
          <cell r="C518">
            <v>6</v>
          </cell>
          <cell r="D518" t="str">
            <v>сельские населенные пункты с численностью населения менее 1 000 человек.</v>
          </cell>
        </row>
        <row r="519">
          <cell r="A519" t="str">
            <v>20:016:2:3:6</v>
          </cell>
          <cell r="B519" t="str">
            <v>Городской округ Верхняя Пышма</v>
          </cell>
          <cell r="C519">
            <v>6</v>
          </cell>
          <cell r="D519" t="str">
            <v>сельские населенные пункты с численностью населения менее 1 000 человек.</v>
          </cell>
        </row>
        <row r="520">
          <cell r="A520" t="str">
            <v>20:019:2:3:6</v>
          </cell>
          <cell r="B520" t="str">
            <v>Городской округ Верхняя Пышма</v>
          </cell>
          <cell r="C520">
            <v>6</v>
          </cell>
          <cell r="D520" t="str">
            <v>сельские населенные пункты с численностью населения менее 1 000 человек.</v>
          </cell>
        </row>
        <row r="521">
          <cell r="A521" t="str">
            <v>20:012:2:3:6</v>
          </cell>
          <cell r="B521" t="str">
            <v>Городской округ Верхняя Пышма</v>
          </cell>
          <cell r="C521">
            <v>6</v>
          </cell>
          <cell r="D521" t="str">
            <v>сельские населенные пункты с численностью населения менее 1 000 человек.</v>
          </cell>
        </row>
        <row r="522">
          <cell r="A522" t="str">
            <v>20:009:2:3:6</v>
          </cell>
          <cell r="B522" t="str">
            <v>Городской округ Верхняя Пышма</v>
          </cell>
          <cell r="C522">
            <v>6</v>
          </cell>
          <cell r="D522" t="str">
            <v>сельские населенные пункты с численностью населения менее 1 000 человек.</v>
          </cell>
        </row>
        <row r="523">
          <cell r="A523" t="str">
            <v>20:005:2:3:6</v>
          </cell>
          <cell r="B523" t="str">
            <v>Городской округ Верхняя Пышма</v>
          </cell>
          <cell r="C523">
            <v>6</v>
          </cell>
          <cell r="D523" t="str">
            <v>сельские населенные пункты с численностью населения менее 1 000 человек.</v>
          </cell>
        </row>
        <row r="524">
          <cell r="A524" t="str">
            <v>20:022:2:3:6</v>
          </cell>
          <cell r="B524" t="str">
            <v>Городской округ Верхняя Пышма</v>
          </cell>
          <cell r="C524">
            <v>6</v>
          </cell>
          <cell r="D524" t="str">
            <v>сельские населенные пункты с численностью населения менее 1 000 человек.</v>
          </cell>
        </row>
        <row r="525">
          <cell r="A525" t="str">
            <v>20:023:2:3:6</v>
          </cell>
          <cell r="B525" t="str">
            <v>Городской округ Верхняя Пышма</v>
          </cell>
          <cell r="C525">
            <v>6</v>
          </cell>
          <cell r="D525" t="str">
            <v>сельские населенные пункты с численностью населения менее 1 000 человек.</v>
          </cell>
        </row>
        <row r="526">
          <cell r="A526" t="str">
            <v>20:025:2:3:6</v>
          </cell>
          <cell r="B526" t="str">
            <v>Городской округ Верхняя Пышма</v>
          </cell>
          <cell r="C526">
            <v>6</v>
          </cell>
          <cell r="D526" t="str">
            <v>сельские населенные пункты с численностью населения менее 1 000 человек.</v>
          </cell>
        </row>
        <row r="527">
          <cell r="A527" t="str">
            <v>20:001:2:4:6</v>
          </cell>
          <cell r="B527" t="str">
            <v>Городской округ Верхняя Пышма</v>
          </cell>
          <cell r="C527">
            <v>6</v>
          </cell>
          <cell r="D527" t="str">
            <v>сельские населенные пункты с численностью населения менее 1 000 человек.</v>
          </cell>
        </row>
        <row r="528">
          <cell r="A528" t="str">
            <v>20:007:2:3:6</v>
          </cell>
          <cell r="B528" t="str">
            <v>Городской округ Верхняя Пышма</v>
          </cell>
          <cell r="C528">
            <v>6</v>
          </cell>
          <cell r="D528" t="str">
            <v>сельские населенные пункты с численностью населения менее 1 000 человек.</v>
          </cell>
        </row>
        <row r="529">
          <cell r="A529" t="str">
            <v>20:008:2:3:6</v>
          </cell>
          <cell r="B529" t="str">
            <v>Городской округ Верхняя Пышма</v>
          </cell>
          <cell r="C529">
            <v>6</v>
          </cell>
          <cell r="D529" t="str">
            <v>сельские населенные пункты с численностью населения менее 1 000 человек.</v>
          </cell>
        </row>
        <row r="530">
          <cell r="A530" t="str">
            <v>20:010:2:3:6</v>
          </cell>
          <cell r="B530" t="str">
            <v>Городской округ Верхняя Пышма</v>
          </cell>
          <cell r="C530">
            <v>6</v>
          </cell>
          <cell r="D530" t="str">
            <v>сельские населенные пункты с численностью населения менее 1 000 человек.</v>
          </cell>
        </row>
        <row r="531">
          <cell r="A531" t="str">
            <v>20:021:2:3:6</v>
          </cell>
          <cell r="B531" t="str">
            <v>Городской округ Верхняя Пышма</v>
          </cell>
          <cell r="C531">
            <v>6</v>
          </cell>
          <cell r="D531" t="str">
            <v>сельские населенные пункты с численностью населения менее 1 000 человек.</v>
          </cell>
        </row>
        <row r="532">
          <cell r="A532" t="str">
            <v>20:002:2:3:6</v>
          </cell>
          <cell r="B532" t="str">
            <v>Городской округ Верхняя Пышма</v>
          </cell>
          <cell r="C532">
            <v>6</v>
          </cell>
          <cell r="D532" t="str">
            <v>сельские населенные пункты с численностью населения менее 1 000 человек.</v>
          </cell>
        </row>
        <row r="533">
          <cell r="A533" t="str">
            <v>20:006:2:3:6</v>
          </cell>
          <cell r="B533" t="str">
            <v>Городской округ Верхняя Пышма</v>
          </cell>
          <cell r="C533">
            <v>6</v>
          </cell>
          <cell r="D533" t="str">
            <v>сельские населенные пункты с численностью населения менее 1 000 человек.</v>
          </cell>
        </row>
        <row r="534">
          <cell r="A534" t="str">
            <v>20:014:2:3:6</v>
          </cell>
          <cell r="B534" t="str">
            <v>Городской округ Верхняя Пышма</v>
          </cell>
          <cell r="C534">
            <v>6</v>
          </cell>
          <cell r="D534" t="str">
            <v>сельские населенные пункты с численностью населения менее 1 000 человек.</v>
          </cell>
        </row>
        <row r="535">
          <cell r="A535" t="str">
            <v>20:000:0:0:0</v>
          </cell>
          <cell r="B535" t="str">
            <v>Городской округ Верхняя Пышма</v>
          </cell>
          <cell r="C535">
            <v>0</v>
          </cell>
          <cell r="D535" t="str">
            <v>межселенная территория</v>
          </cell>
        </row>
        <row r="536">
          <cell r="A536" t="str">
            <v>21:001:1:1:4</v>
          </cell>
          <cell r="B536" t="str">
            <v>Городской округ Верхняя Тура</v>
          </cell>
          <cell r="C536">
            <v>4</v>
          </cell>
          <cell r="D536" t="str">
            <v>городские населенные пункты с численностью населения менее 50 000 человек;</v>
          </cell>
        </row>
        <row r="537">
          <cell r="A537" t="str">
            <v>21:000:0:0:0</v>
          </cell>
          <cell r="B537" t="str">
            <v>Городской округ Верхняя Тура</v>
          </cell>
          <cell r="C537">
            <v>0</v>
          </cell>
          <cell r="D537" t="str">
            <v>межселенная территория</v>
          </cell>
        </row>
        <row r="538">
          <cell r="A538" t="str">
            <v>22:044:2:5:6</v>
          </cell>
          <cell r="B538" t="str">
            <v>Городской округ Верхотурский</v>
          </cell>
          <cell r="C538">
            <v>6</v>
          </cell>
          <cell r="D538" t="str">
            <v>сельские населенные пункты с численностью населения менее 1 000 человек.</v>
          </cell>
        </row>
        <row r="539">
          <cell r="A539" t="str">
            <v>22:013:2:5:6</v>
          </cell>
          <cell r="B539" t="str">
            <v>Городской округ Верхотурский</v>
          </cell>
          <cell r="C539">
            <v>6</v>
          </cell>
          <cell r="D539" t="str">
            <v>сельские населенные пункты с численностью населения менее 1 000 человек.</v>
          </cell>
        </row>
        <row r="540">
          <cell r="A540" t="str">
            <v>22:009:2:5:6</v>
          </cell>
          <cell r="B540" t="str">
            <v>Городской округ Верхотурский</v>
          </cell>
          <cell r="C540">
            <v>6</v>
          </cell>
          <cell r="D540" t="str">
            <v>сельские населенные пункты с численностью населения менее 1 000 человек.</v>
          </cell>
        </row>
        <row r="541">
          <cell r="A541" t="str">
            <v>22:003:2:5:6</v>
          </cell>
          <cell r="B541" t="str">
            <v>Городской округ Верхотурский</v>
          </cell>
          <cell r="C541">
            <v>6</v>
          </cell>
          <cell r="D541" t="str">
            <v>сельские населенные пункты с численностью населения менее 1 000 человек.</v>
          </cell>
        </row>
        <row r="542">
          <cell r="A542" t="str">
            <v>22:026:2:5:6</v>
          </cell>
          <cell r="B542" t="str">
            <v>Городской округ Верхотурский</v>
          </cell>
          <cell r="C542">
            <v>6</v>
          </cell>
          <cell r="D542" t="str">
            <v>сельские населенные пункты с численностью населения менее 1 000 человек.</v>
          </cell>
        </row>
        <row r="543">
          <cell r="A543" t="str">
            <v>22:023:2:5:6</v>
          </cell>
          <cell r="B543" t="str">
            <v>Городской округ Верхотурский</v>
          </cell>
          <cell r="C543">
            <v>6</v>
          </cell>
          <cell r="D543" t="str">
            <v>сельские населенные пункты с численностью населения менее 1 000 человек.</v>
          </cell>
        </row>
        <row r="544">
          <cell r="A544" t="str">
            <v>22:031:2:4:6</v>
          </cell>
          <cell r="B544" t="str">
            <v>Городской округ Верхотурский</v>
          </cell>
          <cell r="C544">
            <v>6</v>
          </cell>
          <cell r="D544" t="str">
            <v>сельские населенные пункты с численностью населения менее 1 000 человек.</v>
          </cell>
        </row>
        <row r="545">
          <cell r="A545" t="str">
            <v>22:029:2:5:6</v>
          </cell>
          <cell r="B545" t="str">
            <v>Городской округ Верхотурский</v>
          </cell>
          <cell r="C545">
            <v>6</v>
          </cell>
          <cell r="D545" t="str">
            <v>сельские населенные пункты с численностью населения менее 1 000 человек.</v>
          </cell>
        </row>
        <row r="546">
          <cell r="A546" t="str">
            <v>22:001:2:5:6</v>
          </cell>
          <cell r="B546" t="str">
            <v>Городской округ Верхотурский</v>
          </cell>
          <cell r="C546">
            <v>6</v>
          </cell>
          <cell r="D546" t="str">
            <v>сельские населенные пункты с численностью населения менее 1 000 человек.</v>
          </cell>
        </row>
        <row r="547">
          <cell r="A547" t="str">
            <v>22:032:2:5:6</v>
          </cell>
          <cell r="B547" t="str">
            <v>Городской округ Верхотурский</v>
          </cell>
          <cell r="C547">
            <v>6</v>
          </cell>
          <cell r="D547" t="str">
            <v>сельские населенные пункты с численностью населения менее 1 000 человек.</v>
          </cell>
        </row>
        <row r="548">
          <cell r="A548" t="str">
            <v>22:025:2:5:6</v>
          </cell>
          <cell r="B548" t="str">
            <v>Городской округ Верхотурский</v>
          </cell>
          <cell r="C548">
            <v>6</v>
          </cell>
          <cell r="D548" t="str">
            <v>сельские населенные пункты с численностью населения менее 1 000 человек.</v>
          </cell>
        </row>
        <row r="549">
          <cell r="A549" t="str">
            <v>22:035:2:5:6</v>
          </cell>
          <cell r="B549" t="str">
            <v>Городской округ Верхотурский</v>
          </cell>
          <cell r="C549">
            <v>6</v>
          </cell>
          <cell r="D549" t="str">
            <v>сельские населенные пункты с численностью населения менее 1 000 человек.</v>
          </cell>
        </row>
        <row r="550">
          <cell r="A550" t="str">
            <v>22:012:2:5:6</v>
          </cell>
          <cell r="B550" t="str">
            <v>Городской округ Верхотурский</v>
          </cell>
          <cell r="C550">
            <v>6</v>
          </cell>
          <cell r="D550" t="str">
            <v>сельские населенные пункты с численностью населения менее 1 000 человек.</v>
          </cell>
        </row>
        <row r="551">
          <cell r="A551" t="str">
            <v>22:002:2:5:6</v>
          </cell>
          <cell r="B551" t="str">
            <v>Городской округ Верхотурский</v>
          </cell>
          <cell r="C551">
            <v>6</v>
          </cell>
          <cell r="D551" t="str">
            <v>сельские населенные пункты с численностью населения менее 1 000 человек.</v>
          </cell>
        </row>
        <row r="552">
          <cell r="A552" t="str">
            <v>22:016:2:5:6</v>
          </cell>
          <cell r="B552" t="str">
            <v>Городской округ Верхотурский</v>
          </cell>
          <cell r="C552">
            <v>6</v>
          </cell>
          <cell r="D552" t="str">
            <v>сельские населенные пункты с численностью населения менее 1 000 человек.</v>
          </cell>
        </row>
        <row r="553">
          <cell r="A553" t="str">
            <v>22:006:2:5:6</v>
          </cell>
          <cell r="B553" t="str">
            <v>Городской округ Верхотурский</v>
          </cell>
          <cell r="C553">
            <v>6</v>
          </cell>
          <cell r="D553" t="str">
            <v>сельские населенные пункты с численностью населения менее 1 000 человек.</v>
          </cell>
        </row>
        <row r="554">
          <cell r="A554" t="str">
            <v>22:015:2:5:6</v>
          </cell>
          <cell r="B554" t="str">
            <v>Городской округ Верхотурский</v>
          </cell>
          <cell r="C554">
            <v>6</v>
          </cell>
          <cell r="D554" t="str">
            <v>сельские населенные пункты с численностью населения менее 1 000 человек.</v>
          </cell>
        </row>
        <row r="555">
          <cell r="A555" t="str">
            <v>22:041:2:5:6</v>
          </cell>
          <cell r="B555" t="str">
            <v>Городской округ Верхотурский</v>
          </cell>
          <cell r="C555">
            <v>6</v>
          </cell>
          <cell r="D555" t="str">
            <v>сельские населенные пункты с численностью населения менее 1 000 человек.</v>
          </cell>
        </row>
        <row r="556">
          <cell r="A556" t="str">
            <v>22:033:2:5:6</v>
          </cell>
          <cell r="B556" t="str">
            <v>Городской округ Верхотурский</v>
          </cell>
          <cell r="C556">
            <v>6</v>
          </cell>
          <cell r="D556" t="str">
            <v>сельские населенные пункты с численностью населения менее 1 000 человек.</v>
          </cell>
        </row>
        <row r="557">
          <cell r="A557" t="str">
            <v>22:043:2:5:6</v>
          </cell>
          <cell r="B557" t="str">
            <v>Городской округ Верхотурский</v>
          </cell>
          <cell r="C557">
            <v>6</v>
          </cell>
          <cell r="D557" t="str">
            <v>сельские населенные пункты с численностью населения менее 1 000 человек.</v>
          </cell>
        </row>
        <row r="558">
          <cell r="A558" t="str">
            <v>22:027:2:5:6</v>
          </cell>
          <cell r="B558" t="str">
            <v>Городской округ Верхотурский</v>
          </cell>
          <cell r="C558">
            <v>6</v>
          </cell>
          <cell r="D558" t="str">
            <v>сельские населенные пункты с численностью населения менее 1 000 человек.</v>
          </cell>
        </row>
        <row r="559">
          <cell r="A559" t="str">
            <v>22:040:2:5:6</v>
          </cell>
          <cell r="B559" t="str">
            <v>Городской округ Верхотурский</v>
          </cell>
          <cell r="C559">
            <v>6</v>
          </cell>
          <cell r="D559" t="str">
            <v>сельские населенные пункты с численностью населения менее 1 000 человек.</v>
          </cell>
        </row>
        <row r="560">
          <cell r="A560" t="str">
            <v>22:028:2:5:6</v>
          </cell>
          <cell r="B560" t="str">
            <v>Городской округ Верхотурский</v>
          </cell>
          <cell r="C560">
            <v>6</v>
          </cell>
          <cell r="D560" t="str">
            <v>сельские населенные пункты с численностью населения менее 1 000 человек.</v>
          </cell>
        </row>
        <row r="561">
          <cell r="A561" t="str">
            <v>22:010:2:5:6</v>
          </cell>
          <cell r="B561" t="str">
            <v>Городской округ Верхотурский</v>
          </cell>
          <cell r="C561">
            <v>6</v>
          </cell>
          <cell r="D561" t="str">
            <v>сельские населенные пункты с численностью населения менее 1 000 человек.</v>
          </cell>
        </row>
        <row r="562">
          <cell r="A562" t="str">
            <v>22:008:2:5:6</v>
          </cell>
          <cell r="B562" t="str">
            <v>Городской округ Верхотурский</v>
          </cell>
          <cell r="C562">
            <v>6</v>
          </cell>
          <cell r="D562" t="str">
            <v>сельские населенные пункты с численностью населения менее 1 000 человек.</v>
          </cell>
        </row>
        <row r="563">
          <cell r="A563" t="str">
            <v>22:014:2:5:6</v>
          </cell>
          <cell r="B563" t="str">
            <v>Городской округ Верхотурский</v>
          </cell>
          <cell r="C563">
            <v>6</v>
          </cell>
          <cell r="D563" t="str">
            <v>сельские населенные пункты с численностью населения менее 1 000 человек.</v>
          </cell>
        </row>
        <row r="564">
          <cell r="A564" t="str">
            <v>22:034:2:4:6</v>
          </cell>
          <cell r="B564" t="str">
            <v>Городской округ Верхотурский</v>
          </cell>
          <cell r="C564">
            <v>6</v>
          </cell>
          <cell r="D564" t="str">
            <v>сельские населенные пункты с численностью населения менее 1 000 человек.</v>
          </cell>
        </row>
        <row r="565">
          <cell r="A565" t="str">
            <v>22:018:2:3:6</v>
          </cell>
          <cell r="B565" t="str">
            <v>Городской округ Верхотурский</v>
          </cell>
          <cell r="C565">
            <v>6</v>
          </cell>
          <cell r="D565" t="str">
            <v>сельские населенные пункты с численностью населения менее 1 000 человек.</v>
          </cell>
        </row>
        <row r="566">
          <cell r="A566" t="str">
            <v>22:037:2:3:5</v>
          </cell>
          <cell r="B566" t="str">
            <v>Городской округ Верхотурский</v>
          </cell>
          <cell r="C566">
            <v>5</v>
          </cell>
          <cell r="D566" t="str">
            <v>сельские населенные пункты с численностью населения более 1 000 человек;</v>
          </cell>
        </row>
        <row r="567">
          <cell r="A567" t="str">
            <v>22:017:2:3:6</v>
          </cell>
          <cell r="B567" t="str">
            <v>Городской округ Верхотурский</v>
          </cell>
          <cell r="C567">
            <v>6</v>
          </cell>
          <cell r="D567" t="str">
            <v>сельские населенные пункты с численностью населения менее 1 000 человек.</v>
          </cell>
        </row>
        <row r="568">
          <cell r="A568" t="str">
            <v>22:007:1:1:4</v>
          </cell>
          <cell r="B568" t="str">
            <v>Городской округ Верхотурский</v>
          </cell>
          <cell r="C568">
            <v>4</v>
          </cell>
          <cell r="D568" t="str">
            <v>городские населенные пункты с численностью населения менее 50 000 человек;</v>
          </cell>
        </row>
        <row r="569">
          <cell r="A569" t="str">
            <v>22:024:2:4:6</v>
          </cell>
          <cell r="B569" t="str">
            <v>Городской округ Верхотурский</v>
          </cell>
          <cell r="C569">
            <v>6</v>
          </cell>
          <cell r="D569" t="str">
            <v>сельские населенные пункты с численностью населения менее 1 000 человек.</v>
          </cell>
        </row>
        <row r="570">
          <cell r="A570" t="str">
            <v>22:042:2:4:6</v>
          </cell>
          <cell r="B570" t="str">
            <v>Городской округ Верхотурский</v>
          </cell>
          <cell r="C570">
            <v>6</v>
          </cell>
          <cell r="D570" t="str">
            <v>сельские населенные пункты с численностью населения менее 1 000 человек.</v>
          </cell>
        </row>
        <row r="571">
          <cell r="A571" t="str">
            <v>22:020:2:4:6</v>
          </cell>
          <cell r="B571" t="str">
            <v>Городской округ Верхотурский</v>
          </cell>
          <cell r="C571">
            <v>6</v>
          </cell>
          <cell r="D571" t="str">
            <v>сельские населенные пункты с численностью населения менее 1 000 человек.</v>
          </cell>
        </row>
        <row r="572">
          <cell r="A572" t="str">
            <v>22:011:2:4:6</v>
          </cell>
          <cell r="B572" t="str">
            <v>Городской округ Верхотурский</v>
          </cell>
          <cell r="C572">
            <v>6</v>
          </cell>
          <cell r="D572" t="str">
            <v>сельские населенные пункты с численностью населения менее 1 000 человек.</v>
          </cell>
        </row>
        <row r="573">
          <cell r="A573" t="str">
            <v>22:019:2:3:6</v>
          </cell>
          <cell r="B573" t="str">
            <v>Городской округ Верхотурский</v>
          </cell>
          <cell r="C573">
            <v>6</v>
          </cell>
          <cell r="D573" t="str">
            <v>сельские населенные пункты с численностью населения менее 1 000 человек.</v>
          </cell>
        </row>
        <row r="574">
          <cell r="A574" t="str">
            <v>22:038:2:4:6</v>
          </cell>
          <cell r="B574" t="str">
            <v>Городской округ Верхотурский</v>
          </cell>
          <cell r="C574">
            <v>6</v>
          </cell>
          <cell r="D574" t="str">
            <v>сельские населенные пункты с численностью населения менее 1 000 человек.</v>
          </cell>
        </row>
        <row r="575">
          <cell r="A575" t="str">
            <v>22:036:2:4:6</v>
          </cell>
          <cell r="B575" t="str">
            <v>Городской округ Верхотурский</v>
          </cell>
          <cell r="C575">
            <v>6</v>
          </cell>
          <cell r="D575" t="str">
            <v>сельские населенные пункты с численностью населения менее 1 000 человек.</v>
          </cell>
        </row>
        <row r="576">
          <cell r="A576" t="str">
            <v>22:022:2:3:6</v>
          </cell>
          <cell r="B576" t="str">
            <v>Городской округ Верхотурский</v>
          </cell>
          <cell r="C576">
            <v>6</v>
          </cell>
          <cell r="D576" t="str">
            <v>сельские населенные пункты с численностью населения менее 1 000 человек.</v>
          </cell>
        </row>
        <row r="577">
          <cell r="A577" t="str">
            <v>22:005:2:5:6</v>
          </cell>
          <cell r="B577" t="str">
            <v>Городской округ Верхотурский</v>
          </cell>
          <cell r="C577">
            <v>6</v>
          </cell>
          <cell r="D577" t="str">
            <v>сельские населенные пункты с численностью населения менее 1 000 человек.</v>
          </cell>
        </row>
        <row r="578">
          <cell r="A578" t="str">
            <v>22:039:2:5:6</v>
          </cell>
          <cell r="B578" t="str">
            <v>Городской округ Верхотурский</v>
          </cell>
          <cell r="C578">
            <v>6</v>
          </cell>
          <cell r="D578" t="str">
            <v>сельские населенные пункты с численностью населения менее 1 000 человек.</v>
          </cell>
        </row>
        <row r="579">
          <cell r="A579" t="str">
            <v>22:030:2:5:6</v>
          </cell>
          <cell r="B579" t="str">
            <v>Городской округ Верхотурский</v>
          </cell>
          <cell r="C579">
            <v>6</v>
          </cell>
          <cell r="D579" t="str">
            <v>сельские населенные пункты с численностью населения менее 1 000 человек.</v>
          </cell>
        </row>
        <row r="580">
          <cell r="A580" t="str">
            <v>22:021:2:5:6</v>
          </cell>
          <cell r="B580" t="str">
            <v>Городской округ Верхотурский</v>
          </cell>
          <cell r="C580">
            <v>6</v>
          </cell>
          <cell r="D580" t="str">
            <v>сельские населенные пункты с численностью населения менее 1 000 человек.</v>
          </cell>
        </row>
        <row r="581">
          <cell r="A581" t="str">
            <v>22:004:2:5:6</v>
          </cell>
          <cell r="B581" t="str">
            <v>Городской округ Верхотурский</v>
          </cell>
          <cell r="C581">
            <v>6</v>
          </cell>
          <cell r="D581" t="str">
            <v>сельские населенные пункты с численностью населения менее 1 000 человек.</v>
          </cell>
        </row>
        <row r="582">
          <cell r="A582" t="str">
            <v>22:000:0:0:0</v>
          </cell>
          <cell r="B582" t="str">
            <v>Городской округ Верхотурский</v>
          </cell>
          <cell r="C582">
            <v>0</v>
          </cell>
          <cell r="D582" t="str">
            <v>межселенная территория</v>
          </cell>
        </row>
        <row r="583">
          <cell r="A583" t="str">
            <v>23:002:2:3:6</v>
          </cell>
          <cell r="B583" t="str">
            <v>Городской округ Дегтярск</v>
          </cell>
          <cell r="C583">
            <v>6</v>
          </cell>
          <cell r="D583" t="str">
            <v>сельские населенные пункты с численностью населения менее 1 000 человек.</v>
          </cell>
        </row>
        <row r="584">
          <cell r="A584" t="str">
            <v>23:003:1:1:4</v>
          </cell>
          <cell r="B584" t="str">
            <v>Городской округ Дегтярск</v>
          </cell>
          <cell r="C584">
            <v>4</v>
          </cell>
          <cell r="D584" t="str">
            <v>городские населенные пункты с численностью населения менее 50 000 человек;</v>
          </cell>
        </row>
        <row r="585">
          <cell r="A585" t="str">
            <v>23:004:2:3:6</v>
          </cell>
          <cell r="B585" t="str">
            <v>Городской округ Дегтярск</v>
          </cell>
          <cell r="C585">
            <v>6</v>
          </cell>
          <cell r="D585" t="str">
            <v>сельские населенные пункты с численностью населения менее 1 000 человек.</v>
          </cell>
        </row>
        <row r="586">
          <cell r="A586" t="str">
            <v>23:001:2:3:6</v>
          </cell>
          <cell r="B586" t="str">
            <v>Городской округ Дегтярск</v>
          </cell>
          <cell r="C586">
            <v>6</v>
          </cell>
          <cell r="D586" t="str">
            <v>сельские населенные пункты с численностью населения менее 1 000 человек.</v>
          </cell>
        </row>
        <row r="587">
          <cell r="A587" t="str">
            <v>23:000:0:0:0</v>
          </cell>
          <cell r="B587" t="str">
            <v>Городской округ Дегтярск</v>
          </cell>
          <cell r="C587">
            <v>0</v>
          </cell>
          <cell r="D587" t="str">
            <v>межселенная территория</v>
          </cell>
        </row>
        <row r="588">
          <cell r="A588" t="str">
            <v>24:004:2:5:6</v>
          </cell>
          <cell r="B588" t="str">
            <v>Городской округ Заречный</v>
          </cell>
          <cell r="C588">
            <v>6</v>
          </cell>
          <cell r="D588" t="str">
            <v>сельские населенные пункты с численностью населения менее 1 000 человек.</v>
          </cell>
        </row>
        <row r="589">
          <cell r="A589" t="str">
            <v>24:001:2:5:6</v>
          </cell>
          <cell r="B589" t="str">
            <v>Городской округ Заречный</v>
          </cell>
          <cell r="C589">
            <v>6</v>
          </cell>
          <cell r="D589" t="str">
            <v>сельские населенные пункты с численностью населения менее 1 000 человек.</v>
          </cell>
        </row>
        <row r="590">
          <cell r="A590" t="str">
            <v>24:002:2:5:6</v>
          </cell>
          <cell r="B590" t="str">
            <v>Городской округ Заречный</v>
          </cell>
          <cell r="C590">
            <v>6</v>
          </cell>
          <cell r="D590" t="str">
            <v>сельские населенные пункты с численностью населения менее 1 000 человек.</v>
          </cell>
        </row>
        <row r="591">
          <cell r="A591" t="str">
            <v>24:005:2:4:5</v>
          </cell>
          <cell r="B591" t="str">
            <v>Городской округ Заречный</v>
          </cell>
          <cell r="C591">
            <v>5</v>
          </cell>
          <cell r="D591" t="str">
            <v>сельские населенные пункты с численностью населения более 1 000 человек;</v>
          </cell>
        </row>
        <row r="592">
          <cell r="A592" t="str">
            <v>24:003:1:1:4</v>
          </cell>
          <cell r="B592" t="str">
            <v>Городской округ Заречный</v>
          </cell>
          <cell r="C592">
            <v>4</v>
          </cell>
          <cell r="D592" t="str">
            <v>городские населенные пункты с численностью населения менее 50 000 человек;</v>
          </cell>
        </row>
        <row r="593">
          <cell r="A593" t="str">
            <v>24:000:0:0:0</v>
          </cell>
          <cell r="B593" t="str">
            <v>Городской округ Заречный</v>
          </cell>
          <cell r="C593">
            <v>0</v>
          </cell>
          <cell r="D593" t="str">
            <v>межселенная территория</v>
          </cell>
        </row>
        <row r="594">
          <cell r="A594" t="str">
            <v>25:001:1:2:4</v>
          </cell>
          <cell r="B594" t="str">
            <v>Городской округ ЗАТО Свободный</v>
          </cell>
          <cell r="C594">
            <v>4</v>
          </cell>
          <cell r="D594" t="str">
            <v>городские населенные пункты с численностью населения менее 50 000 человек;</v>
          </cell>
        </row>
        <row r="595">
          <cell r="A595" t="str">
            <v>25:000:0:0:0</v>
          </cell>
          <cell r="B595" t="str">
            <v>Городской округ ЗАТО Свободный</v>
          </cell>
          <cell r="C595">
            <v>0</v>
          </cell>
          <cell r="D595" t="str">
            <v>межселенная территория</v>
          </cell>
        </row>
        <row r="596">
          <cell r="A596" t="str">
            <v>00:022:0:0:0</v>
          </cell>
          <cell r="B596" t="str">
            <v>Городской округ Карпинск</v>
          </cell>
          <cell r="C596">
            <v>0</v>
          </cell>
          <cell r="D596" t="str">
            <v>межселенная территория</v>
          </cell>
        </row>
        <row r="597">
          <cell r="A597" t="str">
            <v>26:007:2:3:6</v>
          </cell>
          <cell r="B597" t="str">
            <v>Городской округ Карпинск</v>
          </cell>
          <cell r="C597">
            <v>6</v>
          </cell>
          <cell r="D597" t="str">
            <v>сельские населенные пункты с численностью населения менее 1 000 человек.</v>
          </cell>
        </row>
        <row r="598">
          <cell r="A598" t="str">
            <v>26:006:2:3:6</v>
          </cell>
          <cell r="B598" t="str">
            <v>Городской округ Карпинск</v>
          </cell>
          <cell r="C598">
            <v>6</v>
          </cell>
          <cell r="D598" t="str">
            <v>сельские населенные пункты с численностью населения менее 1 000 человек.</v>
          </cell>
        </row>
        <row r="599">
          <cell r="A599" t="str">
            <v>26:003:2:3:6</v>
          </cell>
          <cell r="B599" t="str">
            <v>Городской округ Карпинск</v>
          </cell>
          <cell r="C599">
            <v>6</v>
          </cell>
          <cell r="D599" t="str">
            <v>сельские населенные пункты с численностью населения менее 1 000 человек.</v>
          </cell>
        </row>
        <row r="600">
          <cell r="A600" t="str">
            <v>26:005:2:3:6</v>
          </cell>
          <cell r="B600" t="str">
            <v>Городской округ Карпинск</v>
          </cell>
          <cell r="C600">
            <v>6</v>
          </cell>
          <cell r="D600" t="str">
            <v>сельские населенные пункты с численностью населения менее 1 000 человек.</v>
          </cell>
        </row>
        <row r="601">
          <cell r="A601" t="str">
            <v>26:004:1:1:4</v>
          </cell>
          <cell r="B601" t="str">
            <v>Городской округ Карпинск</v>
          </cell>
          <cell r="C601">
            <v>4</v>
          </cell>
          <cell r="D601" t="str">
            <v>городские населенные пункты с численностью населения менее 50 000 человек;</v>
          </cell>
        </row>
        <row r="602">
          <cell r="A602" t="str">
            <v>26:002:2:3:6</v>
          </cell>
          <cell r="B602" t="str">
            <v>Городской округ Карпинск</v>
          </cell>
          <cell r="C602">
            <v>6</v>
          </cell>
          <cell r="D602" t="str">
            <v>сельские населенные пункты с численностью населения менее 1 000 человек.</v>
          </cell>
        </row>
        <row r="603">
          <cell r="A603" t="str">
            <v>26:001:2:3:6</v>
          </cell>
          <cell r="B603" t="str">
            <v>Городской округ Карпинск</v>
          </cell>
          <cell r="C603">
            <v>6</v>
          </cell>
          <cell r="D603" t="str">
            <v>сельские населенные пункты с численностью населения менее 1 000 человек.</v>
          </cell>
        </row>
        <row r="604">
          <cell r="A604" t="str">
            <v>26:000:0:0:0</v>
          </cell>
          <cell r="B604" t="str">
            <v>Городской округ Карпинск</v>
          </cell>
          <cell r="C604">
            <v>0</v>
          </cell>
          <cell r="D604" t="str">
            <v>межселенная территория</v>
          </cell>
        </row>
        <row r="605">
          <cell r="A605" t="str">
            <v>27:005:2:3:6</v>
          </cell>
          <cell r="B605" t="str">
            <v>Городской округ Краснотурьинск</v>
          </cell>
          <cell r="C605">
            <v>6</v>
          </cell>
          <cell r="D605" t="str">
            <v>сельские населенные пункты с численностью населения менее 1 000 человек.</v>
          </cell>
        </row>
        <row r="606">
          <cell r="A606" t="str">
            <v>27:003:2:3:6</v>
          </cell>
          <cell r="B606" t="str">
            <v>Городской округ Краснотурьинск</v>
          </cell>
          <cell r="C606">
            <v>6</v>
          </cell>
          <cell r="D606" t="str">
            <v>сельские населенные пункты с численностью населения менее 1 000 человек.</v>
          </cell>
        </row>
        <row r="607">
          <cell r="A607" t="str">
            <v>27:002:1:1:3</v>
          </cell>
          <cell r="B607" t="str">
            <v>Городской округ Краснотурьинск</v>
          </cell>
          <cell r="C607">
            <v>3</v>
          </cell>
          <cell r="D607" t="str">
            <v>городские населенные пункты с численностью населения от 100 000 до 50 000 человек;</v>
          </cell>
        </row>
        <row r="608">
          <cell r="A608" t="str">
            <v>27:004:2:3:6</v>
          </cell>
          <cell r="B608" t="str">
            <v>Городской округ Краснотурьинск</v>
          </cell>
          <cell r="C608">
            <v>6</v>
          </cell>
          <cell r="D608" t="str">
            <v>сельские населенные пункты с численностью населения менее 1 000 человек.</v>
          </cell>
        </row>
        <row r="609">
          <cell r="A609" t="str">
            <v>27:006:2:3:6</v>
          </cell>
          <cell r="B609" t="str">
            <v>Городской округ Краснотурьинск</v>
          </cell>
          <cell r="C609">
            <v>6</v>
          </cell>
          <cell r="D609" t="str">
            <v>сельские населенные пункты с численностью населения менее 1 000 человек.</v>
          </cell>
        </row>
        <row r="610">
          <cell r="A610" t="str">
            <v>27:001:2:3:6</v>
          </cell>
          <cell r="B610" t="str">
            <v>Городской округ Краснотурьинск</v>
          </cell>
          <cell r="C610">
            <v>6</v>
          </cell>
          <cell r="D610" t="str">
            <v>сельские населенные пункты с численностью населения менее 1 000 человек.</v>
          </cell>
        </row>
        <row r="611">
          <cell r="A611" t="str">
            <v>27:000:0:0:0</v>
          </cell>
          <cell r="B611" t="str">
            <v>Городской округ Краснотурьинск</v>
          </cell>
          <cell r="C611">
            <v>0</v>
          </cell>
          <cell r="D611" t="str">
            <v>межселенная территория</v>
          </cell>
        </row>
        <row r="612">
          <cell r="A612" t="str">
            <v>28:009:2:3:6</v>
          </cell>
          <cell r="B612" t="str">
            <v>Городской округ Красноуральск</v>
          </cell>
          <cell r="C612">
            <v>6</v>
          </cell>
          <cell r="D612" t="str">
            <v>сельские населенные пункты с численностью населения менее 1 000 человек.</v>
          </cell>
        </row>
        <row r="613">
          <cell r="A613" t="str">
            <v>28:003:2:3:6</v>
          </cell>
          <cell r="B613" t="str">
            <v>Городской округ Красноуральск</v>
          </cell>
          <cell r="C613">
            <v>6</v>
          </cell>
          <cell r="D613" t="str">
            <v>сельские населенные пункты с численностью населения менее 1 000 человек.</v>
          </cell>
        </row>
        <row r="614">
          <cell r="A614" t="str">
            <v>28:005:2:3:6</v>
          </cell>
          <cell r="B614" t="str">
            <v>Городской округ Красноуральск</v>
          </cell>
          <cell r="C614">
            <v>6</v>
          </cell>
          <cell r="D614" t="str">
            <v>сельские населенные пункты с численностью населения менее 1 000 человек.</v>
          </cell>
        </row>
        <row r="615">
          <cell r="A615" t="str">
            <v>28:001:2:3:6</v>
          </cell>
          <cell r="B615" t="str">
            <v>Городской округ Красноуральск</v>
          </cell>
          <cell r="C615">
            <v>6</v>
          </cell>
          <cell r="D615" t="str">
            <v>сельские населенные пункты с численностью населения менее 1 000 человек.</v>
          </cell>
        </row>
        <row r="616">
          <cell r="A616" t="str">
            <v>28:010:2:3:6</v>
          </cell>
          <cell r="B616" t="str">
            <v>Городской округ Красноуральск</v>
          </cell>
          <cell r="C616">
            <v>6</v>
          </cell>
          <cell r="D616" t="str">
            <v>сельские населенные пункты с численностью населения менее 1 000 человек.</v>
          </cell>
        </row>
        <row r="617">
          <cell r="A617" t="str">
            <v>28:007:2:3:6</v>
          </cell>
          <cell r="B617" t="str">
            <v>Городской округ Красноуральск</v>
          </cell>
          <cell r="C617">
            <v>6</v>
          </cell>
          <cell r="D617" t="str">
            <v>сельские населенные пункты с численностью населения менее 1 000 человек.</v>
          </cell>
        </row>
        <row r="618">
          <cell r="A618" t="str">
            <v>28:008:2:3:6</v>
          </cell>
          <cell r="B618" t="str">
            <v>Городской округ Красноуральск</v>
          </cell>
          <cell r="C618">
            <v>6</v>
          </cell>
          <cell r="D618" t="str">
            <v>сельские населенные пункты с численностью населения менее 1 000 человек.</v>
          </cell>
        </row>
        <row r="619">
          <cell r="A619" t="str">
            <v>28:011:2:5:6</v>
          </cell>
          <cell r="B619" t="str">
            <v>Городской округ Красноуральск</v>
          </cell>
          <cell r="C619">
            <v>6</v>
          </cell>
          <cell r="D619" t="str">
            <v>сельские населенные пункты с численностью населения менее 1 000 человек.</v>
          </cell>
        </row>
        <row r="620">
          <cell r="A620" t="str">
            <v>28:006:1:1:4</v>
          </cell>
          <cell r="B620" t="str">
            <v>Городской округ Красноуральск</v>
          </cell>
          <cell r="C620">
            <v>4</v>
          </cell>
          <cell r="D620" t="str">
            <v>городские населенные пункты с численностью населения менее 50 000 человек;</v>
          </cell>
        </row>
        <row r="621">
          <cell r="A621" t="str">
            <v>28:004:2:3:6</v>
          </cell>
          <cell r="B621" t="str">
            <v>Городской округ Красноуральск</v>
          </cell>
          <cell r="C621">
            <v>6</v>
          </cell>
          <cell r="D621" t="str">
            <v>сельские населенные пункты с численностью населения менее 1 000 человек.</v>
          </cell>
        </row>
        <row r="622">
          <cell r="A622" t="str">
            <v>28:002:2:3:6</v>
          </cell>
          <cell r="B622" t="str">
            <v>Городской округ Красноуральск</v>
          </cell>
          <cell r="C622">
            <v>6</v>
          </cell>
          <cell r="D622" t="str">
            <v>сельские населенные пункты с численностью населения менее 1 000 человек.</v>
          </cell>
        </row>
        <row r="623">
          <cell r="A623" t="str">
            <v>28:000:0:0:0</v>
          </cell>
          <cell r="B623" t="str">
            <v>Городской округ Красноуральск</v>
          </cell>
          <cell r="C623">
            <v>0</v>
          </cell>
          <cell r="D623" t="str">
            <v>межселенная территория</v>
          </cell>
        </row>
        <row r="624">
          <cell r="A624" t="str">
            <v>29:001:2:3:6</v>
          </cell>
          <cell r="B624" t="str">
            <v>Городской округ Красноуфимск</v>
          </cell>
          <cell r="C624">
            <v>6</v>
          </cell>
          <cell r="D624" t="str">
            <v>сельские населенные пункты с численностью населения менее 1 000 человек.</v>
          </cell>
        </row>
        <row r="625">
          <cell r="A625" t="str">
            <v>29:005:2:3:6</v>
          </cell>
          <cell r="B625" t="str">
            <v>Городской округ Красноуфимск</v>
          </cell>
          <cell r="C625">
            <v>6</v>
          </cell>
          <cell r="D625" t="str">
            <v>сельские населенные пункты с численностью населения менее 1 000 человек.</v>
          </cell>
        </row>
        <row r="626">
          <cell r="A626" t="str">
            <v>29:004:2:3:6</v>
          </cell>
          <cell r="B626" t="str">
            <v>Городской округ Красноуфимск</v>
          </cell>
          <cell r="C626">
            <v>6</v>
          </cell>
          <cell r="D626" t="str">
            <v>сельские населенные пункты с численностью населения менее 1 000 человек.</v>
          </cell>
        </row>
        <row r="627">
          <cell r="A627" t="str">
            <v>29:002:1:1:4</v>
          </cell>
          <cell r="B627" t="str">
            <v>Городской округ Красноуфимск</v>
          </cell>
          <cell r="C627">
            <v>4</v>
          </cell>
          <cell r="D627" t="str">
            <v>городские населенные пункты с численностью населения менее 50 000 человек;</v>
          </cell>
        </row>
        <row r="628">
          <cell r="A628" t="str">
            <v>29:003:2:3:6</v>
          </cell>
          <cell r="B628" t="str">
            <v>Городской округ Красноуфимск</v>
          </cell>
          <cell r="C628">
            <v>6</v>
          </cell>
          <cell r="D628" t="str">
            <v>сельские населенные пункты с численностью населения менее 1 000 человек.</v>
          </cell>
        </row>
        <row r="629">
          <cell r="A629" t="str">
            <v>29:000:0:0:0</v>
          </cell>
          <cell r="B629" t="str">
            <v>Городской округ Красноуфимск</v>
          </cell>
          <cell r="C629">
            <v>0</v>
          </cell>
          <cell r="D629" t="str">
            <v>межселенная территория</v>
          </cell>
        </row>
        <row r="630">
          <cell r="A630" t="str">
            <v>30:005:2:3:6</v>
          </cell>
          <cell r="B630" t="str">
            <v>Городской округ Нижняя Салда</v>
          </cell>
          <cell r="C630">
            <v>6</v>
          </cell>
          <cell r="D630" t="str">
            <v>сельские населенные пункты с численностью населения менее 1 000 человек.</v>
          </cell>
        </row>
        <row r="631">
          <cell r="A631" t="str">
            <v>30:002:2:3:6</v>
          </cell>
          <cell r="B631" t="str">
            <v>Городской округ Нижняя Салда</v>
          </cell>
          <cell r="C631">
            <v>6</v>
          </cell>
          <cell r="D631" t="str">
            <v>сельские населенные пункты с численностью населения менее 1 000 человек.</v>
          </cell>
        </row>
        <row r="632">
          <cell r="A632" t="str">
            <v>30:004:1:1:4</v>
          </cell>
          <cell r="B632" t="str">
            <v>Городской округ Нижняя Салда</v>
          </cell>
          <cell r="C632">
            <v>4</v>
          </cell>
          <cell r="D632" t="str">
            <v>городские населенные пункты с численностью населения менее 50 000 человек;</v>
          </cell>
        </row>
        <row r="633">
          <cell r="A633" t="str">
            <v>30:001:2:4:6</v>
          </cell>
          <cell r="B633" t="str">
            <v>Городской округ Нижняя Салда</v>
          </cell>
          <cell r="C633">
            <v>6</v>
          </cell>
          <cell r="D633" t="str">
            <v>сельские населенные пункты с численностью населения менее 1 000 человек.</v>
          </cell>
        </row>
        <row r="634">
          <cell r="A634" t="str">
            <v>30:003:2:4:6</v>
          </cell>
          <cell r="B634" t="str">
            <v>Городской округ Нижняя Салда</v>
          </cell>
          <cell r="C634">
            <v>6</v>
          </cell>
          <cell r="D634" t="str">
            <v>сельские населенные пункты с численностью населения менее 1 000 человек.</v>
          </cell>
        </row>
        <row r="635">
          <cell r="A635" t="str">
            <v>30:000:0:0:0</v>
          </cell>
          <cell r="B635" t="str">
            <v>Городской округ Нижняя Салда</v>
          </cell>
          <cell r="C635">
            <v>0</v>
          </cell>
          <cell r="D635" t="str">
            <v>межселенная территория</v>
          </cell>
        </row>
        <row r="636">
          <cell r="A636" t="str">
            <v>31:004:2:3:6</v>
          </cell>
          <cell r="B636" t="str">
            <v>Городской округ Пелым</v>
          </cell>
          <cell r="C636">
            <v>6</v>
          </cell>
          <cell r="D636" t="str">
            <v>сельские населенные пункты с численностью населения менее 1 000 человек.</v>
          </cell>
        </row>
        <row r="637">
          <cell r="A637" t="str">
            <v>31:003:2:3:6</v>
          </cell>
          <cell r="B637" t="str">
            <v>Городской округ Пелым</v>
          </cell>
          <cell r="C637">
            <v>6</v>
          </cell>
          <cell r="D637" t="str">
            <v>сельские населенные пункты с численностью населения менее 1 000 человек.</v>
          </cell>
        </row>
        <row r="638">
          <cell r="A638" t="str">
            <v>31:002:2:3:6</v>
          </cell>
          <cell r="B638" t="str">
            <v>Городской округ Пелым</v>
          </cell>
          <cell r="C638">
            <v>6</v>
          </cell>
          <cell r="D638" t="str">
            <v>сельские населенные пункты с численностью населения менее 1 000 человек.</v>
          </cell>
        </row>
        <row r="639">
          <cell r="A639" t="str">
            <v>31:005:1:2:4</v>
          </cell>
          <cell r="B639" t="str">
            <v>Городской округ Пелым</v>
          </cell>
          <cell r="C639">
            <v>4</v>
          </cell>
          <cell r="D639" t="str">
            <v>городские населенные пункты с численностью населения менее 50 000 человек;</v>
          </cell>
        </row>
        <row r="640">
          <cell r="A640" t="str">
            <v>31:001:2:3:6</v>
          </cell>
          <cell r="B640" t="str">
            <v>Городской округ Пелым</v>
          </cell>
          <cell r="C640">
            <v>6</v>
          </cell>
          <cell r="D640" t="str">
            <v>сельские населенные пункты с численностью населения менее 1 000 человек.</v>
          </cell>
        </row>
        <row r="641">
          <cell r="A641" t="str">
            <v>31:000:0:0:0</v>
          </cell>
          <cell r="B641" t="str">
            <v>Городской округ Пелым</v>
          </cell>
          <cell r="C641">
            <v>0</v>
          </cell>
          <cell r="D641" t="str">
            <v>межселенная территория</v>
          </cell>
        </row>
        <row r="642">
          <cell r="A642" t="str">
            <v>32:025:2:5:6</v>
          </cell>
          <cell r="B642" t="str">
            <v>Городской округ Первоуральск</v>
          </cell>
          <cell r="C642">
            <v>6</v>
          </cell>
          <cell r="D642" t="str">
            <v>сельские населенные пункты с численностью населения менее 1 000 человек.</v>
          </cell>
        </row>
        <row r="643">
          <cell r="A643" t="str">
            <v>32:020:2:3:6</v>
          </cell>
          <cell r="B643" t="str">
            <v>Городской округ Первоуральск</v>
          </cell>
          <cell r="C643">
            <v>6</v>
          </cell>
          <cell r="D643" t="str">
            <v>сельские населенные пункты с численностью населения менее 1 000 человек.</v>
          </cell>
        </row>
        <row r="644">
          <cell r="A644" t="str">
            <v>32:029:2:5:6</v>
          </cell>
          <cell r="B644" t="str">
            <v>Городской округ Первоуральск</v>
          </cell>
          <cell r="C644">
            <v>6</v>
          </cell>
          <cell r="D644" t="str">
            <v>сельские населенные пункты с численностью населения менее 1 000 человек.</v>
          </cell>
        </row>
        <row r="645">
          <cell r="A645" t="str">
            <v>32:026:2:3:6</v>
          </cell>
          <cell r="B645" t="str">
            <v>Городской округ Первоуральск</v>
          </cell>
          <cell r="C645">
            <v>6</v>
          </cell>
          <cell r="D645" t="str">
            <v>сельские населенные пункты с численностью населения менее 1 000 человек.</v>
          </cell>
        </row>
        <row r="646">
          <cell r="A646" t="str">
            <v>32:019:1:1:2</v>
          </cell>
          <cell r="B646" t="str">
            <v>Городской округ Первоуральск</v>
          </cell>
          <cell r="C646">
            <v>2</v>
          </cell>
          <cell r="D646" t="str">
            <v>городские населенные пункты с численностью населения больше 100 000 человек;</v>
          </cell>
        </row>
        <row r="647">
          <cell r="A647" t="str">
            <v>32:015:2:4:6</v>
          </cell>
          <cell r="B647" t="str">
            <v>Городской округ Первоуральск</v>
          </cell>
          <cell r="C647">
            <v>6</v>
          </cell>
          <cell r="D647" t="str">
            <v>сельские населенные пункты с численностью населения менее 1 000 человек.</v>
          </cell>
        </row>
        <row r="648">
          <cell r="A648" t="str">
            <v>32:007:2:5:6</v>
          </cell>
          <cell r="B648" t="str">
            <v>Городской округ Первоуральск</v>
          </cell>
          <cell r="C648">
            <v>6</v>
          </cell>
          <cell r="D648" t="str">
            <v>сельские населенные пункты с численностью населения менее 1 000 человек.</v>
          </cell>
        </row>
        <row r="649">
          <cell r="A649" t="str">
            <v>32:012:2:3:6</v>
          </cell>
          <cell r="B649" t="str">
            <v>Городской округ Первоуральск</v>
          </cell>
          <cell r="C649">
            <v>6</v>
          </cell>
          <cell r="D649" t="str">
            <v>сельские населенные пункты с численностью населения менее 1 000 человек.</v>
          </cell>
        </row>
        <row r="650">
          <cell r="A650" t="str">
            <v>32:023:2:4:6</v>
          </cell>
          <cell r="B650" t="str">
            <v>Городской округ Первоуральск</v>
          </cell>
          <cell r="C650">
            <v>6</v>
          </cell>
          <cell r="D650" t="str">
            <v>сельские населенные пункты с численностью населения менее 1 000 человек.</v>
          </cell>
        </row>
        <row r="651">
          <cell r="A651" t="str">
            <v>32:021:2:3:6</v>
          </cell>
          <cell r="B651" t="str">
            <v>Городской округ Первоуральск</v>
          </cell>
          <cell r="C651">
            <v>6</v>
          </cell>
          <cell r="D651" t="str">
            <v>сельские населенные пункты с численностью населения менее 1 000 человек.</v>
          </cell>
        </row>
        <row r="652">
          <cell r="A652" t="str">
            <v>32:010:2:3:6</v>
          </cell>
          <cell r="B652" t="str">
            <v>Городской округ Первоуральск</v>
          </cell>
          <cell r="C652">
            <v>6</v>
          </cell>
          <cell r="D652" t="str">
            <v>сельские населенные пункты с численностью населения менее 1 000 человек.</v>
          </cell>
        </row>
        <row r="653">
          <cell r="A653" t="str">
            <v>32:018:2:3:6</v>
          </cell>
          <cell r="B653" t="str">
            <v>Городской округ Первоуральск</v>
          </cell>
          <cell r="C653">
            <v>6</v>
          </cell>
          <cell r="D653" t="str">
            <v>сельские населенные пункты с численностью населения менее 1 000 человек.</v>
          </cell>
        </row>
        <row r="654">
          <cell r="A654" t="str">
            <v>32:011:2:5:6</v>
          </cell>
          <cell r="B654" t="str">
            <v>Городской округ Первоуральск</v>
          </cell>
          <cell r="C654">
            <v>6</v>
          </cell>
          <cell r="D654" t="str">
            <v>сельские населенные пункты с численностью населения менее 1 000 человек.</v>
          </cell>
        </row>
        <row r="655">
          <cell r="A655" t="str">
            <v>32:001:2:3:6</v>
          </cell>
          <cell r="B655" t="str">
            <v>Городской округ Первоуральск</v>
          </cell>
          <cell r="C655">
            <v>6</v>
          </cell>
          <cell r="D655" t="str">
            <v>сельские населенные пункты с численностью населения менее 1 000 человек.</v>
          </cell>
        </row>
        <row r="656">
          <cell r="A656" t="str">
            <v>32:009:2:5:6</v>
          </cell>
          <cell r="B656" t="str">
            <v>Городской округ Первоуральск</v>
          </cell>
          <cell r="C656">
            <v>6</v>
          </cell>
          <cell r="D656" t="str">
            <v>сельские населенные пункты с численностью населения менее 1 000 человек.</v>
          </cell>
        </row>
        <row r="657">
          <cell r="A657" t="str">
            <v>32:003:2:3:6</v>
          </cell>
          <cell r="B657" t="str">
            <v>Городской округ Первоуральск</v>
          </cell>
          <cell r="C657">
            <v>6</v>
          </cell>
          <cell r="D657" t="str">
            <v>сельские населенные пункты с численностью населения менее 1 000 человек.</v>
          </cell>
        </row>
        <row r="658">
          <cell r="A658" t="str">
            <v>32:005:2:5:6</v>
          </cell>
          <cell r="B658" t="str">
            <v>Городской округ Первоуральск</v>
          </cell>
          <cell r="C658">
            <v>6</v>
          </cell>
          <cell r="D658" t="str">
            <v>сельские населенные пункты с численностью населения менее 1 000 человек.</v>
          </cell>
        </row>
        <row r="659">
          <cell r="A659" t="str">
            <v>32:002:2:4:6</v>
          </cell>
          <cell r="B659" t="str">
            <v>Городской округ Первоуральск</v>
          </cell>
          <cell r="C659">
            <v>6</v>
          </cell>
          <cell r="D659" t="str">
            <v>сельские населенные пункты с численностью населения менее 1 000 человек.</v>
          </cell>
        </row>
        <row r="660">
          <cell r="A660" t="str">
            <v>32:017:2:4:6</v>
          </cell>
          <cell r="B660" t="str">
            <v>Городской округ Первоуральск</v>
          </cell>
          <cell r="C660">
            <v>6</v>
          </cell>
          <cell r="D660" t="str">
            <v>сельские населенные пункты с численностью населения менее 1 000 человек.</v>
          </cell>
        </row>
        <row r="661">
          <cell r="A661" t="str">
            <v>32:028:2:3:6</v>
          </cell>
          <cell r="B661" t="str">
            <v>Городской округ Первоуральск</v>
          </cell>
          <cell r="C661">
            <v>6</v>
          </cell>
          <cell r="D661" t="str">
            <v>сельские населенные пункты с численностью населения менее 1 000 человек.</v>
          </cell>
        </row>
        <row r="662">
          <cell r="A662" t="str">
            <v>32:024:2:5:6</v>
          </cell>
          <cell r="B662" t="str">
            <v>Городской округ Первоуральск</v>
          </cell>
          <cell r="C662">
            <v>6</v>
          </cell>
          <cell r="D662" t="str">
            <v>сельские населенные пункты с численностью населения менее 1 000 человек.</v>
          </cell>
        </row>
        <row r="663">
          <cell r="A663" t="str">
            <v>32:016:2:3:6</v>
          </cell>
          <cell r="B663" t="str">
            <v>Городской округ Первоуральск</v>
          </cell>
          <cell r="C663">
            <v>6</v>
          </cell>
          <cell r="D663" t="str">
            <v>сельские населенные пункты с численностью населения менее 1 000 человек.</v>
          </cell>
        </row>
        <row r="664">
          <cell r="A664" t="str">
            <v>32:014:2:3:6</v>
          </cell>
          <cell r="B664" t="str">
            <v>Городской округ Первоуральск</v>
          </cell>
          <cell r="C664">
            <v>6</v>
          </cell>
          <cell r="D664" t="str">
            <v>сельские населенные пункты с численностью населения менее 1 000 человек.</v>
          </cell>
        </row>
        <row r="665">
          <cell r="A665" t="str">
            <v>32:013:2:5:6</v>
          </cell>
          <cell r="B665" t="str">
            <v>Городской округ Первоуральск</v>
          </cell>
          <cell r="C665">
            <v>6</v>
          </cell>
          <cell r="D665" t="str">
            <v>сельские населенные пункты с численностью населения менее 1 000 человек.</v>
          </cell>
        </row>
        <row r="666">
          <cell r="A666" t="str">
            <v>32:027:2:5:6</v>
          </cell>
          <cell r="B666" t="str">
            <v>Городской округ Первоуральск</v>
          </cell>
          <cell r="C666">
            <v>6</v>
          </cell>
          <cell r="D666" t="str">
            <v>сельские населенные пункты с численностью населения менее 1 000 человек.</v>
          </cell>
        </row>
        <row r="667">
          <cell r="A667" t="str">
            <v>32:008:2:3:6</v>
          </cell>
          <cell r="B667" t="str">
            <v>Городской округ Первоуральск</v>
          </cell>
          <cell r="C667">
            <v>6</v>
          </cell>
          <cell r="D667" t="str">
            <v>сельские населенные пункты с численностью населения менее 1 000 человек.</v>
          </cell>
        </row>
        <row r="668">
          <cell r="A668" t="str">
            <v>32:030:2:3:6</v>
          </cell>
          <cell r="B668" t="str">
            <v>Городской округ Первоуральск</v>
          </cell>
          <cell r="C668">
            <v>6</v>
          </cell>
          <cell r="D668" t="str">
            <v>сельские населенные пункты с численностью населения менее 1 000 человек.</v>
          </cell>
        </row>
        <row r="669">
          <cell r="A669" t="str">
            <v>00:042:0:0:0</v>
          </cell>
          <cell r="B669" t="str">
            <v>Городской округ Первоуральск</v>
          </cell>
          <cell r="C669">
            <v>0</v>
          </cell>
          <cell r="D669" t="str">
            <v>межселенная территория</v>
          </cell>
        </row>
        <row r="670">
          <cell r="A670" t="str">
            <v>32:006:2:3:6</v>
          </cell>
          <cell r="B670" t="str">
            <v>Городской округ Первоуральск</v>
          </cell>
          <cell r="C670">
            <v>6</v>
          </cell>
          <cell r="D670" t="str">
            <v>сельские населенные пункты с численностью населения менее 1 000 человек.</v>
          </cell>
        </row>
        <row r="671">
          <cell r="A671" t="str">
            <v>32:004:2:3:6</v>
          </cell>
          <cell r="B671" t="str">
            <v>Городской округ Первоуральск</v>
          </cell>
          <cell r="C671">
            <v>6</v>
          </cell>
          <cell r="D671" t="str">
            <v>сельские населенные пункты с численностью населения менее 1 000 человек.</v>
          </cell>
        </row>
        <row r="672">
          <cell r="A672" t="str">
            <v>32:022:2:3:6</v>
          </cell>
          <cell r="B672" t="str">
            <v>Городской округ Первоуральск</v>
          </cell>
          <cell r="C672">
            <v>6</v>
          </cell>
          <cell r="D672" t="str">
            <v>сельские населенные пункты с численностью населения менее 1 000 человек.</v>
          </cell>
        </row>
        <row r="673">
          <cell r="A673" t="str">
            <v>32:000:0:0:0</v>
          </cell>
          <cell r="B673" t="str">
            <v>Городской округ Первоуральск</v>
          </cell>
          <cell r="C673">
            <v>0</v>
          </cell>
          <cell r="D673" t="str">
            <v>межселенная территория</v>
          </cell>
        </row>
        <row r="674">
          <cell r="A674" t="str">
            <v>33:002:2:3:6</v>
          </cell>
          <cell r="B674" t="str">
            <v>Городской округ Ревда</v>
          </cell>
          <cell r="C674">
            <v>6</v>
          </cell>
          <cell r="D674" t="str">
            <v>сельские населенные пункты с численностью населения менее 1 000 человек.</v>
          </cell>
        </row>
        <row r="675">
          <cell r="A675" t="str">
            <v>00:037:0:0:0</v>
          </cell>
          <cell r="B675" t="str">
            <v>Городской округ Ревда</v>
          </cell>
          <cell r="C675">
            <v>0</v>
          </cell>
          <cell r="D675" t="str">
            <v>межселенная территория</v>
          </cell>
        </row>
        <row r="676">
          <cell r="A676" t="str">
            <v>33:006:2:3:6</v>
          </cell>
          <cell r="B676" t="str">
            <v>Городской округ Ревда</v>
          </cell>
          <cell r="C676">
            <v>6</v>
          </cell>
          <cell r="D676" t="str">
            <v>сельские населенные пункты с численностью населения менее 1 000 человек.</v>
          </cell>
        </row>
        <row r="677">
          <cell r="A677" t="str">
            <v>33:007:2:4:6</v>
          </cell>
          <cell r="B677" t="str">
            <v>Городской округ Ревда</v>
          </cell>
          <cell r="C677">
            <v>6</v>
          </cell>
          <cell r="D677" t="str">
            <v>сельские населенные пункты с численностью населения менее 1 000 человек.</v>
          </cell>
        </row>
        <row r="678">
          <cell r="A678" t="str">
            <v>33:005:2:4:6</v>
          </cell>
          <cell r="B678" t="str">
            <v>Городской округ Ревда</v>
          </cell>
          <cell r="C678">
            <v>6</v>
          </cell>
          <cell r="D678" t="str">
            <v>сельские населенные пункты с численностью населения менее 1 000 человек.</v>
          </cell>
        </row>
        <row r="679">
          <cell r="A679" t="str">
            <v>33:003:2:3:6</v>
          </cell>
          <cell r="B679" t="str">
            <v>Городской округ Ревда</v>
          </cell>
          <cell r="C679">
            <v>6</v>
          </cell>
          <cell r="D679" t="str">
            <v>сельские населенные пункты с численностью населения менее 1 000 человек.</v>
          </cell>
        </row>
        <row r="680">
          <cell r="A680" t="str">
            <v>33:001:2:3:6</v>
          </cell>
          <cell r="B680" t="str">
            <v>Городской округ Ревда</v>
          </cell>
          <cell r="C680">
            <v>6</v>
          </cell>
          <cell r="D680" t="str">
            <v>сельские населенные пункты с численностью населения менее 1 000 человек.</v>
          </cell>
        </row>
        <row r="681">
          <cell r="A681" t="str">
            <v>33:004:2:3:6</v>
          </cell>
          <cell r="B681" t="str">
            <v>Городской округ Ревда</v>
          </cell>
          <cell r="C681">
            <v>6</v>
          </cell>
          <cell r="D681" t="str">
            <v>сельские населенные пункты с численностью населения менее 1 000 человек.</v>
          </cell>
        </row>
        <row r="682">
          <cell r="A682" t="str">
            <v>33:008:1:1:3</v>
          </cell>
          <cell r="B682" t="str">
            <v>Городской округ Ревда</v>
          </cell>
          <cell r="C682">
            <v>3</v>
          </cell>
          <cell r="D682" t="str">
            <v>городские населенные пункты с численностью населения от 100 000 до 50 000 человек;</v>
          </cell>
        </row>
        <row r="683">
          <cell r="A683" t="str">
            <v>33:000:0:0:0</v>
          </cell>
          <cell r="B683" t="str">
            <v>Городской округ Ревда</v>
          </cell>
          <cell r="C683">
            <v>0</v>
          </cell>
          <cell r="D683" t="str">
            <v>межселенная территория</v>
          </cell>
        </row>
        <row r="684">
          <cell r="A684" t="str">
            <v>34:001:1:2:4</v>
          </cell>
          <cell r="B684" t="str">
            <v>Городской округ Рефтинский</v>
          </cell>
          <cell r="C684">
            <v>4</v>
          </cell>
          <cell r="D684" t="str">
            <v>городские населенные пункты с численностью населения менее 50 000 человек;</v>
          </cell>
        </row>
        <row r="685">
          <cell r="A685" t="str">
            <v>34:000:0:0:0</v>
          </cell>
          <cell r="B685" t="str">
            <v>Городской округ Рефтинский</v>
          </cell>
          <cell r="C685">
            <v>0</v>
          </cell>
          <cell r="D685" t="str">
            <v>межселенная территория</v>
          </cell>
        </row>
        <row r="686">
          <cell r="A686" t="str">
            <v>35:004:1:1:4</v>
          </cell>
          <cell r="B686" t="str">
            <v>Городской округ Среднеуральск</v>
          </cell>
          <cell r="C686">
            <v>4</v>
          </cell>
          <cell r="D686" t="str">
            <v>городские населенные пункты с численностью населения менее 50 000 человек;</v>
          </cell>
        </row>
        <row r="687">
          <cell r="A687" t="str">
            <v>35:003:2:5:6</v>
          </cell>
          <cell r="B687" t="str">
            <v>Городской округ Среднеуральск</v>
          </cell>
          <cell r="C687">
            <v>6</v>
          </cell>
          <cell r="D687" t="str">
            <v>сельские населенные пункты с численностью населения менее 1 000 человек.</v>
          </cell>
        </row>
        <row r="688">
          <cell r="A688" t="str">
            <v>35:002:2:5:6</v>
          </cell>
          <cell r="B688" t="str">
            <v>Городской округ Среднеуральск</v>
          </cell>
          <cell r="C688">
            <v>6</v>
          </cell>
          <cell r="D688" t="str">
            <v>сельские населенные пункты с численностью населения менее 1 000 человек.</v>
          </cell>
        </row>
        <row r="689">
          <cell r="A689" t="str">
            <v>35:001:2:3:6</v>
          </cell>
          <cell r="B689" t="str">
            <v>Городской округ Среднеуральск</v>
          </cell>
          <cell r="C689">
            <v>6</v>
          </cell>
          <cell r="D689" t="str">
            <v>сельские населенные пункты с численностью населения менее 1 000 человек.</v>
          </cell>
        </row>
        <row r="690">
          <cell r="A690" t="str">
            <v>35:000:0:0:0</v>
          </cell>
          <cell r="B690" t="str">
            <v>Городской округ Среднеуральск</v>
          </cell>
          <cell r="C690">
            <v>0</v>
          </cell>
          <cell r="D690" t="str">
            <v>межселенная территория</v>
          </cell>
        </row>
        <row r="691">
          <cell r="A691" t="str">
            <v>36:003:1:2:4</v>
          </cell>
          <cell r="B691" t="str">
            <v>Городской округ Староуткинск</v>
          </cell>
          <cell r="C691">
            <v>4</v>
          </cell>
          <cell r="D691" t="str">
            <v>городские населенные пункты с численностью населения менее 50 000 человек;</v>
          </cell>
        </row>
        <row r="692">
          <cell r="A692" t="str">
            <v>36:004:2:3:6</v>
          </cell>
          <cell r="B692" t="str">
            <v>Городской округ Староуткинск</v>
          </cell>
          <cell r="C692">
            <v>6</v>
          </cell>
          <cell r="D692" t="str">
            <v>сельские населенные пункты с численностью населения менее 1 000 человек.</v>
          </cell>
        </row>
        <row r="693">
          <cell r="A693" t="str">
            <v>36:002:2:5:6</v>
          </cell>
          <cell r="B693" t="str">
            <v>Городской округ Староуткинск</v>
          </cell>
          <cell r="C693">
            <v>6</v>
          </cell>
          <cell r="D693" t="str">
            <v>сельские населенные пункты с численностью населения менее 1 000 человек.</v>
          </cell>
        </row>
        <row r="694">
          <cell r="A694" t="str">
            <v>36:001:2:5:6</v>
          </cell>
          <cell r="B694" t="str">
            <v>Городской округ Староуткинск</v>
          </cell>
          <cell r="C694">
            <v>6</v>
          </cell>
          <cell r="D694" t="str">
            <v>сельские населенные пункты с численностью населения менее 1 000 человек.</v>
          </cell>
        </row>
        <row r="695">
          <cell r="A695" t="str">
            <v>36:000:0:0:0</v>
          </cell>
          <cell r="B695" t="str">
            <v>Городской округ Староуткинск</v>
          </cell>
          <cell r="C695">
            <v>0</v>
          </cell>
          <cell r="D695" t="str">
            <v>межселенная территория</v>
          </cell>
        </row>
        <row r="696">
          <cell r="A696" t="str">
            <v>37:025:2:3:6</v>
          </cell>
          <cell r="B696" t="str">
            <v>Городской округ Сухой Лог</v>
          </cell>
          <cell r="C696">
            <v>6</v>
          </cell>
          <cell r="D696" t="str">
            <v>сельские населенные пункты с численностью населения менее 1 000 человек.</v>
          </cell>
        </row>
        <row r="697">
          <cell r="A697" t="str">
            <v>37:017:2:3:6</v>
          </cell>
          <cell r="B697" t="str">
            <v>Городской округ Сухой Лог</v>
          </cell>
          <cell r="C697">
            <v>6</v>
          </cell>
          <cell r="D697" t="str">
            <v>сельские населенные пункты с численностью населения менее 1 000 человек.</v>
          </cell>
        </row>
        <row r="698">
          <cell r="A698" t="str">
            <v>37:011:2:4:5</v>
          </cell>
          <cell r="B698" t="str">
            <v>Городской округ Сухой Лог</v>
          </cell>
          <cell r="C698">
            <v>5</v>
          </cell>
          <cell r="D698" t="str">
            <v>сельские населенные пункты с численностью населения более 1 000 человек;</v>
          </cell>
        </row>
        <row r="699">
          <cell r="A699" t="str">
            <v>37:012:2:5:6</v>
          </cell>
          <cell r="B699" t="str">
            <v>Городской округ Сухой Лог</v>
          </cell>
          <cell r="C699">
            <v>6</v>
          </cell>
          <cell r="D699" t="str">
            <v>сельские населенные пункты с численностью населения менее 1 000 человек.</v>
          </cell>
        </row>
        <row r="700">
          <cell r="A700" t="str">
            <v>37:023:2:4:6</v>
          </cell>
          <cell r="B700" t="str">
            <v>Городской округ Сухой Лог</v>
          </cell>
          <cell r="C700">
            <v>6</v>
          </cell>
          <cell r="D700" t="str">
            <v>сельские населенные пункты с численностью населения менее 1 000 человек.</v>
          </cell>
        </row>
        <row r="701">
          <cell r="A701" t="str">
            <v>37:022:2:4:6</v>
          </cell>
          <cell r="B701" t="str">
            <v>Городской округ Сухой Лог</v>
          </cell>
          <cell r="C701">
            <v>6</v>
          </cell>
          <cell r="D701" t="str">
            <v>сельские населенные пункты с численностью населения менее 1 000 человек.</v>
          </cell>
        </row>
        <row r="702">
          <cell r="A702" t="str">
            <v>37:005:2:3:6</v>
          </cell>
          <cell r="B702" t="str">
            <v>Городской округ Сухой Лог</v>
          </cell>
          <cell r="C702">
            <v>6</v>
          </cell>
          <cell r="D702" t="str">
            <v>сельские населенные пункты с численностью населения менее 1 000 человек.</v>
          </cell>
        </row>
        <row r="703">
          <cell r="A703" t="str">
            <v>37:004:2:5:6</v>
          </cell>
          <cell r="B703" t="str">
            <v>Городской округ Сухой Лог</v>
          </cell>
          <cell r="C703">
            <v>6</v>
          </cell>
          <cell r="D703" t="str">
            <v>сельские населенные пункты с численностью населения менее 1 000 человек.</v>
          </cell>
        </row>
        <row r="704">
          <cell r="A704" t="str">
            <v>37:015:2:5:6</v>
          </cell>
          <cell r="B704" t="str">
            <v>Городской округ Сухой Лог</v>
          </cell>
          <cell r="C704">
            <v>6</v>
          </cell>
          <cell r="D704" t="str">
            <v>сельские населенные пункты с численностью населения менее 1 000 человек.</v>
          </cell>
        </row>
        <row r="705">
          <cell r="A705" t="str">
            <v>37:019:2:4:6</v>
          </cell>
          <cell r="B705" t="str">
            <v>Городской округ Сухой Лог</v>
          </cell>
          <cell r="C705">
            <v>6</v>
          </cell>
          <cell r="D705" t="str">
            <v>сельские населенные пункты с численностью населения менее 1 000 человек.</v>
          </cell>
        </row>
        <row r="706">
          <cell r="A706" t="str">
            <v>37:003:2:5:6</v>
          </cell>
          <cell r="B706" t="str">
            <v>Городской округ Сухой Лог</v>
          </cell>
          <cell r="C706">
            <v>6</v>
          </cell>
          <cell r="D706" t="str">
            <v>сельские населенные пункты с численностью населения менее 1 000 человек.</v>
          </cell>
        </row>
        <row r="707">
          <cell r="A707" t="str">
            <v>37:002:2:5:6</v>
          </cell>
          <cell r="B707" t="str">
            <v>Городской округ Сухой Лог</v>
          </cell>
          <cell r="C707">
            <v>6</v>
          </cell>
          <cell r="D707" t="str">
            <v>сельские населенные пункты с численностью населения менее 1 000 человек.</v>
          </cell>
        </row>
        <row r="708">
          <cell r="A708" t="str">
            <v>37:020:2:5:6</v>
          </cell>
          <cell r="B708" t="str">
            <v>Городской округ Сухой Лог</v>
          </cell>
          <cell r="C708">
            <v>6</v>
          </cell>
          <cell r="D708" t="str">
            <v>сельские населенные пункты с численностью населения менее 1 000 человек.</v>
          </cell>
        </row>
        <row r="709">
          <cell r="A709" t="str">
            <v>37:009:2:5:6</v>
          </cell>
          <cell r="B709" t="str">
            <v>Городской округ Сухой Лог</v>
          </cell>
          <cell r="C709">
            <v>6</v>
          </cell>
          <cell r="D709" t="str">
            <v>сельские населенные пункты с численностью населения менее 1 000 человек.</v>
          </cell>
        </row>
        <row r="710">
          <cell r="A710" t="str">
            <v>37:006:2:5:6</v>
          </cell>
          <cell r="B710" t="str">
            <v>Городской округ Сухой Лог</v>
          </cell>
          <cell r="C710">
            <v>6</v>
          </cell>
          <cell r="D710" t="str">
            <v>сельские населенные пункты с численностью населения менее 1 000 человек.</v>
          </cell>
        </row>
        <row r="711">
          <cell r="A711" t="str">
            <v>37:014:2:5:6</v>
          </cell>
          <cell r="B711" t="str">
            <v>Городской округ Сухой Лог</v>
          </cell>
          <cell r="C711">
            <v>6</v>
          </cell>
          <cell r="D711" t="str">
            <v>сельские населенные пункты с численностью населения менее 1 000 человек.</v>
          </cell>
        </row>
        <row r="712">
          <cell r="A712" t="str">
            <v>37:013:2:4:6</v>
          </cell>
          <cell r="B712" t="str">
            <v>Городской округ Сухой Лог</v>
          </cell>
          <cell r="C712">
            <v>6</v>
          </cell>
          <cell r="D712" t="str">
            <v>сельские населенные пункты с численностью населения менее 1 000 человек.</v>
          </cell>
        </row>
        <row r="713">
          <cell r="A713" t="str">
            <v>37:021:1:1:4</v>
          </cell>
          <cell r="B713" t="str">
            <v>Городской округ Сухой Лог</v>
          </cell>
          <cell r="C713">
            <v>4</v>
          </cell>
          <cell r="D713" t="str">
            <v>городские населенные пункты с численностью населения менее 50 000 человек;</v>
          </cell>
        </row>
        <row r="714">
          <cell r="A714" t="str">
            <v>37:001:2:3:5</v>
          </cell>
          <cell r="B714" t="str">
            <v>Городской округ Сухой Лог</v>
          </cell>
          <cell r="C714">
            <v>5</v>
          </cell>
          <cell r="D714" t="str">
            <v>сельские населенные пункты с численностью населения более 1 000 человек;</v>
          </cell>
        </row>
        <row r="715">
          <cell r="A715" t="str">
            <v>37:018:2:4:5</v>
          </cell>
          <cell r="B715" t="str">
            <v>Городской округ Сухой Лог</v>
          </cell>
          <cell r="C715">
            <v>5</v>
          </cell>
          <cell r="D715" t="str">
            <v>сельские населенные пункты с численностью населения более 1 000 человек;</v>
          </cell>
        </row>
        <row r="716">
          <cell r="A716" t="str">
            <v>37:007:2:4:5</v>
          </cell>
          <cell r="B716" t="str">
            <v>Городской округ Сухой Лог</v>
          </cell>
          <cell r="C716">
            <v>5</v>
          </cell>
          <cell r="D716" t="str">
            <v>сельские населенные пункты с численностью населения более 1 000 человек;</v>
          </cell>
        </row>
        <row r="717">
          <cell r="A717" t="str">
            <v>37:026:2:5:6</v>
          </cell>
          <cell r="B717" t="str">
            <v>Городской округ Сухой Лог</v>
          </cell>
          <cell r="C717">
            <v>6</v>
          </cell>
          <cell r="D717" t="str">
            <v>сельские населенные пункты с численностью населения менее 1 000 человек.</v>
          </cell>
        </row>
        <row r="718">
          <cell r="A718" t="str">
            <v>37:016:2:4:5</v>
          </cell>
          <cell r="B718" t="str">
            <v>Городской округ Сухой Лог</v>
          </cell>
          <cell r="C718">
            <v>5</v>
          </cell>
          <cell r="D718" t="str">
            <v>сельские населенные пункты с численностью населения более 1 000 человек;</v>
          </cell>
        </row>
        <row r="719">
          <cell r="A719" t="str">
            <v>37:024:2:4:5</v>
          </cell>
          <cell r="B719" t="str">
            <v>Городской округ Сухой Лог</v>
          </cell>
          <cell r="C719">
            <v>5</v>
          </cell>
          <cell r="D719" t="str">
            <v>сельские населенные пункты с численностью населения более 1 000 человек;</v>
          </cell>
        </row>
        <row r="720">
          <cell r="A720" t="str">
            <v>37:008:2:3:6</v>
          </cell>
          <cell r="B720" t="str">
            <v>Городской округ Сухой Лог</v>
          </cell>
          <cell r="C720">
            <v>6</v>
          </cell>
          <cell r="D720" t="str">
            <v>сельские населенные пункты с численностью населения менее 1 000 человек.</v>
          </cell>
        </row>
        <row r="721">
          <cell r="A721" t="str">
            <v>37:010:2:3:6</v>
          </cell>
          <cell r="B721" t="str">
            <v>Городской округ Сухой Лог</v>
          </cell>
          <cell r="C721">
            <v>6</v>
          </cell>
          <cell r="D721" t="str">
            <v>сельские населенные пункты с численностью населения менее 1 000 человек.</v>
          </cell>
        </row>
        <row r="722">
          <cell r="A722" t="str">
            <v>37:000:0:0:0</v>
          </cell>
          <cell r="B722" t="str">
            <v>Городской округ Сухой Лог</v>
          </cell>
          <cell r="C722">
            <v>0</v>
          </cell>
          <cell r="D722" t="str">
            <v>межселенная территория</v>
          </cell>
        </row>
        <row r="723">
          <cell r="A723" t="str">
            <v>38:025:2:3:6</v>
          </cell>
          <cell r="B723" t="str">
            <v>Ивдельский городской округ</v>
          </cell>
          <cell r="C723">
            <v>6</v>
          </cell>
          <cell r="D723" t="str">
            <v>сельские населенные пункты с численностью населения менее 1 000 человек.</v>
          </cell>
        </row>
        <row r="724">
          <cell r="A724" t="str">
            <v>38:030:2:3:6</v>
          </cell>
          <cell r="B724" t="str">
            <v>Ивдельский городской округ</v>
          </cell>
          <cell r="C724">
            <v>6</v>
          </cell>
          <cell r="D724" t="str">
            <v>сельские населенные пункты с численностью населения менее 1 000 человек.</v>
          </cell>
        </row>
        <row r="725">
          <cell r="A725" t="str">
            <v>00:011:0:0:0</v>
          </cell>
          <cell r="B725" t="str">
            <v>Ивдельский городской округ</v>
          </cell>
          <cell r="C725">
            <v>0</v>
          </cell>
          <cell r="D725" t="str">
            <v>межселенная территория</v>
          </cell>
        </row>
        <row r="726">
          <cell r="A726" t="str">
            <v>00:012:0:0:0</v>
          </cell>
          <cell r="B726" t="str">
            <v>Ивдельский городской округ</v>
          </cell>
          <cell r="C726">
            <v>0</v>
          </cell>
          <cell r="D726" t="str">
            <v>межселенная территория</v>
          </cell>
        </row>
        <row r="727">
          <cell r="A727" t="str">
            <v>00:013:0:0:0</v>
          </cell>
          <cell r="B727" t="str">
            <v>Ивдельский городской округ</v>
          </cell>
          <cell r="C727">
            <v>0</v>
          </cell>
          <cell r="D727" t="str">
            <v>межселенная территория</v>
          </cell>
        </row>
        <row r="728">
          <cell r="A728" t="str">
            <v>00:015:0:0:0</v>
          </cell>
          <cell r="B728" t="str">
            <v>Ивдельский городской округ</v>
          </cell>
          <cell r="C728">
            <v>0</v>
          </cell>
          <cell r="D728" t="str">
            <v>межселенная территория</v>
          </cell>
        </row>
        <row r="729">
          <cell r="A729" t="str">
            <v>00:016:0:0:0</v>
          </cell>
          <cell r="B729" t="str">
            <v>Ивдельский городской округ</v>
          </cell>
          <cell r="C729">
            <v>0</v>
          </cell>
          <cell r="D729" t="str">
            <v>межселенная территория</v>
          </cell>
        </row>
        <row r="730">
          <cell r="A730" t="str">
            <v>00:017:0:0:0</v>
          </cell>
          <cell r="B730" t="str">
            <v>Ивдельский городской округ</v>
          </cell>
          <cell r="C730">
            <v>0</v>
          </cell>
          <cell r="D730" t="str">
            <v>межселенная территория</v>
          </cell>
        </row>
        <row r="731">
          <cell r="A731" t="str">
            <v>00:018:0:0:0</v>
          </cell>
          <cell r="B731" t="str">
            <v>Ивдельский городской округ</v>
          </cell>
          <cell r="C731">
            <v>0</v>
          </cell>
          <cell r="D731" t="str">
            <v>межселенная территория</v>
          </cell>
        </row>
        <row r="732">
          <cell r="A732" t="str">
            <v>00:019:0:0:0</v>
          </cell>
          <cell r="B732" t="str">
            <v>Ивдельский городской округ</v>
          </cell>
          <cell r="C732">
            <v>0</v>
          </cell>
          <cell r="D732" t="str">
            <v>межселенная территория</v>
          </cell>
        </row>
        <row r="733">
          <cell r="A733" t="str">
            <v>00:020:0:0:0</v>
          </cell>
          <cell r="B733" t="str">
            <v>Ивдельский городской округ</v>
          </cell>
          <cell r="C733">
            <v>0</v>
          </cell>
          <cell r="D733" t="str">
            <v>межселенная территория</v>
          </cell>
        </row>
        <row r="734">
          <cell r="A734" t="str">
            <v>00:021:0:0:0</v>
          </cell>
          <cell r="B734" t="str">
            <v>Ивдельский городской округ</v>
          </cell>
          <cell r="C734">
            <v>0</v>
          </cell>
          <cell r="D734" t="str">
            <v>межселенная территория</v>
          </cell>
        </row>
        <row r="735">
          <cell r="A735" t="str">
            <v>38:012:2:3:6</v>
          </cell>
          <cell r="B735" t="str">
            <v>Ивдельский городской округ</v>
          </cell>
          <cell r="C735">
            <v>6</v>
          </cell>
          <cell r="D735" t="str">
            <v>сельские населенные пункты с численностью населения менее 1 000 человек.</v>
          </cell>
        </row>
        <row r="736">
          <cell r="A736" t="str">
            <v>38:018:2:3:6</v>
          </cell>
          <cell r="B736" t="str">
            <v>Ивдельский городской округ</v>
          </cell>
          <cell r="C736">
            <v>6</v>
          </cell>
          <cell r="D736" t="str">
            <v>сельские населенные пункты с численностью населения менее 1 000 человек.</v>
          </cell>
        </row>
        <row r="737">
          <cell r="A737" t="str">
            <v>38:013:2:3:6</v>
          </cell>
          <cell r="B737" t="str">
            <v>Ивдельский городской округ</v>
          </cell>
          <cell r="C737">
            <v>6</v>
          </cell>
          <cell r="D737" t="str">
            <v>сельские населенные пункты с численностью населения менее 1 000 человек.</v>
          </cell>
        </row>
        <row r="738">
          <cell r="A738" t="str">
            <v>38:004:2:3:6</v>
          </cell>
          <cell r="B738" t="str">
            <v>Ивдельский городской округ</v>
          </cell>
          <cell r="C738">
            <v>6</v>
          </cell>
          <cell r="D738" t="str">
            <v>сельские населенные пункты с численностью населения менее 1 000 человек.</v>
          </cell>
        </row>
        <row r="739">
          <cell r="A739" t="str">
            <v>00:023:0:0:0</v>
          </cell>
          <cell r="B739" t="str">
            <v>Ивдельский городской округ</v>
          </cell>
          <cell r="C739">
            <v>0</v>
          </cell>
          <cell r="D739" t="str">
            <v>межселенная территория</v>
          </cell>
        </row>
        <row r="740">
          <cell r="A740" t="str">
            <v>38:017:2:3:6</v>
          </cell>
          <cell r="B740" t="str">
            <v>Ивдельский городской округ</v>
          </cell>
          <cell r="C740">
            <v>6</v>
          </cell>
          <cell r="D740" t="str">
            <v>сельские населенные пункты с численностью населения менее 1 000 человек.</v>
          </cell>
        </row>
        <row r="741">
          <cell r="A741" t="str">
            <v>38:007:1:1:4</v>
          </cell>
          <cell r="B741" t="str">
            <v>Ивдельский городской округ</v>
          </cell>
          <cell r="C741">
            <v>4</v>
          </cell>
          <cell r="D741" t="str">
            <v>городские населенные пункты с численностью населения менее 50 000 человек;</v>
          </cell>
        </row>
        <row r="742">
          <cell r="A742" t="str">
            <v>38:023:2:3:6</v>
          </cell>
          <cell r="B742" t="str">
            <v>Ивдельский городской округ</v>
          </cell>
          <cell r="C742">
            <v>6</v>
          </cell>
          <cell r="D742" t="str">
            <v>сельские населенные пункты с численностью населения менее 1 000 человек.</v>
          </cell>
        </row>
        <row r="743">
          <cell r="A743" t="str">
            <v>38:024:2:3:6</v>
          </cell>
          <cell r="B743" t="str">
            <v>Ивдельский городской округ</v>
          </cell>
          <cell r="C743">
            <v>6</v>
          </cell>
          <cell r="D743" t="str">
            <v>сельские населенные пункты с численностью населения менее 1 000 человек.</v>
          </cell>
        </row>
        <row r="744">
          <cell r="A744" t="str">
            <v>38:022:2:3:6</v>
          </cell>
          <cell r="B744" t="str">
            <v>Ивдельский городской округ</v>
          </cell>
          <cell r="C744">
            <v>6</v>
          </cell>
          <cell r="D744" t="str">
            <v>сельские населенные пункты с численностью населения менее 1 000 человек.</v>
          </cell>
        </row>
        <row r="745">
          <cell r="A745" t="str">
            <v>38:003:2:3:6</v>
          </cell>
          <cell r="B745" t="str">
            <v>Ивдельский городской округ</v>
          </cell>
          <cell r="C745">
            <v>6</v>
          </cell>
          <cell r="D745" t="str">
            <v>сельские населенные пункты с численностью населения менее 1 000 человек.</v>
          </cell>
        </row>
        <row r="746">
          <cell r="A746" t="str">
            <v>38:002:2:3:6</v>
          </cell>
          <cell r="B746" t="str">
            <v>Ивдельский городской округ</v>
          </cell>
          <cell r="C746">
            <v>6</v>
          </cell>
          <cell r="D746" t="str">
            <v>сельские населенные пункты с численностью населения менее 1 000 человек.</v>
          </cell>
        </row>
        <row r="747">
          <cell r="A747" t="str">
            <v>38:001:2:3:6</v>
          </cell>
          <cell r="B747" t="str">
            <v>Ивдельский городской округ</v>
          </cell>
          <cell r="C747">
            <v>6</v>
          </cell>
          <cell r="D747" t="str">
            <v>сельские населенные пункты с численностью населения менее 1 000 человек.</v>
          </cell>
        </row>
        <row r="748">
          <cell r="A748" t="str">
            <v>00:041:0:0:0</v>
          </cell>
          <cell r="B748" t="str">
            <v>Ивдельский городской округ</v>
          </cell>
          <cell r="C748">
            <v>0</v>
          </cell>
          <cell r="D748" t="str">
            <v>межселенная территория</v>
          </cell>
        </row>
        <row r="749">
          <cell r="A749" t="str">
            <v>38:020:2:3:6</v>
          </cell>
          <cell r="B749" t="str">
            <v>Ивдельский городской округ</v>
          </cell>
          <cell r="C749">
            <v>6</v>
          </cell>
          <cell r="D749" t="str">
            <v>сельские населенные пункты с численностью населения менее 1 000 человек.</v>
          </cell>
        </row>
        <row r="750">
          <cell r="A750" t="str">
            <v>38:016:2:3:6</v>
          </cell>
          <cell r="B750" t="str">
            <v>Ивдельский городской округ</v>
          </cell>
          <cell r="C750">
            <v>6</v>
          </cell>
          <cell r="D750" t="str">
            <v>сельские населенные пункты с численностью населения менее 1 000 человек.</v>
          </cell>
        </row>
        <row r="751">
          <cell r="A751" t="str">
            <v>38:027:2:3:6</v>
          </cell>
          <cell r="B751" t="str">
            <v>Ивдельский городской округ</v>
          </cell>
          <cell r="C751">
            <v>6</v>
          </cell>
          <cell r="D751" t="str">
            <v>сельские населенные пункты с численностью населения менее 1 000 человек.</v>
          </cell>
        </row>
        <row r="752">
          <cell r="A752" t="str">
            <v>38:019:2:3:6</v>
          </cell>
          <cell r="B752" t="str">
            <v>Ивдельский городской округ</v>
          </cell>
          <cell r="C752">
            <v>6</v>
          </cell>
          <cell r="D752" t="str">
            <v>сельские населенные пункты с численностью населения менее 1 000 человек.</v>
          </cell>
        </row>
        <row r="753">
          <cell r="A753" t="str">
            <v>38:009:2:3:6</v>
          </cell>
          <cell r="B753" t="str">
            <v>Ивдельский городской округ</v>
          </cell>
          <cell r="C753">
            <v>6</v>
          </cell>
          <cell r="D753" t="str">
            <v>сельские населенные пункты с численностью населения менее 1 000 человек.</v>
          </cell>
        </row>
        <row r="754">
          <cell r="A754" t="str">
            <v>38:028:2:3:6</v>
          </cell>
          <cell r="B754" t="str">
            <v>Ивдельский городской округ</v>
          </cell>
          <cell r="C754">
            <v>6</v>
          </cell>
          <cell r="D754" t="str">
            <v>сельские населенные пункты с численностью населения менее 1 000 человек.</v>
          </cell>
        </row>
        <row r="755">
          <cell r="A755" t="str">
            <v>38:011:2:3:6</v>
          </cell>
          <cell r="B755" t="str">
            <v>Ивдельский городской округ</v>
          </cell>
          <cell r="C755">
            <v>6</v>
          </cell>
          <cell r="D755" t="str">
            <v>сельские населенные пункты с численностью населения менее 1 000 человек.</v>
          </cell>
        </row>
        <row r="756">
          <cell r="A756" t="str">
            <v>38:014:2:3:6</v>
          </cell>
          <cell r="B756" t="str">
            <v>Ивдельский городской округ</v>
          </cell>
          <cell r="C756">
            <v>6</v>
          </cell>
          <cell r="D756" t="str">
            <v>сельские населенные пункты с численностью населения менее 1 000 человек.</v>
          </cell>
        </row>
        <row r="757">
          <cell r="A757" t="str">
            <v>38:008:2:3:6</v>
          </cell>
          <cell r="B757" t="str">
            <v>Ивдельский городской округ</v>
          </cell>
          <cell r="C757">
            <v>6</v>
          </cell>
          <cell r="D757" t="str">
            <v>сельские населенные пункты с численностью населения менее 1 000 человек.</v>
          </cell>
        </row>
        <row r="758">
          <cell r="A758" t="str">
            <v>38:005:2:3:6</v>
          </cell>
          <cell r="B758" t="str">
            <v>Ивдельский городской округ</v>
          </cell>
          <cell r="C758">
            <v>6</v>
          </cell>
          <cell r="D758" t="str">
            <v>сельские населенные пункты с численностью населения менее 1 000 человек.</v>
          </cell>
        </row>
        <row r="759">
          <cell r="A759" t="str">
            <v>38:015:2:3:6</v>
          </cell>
          <cell r="B759" t="str">
            <v>Ивдельский городской округ</v>
          </cell>
          <cell r="C759">
            <v>6</v>
          </cell>
          <cell r="D759" t="str">
            <v>сельские населенные пункты с численностью населения менее 1 000 человек.</v>
          </cell>
        </row>
        <row r="760">
          <cell r="A760" t="str">
            <v>38:006:2:3:6</v>
          </cell>
          <cell r="B760" t="str">
            <v>Ивдельский городской округ</v>
          </cell>
          <cell r="C760">
            <v>6</v>
          </cell>
          <cell r="D760" t="str">
            <v>сельские населенные пункты с численностью населения менее 1 000 человек.</v>
          </cell>
        </row>
        <row r="761">
          <cell r="A761" t="str">
            <v>38:021:2:3:6</v>
          </cell>
          <cell r="B761" t="str">
            <v>Ивдельский городской округ</v>
          </cell>
          <cell r="C761">
            <v>6</v>
          </cell>
          <cell r="D761" t="str">
            <v>сельские населенные пункты с численностью населения менее 1 000 человек.</v>
          </cell>
        </row>
        <row r="762">
          <cell r="A762" t="str">
            <v>38:010:2:3:6</v>
          </cell>
          <cell r="B762" t="str">
            <v>Ивдельский городской округ</v>
          </cell>
          <cell r="C762">
            <v>6</v>
          </cell>
          <cell r="D762" t="str">
            <v>сельские населенные пункты с численностью населения менее 1 000 человек.</v>
          </cell>
        </row>
        <row r="763">
          <cell r="A763" t="str">
            <v>38:026:2:3:6</v>
          </cell>
          <cell r="B763" t="str">
            <v>Ивдельский городской округ</v>
          </cell>
          <cell r="C763">
            <v>6</v>
          </cell>
          <cell r="D763" t="str">
            <v>сельские населенные пункты с численностью населения менее 1 000 человек.</v>
          </cell>
        </row>
        <row r="764">
          <cell r="A764" t="str">
            <v>38:029:2:3:6</v>
          </cell>
          <cell r="B764" t="str">
            <v>Ивдельский городской округ</v>
          </cell>
          <cell r="C764">
            <v>6</v>
          </cell>
          <cell r="D764" t="str">
            <v>сельские населенные пункты с численностью населения менее 1 000 человек.</v>
          </cell>
        </row>
        <row r="765">
          <cell r="A765" t="str">
            <v>38:000:0:0:0</v>
          </cell>
          <cell r="B765" t="str">
            <v>Ивдельский городской округ</v>
          </cell>
          <cell r="C765">
            <v>0</v>
          </cell>
          <cell r="D765" t="str">
            <v>межселенная территория</v>
          </cell>
        </row>
        <row r="766">
          <cell r="A766" t="str">
            <v>39:095:2:5:6</v>
          </cell>
          <cell r="B766" t="str">
            <v>Ирбитское муниципальное образование</v>
          </cell>
          <cell r="C766">
            <v>6</v>
          </cell>
          <cell r="D766" t="str">
            <v>сельские населенные пункты с численностью населения менее 1 000 человек.</v>
          </cell>
        </row>
        <row r="767">
          <cell r="A767" t="str">
            <v>39:014:2:5:6</v>
          </cell>
          <cell r="B767" t="str">
            <v>Ирбитское муниципальное образование</v>
          </cell>
          <cell r="C767">
            <v>6</v>
          </cell>
          <cell r="D767" t="str">
            <v>сельские населенные пункты с численностью населения менее 1 000 человек.</v>
          </cell>
        </row>
        <row r="768">
          <cell r="A768" t="str">
            <v>39:048:2:5:6</v>
          </cell>
          <cell r="B768" t="str">
            <v>Ирбитское муниципальное образование</v>
          </cell>
          <cell r="C768">
            <v>6</v>
          </cell>
          <cell r="D768" t="str">
            <v>сельские населенные пункты с численностью населения менее 1 000 человек.</v>
          </cell>
        </row>
        <row r="769">
          <cell r="A769" t="str">
            <v>39:019:2:3:6</v>
          </cell>
          <cell r="B769" t="str">
            <v>Ирбитское муниципальное образование</v>
          </cell>
          <cell r="C769">
            <v>6</v>
          </cell>
          <cell r="D769" t="str">
            <v>сельские населенные пункты с численностью населения менее 1 000 человек.</v>
          </cell>
        </row>
        <row r="770">
          <cell r="A770" t="str">
            <v>39:044:2:5:6</v>
          </cell>
          <cell r="B770" t="str">
            <v>Ирбитское муниципальное образование</v>
          </cell>
          <cell r="C770">
            <v>6</v>
          </cell>
          <cell r="D770" t="str">
            <v>сельские населенные пункты с численностью населения менее 1 000 человек.</v>
          </cell>
        </row>
        <row r="771">
          <cell r="A771" t="str">
            <v>39:081:2:5:6</v>
          </cell>
          <cell r="B771" t="str">
            <v>Ирбитское муниципальное образование</v>
          </cell>
          <cell r="C771">
            <v>6</v>
          </cell>
          <cell r="D771" t="str">
            <v>сельские населенные пункты с численностью населения менее 1 000 человек.</v>
          </cell>
        </row>
        <row r="772">
          <cell r="A772" t="str">
            <v>39:040:2:5:6</v>
          </cell>
          <cell r="B772" t="str">
            <v>Ирбитское муниципальное образование</v>
          </cell>
          <cell r="C772">
            <v>6</v>
          </cell>
          <cell r="D772" t="str">
            <v>сельские населенные пункты с численностью населения менее 1 000 человек.</v>
          </cell>
        </row>
        <row r="773">
          <cell r="A773" t="str">
            <v>39:094:2:5:6</v>
          </cell>
          <cell r="B773" t="str">
            <v>Ирбитское муниципальное образование</v>
          </cell>
          <cell r="C773">
            <v>6</v>
          </cell>
          <cell r="D773" t="str">
            <v>сельские населенные пункты с численностью населения менее 1 000 человек.</v>
          </cell>
        </row>
        <row r="774">
          <cell r="A774" t="str">
            <v>39:026:2:5:6</v>
          </cell>
          <cell r="B774" t="str">
            <v>Ирбитское муниципальное образование</v>
          </cell>
          <cell r="C774">
            <v>6</v>
          </cell>
          <cell r="D774" t="str">
            <v>сельские населенные пункты с численностью населения менее 1 000 человек.</v>
          </cell>
        </row>
        <row r="775">
          <cell r="A775" t="str">
            <v>39:087:2:5:6</v>
          </cell>
          <cell r="B775" t="str">
            <v>Ирбитское муниципальное образование</v>
          </cell>
          <cell r="C775">
            <v>6</v>
          </cell>
          <cell r="D775" t="str">
            <v>сельские населенные пункты с численностью населения менее 1 000 человек.</v>
          </cell>
        </row>
        <row r="776">
          <cell r="A776" t="str">
            <v>39:045:2:5:6</v>
          </cell>
          <cell r="B776" t="str">
            <v>Ирбитское муниципальное образование</v>
          </cell>
          <cell r="C776">
            <v>6</v>
          </cell>
          <cell r="D776" t="str">
            <v>сельские населенные пункты с численностью населения менее 1 000 человек.</v>
          </cell>
        </row>
        <row r="777">
          <cell r="A777" t="str">
            <v>39:070:2:5:6</v>
          </cell>
          <cell r="B777" t="str">
            <v>Ирбитское муниципальное образование</v>
          </cell>
          <cell r="C777">
            <v>6</v>
          </cell>
          <cell r="D777" t="str">
            <v>сельские населенные пункты с численностью населения менее 1 000 человек.</v>
          </cell>
        </row>
        <row r="778">
          <cell r="A778" t="str">
            <v>39:034:2:5:6</v>
          </cell>
          <cell r="B778" t="str">
            <v>Ирбитское муниципальное образование</v>
          </cell>
          <cell r="C778">
            <v>6</v>
          </cell>
          <cell r="D778" t="str">
            <v>сельские населенные пункты с численностью населения менее 1 000 человек.</v>
          </cell>
        </row>
        <row r="779">
          <cell r="A779" t="str">
            <v>39:008:2:5:6</v>
          </cell>
          <cell r="B779" t="str">
            <v>Ирбитское муниципальное образование</v>
          </cell>
          <cell r="C779">
            <v>6</v>
          </cell>
          <cell r="D779" t="str">
            <v>сельские населенные пункты с численностью населения менее 1 000 человек.</v>
          </cell>
        </row>
        <row r="780">
          <cell r="A780" t="str">
            <v>39:099:2:5:6</v>
          </cell>
          <cell r="B780" t="str">
            <v>Ирбитское муниципальное образование</v>
          </cell>
          <cell r="C780">
            <v>6</v>
          </cell>
          <cell r="D780" t="str">
            <v>сельские населенные пункты с численностью населения менее 1 000 человек.</v>
          </cell>
        </row>
        <row r="781">
          <cell r="A781" t="str">
            <v>39:085:2:5:6</v>
          </cell>
          <cell r="B781" t="str">
            <v>Ирбитское муниципальное образование</v>
          </cell>
          <cell r="C781">
            <v>6</v>
          </cell>
          <cell r="D781" t="str">
            <v>сельские населенные пункты с численностью населения менее 1 000 человек.</v>
          </cell>
        </row>
        <row r="782">
          <cell r="A782" t="str">
            <v>39:077:2:4:6</v>
          </cell>
          <cell r="B782" t="str">
            <v>Ирбитское муниципальное образование</v>
          </cell>
          <cell r="C782">
            <v>6</v>
          </cell>
          <cell r="D782" t="str">
            <v>сельские населенные пункты с численностью населения менее 1 000 человек.</v>
          </cell>
        </row>
        <row r="783">
          <cell r="A783" t="str">
            <v>39:086:2:5:6</v>
          </cell>
          <cell r="B783" t="str">
            <v>Ирбитское муниципальное образование</v>
          </cell>
          <cell r="C783">
            <v>6</v>
          </cell>
          <cell r="D783" t="str">
            <v>сельские населенные пункты с численностью населения менее 1 000 человек.</v>
          </cell>
        </row>
        <row r="784">
          <cell r="A784" t="str">
            <v>39:064:2:4:6</v>
          </cell>
          <cell r="B784" t="str">
            <v>Ирбитское муниципальное образование</v>
          </cell>
          <cell r="C784">
            <v>6</v>
          </cell>
          <cell r="D784" t="str">
            <v>сельские населенные пункты с численностью населения менее 1 000 человек.</v>
          </cell>
        </row>
        <row r="785">
          <cell r="A785" t="str">
            <v>39:029:2:4:6</v>
          </cell>
          <cell r="B785" t="str">
            <v>Ирбитское муниципальное образование</v>
          </cell>
          <cell r="C785">
            <v>6</v>
          </cell>
          <cell r="D785" t="str">
            <v>сельские населенные пункты с численностью населения менее 1 000 человек.</v>
          </cell>
        </row>
        <row r="786">
          <cell r="A786" t="str">
            <v>39:049:2:3:6</v>
          </cell>
          <cell r="B786" t="str">
            <v>Ирбитское муниципальное образование</v>
          </cell>
          <cell r="C786">
            <v>6</v>
          </cell>
          <cell r="D786" t="str">
            <v>сельские населенные пункты с численностью населения менее 1 000 человек.</v>
          </cell>
        </row>
        <row r="787">
          <cell r="A787" t="str">
            <v>39:053:2:3:6</v>
          </cell>
          <cell r="B787" t="str">
            <v>Ирбитское муниципальное образование</v>
          </cell>
          <cell r="C787">
            <v>6</v>
          </cell>
          <cell r="D787" t="str">
            <v>сельские населенные пункты с численностью населения менее 1 000 человек.</v>
          </cell>
        </row>
        <row r="788">
          <cell r="A788" t="str">
            <v>39:090:2:5:6</v>
          </cell>
          <cell r="B788" t="str">
            <v>Ирбитское муниципальное образование</v>
          </cell>
          <cell r="C788">
            <v>6</v>
          </cell>
          <cell r="D788" t="str">
            <v>сельские населенные пункты с численностью населения менее 1 000 человек.</v>
          </cell>
        </row>
        <row r="789">
          <cell r="A789" t="str">
            <v>39:096:2:5:6</v>
          </cell>
          <cell r="B789" t="str">
            <v>Ирбитское муниципальное образование</v>
          </cell>
          <cell r="C789">
            <v>6</v>
          </cell>
          <cell r="D789" t="str">
            <v>сельские населенные пункты с численностью населения менее 1 000 человек.</v>
          </cell>
        </row>
        <row r="790">
          <cell r="A790" t="str">
            <v>39:038:2:5:6</v>
          </cell>
          <cell r="B790" t="str">
            <v>Ирбитское муниципальное образование</v>
          </cell>
          <cell r="C790">
            <v>6</v>
          </cell>
          <cell r="D790" t="str">
            <v>сельские населенные пункты с численностью населения менее 1 000 человек.</v>
          </cell>
        </row>
        <row r="791">
          <cell r="A791" t="str">
            <v>39:079:2:5:6</v>
          </cell>
          <cell r="B791" t="str">
            <v>Ирбитское муниципальное образование</v>
          </cell>
          <cell r="C791">
            <v>6</v>
          </cell>
          <cell r="D791" t="str">
            <v>сельские населенные пункты с численностью населения менее 1 000 человек.</v>
          </cell>
        </row>
        <row r="792">
          <cell r="A792" t="str">
            <v>39:020:2:4:6</v>
          </cell>
          <cell r="B792" t="str">
            <v>Ирбитское муниципальное образование</v>
          </cell>
          <cell r="C792">
            <v>6</v>
          </cell>
          <cell r="D792" t="str">
            <v>сельские населенные пункты с численностью населения менее 1 000 человек.</v>
          </cell>
        </row>
        <row r="793">
          <cell r="A793" t="str">
            <v>39:005:2:5:6</v>
          </cell>
          <cell r="B793" t="str">
            <v>Ирбитское муниципальное образование</v>
          </cell>
          <cell r="C793">
            <v>6</v>
          </cell>
          <cell r="D793" t="str">
            <v>сельские населенные пункты с численностью населения менее 1 000 человек.</v>
          </cell>
        </row>
        <row r="794">
          <cell r="A794" t="str">
            <v>39:016:2:4:6</v>
          </cell>
          <cell r="B794" t="str">
            <v>Ирбитское муниципальное образование</v>
          </cell>
          <cell r="C794">
            <v>6</v>
          </cell>
          <cell r="D794" t="str">
            <v>сельские населенные пункты с численностью населения менее 1 000 человек.</v>
          </cell>
        </row>
        <row r="795">
          <cell r="A795" t="str">
            <v>39:057:2:5:6</v>
          </cell>
          <cell r="B795" t="str">
            <v>Ирбитское муниципальное образование</v>
          </cell>
          <cell r="C795">
            <v>6</v>
          </cell>
          <cell r="D795" t="str">
            <v>сельские населенные пункты с численностью населения менее 1 000 человек.</v>
          </cell>
        </row>
        <row r="796">
          <cell r="A796" t="str">
            <v>39:071:1:2:4</v>
          </cell>
          <cell r="B796" t="str">
            <v>Ирбитское муниципальное образование</v>
          </cell>
          <cell r="C796">
            <v>4</v>
          </cell>
          <cell r="D796" t="str">
            <v>городские населенные пункты с численностью населения менее 50 000 человек;</v>
          </cell>
        </row>
        <row r="797">
          <cell r="A797" t="str">
            <v>39:015:2:5:6</v>
          </cell>
          <cell r="B797" t="str">
            <v>Ирбитское муниципальное образование</v>
          </cell>
          <cell r="C797">
            <v>6</v>
          </cell>
          <cell r="D797" t="str">
            <v>сельские населенные пункты с численностью населения менее 1 000 человек.</v>
          </cell>
        </row>
        <row r="798">
          <cell r="A798" t="str">
            <v>39:035:2:5:6</v>
          </cell>
          <cell r="B798" t="str">
            <v>Ирбитское муниципальное образование</v>
          </cell>
          <cell r="C798">
            <v>6</v>
          </cell>
          <cell r="D798" t="str">
            <v>сельские населенные пункты с численностью населения менее 1 000 человек.</v>
          </cell>
        </row>
        <row r="799">
          <cell r="A799" t="str">
            <v>39:022:2:5:6</v>
          </cell>
          <cell r="B799" t="str">
            <v>Ирбитское муниципальное образование</v>
          </cell>
          <cell r="C799">
            <v>6</v>
          </cell>
          <cell r="D799" t="str">
            <v>сельские населенные пункты с численностью населения менее 1 000 человек.</v>
          </cell>
        </row>
        <row r="800">
          <cell r="A800" t="str">
            <v>39:083:2:3:6</v>
          </cell>
          <cell r="B800" t="str">
            <v>Ирбитское муниципальное образование</v>
          </cell>
          <cell r="C800">
            <v>6</v>
          </cell>
          <cell r="D800" t="str">
            <v>сельские населенные пункты с численностью населения менее 1 000 человек.</v>
          </cell>
        </row>
        <row r="801">
          <cell r="A801" t="str">
            <v>39:037:2:4:6</v>
          </cell>
          <cell r="B801" t="str">
            <v>Ирбитское муниципальное образование</v>
          </cell>
          <cell r="C801">
            <v>6</v>
          </cell>
          <cell r="D801" t="str">
            <v>сельские населенные пункты с численностью населения менее 1 000 человек.</v>
          </cell>
        </row>
        <row r="802">
          <cell r="A802" t="str">
            <v>39:051:2:3:6</v>
          </cell>
          <cell r="B802" t="str">
            <v>Ирбитское муниципальное образование</v>
          </cell>
          <cell r="C802">
            <v>6</v>
          </cell>
          <cell r="D802" t="str">
            <v>сельские населенные пункты с численностью населения менее 1 000 человек.</v>
          </cell>
        </row>
        <row r="803">
          <cell r="A803" t="str">
            <v>39:056:2:5:6</v>
          </cell>
          <cell r="B803" t="str">
            <v>Ирбитское муниципальное образование</v>
          </cell>
          <cell r="C803">
            <v>6</v>
          </cell>
          <cell r="D803" t="str">
            <v>сельские населенные пункты с численностью населения менее 1 000 человек.</v>
          </cell>
        </row>
        <row r="804">
          <cell r="A804" t="str">
            <v>39:065:2:5:6</v>
          </cell>
          <cell r="B804" t="str">
            <v>Ирбитское муниципальное образование</v>
          </cell>
          <cell r="C804">
            <v>6</v>
          </cell>
          <cell r="D804" t="str">
            <v>сельские населенные пункты с численностью населения менее 1 000 человек.</v>
          </cell>
        </row>
        <row r="805">
          <cell r="A805" t="str">
            <v>39:025:2:5:6</v>
          </cell>
          <cell r="B805" t="str">
            <v>Ирбитское муниципальное образование</v>
          </cell>
          <cell r="C805">
            <v>6</v>
          </cell>
          <cell r="D805" t="str">
            <v>сельские населенные пункты с численностью населения менее 1 000 человек.</v>
          </cell>
        </row>
        <row r="806">
          <cell r="A806" t="str">
            <v>39:062:2:5:6</v>
          </cell>
          <cell r="B806" t="str">
            <v>Ирбитское муниципальное образование</v>
          </cell>
          <cell r="C806">
            <v>6</v>
          </cell>
          <cell r="D806" t="str">
            <v>сельские населенные пункты с численностью населения менее 1 000 человек.</v>
          </cell>
        </row>
        <row r="807">
          <cell r="A807" t="str">
            <v>39:093:2:4:6</v>
          </cell>
          <cell r="B807" t="str">
            <v>Ирбитское муниципальное образование</v>
          </cell>
          <cell r="C807">
            <v>6</v>
          </cell>
          <cell r="D807" t="str">
            <v>сельские населенные пункты с численностью населения менее 1 000 человек.</v>
          </cell>
        </row>
        <row r="808">
          <cell r="A808" t="str">
            <v>39:007:2:5:6</v>
          </cell>
          <cell r="B808" t="str">
            <v>Ирбитское муниципальное образование</v>
          </cell>
          <cell r="C808">
            <v>6</v>
          </cell>
          <cell r="D808" t="str">
            <v>сельские населенные пункты с численностью населения менее 1 000 человек.</v>
          </cell>
        </row>
        <row r="809">
          <cell r="A809" t="str">
            <v>39:063:2:5:6</v>
          </cell>
          <cell r="B809" t="str">
            <v>Ирбитское муниципальное образование</v>
          </cell>
          <cell r="C809">
            <v>6</v>
          </cell>
          <cell r="D809" t="str">
            <v>сельские населенные пункты с численностью населения менее 1 000 человек.</v>
          </cell>
        </row>
        <row r="810">
          <cell r="A810" t="str">
            <v>39:061:2:5:6</v>
          </cell>
          <cell r="B810" t="str">
            <v>Ирбитское муниципальное образование</v>
          </cell>
          <cell r="C810">
            <v>6</v>
          </cell>
          <cell r="D810" t="str">
            <v>сельские населенные пункты с численностью населения менее 1 000 человек.</v>
          </cell>
        </row>
        <row r="811">
          <cell r="A811" t="str">
            <v>39:067:2:4:6</v>
          </cell>
          <cell r="B811" t="str">
            <v>Ирбитское муниципальное образование</v>
          </cell>
          <cell r="C811">
            <v>6</v>
          </cell>
          <cell r="D811" t="str">
            <v>сельские населенные пункты с численностью населения менее 1 000 человек.</v>
          </cell>
        </row>
        <row r="812">
          <cell r="A812" t="str">
            <v>39:103:2:5:6</v>
          </cell>
          <cell r="B812" t="str">
            <v>Ирбитское муниципальное образование</v>
          </cell>
          <cell r="C812">
            <v>6</v>
          </cell>
          <cell r="D812" t="str">
            <v>сельские населенные пункты с численностью населения менее 1 000 человек.</v>
          </cell>
        </row>
        <row r="813">
          <cell r="A813" t="str">
            <v>39:100:2:4:6</v>
          </cell>
          <cell r="B813" t="str">
            <v>Ирбитское муниципальное образование</v>
          </cell>
          <cell r="C813">
            <v>6</v>
          </cell>
          <cell r="D813" t="str">
            <v>сельские населенные пункты с численностью населения менее 1 000 человек.</v>
          </cell>
        </row>
        <row r="814">
          <cell r="A814" t="str">
            <v>39:017:2:5:6</v>
          </cell>
          <cell r="B814" t="str">
            <v>Ирбитское муниципальное образование</v>
          </cell>
          <cell r="C814">
            <v>6</v>
          </cell>
          <cell r="D814" t="str">
            <v>сельские населенные пункты с численностью населения менее 1 000 человек.</v>
          </cell>
        </row>
        <row r="815">
          <cell r="A815" t="str">
            <v>39:080:2:4:6</v>
          </cell>
          <cell r="B815" t="str">
            <v>Ирбитское муниципальное образование</v>
          </cell>
          <cell r="C815">
            <v>6</v>
          </cell>
          <cell r="D815" t="str">
            <v>сельские населенные пункты с численностью населения менее 1 000 человек.</v>
          </cell>
        </row>
        <row r="816">
          <cell r="A816" t="str">
            <v>39:075:2:5:6</v>
          </cell>
          <cell r="B816" t="str">
            <v>Ирбитское муниципальное образование</v>
          </cell>
          <cell r="C816">
            <v>6</v>
          </cell>
          <cell r="D816" t="str">
            <v>сельские населенные пункты с численностью населения менее 1 000 человек.</v>
          </cell>
        </row>
        <row r="817">
          <cell r="A817" t="str">
            <v>39:058:2:5:6</v>
          </cell>
          <cell r="B817" t="str">
            <v>Ирбитское муниципальное образование</v>
          </cell>
          <cell r="C817">
            <v>6</v>
          </cell>
          <cell r="D817" t="str">
            <v>сельские населенные пункты с численностью населения менее 1 000 человек.</v>
          </cell>
        </row>
        <row r="818">
          <cell r="A818" t="str">
            <v>39:004:2:4:6</v>
          </cell>
          <cell r="B818" t="str">
            <v>Ирбитское муниципальное образование</v>
          </cell>
          <cell r="C818">
            <v>6</v>
          </cell>
          <cell r="D818" t="str">
            <v>сельские населенные пункты с численностью населения менее 1 000 человек.</v>
          </cell>
        </row>
        <row r="819">
          <cell r="A819" t="str">
            <v>39:068:2:5:6</v>
          </cell>
          <cell r="B819" t="str">
            <v>Ирбитское муниципальное образование</v>
          </cell>
          <cell r="C819">
            <v>6</v>
          </cell>
          <cell r="D819" t="str">
            <v>сельские населенные пункты с численностью населения менее 1 000 человек.</v>
          </cell>
        </row>
        <row r="820">
          <cell r="A820" t="str">
            <v>39:092:2:4:6</v>
          </cell>
          <cell r="B820" t="str">
            <v>Ирбитское муниципальное образование</v>
          </cell>
          <cell r="C820">
            <v>6</v>
          </cell>
          <cell r="D820" t="str">
            <v>сельские населенные пункты с численностью населения менее 1 000 человек.</v>
          </cell>
        </row>
        <row r="821">
          <cell r="A821" t="str">
            <v>39:046:2:4:6</v>
          </cell>
          <cell r="B821" t="str">
            <v>Ирбитское муниципальное образование</v>
          </cell>
          <cell r="C821">
            <v>6</v>
          </cell>
          <cell r="D821" t="str">
            <v>сельские населенные пункты с численностью населения менее 1 000 человек.</v>
          </cell>
        </row>
        <row r="822">
          <cell r="A822" t="str">
            <v>39:009:2:5:6</v>
          </cell>
          <cell r="B822" t="str">
            <v>Ирбитское муниципальное образование</v>
          </cell>
          <cell r="C822">
            <v>6</v>
          </cell>
          <cell r="D822" t="str">
            <v>сельские населенные пункты с численностью населения менее 1 000 человек.</v>
          </cell>
        </row>
        <row r="823">
          <cell r="A823" t="str">
            <v>39:013:2:5:6</v>
          </cell>
          <cell r="B823" t="str">
            <v>Ирбитское муниципальное образование</v>
          </cell>
          <cell r="C823">
            <v>6</v>
          </cell>
          <cell r="D823" t="str">
            <v>сельские населенные пункты с численностью населения менее 1 000 человек.</v>
          </cell>
        </row>
        <row r="824">
          <cell r="A824" t="str">
            <v>39:082:2:5:6</v>
          </cell>
          <cell r="B824" t="str">
            <v>Ирбитское муниципальное образование</v>
          </cell>
          <cell r="C824">
            <v>6</v>
          </cell>
          <cell r="D824" t="str">
            <v>сельские населенные пункты с численностью населения менее 1 000 человек.</v>
          </cell>
        </row>
        <row r="825">
          <cell r="A825" t="str">
            <v>39:089:2:4:6</v>
          </cell>
          <cell r="B825" t="str">
            <v>Ирбитское муниципальное образование</v>
          </cell>
          <cell r="C825">
            <v>6</v>
          </cell>
          <cell r="D825" t="str">
            <v>сельские населенные пункты с численностью населения менее 1 000 человек.</v>
          </cell>
        </row>
        <row r="826">
          <cell r="A826" t="str">
            <v>39:010:2:5:6</v>
          </cell>
          <cell r="B826" t="str">
            <v>Ирбитское муниципальное образование</v>
          </cell>
          <cell r="C826">
            <v>6</v>
          </cell>
          <cell r="D826" t="str">
            <v>сельские населенные пункты с численностью населения менее 1 000 человек.</v>
          </cell>
        </row>
        <row r="827">
          <cell r="A827" t="str">
            <v>39:074:2:4:6</v>
          </cell>
          <cell r="B827" t="str">
            <v>Ирбитское муниципальное образование</v>
          </cell>
          <cell r="C827">
            <v>6</v>
          </cell>
          <cell r="D827" t="str">
            <v>сельские населенные пункты с численностью населения менее 1 000 человек.</v>
          </cell>
        </row>
        <row r="828">
          <cell r="A828" t="str">
            <v>39:023:2:5:6</v>
          </cell>
          <cell r="B828" t="str">
            <v>Ирбитское муниципальное образование</v>
          </cell>
          <cell r="C828">
            <v>6</v>
          </cell>
          <cell r="D828" t="str">
            <v>сельские населенные пункты с численностью населения менее 1 000 человек.</v>
          </cell>
        </row>
        <row r="829">
          <cell r="A829" t="str">
            <v>39:073:2:5:6</v>
          </cell>
          <cell r="B829" t="str">
            <v>Ирбитское муниципальное образование</v>
          </cell>
          <cell r="C829">
            <v>6</v>
          </cell>
          <cell r="D829" t="str">
            <v>сельские населенные пункты с численностью населения менее 1 000 человек.</v>
          </cell>
        </row>
        <row r="830">
          <cell r="A830" t="str">
            <v>39:050:2:5:6</v>
          </cell>
          <cell r="B830" t="str">
            <v>Ирбитское муниципальное образование</v>
          </cell>
          <cell r="C830">
            <v>6</v>
          </cell>
          <cell r="D830" t="str">
            <v>сельские населенные пункты с численностью населения менее 1 000 человек.</v>
          </cell>
        </row>
        <row r="831">
          <cell r="A831" t="str">
            <v>39:084:2:4:6</v>
          </cell>
          <cell r="B831" t="str">
            <v>Ирбитское муниципальное образование</v>
          </cell>
          <cell r="C831">
            <v>6</v>
          </cell>
          <cell r="D831" t="str">
            <v>сельские населенные пункты с численностью населения менее 1 000 человек.</v>
          </cell>
        </row>
        <row r="832">
          <cell r="A832" t="str">
            <v>39:069:2:5:6</v>
          </cell>
          <cell r="B832" t="str">
            <v>Ирбитское муниципальное образование</v>
          </cell>
          <cell r="C832">
            <v>6</v>
          </cell>
          <cell r="D832" t="str">
            <v>сельские населенные пункты с численностью населения менее 1 000 человек.</v>
          </cell>
        </row>
        <row r="833">
          <cell r="A833" t="str">
            <v>39:060:2:5:6</v>
          </cell>
          <cell r="B833" t="str">
            <v>Ирбитское муниципальное образование</v>
          </cell>
          <cell r="C833">
            <v>6</v>
          </cell>
          <cell r="D833" t="str">
            <v>сельские населенные пункты с численностью населения менее 1 000 человек.</v>
          </cell>
        </row>
        <row r="834">
          <cell r="A834" t="str">
            <v>39:002:2:4:6</v>
          </cell>
          <cell r="B834" t="str">
            <v>Ирбитское муниципальное образование</v>
          </cell>
          <cell r="C834">
            <v>6</v>
          </cell>
          <cell r="D834" t="str">
            <v>сельские населенные пункты с численностью населения менее 1 000 человек.</v>
          </cell>
        </row>
        <row r="835">
          <cell r="A835" t="str">
            <v>39:098:2:5:6</v>
          </cell>
          <cell r="B835" t="str">
            <v>Ирбитское муниципальное образование</v>
          </cell>
          <cell r="C835">
            <v>6</v>
          </cell>
          <cell r="D835" t="str">
            <v>сельские населенные пункты с численностью населения менее 1 000 человек.</v>
          </cell>
        </row>
        <row r="836">
          <cell r="A836" t="str">
            <v>39:102:2:5:6</v>
          </cell>
          <cell r="B836" t="str">
            <v>Ирбитское муниципальное образование</v>
          </cell>
          <cell r="C836">
            <v>6</v>
          </cell>
          <cell r="D836" t="str">
            <v>сельские населенные пункты с численностью населения менее 1 000 человек.</v>
          </cell>
        </row>
        <row r="837">
          <cell r="A837" t="str">
            <v>39:052:2:5:6</v>
          </cell>
          <cell r="B837" t="str">
            <v>Ирбитское муниципальное образование</v>
          </cell>
          <cell r="C837">
            <v>6</v>
          </cell>
          <cell r="D837" t="str">
            <v>сельские населенные пункты с численностью населения менее 1 000 человек.</v>
          </cell>
        </row>
        <row r="838">
          <cell r="A838" t="str">
            <v>39:001:2:5:6</v>
          </cell>
          <cell r="B838" t="str">
            <v>Ирбитское муниципальное образование</v>
          </cell>
          <cell r="C838">
            <v>6</v>
          </cell>
          <cell r="D838" t="str">
            <v>сельские населенные пункты с численностью населения менее 1 000 человек.</v>
          </cell>
        </row>
        <row r="839">
          <cell r="A839" t="str">
            <v>39:003:2:5:6</v>
          </cell>
          <cell r="B839" t="str">
            <v>Ирбитское муниципальное образование</v>
          </cell>
          <cell r="C839">
            <v>6</v>
          </cell>
          <cell r="D839" t="str">
            <v>сельские населенные пункты с численностью населения менее 1 000 человек.</v>
          </cell>
        </row>
        <row r="840">
          <cell r="A840" t="str">
            <v>39:059:2:5:6</v>
          </cell>
          <cell r="B840" t="str">
            <v>Ирбитское муниципальное образование</v>
          </cell>
          <cell r="C840">
            <v>6</v>
          </cell>
          <cell r="D840" t="str">
            <v>сельские населенные пункты с численностью населения менее 1 000 человек.</v>
          </cell>
        </row>
        <row r="841">
          <cell r="A841" t="str">
            <v>39:011:2:5:6</v>
          </cell>
          <cell r="B841" t="str">
            <v>Ирбитское муниципальное образование</v>
          </cell>
          <cell r="C841">
            <v>6</v>
          </cell>
          <cell r="D841" t="str">
            <v>сельские населенные пункты с численностью населения менее 1 000 человек.</v>
          </cell>
        </row>
        <row r="842">
          <cell r="A842" t="str">
            <v>39:101:2:5:6</v>
          </cell>
          <cell r="B842" t="str">
            <v>Ирбитское муниципальное образование</v>
          </cell>
          <cell r="C842">
            <v>6</v>
          </cell>
          <cell r="D842" t="str">
            <v>сельские населенные пункты с численностью населения менее 1 000 человек.</v>
          </cell>
        </row>
        <row r="843">
          <cell r="A843" t="str">
            <v>39:054:2:5:6</v>
          </cell>
          <cell r="B843" t="str">
            <v>Ирбитское муниципальное образование</v>
          </cell>
          <cell r="C843">
            <v>6</v>
          </cell>
          <cell r="D843" t="str">
            <v>сельские населенные пункты с численностью населения менее 1 000 человек.</v>
          </cell>
        </row>
        <row r="844">
          <cell r="A844" t="str">
            <v>39:012:2:5:6</v>
          </cell>
          <cell r="B844" t="str">
            <v>Ирбитское муниципальное образование</v>
          </cell>
          <cell r="C844">
            <v>6</v>
          </cell>
          <cell r="D844" t="str">
            <v>сельские населенные пункты с численностью населения менее 1 000 человек.</v>
          </cell>
        </row>
        <row r="845">
          <cell r="A845" t="str">
            <v>39:043:2:5:6</v>
          </cell>
          <cell r="B845" t="str">
            <v>Ирбитское муниципальное образование</v>
          </cell>
          <cell r="C845">
            <v>6</v>
          </cell>
          <cell r="D845" t="str">
            <v>сельские населенные пункты с численностью населения менее 1 000 человек.</v>
          </cell>
        </row>
        <row r="846">
          <cell r="A846" t="str">
            <v>39:021:2:5:6</v>
          </cell>
          <cell r="B846" t="str">
            <v>Ирбитское муниципальное образование</v>
          </cell>
          <cell r="C846">
            <v>6</v>
          </cell>
          <cell r="D846" t="str">
            <v>сельские населенные пункты с численностью населения менее 1 000 человек.</v>
          </cell>
        </row>
        <row r="847">
          <cell r="A847" t="str">
            <v>39:030:2:5:6</v>
          </cell>
          <cell r="B847" t="str">
            <v>Ирбитское муниципальное образование</v>
          </cell>
          <cell r="C847">
            <v>6</v>
          </cell>
          <cell r="D847" t="str">
            <v>сельские населенные пункты с численностью населения менее 1 000 человек.</v>
          </cell>
        </row>
        <row r="848">
          <cell r="A848" t="str">
            <v>39:042:2:5:6</v>
          </cell>
          <cell r="B848" t="str">
            <v>Ирбитское муниципальное образование</v>
          </cell>
          <cell r="C848">
            <v>6</v>
          </cell>
          <cell r="D848" t="str">
            <v>сельские населенные пункты с численностью населения менее 1 000 человек.</v>
          </cell>
        </row>
        <row r="849">
          <cell r="A849" t="str">
            <v>39:066:2:5:6</v>
          </cell>
          <cell r="B849" t="str">
            <v>Ирбитское муниципальное образование</v>
          </cell>
          <cell r="C849">
            <v>6</v>
          </cell>
          <cell r="D849" t="str">
            <v>сельские населенные пункты с численностью населения менее 1 000 человек.</v>
          </cell>
        </row>
        <row r="850">
          <cell r="A850" t="str">
            <v>39:055:2:5:6</v>
          </cell>
          <cell r="B850" t="str">
            <v>Ирбитское муниципальное образование</v>
          </cell>
          <cell r="C850">
            <v>6</v>
          </cell>
          <cell r="D850" t="str">
            <v>сельские населенные пункты с численностью населения менее 1 000 человек.</v>
          </cell>
        </row>
        <row r="851">
          <cell r="A851" t="str">
            <v>39:006:2:5:6</v>
          </cell>
          <cell r="B851" t="str">
            <v>Ирбитское муниципальное образование</v>
          </cell>
          <cell r="C851">
            <v>6</v>
          </cell>
          <cell r="D851" t="str">
            <v>сельские населенные пункты с численностью населения менее 1 000 человек.</v>
          </cell>
        </row>
        <row r="852">
          <cell r="A852" t="str">
            <v>39:018:2:5:6</v>
          </cell>
          <cell r="B852" t="str">
            <v>Ирбитское муниципальное образование</v>
          </cell>
          <cell r="C852">
            <v>6</v>
          </cell>
          <cell r="D852" t="str">
            <v>сельские населенные пункты с численностью населения менее 1 000 человек.</v>
          </cell>
        </row>
        <row r="853">
          <cell r="A853" t="str">
            <v>39:097:2:5:6</v>
          </cell>
          <cell r="B853" t="str">
            <v>Ирбитское муниципальное образование</v>
          </cell>
          <cell r="C853">
            <v>6</v>
          </cell>
          <cell r="D853" t="str">
            <v>сельские населенные пункты с численностью населения менее 1 000 человек.</v>
          </cell>
        </row>
        <row r="854">
          <cell r="A854" t="str">
            <v>39:033:2:5:6</v>
          </cell>
          <cell r="B854" t="str">
            <v>Ирбитское муниципальное образование</v>
          </cell>
          <cell r="C854">
            <v>6</v>
          </cell>
          <cell r="D854" t="str">
            <v>сельские населенные пункты с численностью населения менее 1 000 человек.</v>
          </cell>
        </row>
        <row r="855">
          <cell r="A855" t="str">
            <v>39:076:2:5:6</v>
          </cell>
          <cell r="B855" t="str">
            <v>Ирбитское муниципальное образование</v>
          </cell>
          <cell r="C855">
            <v>6</v>
          </cell>
          <cell r="D855" t="str">
            <v>сельские населенные пункты с численностью населения менее 1 000 человек.</v>
          </cell>
        </row>
        <row r="856">
          <cell r="A856" t="str">
            <v>39:088:2:5:6</v>
          </cell>
          <cell r="B856" t="str">
            <v>Ирбитское муниципальное образование</v>
          </cell>
          <cell r="C856">
            <v>6</v>
          </cell>
          <cell r="D856" t="str">
            <v>сельские населенные пункты с численностью населения менее 1 000 человек.</v>
          </cell>
        </row>
        <row r="857">
          <cell r="A857" t="str">
            <v>39:028:2:5:5</v>
          </cell>
          <cell r="B857" t="str">
            <v>Ирбитское муниципальное образование</v>
          </cell>
          <cell r="C857">
            <v>5</v>
          </cell>
          <cell r="D857" t="str">
            <v>сельские населенные пункты с численностью населения более 1 000 человек;</v>
          </cell>
        </row>
        <row r="858">
          <cell r="A858" t="str">
            <v>39:091:2:4:6</v>
          </cell>
          <cell r="B858" t="str">
            <v>Ирбитское муниципальное образование</v>
          </cell>
          <cell r="C858">
            <v>6</v>
          </cell>
          <cell r="D858" t="str">
            <v>сельские населенные пункты с численностью населения менее 1 000 человек.</v>
          </cell>
        </row>
        <row r="859">
          <cell r="A859" t="str">
            <v>39:031:2:3:5</v>
          </cell>
          <cell r="B859" t="str">
            <v>Ирбитское муниципальное образование</v>
          </cell>
          <cell r="C859">
            <v>5</v>
          </cell>
          <cell r="D859" t="str">
            <v>сельские населенные пункты с численностью населения более 1 000 человек;</v>
          </cell>
        </row>
        <row r="860">
          <cell r="A860" t="str">
            <v>39:036:2:4:5</v>
          </cell>
          <cell r="B860" t="str">
            <v>Ирбитское муниципальное образование</v>
          </cell>
          <cell r="C860">
            <v>5</v>
          </cell>
          <cell r="D860" t="str">
            <v>сельские населенные пункты с численностью населения более 1 000 человек;</v>
          </cell>
        </row>
        <row r="861">
          <cell r="A861" t="str">
            <v>39:032:2:4:6</v>
          </cell>
          <cell r="B861" t="str">
            <v>Ирбитское муниципальное образование</v>
          </cell>
          <cell r="C861">
            <v>6</v>
          </cell>
          <cell r="D861" t="str">
            <v>сельские населенные пункты с численностью населения менее 1 000 человек.</v>
          </cell>
        </row>
        <row r="862">
          <cell r="A862" t="str">
            <v>39:024:2:4:6</v>
          </cell>
          <cell r="B862" t="str">
            <v>Ирбитское муниципальное образование</v>
          </cell>
          <cell r="C862">
            <v>6</v>
          </cell>
          <cell r="D862" t="str">
            <v>сельские населенные пункты с численностью населения менее 1 000 человек.</v>
          </cell>
        </row>
        <row r="863">
          <cell r="A863" t="str">
            <v>39:039:2:4:6</v>
          </cell>
          <cell r="B863" t="str">
            <v>Ирбитское муниципальное образование</v>
          </cell>
          <cell r="C863">
            <v>6</v>
          </cell>
          <cell r="D863" t="str">
            <v>сельские населенные пункты с численностью населения менее 1 000 человек.</v>
          </cell>
        </row>
        <row r="864">
          <cell r="A864" t="str">
            <v>39:078:2:3:6</v>
          </cell>
          <cell r="B864" t="str">
            <v>Ирбитское муниципальное образование</v>
          </cell>
          <cell r="C864">
            <v>6</v>
          </cell>
          <cell r="D864" t="str">
            <v>сельские населенные пункты с численностью населения менее 1 000 человек.</v>
          </cell>
        </row>
        <row r="865">
          <cell r="A865" t="str">
            <v>39:047:2:5:6</v>
          </cell>
          <cell r="B865" t="str">
            <v>Ирбитское муниципальное образование</v>
          </cell>
          <cell r="C865">
            <v>6</v>
          </cell>
          <cell r="D865" t="str">
            <v>сельские населенные пункты с численностью населения менее 1 000 человек.</v>
          </cell>
        </row>
        <row r="866">
          <cell r="A866" t="str">
            <v>39:041:2:5:6</v>
          </cell>
          <cell r="B866" t="str">
            <v>Ирбитское муниципальное образование</v>
          </cell>
          <cell r="C866">
            <v>6</v>
          </cell>
          <cell r="D866" t="str">
            <v>сельские населенные пункты с численностью населения менее 1 000 человек.</v>
          </cell>
        </row>
        <row r="867">
          <cell r="A867" t="str">
            <v>39:027:2:3:6</v>
          </cell>
          <cell r="B867" t="str">
            <v>Ирбитское муниципальное образование</v>
          </cell>
          <cell r="C867">
            <v>6</v>
          </cell>
          <cell r="D867" t="str">
            <v>сельские населенные пункты с численностью населения менее 1 000 человек.</v>
          </cell>
        </row>
        <row r="868">
          <cell r="A868" t="str">
            <v>39:072:2:5:6</v>
          </cell>
          <cell r="B868" t="str">
            <v>Ирбитское муниципальное образование</v>
          </cell>
          <cell r="C868">
            <v>6</v>
          </cell>
          <cell r="D868" t="str">
            <v>сельские населенные пункты с численностью населения менее 1 000 человек.</v>
          </cell>
        </row>
        <row r="869">
          <cell r="A869" t="str">
            <v>39:000:0:0:0</v>
          </cell>
          <cell r="B869" t="str">
            <v>Ирбитское муниципальное образование</v>
          </cell>
          <cell r="C869">
            <v>0</v>
          </cell>
          <cell r="D869" t="str">
            <v>межселенная территория</v>
          </cell>
        </row>
        <row r="870">
          <cell r="A870" t="str">
            <v>40:028:2:5:6</v>
          </cell>
          <cell r="B870" t="str">
            <v>Каменский городской округ</v>
          </cell>
          <cell r="C870">
            <v>6</v>
          </cell>
          <cell r="D870" t="str">
            <v>сельские населенные пункты с численностью населения менее 1 000 человек.</v>
          </cell>
        </row>
        <row r="871">
          <cell r="A871" t="str">
            <v>40:009:2:5:6</v>
          </cell>
          <cell r="B871" t="str">
            <v>Каменский городской округ</v>
          </cell>
          <cell r="C871">
            <v>6</v>
          </cell>
          <cell r="D871" t="str">
            <v>сельские населенные пункты с численностью населения менее 1 000 человек.</v>
          </cell>
        </row>
        <row r="872">
          <cell r="A872" t="str">
            <v>40:026:2:5:6</v>
          </cell>
          <cell r="B872" t="str">
            <v>Каменский городской округ</v>
          </cell>
          <cell r="C872">
            <v>6</v>
          </cell>
          <cell r="D872" t="str">
            <v>сельские населенные пункты с численностью населения менее 1 000 человек.</v>
          </cell>
        </row>
        <row r="873">
          <cell r="A873" t="str">
            <v>40:002:2:5:6</v>
          </cell>
          <cell r="B873" t="str">
            <v>Каменский городской округ</v>
          </cell>
          <cell r="C873">
            <v>6</v>
          </cell>
          <cell r="D873" t="str">
            <v>сельские населенные пункты с численностью населения менее 1 000 человек.</v>
          </cell>
        </row>
        <row r="874">
          <cell r="A874" t="str">
            <v>40:011:2:3:6</v>
          </cell>
          <cell r="B874" t="str">
            <v>Каменский городской округ</v>
          </cell>
          <cell r="C874">
            <v>6</v>
          </cell>
          <cell r="D874" t="str">
            <v>сельские населенные пункты с численностью населения менее 1 000 человек.</v>
          </cell>
        </row>
        <row r="875">
          <cell r="A875" t="str">
            <v>40:035:2:3:6</v>
          </cell>
          <cell r="B875" t="str">
            <v>Каменский городской округ</v>
          </cell>
          <cell r="C875">
            <v>6</v>
          </cell>
          <cell r="D875" t="str">
            <v>сельские населенные пункты с численностью населения менее 1 000 человек.</v>
          </cell>
        </row>
        <row r="876">
          <cell r="A876" t="str">
            <v>40:012:2:5:6</v>
          </cell>
          <cell r="B876" t="str">
            <v>Каменский городской округ</v>
          </cell>
          <cell r="C876">
            <v>6</v>
          </cell>
          <cell r="D876" t="str">
            <v>сельские населенные пункты с численностью населения менее 1 000 человек.</v>
          </cell>
        </row>
        <row r="877">
          <cell r="A877" t="str">
            <v>40:048:2:4:6</v>
          </cell>
          <cell r="B877" t="str">
            <v>Каменский городской округ</v>
          </cell>
          <cell r="C877">
            <v>6</v>
          </cell>
          <cell r="D877" t="str">
            <v>сельские населенные пункты с численностью населения менее 1 000 человек.</v>
          </cell>
        </row>
        <row r="878">
          <cell r="A878" t="str">
            <v>40:017:2:5:6</v>
          </cell>
          <cell r="B878" t="str">
            <v>Каменский городской округ</v>
          </cell>
          <cell r="C878">
            <v>6</v>
          </cell>
          <cell r="D878" t="str">
            <v>сельские населенные пункты с численностью населения менее 1 000 человек.</v>
          </cell>
        </row>
        <row r="879">
          <cell r="A879" t="str">
            <v>40:010:2:5:6</v>
          </cell>
          <cell r="B879" t="str">
            <v>Каменский городской округ</v>
          </cell>
          <cell r="C879">
            <v>6</v>
          </cell>
          <cell r="D879" t="str">
            <v>сельские населенные пункты с численностью населения менее 1 000 человек.</v>
          </cell>
        </row>
        <row r="880">
          <cell r="A880" t="str">
            <v>40:058:2:5:6</v>
          </cell>
          <cell r="B880" t="str">
            <v>Каменский городской округ</v>
          </cell>
          <cell r="C880">
            <v>6</v>
          </cell>
          <cell r="D880" t="str">
            <v>сельские населенные пункты с численностью населения менее 1 000 человек.</v>
          </cell>
        </row>
        <row r="881">
          <cell r="A881" t="str">
            <v>40:004:2:5:6</v>
          </cell>
          <cell r="B881" t="str">
            <v>Каменский городской округ</v>
          </cell>
          <cell r="C881">
            <v>6</v>
          </cell>
          <cell r="D881" t="str">
            <v>сельские населенные пункты с численностью населения менее 1 000 человек.</v>
          </cell>
        </row>
        <row r="882">
          <cell r="A882" t="str">
            <v>40:064:2:5:6</v>
          </cell>
          <cell r="B882" t="str">
            <v>Каменский городской округ</v>
          </cell>
          <cell r="C882">
            <v>6</v>
          </cell>
          <cell r="D882" t="str">
            <v>сельские населенные пункты с численностью населения менее 1 000 человек.</v>
          </cell>
        </row>
        <row r="883">
          <cell r="A883" t="str">
            <v>40:015:2:4:5</v>
          </cell>
          <cell r="B883" t="str">
            <v>Каменский городской округ</v>
          </cell>
          <cell r="C883">
            <v>5</v>
          </cell>
          <cell r="D883" t="str">
            <v>сельские населенные пункты с численностью населения более 1 000 человек;</v>
          </cell>
        </row>
        <row r="884">
          <cell r="A884" t="str">
            <v>40:032:2:5:6</v>
          </cell>
          <cell r="B884" t="str">
            <v>Каменский городской округ</v>
          </cell>
          <cell r="C884">
            <v>6</v>
          </cell>
          <cell r="D884" t="str">
            <v>сельские населенные пункты с численностью населения менее 1 000 человек.</v>
          </cell>
        </row>
        <row r="885">
          <cell r="A885" t="str">
            <v>40:049:2:5:6</v>
          </cell>
          <cell r="B885" t="str">
            <v>Каменский городской округ</v>
          </cell>
          <cell r="C885">
            <v>6</v>
          </cell>
          <cell r="D885" t="str">
            <v>сельские населенные пункты с численностью населения менее 1 000 человек.</v>
          </cell>
        </row>
        <row r="886">
          <cell r="A886" t="str">
            <v>40:014:2:4:5</v>
          </cell>
          <cell r="B886" t="str">
            <v>Каменский городской округ</v>
          </cell>
          <cell r="C886">
            <v>5</v>
          </cell>
          <cell r="D886" t="str">
            <v>сельские населенные пункты с численностью населения более 1 000 человек;</v>
          </cell>
        </row>
        <row r="887">
          <cell r="A887" t="str">
            <v>40:061:2:4:6</v>
          </cell>
          <cell r="B887" t="str">
            <v>Каменский городской округ</v>
          </cell>
          <cell r="C887">
            <v>6</v>
          </cell>
          <cell r="D887" t="str">
            <v>сельские населенные пункты с численностью населения менее 1 000 человек.</v>
          </cell>
        </row>
        <row r="888">
          <cell r="A888" t="str">
            <v>40:003:2:5:6</v>
          </cell>
          <cell r="B888" t="str">
            <v>Каменский городской округ</v>
          </cell>
          <cell r="C888">
            <v>6</v>
          </cell>
          <cell r="D888" t="str">
            <v>сельские населенные пункты с численностью населения менее 1 000 человек.</v>
          </cell>
        </row>
        <row r="889">
          <cell r="A889" t="str">
            <v>40:040:2:4:5</v>
          </cell>
          <cell r="B889" t="str">
            <v>Каменский городской округ</v>
          </cell>
          <cell r="C889">
            <v>5</v>
          </cell>
          <cell r="D889" t="str">
            <v>сельские населенные пункты с численностью населения более 1 000 человек;</v>
          </cell>
        </row>
        <row r="890">
          <cell r="A890" t="str">
            <v>40:037:2:3:6</v>
          </cell>
          <cell r="B890" t="str">
            <v>Каменский городской округ</v>
          </cell>
          <cell r="C890">
            <v>6</v>
          </cell>
          <cell r="D890" t="str">
            <v>сельские населенные пункты с численностью населения менее 1 000 человек.</v>
          </cell>
        </row>
        <row r="891">
          <cell r="A891" t="str">
            <v>40:059:2:5:6</v>
          </cell>
          <cell r="B891" t="str">
            <v>Каменский городской округ</v>
          </cell>
          <cell r="C891">
            <v>6</v>
          </cell>
          <cell r="D891" t="str">
            <v>сельские населенные пункты с численностью населения менее 1 000 человек.</v>
          </cell>
        </row>
        <row r="892">
          <cell r="A892" t="str">
            <v>40:041:2:4:5</v>
          </cell>
          <cell r="B892" t="str">
            <v>Каменский городской округ</v>
          </cell>
          <cell r="C892">
            <v>5</v>
          </cell>
          <cell r="D892" t="str">
            <v>сельские населенные пункты с численностью населения более 1 000 человек;</v>
          </cell>
        </row>
        <row r="893">
          <cell r="A893" t="str">
            <v>40:027:2:5:6</v>
          </cell>
          <cell r="B893" t="str">
            <v>Каменский городской округ</v>
          </cell>
          <cell r="C893">
            <v>6</v>
          </cell>
          <cell r="D893" t="str">
            <v>сельские населенные пункты с численностью населения менее 1 000 человек.</v>
          </cell>
        </row>
        <row r="894">
          <cell r="A894" t="str">
            <v>40:055:2:4:5</v>
          </cell>
          <cell r="B894" t="str">
            <v>Каменский городской округ</v>
          </cell>
          <cell r="C894">
            <v>5</v>
          </cell>
          <cell r="D894" t="str">
            <v>сельские населенные пункты с численностью населения более 1 000 человек;</v>
          </cell>
        </row>
        <row r="895">
          <cell r="A895" t="str">
            <v>40:007:2:4:6</v>
          </cell>
          <cell r="B895" t="str">
            <v>Каменский городской округ</v>
          </cell>
          <cell r="C895">
            <v>6</v>
          </cell>
          <cell r="D895" t="str">
            <v>сельские населенные пункты с численностью населения менее 1 000 человек.</v>
          </cell>
        </row>
        <row r="896">
          <cell r="A896" t="str">
            <v>40:052:2:4:5</v>
          </cell>
          <cell r="B896" t="str">
            <v>Каменский городской округ</v>
          </cell>
          <cell r="C896">
            <v>5</v>
          </cell>
          <cell r="D896" t="str">
            <v>сельские населенные пункты с численностью населения более 1 000 человек;</v>
          </cell>
        </row>
        <row r="897">
          <cell r="A897" t="str">
            <v>40:025:2:3:6</v>
          </cell>
          <cell r="B897" t="str">
            <v>Каменский городской округ</v>
          </cell>
          <cell r="C897">
            <v>6</v>
          </cell>
          <cell r="D897" t="str">
            <v>сельские населенные пункты с численностью населения менее 1 000 человек.</v>
          </cell>
        </row>
        <row r="898">
          <cell r="A898" t="str">
            <v>40:065:2:5:6</v>
          </cell>
          <cell r="B898" t="str">
            <v>Каменский городской округ</v>
          </cell>
          <cell r="C898">
            <v>6</v>
          </cell>
          <cell r="D898" t="str">
            <v>сельские населенные пункты с численностью населения менее 1 000 человек.</v>
          </cell>
        </row>
        <row r="899">
          <cell r="A899" t="str">
            <v>40:029:2:4:5</v>
          </cell>
          <cell r="B899" t="str">
            <v>Каменский городской округ</v>
          </cell>
          <cell r="C899">
            <v>5</v>
          </cell>
          <cell r="D899" t="str">
            <v>сельские населенные пункты с численностью населения более 1 000 человек;</v>
          </cell>
        </row>
        <row r="900">
          <cell r="A900" t="str">
            <v>40:013:2:4:6</v>
          </cell>
          <cell r="B900" t="str">
            <v>Каменский городской округ</v>
          </cell>
          <cell r="C900">
            <v>6</v>
          </cell>
          <cell r="D900" t="str">
            <v>сельские населенные пункты с численностью населения менее 1 000 человек.</v>
          </cell>
        </row>
        <row r="901">
          <cell r="A901" t="str">
            <v>40:057:2:4:6</v>
          </cell>
          <cell r="B901" t="str">
            <v>Каменский городской округ</v>
          </cell>
          <cell r="C901">
            <v>6</v>
          </cell>
          <cell r="D901" t="str">
            <v>сельские населенные пункты с численностью населения менее 1 000 человек.</v>
          </cell>
        </row>
        <row r="902">
          <cell r="A902" t="str">
            <v>40:053:2:5:6</v>
          </cell>
          <cell r="B902" t="str">
            <v>Каменский городской округ</v>
          </cell>
          <cell r="C902">
            <v>6</v>
          </cell>
          <cell r="D902" t="str">
            <v>сельские населенные пункты с численностью населения менее 1 000 человек.</v>
          </cell>
        </row>
        <row r="903">
          <cell r="A903" t="str">
            <v>40:005:2:5:6</v>
          </cell>
          <cell r="B903" t="str">
            <v>Каменский городской округ</v>
          </cell>
          <cell r="C903">
            <v>6</v>
          </cell>
          <cell r="D903" t="str">
            <v>сельские населенные пункты с численностью населения менее 1 000 человек.</v>
          </cell>
        </row>
        <row r="904">
          <cell r="A904" t="str">
            <v>40:044:2:4:5</v>
          </cell>
          <cell r="B904" t="str">
            <v>Каменский городской округ</v>
          </cell>
          <cell r="C904">
            <v>5</v>
          </cell>
          <cell r="D904" t="str">
            <v>сельские населенные пункты с численностью населения более 1 000 человек;</v>
          </cell>
        </row>
        <row r="905">
          <cell r="A905" t="str">
            <v>40:066:2:4:6</v>
          </cell>
          <cell r="B905" t="str">
            <v>Каменский городской округ</v>
          </cell>
          <cell r="C905">
            <v>6</v>
          </cell>
          <cell r="D905" t="str">
            <v>сельские населенные пункты с численностью населения менее 1 000 человек.</v>
          </cell>
        </row>
        <row r="906">
          <cell r="A906" t="str">
            <v>40:008:2:5:6</v>
          </cell>
          <cell r="B906" t="str">
            <v>Каменский городской округ</v>
          </cell>
          <cell r="C906">
            <v>6</v>
          </cell>
          <cell r="D906" t="str">
            <v>сельские населенные пункты с численностью населения менее 1 000 человек.</v>
          </cell>
        </row>
        <row r="907">
          <cell r="A907" t="str">
            <v>40:030:1:2:4</v>
          </cell>
          <cell r="B907" t="str">
            <v>Каменский городской округ</v>
          </cell>
          <cell r="C907">
            <v>4</v>
          </cell>
          <cell r="D907" t="str">
            <v>городские населенные пункты с численностью населения менее 50 000 человек;</v>
          </cell>
        </row>
        <row r="908">
          <cell r="A908" t="str">
            <v>40:054:2:3:6</v>
          </cell>
          <cell r="B908" t="str">
            <v>Каменский городской округ</v>
          </cell>
          <cell r="C908">
            <v>6</v>
          </cell>
          <cell r="D908" t="str">
            <v>сельские населенные пункты с численностью населения менее 1 000 человек.</v>
          </cell>
        </row>
        <row r="909">
          <cell r="A909" t="str">
            <v>40:001:2:4:6</v>
          </cell>
          <cell r="B909" t="str">
            <v>Каменский городской округ</v>
          </cell>
          <cell r="C909">
            <v>6</v>
          </cell>
          <cell r="D909" t="str">
            <v>сельские населенные пункты с численностью населения менее 1 000 человек.</v>
          </cell>
        </row>
        <row r="910">
          <cell r="A910" t="str">
            <v>40:033:2:4:5</v>
          </cell>
          <cell r="B910" t="str">
            <v>Каменский городской округ</v>
          </cell>
          <cell r="C910">
            <v>5</v>
          </cell>
          <cell r="D910" t="str">
            <v>сельские населенные пункты с численностью населения более 1 000 человек;</v>
          </cell>
        </row>
        <row r="911">
          <cell r="A911" t="str">
            <v>40:039:2:4:6</v>
          </cell>
          <cell r="B911" t="str">
            <v>Каменский городской округ</v>
          </cell>
          <cell r="C911">
            <v>6</v>
          </cell>
          <cell r="D911" t="str">
            <v>сельские населенные пункты с численностью населения менее 1 000 человек.</v>
          </cell>
        </row>
        <row r="912">
          <cell r="A912" t="str">
            <v>40:046:2:3:6</v>
          </cell>
          <cell r="B912" t="str">
            <v>Каменский городской округ</v>
          </cell>
          <cell r="C912">
            <v>6</v>
          </cell>
          <cell r="D912" t="str">
            <v>сельские населенные пункты с численностью населения менее 1 000 человек.</v>
          </cell>
        </row>
        <row r="913">
          <cell r="A913" t="str">
            <v>40:034:2:3:6</v>
          </cell>
          <cell r="B913" t="str">
            <v>Каменский городской округ</v>
          </cell>
          <cell r="C913">
            <v>6</v>
          </cell>
          <cell r="D913" t="str">
            <v>сельские населенные пункты с численностью населения менее 1 000 человек.</v>
          </cell>
        </row>
        <row r="914">
          <cell r="A914" t="str">
            <v>40:036:2:4:6</v>
          </cell>
          <cell r="B914" t="str">
            <v>Каменский городской округ</v>
          </cell>
          <cell r="C914">
            <v>6</v>
          </cell>
          <cell r="D914" t="str">
            <v>сельские населенные пункты с численностью населения менее 1 000 человек.</v>
          </cell>
        </row>
        <row r="915">
          <cell r="A915" t="str">
            <v>40:051:2:3:6</v>
          </cell>
          <cell r="B915" t="str">
            <v>Каменский городской округ</v>
          </cell>
          <cell r="C915">
            <v>6</v>
          </cell>
          <cell r="D915" t="str">
            <v>сельские населенные пункты с численностью населения менее 1 000 человек.</v>
          </cell>
        </row>
        <row r="916">
          <cell r="A916" t="str">
            <v>40:047:2:4:6</v>
          </cell>
          <cell r="B916" t="str">
            <v>Каменский городской округ</v>
          </cell>
          <cell r="C916">
            <v>6</v>
          </cell>
          <cell r="D916" t="str">
            <v>сельские населенные пункты с численностью населения менее 1 000 человек.</v>
          </cell>
        </row>
        <row r="917">
          <cell r="A917" t="str">
            <v>40:006:2:5:6</v>
          </cell>
          <cell r="B917" t="str">
            <v>Каменский городской округ</v>
          </cell>
          <cell r="C917">
            <v>6</v>
          </cell>
          <cell r="D917" t="str">
            <v>сельские населенные пункты с численностью населения менее 1 000 человек.</v>
          </cell>
        </row>
        <row r="918">
          <cell r="A918" t="str">
            <v>40:019:2:4:5</v>
          </cell>
          <cell r="B918" t="str">
            <v>Каменский городской округ</v>
          </cell>
          <cell r="C918">
            <v>5</v>
          </cell>
          <cell r="D918" t="str">
            <v>сельские населенные пункты с численностью населения более 1 000 человек;</v>
          </cell>
        </row>
        <row r="919">
          <cell r="A919" t="str">
            <v>40:023:2:5:6</v>
          </cell>
          <cell r="B919" t="str">
            <v>Каменский городской округ</v>
          </cell>
          <cell r="C919">
            <v>6</v>
          </cell>
          <cell r="D919" t="str">
            <v>сельские населенные пункты с численностью населения менее 1 000 человек.</v>
          </cell>
        </row>
        <row r="920">
          <cell r="A920" t="str">
            <v>40:043:2:5:6</v>
          </cell>
          <cell r="B920" t="str">
            <v>Каменский городской округ</v>
          </cell>
          <cell r="C920">
            <v>6</v>
          </cell>
          <cell r="D920" t="str">
            <v>сельские населенные пункты с численностью населения менее 1 000 человек.</v>
          </cell>
        </row>
        <row r="921">
          <cell r="A921" t="str">
            <v>40:038:2:5:6</v>
          </cell>
          <cell r="B921" t="str">
            <v>Каменский городской округ</v>
          </cell>
          <cell r="C921">
            <v>6</v>
          </cell>
          <cell r="D921" t="str">
            <v>сельские населенные пункты с численностью населения менее 1 000 человек.</v>
          </cell>
        </row>
        <row r="922">
          <cell r="A922" t="str">
            <v>40:016:2:5:6</v>
          </cell>
          <cell r="B922" t="str">
            <v>Каменский городской округ</v>
          </cell>
          <cell r="C922">
            <v>6</v>
          </cell>
          <cell r="D922" t="str">
            <v>сельские населенные пункты с численностью населения менее 1 000 человек.</v>
          </cell>
        </row>
        <row r="923">
          <cell r="A923" t="str">
            <v>40:021:2:5:6</v>
          </cell>
          <cell r="B923" t="str">
            <v>Каменский городской округ</v>
          </cell>
          <cell r="C923">
            <v>6</v>
          </cell>
          <cell r="D923" t="str">
            <v>сельские населенные пункты с численностью населения менее 1 000 человек.</v>
          </cell>
        </row>
        <row r="924">
          <cell r="A924" t="str">
            <v>40:060:2:5:6</v>
          </cell>
          <cell r="B924" t="str">
            <v>Каменский городской округ</v>
          </cell>
          <cell r="C924">
            <v>6</v>
          </cell>
          <cell r="D924" t="str">
            <v>сельские населенные пункты с численностью населения менее 1 000 человек.</v>
          </cell>
        </row>
        <row r="925">
          <cell r="A925" t="str">
            <v>40:062:2:5:6</v>
          </cell>
          <cell r="B925" t="str">
            <v>Каменский городской округ</v>
          </cell>
          <cell r="C925">
            <v>6</v>
          </cell>
          <cell r="D925" t="str">
            <v>сельские населенные пункты с численностью населения менее 1 000 человек.</v>
          </cell>
        </row>
        <row r="926">
          <cell r="A926" t="str">
            <v>40:050:2:4:6</v>
          </cell>
          <cell r="B926" t="str">
            <v>Каменский городской округ</v>
          </cell>
          <cell r="C926">
            <v>6</v>
          </cell>
          <cell r="D926" t="str">
            <v>сельские населенные пункты с численностью населения менее 1 000 человек.</v>
          </cell>
        </row>
        <row r="927">
          <cell r="A927" t="str">
            <v>40:022:2:5:6</v>
          </cell>
          <cell r="B927" t="str">
            <v>Каменский городской округ</v>
          </cell>
          <cell r="C927">
            <v>6</v>
          </cell>
          <cell r="D927" t="str">
            <v>сельские населенные пункты с численностью населения менее 1 000 человек.</v>
          </cell>
        </row>
        <row r="928">
          <cell r="A928" t="str">
            <v>40:042:2:5:6</v>
          </cell>
          <cell r="B928" t="str">
            <v>Каменский городской округ</v>
          </cell>
          <cell r="C928">
            <v>6</v>
          </cell>
          <cell r="D928" t="str">
            <v>сельские населенные пункты с численностью населения менее 1 000 человек.</v>
          </cell>
        </row>
        <row r="929">
          <cell r="A929" t="str">
            <v>40:024:2:3:6</v>
          </cell>
          <cell r="B929" t="str">
            <v>Каменский городской округ</v>
          </cell>
          <cell r="C929">
            <v>6</v>
          </cell>
          <cell r="D929" t="str">
            <v>сельские населенные пункты с численностью населения менее 1 000 человек.</v>
          </cell>
        </row>
        <row r="930">
          <cell r="A930" t="str">
            <v>40:045:2:5:6</v>
          </cell>
          <cell r="B930" t="str">
            <v>Каменский городской округ</v>
          </cell>
          <cell r="C930">
            <v>6</v>
          </cell>
          <cell r="D930" t="str">
            <v>сельские населенные пункты с численностью населения менее 1 000 человек.</v>
          </cell>
        </row>
        <row r="931">
          <cell r="A931" t="str">
            <v>40:020:2:3:6</v>
          </cell>
          <cell r="B931" t="str">
            <v>Каменский городской округ</v>
          </cell>
          <cell r="C931">
            <v>6</v>
          </cell>
          <cell r="D931" t="str">
            <v>сельские населенные пункты с численностью населения менее 1 000 человек.</v>
          </cell>
        </row>
        <row r="932">
          <cell r="A932" t="str">
            <v>40:056:2:3:6</v>
          </cell>
          <cell r="B932" t="str">
            <v>Каменский городской округ</v>
          </cell>
          <cell r="C932">
            <v>6</v>
          </cell>
          <cell r="D932" t="str">
            <v>сельские населенные пункты с численностью населения менее 1 000 человек.</v>
          </cell>
        </row>
        <row r="933">
          <cell r="A933" t="str">
            <v>40:018:2:3:6</v>
          </cell>
          <cell r="B933" t="str">
            <v>Каменский городской округ</v>
          </cell>
          <cell r="C933">
            <v>6</v>
          </cell>
          <cell r="D933" t="str">
            <v>сельские населенные пункты с численностью населения менее 1 000 человек.</v>
          </cell>
        </row>
        <row r="934">
          <cell r="A934" t="str">
            <v>40:031:2:5:6</v>
          </cell>
          <cell r="B934" t="str">
            <v>Каменский городской округ</v>
          </cell>
          <cell r="C934">
            <v>6</v>
          </cell>
          <cell r="D934" t="str">
            <v>сельские населенные пункты с численностью населения менее 1 000 человек.</v>
          </cell>
        </row>
        <row r="935">
          <cell r="A935" t="str">
            <v>40:063:2:5:6</v>
          </cell>
          <cell r="B935" t="str">
            <v>Каменский городской округ</v>
          </cell>
          <cell r="C935">
            <v>6</v>
          </cell>
          <cell r="D935" t="str">
            <v>сельские населенные пункты с численностью населения менее 1 000 человек.</v>
          </cell>
        </row>
        <row r="936">
          <cell r="A936" t="str">
            <v>40:000:0:0:0</v>
          </cell>
          <cell r="B936" t="str">
            <v>Каменский городской округ</v>
          </cell>
          <cell r="C936">
            <v>0</v>
          </cell>
          <cell r="D936" t="str">
            <v>межселенная территория</v>
          </cell>
        </row>
        <row r="937">
          <cell r="A937" t="str">
            <v>41:001:1:1:4</v>
          </cell>
          <cell r="B937" t="str">
            <v>Камышловский городской округ</v>
          </cell>
          <cell r="C937">
            <v>4</v>
          </cell>
          <cell r="D937" t="str">
            <v>городские населенные пункты с численностью населения менее 50 000 человек;</v>
          </cell>
        </row>
        <row r="938">
          <cell r="A938" t="str">
            <v>41:000:0:0:0</v>
          </cell>
          <cell r="B938" t="str">
            <v>Камышловский городской округ</v>
          </cell>
          <cell r="C938">
            <v>0</v>
          </cell>
          <cell r="D938" t="str">
            <v>межселенная территория</v>
          </cell>
        </row>
        <row r="939">
          <cell r="A939" t="str">
            <v>42:001:2:3:6</v>
          </cell>
          <cell r="B939" t="str">
            <v>Качканарский городской округ</v>
          </cell>
          <cell r="C939">
            <v>6</v>
          </cell>
          <cell r="D939" t="str">
            <v>сельские населенные пункты с численностью населения менее 1 000 человек.</v>
          </cell>
        </row>
        <row r="940">
          <cell r="A940" t="str">
            <v>42:003:1:1:4</v>
          </cell>
          <cell r="B940" t="str">
            <v>Качканарский городской округ</v>
          </cell>
          <cell r="C940">
            <v>4</v>
          </cell>
          <cell r="D940" t="str">
            <v>городские населенные пункты с численностью населения менее 50 000 человек;</v>
          </cell>
        </row>
        <row r="941">
          <cell r="A941" t="str">
            <v>42:002:2:3:6</v>
          </cell>
          <cell r="B941" t="str">
            <v>Качканарский городской округ</v>
          </cell>
          <cell r="C941">
            <v>6</v>
          </cell>
          <cell r="D941" t="str">
            <v>сельские населенные пункты с численностью населения менее 1 000 человек.</v>
          </cell>
        </row>
        <row r="942">
          <cell r="A942" t="str">
            <v>42:000:0:0:0</v>
          </cell>
          <cell r="B942" t="str">
            <v>Качканарский городской округ</v>
          </cell>
          <cell r="C942">
            <v>0</v>
          </cell>
          <cell r="D942" t="str">
            <v>межселенная территория</v>
          </cell>
        </row>
        <row r="943">
          <cell r="A943" t="str">
            <v>43:009:2:3:6</v>
          </cell>
          <cell r="B943" t="str">
            <v>Кировградский городской округ</v>
          </cell>
          <cell r="C943">
            <v>6</v>
          </cell>
          <cell r="D943" t="str">
            <v>сельские населенные пункты с численностью населения менее 1 000 человек.</v>
          </cell>
        </row>
        <row r="944">
          <cell r="A944" t="str">
            <v>43:004:2:3:6</v>
          </cell>
          <cell r="B944" t="str">
            <v>Кировградский городской округ</v>
          </cell>
          <cell r="C944">
            <v>6</v>
          </cell>
          <cell r="D944" t="str">
            <v>сельские населенные пункты с численностью населения менее 1 000 человек.</v>
          </cell>
        </row>
        <row r="945">
          <cell r="A945" t="str">
            <v>43:002:2:3:6</v>
          </cell>
          <cell r="B945" t="str">
            <v>Кировградский городской округ</v>
          </cell>
          <cell r="C945">
            <v>6</v>
          </cell>
          <cell r="D945" t="str">
            <v>сельские населенные пункты с численностью населения менее 1 000 человек.</v>
          </cell>
        </row>
        <row r="946">
          <cell r="A946" t="str">
            <v>43:003:1:1:4</v>
          </cell>
          <cell r="B946" t="str">
            <v>Кировградский городской округ</v>
          </cell>
          <cell r="C946">
            <v>4</v>
          </cell>
          <cell r="D946" t="str">
            <v>городские населенные пункты с численностью населения менее 50 000 человек;</v>
          </cell>
        </row>
        <row r="947">
          <cell r="A947" t="str">
            <v>43:008:2:3:6</v>
          </cell>
          <cell r="B947" t="str">
            <v>Кировградский городской округ</v>
          </cell>
          <cell r="C947">
            <v>6</v>
          </cell>
          <cell r="D947" t="str">
            <v>сельские населенные пункты с численностью населения менее 1 000 человек.</v>
          </cell>
        </row>
        <row r="948">
          <cell r="A948" t="str">
            <v>43:005:2:5:6</v>
          </cell>
          <cell r="B948" t="str">
            <v>Кировградский городской округ</v>
          </cell>
          <cell r="C948">
            <v>6</v>
          </cell>
          <cell r="D948" t="str">
            <v>сельские населенные пункты с численностью населения менее 1 000 человек.</v>
          </cell>
        </row>
        <row r="949">
          <cell r="A949" t="str">
            <v>43:007:2:3:6</v>
          </cell>
          <cell r="B949" t="str">
            <v>Кировградский городской округ</v>
          </cell>
          <cell r="C949">
            <v>6</v>
          </cell>
          <cell r="D949" t="str">
            <v>сельские населенные пункты с численностью населения менее 1 000 человек.</v>
          </cell>
        </row>
        <row r="950">
          <cell r="A950" t="str">
            <v>43:006:2:3:6</v>
          </cell>
          <cell r="B950" t="str">
            <v>Кировградский городской округ</v>
          </cell>
          <cell r="C950">
            <v>6</v>
          </cell>
          <cell r="D950" t="str">
            <v>сельские населенные пункты с численностью населения менее 1 000 человек.</v>
          </cell>
        </row>
        <row r="951">
          <cell r="A951" t="str">
            <v>43:001:2:3:6</v>
          </cell>
          <cell r="B951" t="str">
            <v>Кировградский городской округ</v>
          </cell>
          <cell r="C951">
            <v>6</v>
          </cell>
          <cell r="D951" t="str">
            <v>сельские населенные пункты с численностью населения менее 1 000 человек.</v>
          </cell>
        </row>
        <row r="952">
          <cell r="A952" t="str">
            <v>43:000:0:0:0</v>
          </cell>
          <cell r="B952" t="str">
            <v>Кировградский городской округ</v>
          </cell>
          <cell r="C952">
            <v>0</v>
          </cell>
          <cell r="D952" t="str">
            <v>межселенная территория</v>
          </cell>
        </row>
        <row r="953">
          <cell r="A953" t="str">
            <v>44:011:2:3:6</v>
          </cell>
          <cell r="B953" t="str">
            <v>Кушвинский городской округ</v>
          </cell>
          <cell r="C953">
            <v>6</v>
          </cell>
          <cell r="D953" t="str">
            <v>сельские населенные пункты с численностью населения менее 1 000 человек.</v>
          </cell>
        </row>
        <row r="954">
          <cell r="A954" t="str">
            <v>44:005:2:3:6</v>
          </cell>
          <cell r="B954" t="str">
            <v>Кушвинский городской округ</v>
          </cell>
          <cell r="C954">
            <v>6</v>
          </cell>
          <cell r="D954" t="str">
            <v>сельские населенные пункты с численностью населения менее 1 000 человек.</v>
          </cell>
        </row>
        <row r="955">
          <cell r="A955" t="str">
            <v>44:006:2:5:6</v>
          </cell>
          <cell r="B955" t="str">
            <v>Кушвинский городской округ</v>
          </cell>
          <cell r="C955">
            <v>6</v>
          </cell>
          <cell r="D955" t="str">
            <v>сельские населенные пункты с численностью населения менее 1 000 человек.</v>
          </cell>
        </row>
        <row r="956">
          <cell r="A956" t="str">
            <v>44:001:2:3:6</v>
          </cell>
          <cell r="B956" t="str">
            <v>Кушвинский городской округ</v>
          </cell>
          <cell r="C956">
            <v>6</v>
          </cell>
          <cell r="D956" t="str">
            <v>сельские населенные пункты с численностью населения менее 1 000 человек.</v>
          </cell>
        </row>
        <row r="957">
          <cell r="A957" t="str">
            <v>44:002:2:3:5</v>
          </cell>
          <cell r="B957" t="str">
            <v>Кушвинский городской округ</v>
          </cell>
          <cell r="C957">
            <v>5</v>
          </cell>
          <cell r="D957" t="str">
            <v>сельские населенные пункты с численностью населения более 1 000 человек;</v>
          </cell>
        </row>
        <row r="958">
          <cell r="A958" t="str">
            <v>44:012:2:3:6</v>
          </cell>
          <cell r="B958" t="str">
            <v>Кушвинский городской округ</v>
          </cell>
          <cell r="C958">
            <v>6</v>
          </cell>
          <cell r="D958" t="str">
            <v>сельские населенные пункты с численностью населения менее 1 000 человек.</v>
          </cell>
        </row>
        <row r="959">
          <cell r="A959" t="str">
            <v>44:013:2:3:6</v>
          </cell>
          <cell r="B959" t="str">
            <v>Кушвинский городской округ</v>
          </cell>
          <cell r="C959">
            <v>6</v>
          </cell>
          <cell r="D959" t="str">
            <v>сельские населенные пункты с численностью населения менее 1 000 человек.</v>
          </cell>
        </row>
        <row r="960">
          <cell r="A960" t="str">
            <v>44:008:2:5:6</v>
          </cell>
          <cell r="B960" t="str">
            <v>Кушвинский городской округ</v>
          </cell>
          <cell r="C960">
            <v>6</v>
          </cell>
          <cell r="D960" t="str">
            <v>сельские населенные пункты с численностью населения менее 1 000 человек.</v>
          </cell>
        </row>
        <row r="961">
          <cell r="A961" t="str">
            <v>44:004:2:3:6</v>
          </cell>
          <cell r="B961" t="str">
            <v>Кушвинский городской округ</v>
          </cell>
          <cell r="C961">
            <v>6</v>
          </cell>
          <cell r="D961" t="str">
            <v>сельские населенные пункты с численностью населения менее 1 000 человек.</v>
          </cell>
        </row>
        <row r="962">
          <cell r="A962" t="str">
            <v>44:010:2:3:6</v>
          </cell>
          <cell r="B962" t="str">
            <v>Кушвинский городской округ</v>
          </cell>
          <cell r="C962">
            <v>6</v>
          </cell>
          <cell r="D962" t="str">
            <v>сельские населенные пункты с численностью населения менее 1 000 человек.</v>
          </cell>
        </row>
        <row r="963">
          <cell r="A963" t="str">
            <v>44:007:1:1:4</v>
          </cell>
          <cell r="B963" t="str">
            <v>Кушвинский городской округ</v>
          </cell>
          <cell r="C963">
            <v>4</v>
          </cell>
          <cell r="D963" t="str">
            <v>городские населенные пункты с численностью населения менее 50 000 человек;</v>
          </cell>
        </row>
        <row r="964">
          <cell r="A964" t="str">
            <v>44:009:2:5:6</v>
          </cell>
          <cell r="B964" t="str">
            <v>Кушвинский городской округ</v>
          </cell>
          <cell r="C964">
            <v>6</v>
          </cell>
          <cell r="D964" t="str">
            <v>сельские населенные пункты с численностью населения менее 1 000 человек.</v>
          </cell>
        </row>
        <row r="965">
          <cell r="A965" t="str">
            <v>44:003:2:5:6</v>
          </cell>
          <cell r="B965" t="str">
            <v>Кушвинский городской округ</v>
          </cell>
          <cell r="C965">
            <v>6</v>
          </cell>
          <cell r="D965" t="str">
            <v>сельские населенные пункты с численностью населения менее 1 000 человек.</v>
          </cell>
        </row>
        <row r="966">
          <cell r="A966" t="str">
            <v>44:000:0:0:0</v>
          </cell>
          <cell r="B966" t="str">
            <v>Кушвинский городской округ</v>
          </cell>
          <cell r="C966">
            <v>0</v>
          </cell>
          <cell r="D966" t="str">
            <v>межселенная территория</v>
          </cell>
        </row>
        <row r="967">
          <cell r="A967" t="str">
            <v>45:002:1:2:4</v>
          </cell>
          <cell r="B967" t="str">
            <v>Малышевский городской округ</v>
          </cell>
          <cell r="C967">
            <v>4</v>
          </cell>
          <cell r="D967" t="str">
            <v>городские населенные пункты с численностью населения менее 50 000 человек;</v>
          </cell>
        </row>
        <row r="968">
          <cell r="A968" t="str">
            <v>45:001:2:3:5</v>
          </cell>
          <cell r="B968" t="str">
            <v>Малышевский городской округ</v>
          </cell>
          <cell r="C968">
            <v>5</v>
          </cell>
          <cell r="D968" t="str">
            <v>сельские населенные пункты с численностью населения более 1 000 человек;</v>
          </cell>
        </row>
        <row r="969">
          <cell r="A969" t="str">
            <v>45:003:2:3:6</v>
          </cell>
          <cell r="B969" t="str">
            <v>Малышевский городской округ</v>
          </cell>
          <cell r="C969">
            <v>6</v>
          </cell>
          <cell r="D969" t="str">
            <v>сельские населенные пункты с численностью населения менее 1 000 человек.</v>
          </cell>
        </row>
        <row r="970">
          <cell r="A970" t="str">
            <v>45:004:2:3:6</v>
          </cell>
          <cell r="B970" t="str">
            <v>Малышевский городской округ</v>
          </cell>
          <cell r="C970">
            <v>6</v>
          </cell>
          <cell r="D970" t="str">
            <v>сельские населенные пункты с численностью населения менее 1 000 человек.</v>
          </cell>
        </row>
        <row r="971">
          <cell r="A971" t="str">
            <v>45:000:0:0:0</v>
          </cell>
          <cell r="B971" t="str">
            <v>Малышевский городской округ</v>
          </cell>
          <cell r="C971">
            <v>0</v>
          </cell>
          <cell r="D971" t="str">
            <v>межселенная территория</v>
          </cell>
        </row>
        <row r="972">
          <cell r="A972" t="str">
            <v>46:040:2:5:6</v>
          </cell>
          <cell r="B972" t="str">
            <v>Махнёвское муниципальное образование</v>
          </cell>
          <cell r="C972">
            <v>6</v>
          </cell>
          <cell r="D972" t="str">
            <v>сельские населенные пункты с численностью населения менее 1 000 человек.</v>
          </cell>
        </row>
        <row r="973">
          <cell r="A973" t="str">
            <v>46:024:2:5:6</v>
          </cell>
          <cell r="B973" t="str">
            <v>Махнёвское муниципальное образование</v>
          </cell>
          <cell r="C973">
            <v>6</v>
          </cell>
          <cell r="D973" t="str">
            <v>сельские населенные пункты с численностью населения менее 1 000 человек.</v>
          </cell>
        </row>
        <row r="974">
          <cell r="A974" t="str">
            <v>46:031:2:5:6</v>
          </cell>
          <cell r="B974" t="str">
            <v>Махнёвское муниципальное образование</v>
          </cell>
          <cell r="C974">
            <v>6</v>
          </cell>
          <cell r="D974" t="str">
            <v>сельские населенные пункты с численностью населения менее 1 000 человек.</v>
          </cell>
        </row>
        <row r="975">
          <cell r="A975" t="str">
            <v>46:032:2:5:6</v>
          </cell>
          <cell r="B975" t="str">
            <v>Махнёвское муниципальное образование</v>
          </cell>
          <cell r="C975">
            <v>6</v>
          </cell>
          <cell r="D975" t="str">
            <v>сельские населенные пункты с численностью населения менее 1 000 человек.</v>
          </cell>
        </row>
        <row r="976">
          <cell r="A976" t="str">
            <v>46:018:2:5:6</v>
          </cell>
          <cell r="B976" t="str">
            <v>Махнёвское муниципальное образование</v>
          </cell>
          <cell r="C976">
            <v>6</v>
          </cell>
          <cell r="D976" t="str">
            <v>сельские населенные пункты с численностью населения менее 1 000 человек.</v>
          </cell>
        </row>
        <row r="977">
          <cell r="A977" t="str">
            <v>46:001:2:5:6</v>
          </cell>
          <cell r="B977" t="str">
            <v>Махнёвское муниципальное образование</v>
          </cell>
          <cell r="C977">
            <v>6</v>
          </cell>
          <cell r="D977" t="str">
            <v>сельские населенные пункты с численностью населения менее 1 000 человек.</v>
          </cell>
        </row>
        <row r="978">
          <cell r="A978" t="str">
            <v>46:026:2:5:6</v>
          </cell>
          <cell r="B978" t="str">
            <v>Махнёвское муниципальное образование</v>
          </cell>
          <cell r="C978">
            <v>6</v>
          </cell>
          <cell r="D978" t="str">
            <v>сельские населенные пункты с численностью населения менее 1 000 человек.</v>
          </cell>
        </row>
        <row r="979">
          <cell r="A979" t="str">
            <v>46:008:2:3:6</v>
          </cell>
          <cell r="B979" t="str">
            <v>Махнёвское муниципальное образование</v>
          </cell>
          <cell r="C979">
            <v>6</v>
          </cell>
          <cell r="D979" t="str">
            <v>сельские населенные пункты с численностью населения менее 1 000 человек.</v>
          </cell>
        </row>
        <row r="980">
          <cell r="A980" t="str">
            <v>46:007:2:5:6</v>
          </cell>
          <cell r="B980" t="str">
            <v>Махнёвское муниципальное образование</v>
          </cell>
          <cell r="C980">
            <v>6</v>
          </cell>
          <cell r="D980" t="str">
            <v>сельские населенные пункты с численностью населения менее 1 000 человек.</v>
          </cell>
        </row>
        <row r="981">
          <cell r="A981" t="str">
            <v>46:015:2:4:6</v>
          </cell>
          <cell r="B981" t="str">
            <v>Махнёвское муниципальное образование</v>
          </cell>
          <cell r="C981">
            <v>6</v>
          </cell>
          <cell r="D981" t="str">
            <v>сельские населенные пункты с численностью населения менее 1 000 человек.</v>
          </cell>
        </row>
        <row r="982">
          <cell r="A982" t="str">
            <v>46:036:2:5:6</v>
          </cell>
          <cell r="B982" t="str">
            <v>Махнёвское муниципальное образование</v>
          </cell>
          <cell r="C982">
            <v>6</v>
          </cell>
          <cell r="D982" t="str">
            <v>сельские населенные пункты с численностью населения менее 1 000 человек.</v>
          </cell>
        </row>
        <row r="983">
          <cell r="A983" t="str">
            <v>46:014:2:5:6</v>
          </cell>
          <cell r="B983" t="str">
            <v>Махнёвское муниципальное образование</v>
          </cell>
          <cell r="C983">
            <v>6</v>
          </cell>
          <cell r="D983" t="str">
            <v>сельские населенные пункты с численностью населения менее 1 000 человек.</v>
          </cell>
        </row>
        <row r="984">
          <cell r="A984" t="str">
            <v>46:039:2:4:6</v>
          </cell>
          <cell r="B984" t="str">
            <v>Махнёвское муниципальное образование</v>
          </cell>
          <cell r="C984">
            <v>6</v>
          </cell>
          <cell r="D984" t="str">
            <v>сельские населенные пункты с численностью населения менее 1 000 человек.</v>
          </cell>
        </row>
        <row r="985">
          <cell r="A985" t="str">
            <v>46:021:2:3:6</v>
          </cell>
          <cell r="B985" t="str">
            <v>Махнёвское муниципальное образование</v>
          </cell>
          <cell r="C985">
            <v>6</v>
          </cell>
          <cell r="D985" t="str">
            <v>сельские населенные пункты с численностью населения менее 1 000 человек.</v>
          </cell>
        </row>
        <row r="986">
          <cell r="A986" t="str">
            <v>46:033:2:5:6</v>
          </cell>
          <cell r="B986" t="str">
            <v>Махнёвское муниципальное образование</v>
          </cell>
          <cell r="C986">
            <v>6</v>
          </cell>
          <cell r="D986" t="str">
            <v>сельские населенные пункты с численностью населения менее 1 000 человек.</v>
          </cell>
        </row>
        <row r="987">
          <cell r="A987" t="str">
            <v>46:002:2:5:6</v>
          </cell>
          <cell r="B987" t="str">
            <v>Махнёвское муниципальное образование</v>
          </cell>
          <cell r="C987">
            <v>6</v>
          </cell>
          <cell r="D987" t="str">
            <v>сельские населенные пункты с численностью населения менее 1 000 человек.</v>
          </cell>
        </row>
        <row r="988">
          <cell r="A988" t="str">
            <v>46:023:2:5:6</v>
          </cell>
          <cell r="B988" t="str">
            <v>Махнёвское муниципальное образование</v>
          </cell>
          <cell r="C988">
            <v>6</v>
          </cell>
          <cell r="D988" t="str">
            <v>сельские населенные пункты с численностью населения менее 1 000 человек.</v>
          </cell>
        </row>
        <row r="989">
          <cell r="A989" t="str">
            <v>46:034:2:5:6</v>
          </cell>
          <cell r="B989" t="str">
            <v>Махнёвское муниципальное образование</v>
          </cell>
          <cell r="C989">
            <v>6</v>
          </cell>
          <cell r="D989" t="str">
            <v>сельские населенные пункты с численностью населения менее 1 000 человек.</v>
          </cell>
        </row>
        <row r="990">
          <cell r="A990" t="str">
            <v>46:017:2:5:6</v>
          </cell>
          <cell r="B990" t="str">
            <v>Махнёвское муниципальное образование</v>
          </cell>
          <cell r="C990">
            <v>6</v>
          </cell>
          <cell r="D990" t="str">
            <v>сельские населенные пункты с численностью населения менее 1 000 человек.</v>
          </cell>
        </row>
        <row r="991">
          <cell r="A991" t="str">
            <v>46:016:2:5:6</v>
          </cell>
          <cell r="B991" t="str">
            <v>Махнёвское муниципальное образование</v>
          </cell>
          <cell r="C991">
            <v>6</v>
          </cell>
          <cell r="D991" t="str">
            <v>сельские населенные пункты с численностью населения менее 1 000 человек.</v>
          </cell>
        </row>
        <row r="992">
          <cell r="A992" t="str">
            <v>46:035:2:5:6</v>
          </cell>
          <cell r="B992" t="str">
            <v>Махнёвское муниципальное образование</v>
          </cell>
          <cell r="C992">
            <v>6</v>
          </cell>
          <cell r="D992" t="str">
            <v>сельские населенные пункты с численностью населения менее 1 000 человек.</v>
          </cell>
        </row>
        <row r="993">
          <cell r="A993" t="str">
            <v>46:011:2:5:6</v>
          </cell>
          <cell r="B993" t="str">
            <v>Махнёвское муниципальное образование</v>
          </cell>
          <cell r="C993">
            <v>6</v>
          </cell>
          <cell r="D993" t="str">
            <v>сельские населенные пункты с численностью населения менее 1 000 человек.</v>
          </cell>
        </row>
        <row r="994">
          <cell r="A994" t="str">
            <v>46:027:2:5:6</v>
          </cell>
          <cell r="B994" t="str">
            <v>Махнёвское муниципальное образование</v>
          </cell>
          <cell r="C994">
            <v>6</v>
          </cell>
          <cell r="D994" t="str">
            <v>сельские населенные пункты с численностью населения менее 1 000 человек.</v>
          </cell>
        </row>
        <row r="995">
          <cell r="A995" t="str">
            <v>46:028:2:5:6</v>
          </cell>
          <cell r="B995" t="str">
            <v>Махнёвское муниципальное образование</v>
          </cell>
          <cell r="C995">
            <v>6</v>
          </cell>
          <cell r="D995" t="str">
            <v>сельские населенные пункты с численностью населения менее 1 000 человек.</v>
          </cell>
        </row>
        <row r="996">
          <cell r="A996" t="str">
            <v>46:006:2:5:6</v>
          </cell>
          <cell r="B996" t="str">
            <v>Махнёвское муниципальное образование</v>
          </cell>
          <cell r="C996">
            <v>6</v>
          </cell>
          <cell r="D996" t="str">
            <v>сельские населенные пункты с численностью населения менее 1 000 человек.</v>
          </cell>
        </row>
        <row r="997">
          <cell r="A997" t="str">
            <v>46:025:2:3:6</v>
          </cell>
          <cell r="B997" t="str">
            <v>Махнёвское муниципальное образование</v>
          </cell>
          <cell r="C997">
            <v>6</v>
          </cell>
          <cell r="D997" t="str">
            <v>сельские населенные пункты с численностью населения менее 1 000 человек.</v>
          </cell>
        </row>
        <row r="998">
          <cell r="A998" t="str">
            <v>00:025:0:0:0</v>
          </cell>
          <cell r="B998" t="str">
            <v>Махнёвское муниципальное образование</v>
          </cell>
          <cell r="C998">
            <v>0</v>
          </cell>
          <cell r="D998" t="str">
            <v>межселенная территория</v>
          </cell>
        </row>
        <row r="999">
          <cell r="A999" t="str">
            <v>46:010:2:3:6</v>
          </cell>
          <cell r="B999" t="str">
            <v>Махнёвское муниципальное образование</v>
          </cell>
          <cell r="C999">
            <v>6</v>
          </cell>
          <cell r="D999" t="str">
            <v>сельские населенные пункты с численностью населения менее 1 000 человек.</v>
          </cell>
        </row>
        <row r="1000">
          <cell r="A1000" t="str">
            <v>46:038:2:3:6</v>
          </cell>
          <cell r="B1000" t="str">
            <v>Махнёвское муниципальное образование</v>
          </cell>
          <cell r="C1000">
            <v>6</v>
          </cell>
          <cell r="D1000" t="str">
            <v>сельские населенные пункты с численностью населения менее 1 000 человек.</v>
          </cell>
        </row>
        <row r="1001">
          <cell r="A1001" t="str">
            <v>46:037:2:4:6</v>
          </cell>
          <cell r="B1001" t="str">
            <v>Махнёвское муниципальное образование</v>
          </cell>
          <cell r="C1001">
            <v>6</v>
          </cell>
          <cell r="D1001" t="str">
            <v>сельские населенные пункты с численностью населения менее 1 000 человек.</v>
          </cell>
        </row>
        <row r="1002">
          <cell r="A1002" t="str">
            <v>46:003:2:4:6</v>
          </cell>
          <cell r="B1002" t="str">
            <v>Махнёвское муниципальное образование</v>
          </cell>
          <cell r="C1002">
            <v>6</v>
          </cell>
          <cell r="D1002" t="str">
            <v>сельские населенные пункты с численностью населения менее 1 000 человек.</v>
          </cell>
        </row>
        <row r="1003">
          <cell r="A1003" t="str">
            <v>46:029:2:3:6</v>
          </cell>
          <cell r="B1003" t="str">
            <v>Махнёвское муниципальное образование</v>
          </cell>
          <cell r="C1003">
            <v>6</v>
          </cell>
          <cell r="D1003" t="str">
            <v>сельские населенные пункты с численностью населения менее 1 000 человек.</v>
          </cell>
        </row>
        <row r="1004">
          <cell r="A1004" t="str">
            <v>46:013:2:5:6</v>
          </cell>
          <cell r="B1004" t="str">
            <v>Махнёвское муниципальное образование</v>
          </cell>
          <cell r="C1004">
            <v>6</v>
          </cell>
          <cell r="D1004" t="str">
            <v>сельские населенные пункты с численностью населения менее 1 000 человек.</v>
          </cell>
        </row>
        <row r="1005">
          <cell r="A1005" t="str">
            <v>46:012:2:4:6</v>
          </cell>
          <cell r="B1005" t="str">
            <v>Махнёвское муниципальное образование</v>
          </cell>
          <cell r="C1005">
            <v>6</v>
          </cell>
          <cell r="D1005" t="str">
            <v>сельские населенные пункты с численностью населения менее 1 000 человек.</v>
          </cell>
        </row>
        <row r="1006">
          <cell r="A1006" t="str">
            <v>46:022:2:3:6</v>
          </cell>
          <cell r="B1006" t="str">
            <v>Махнёвское муниципальное образование</v>
          </cell>
          <cell r="C1006">
            <v>6</v>
          </cell>
          <cell r="D1006" t="str">
            <v>сельские населенные пункты с численностью населения менее 1 000 человек.</v>
          </cell>
        </row>
        <row r="1007">
          <cell r="A1007" t="str">
            <v>46:004:2:5:6</v>
          </cell>
          <cell r="B1007" t="str">
            <v>Махнёвское муниципальное образование</v>
          </cell>
          <cell r="C1007">
            <v>6</v>
          </cell>
          <cell r="D1007" t="str">
            <v>сельские населенные пункты с численностью населения менее 1 000 человек.</v>
          </cell>
        </row>
        <row r="1008">
          <cell r="A1008" t="str">
            <v>46:020:2:4:6</v>
          </cell>
          <cell r="B1008" t="str">
            <v>Махнёвское муниципальное образование</v>
          </cell>
          <cell r="C1008">
            <v>6</v>
          </cell>
          <cell r="D1008" t="str">
            <v>сельские населенные пункты с численностью населения менее 1 000 человек.</v>
          </cell>
        </row>
        <row r="1009">
          <cell r="A1009" t="str">
            <v>46:009:2:4:6</v>
          </cell>
          <cell r="B1009" t="str">
            <v>Махнёвское муниципальное образование</v>
          </cell>
          <cell r="C1009">
            <v>6</v>
          </cell>
          <cell r="D1009" t="str">
            <v>сельские населенные пункты с численностью населения менее 1 000 человек.</v>
          </cell>
        </row>
        <row r="1010">
          <cell r="A1010" t="str">
            <v>46:030:2:3:6</v>
          </cell>
          <cell r="B1010" t="str">
            <v>Махнёвское муниципальное образование</v>
          </cell>
          <cell r="C1010">
            <v>6</v>
          </cell>
          <cell r="D1010" t="str">
            <v>сельские населенные пункты с численностью населения менее 1 000 человек.</v>
          </cell>
        </row>
        <row r="1011">
          <cell r="A1011" t="str">
            <v>46:019:1:2:4</v>
          </cell>
          <cell r="B1011" t="str">
            <v>Махнёвское муниципальное образование</v>
          </cell>
          <cell r="C1011">
            <v>4</v>
          </cell>
          <cell r="D1011" t="str">
            <v>городские населенные пункты с численностью населения менее 50 000 человек;</v>
          </cell>
        </row>
        <row r="1012">
          <cell r="A1012" t="str">
            <v>46:005:2:5:6</v>
          </cell>
          <cell r="B1012" t="str">
            <v>Махнёвское муниципальное образование</v>
          </cell>
          <cell r="C1012">
            <v>6</v>
          </cell>
          <cell r="D1012" t="str">
            <v>сельские населенные пункты с численностью населения менее 1 000 человек.</v>
          </cell>
        </row>
        <row r="1013">
          <cell r="A1013" t="str">
            <v>46:000:0:0:0</v>
          </cell>
          <cell r="B1013" t="str">
            <v>Махнёвское муниципальное образование</v>
          </cell>
          <cell r="C1013">
            <v>0</v>
          </cell>
          <cell r="D1013" t="str">
            <v>межселенная территория</v>
          </cell>
        </row>
        <row r="1014">
          <cell r="A1014" t="str">
            <v>47:004:1:1:1</v>
          </cell>
          <cell r="B1014" t="str">
            <v>Муниципальное образование "город Екатеринбург"</v>
          </cell>
          <cell r="C1014">
            <v>1</v>
          </cell>
          <cell r="D1014" t="str">
            <v>город Екатеринбург;</v>
          </cell>
        </row>
        <row r="1015">
          <cell r="A1015" t="str">
            <v>47:000:0:0:0</v>
          </cell>
          <cell r="B1015" t="str">
            <v>Муниципальное образование "город Екатеринбург"</v>
          </cell>
          <cell r="C1015">
            <v>0</v>
          </cell>
          <cell r="D1015" t="str">
            <v>межселенная территория</v>
          </cell>
        </row>
        <row r="1016">
          <cell r="A1016" t="str">
            <v>47:001:1:1:1</v>
          </cell>
          <cell r="B1016" t="str">
            <v>Муниципальное образование "город Екатеринбург"</v>
          </cell>
          <cell r="C1016">
            <v>1</v>
          </cell>
          <cell r="D1016" t="str">
            <v>город Екатеринбург;</v>
          </cell>
        </row>
        <row r="1017">
          <cell r="A1017" t="str">
            <v>47:002:1:1:1</v>
          </cell>
          <cell r="B1017" t="str">
            <v>Муниципальное образование "город Екатеринбург"</v>
          </cell>
          <cell r="C1017">
            <v>1</v>
          </cell>
          <cell r="D1017" t="str">
            <v>город Екатеринбург;</v>
          </cell>
        </row>
        <row r="1018">
          <cell r="A1018" t="str">
            <v>47:003:1:1:1</v>
          </cell>
          <cell r="B1018" t="str">
            <v>Муниципальное образование "город Екатеринбург"</v>
          </cell>
          <cell r="C1018">
            <v>1</v>
          </cell>
          <cell r="D1018" t="str">
            <v>город Екатеринбург;</v>
          </cell>
        </row>
        <row r="1019">
          <cell r="A1019" t="str">
            <v>47:005:1:1:1</v>
          </cell>
          <cell r="B1019" t="str">
            <v>Муниципальное образование "город Екатеринбург"</v>
          </cell>
          <cell r="C1019">
            <v>1</v>
          </cell>
          <cell r="D1019" t="str">
            <v>город Екатеринбург;</v>
          </cell>
        </row>
        <row r="1020">
          <cell r="A1020" t="str">
            <v>47:006:1:1:1</v>
          </cell>
          <cell r="B1020" t="str">
            <v>Муниципальное образование "город Екатеринбург"</v>
          </cell>
          <cell r="C1020">
            <v>1</v>
          </cell>
          <cell r="D1020" t="str">
            <v>город Екатеринбург;</v>
          </cell>
        </row>
        <row r="1021">
          <cell r="A1021" t="str">
            <v>47:007:1:1:1</v>
          </cell>
          <cell r="B1021" t="str">
            <v>Муниципальное образование "город Екатеринбург"</v>
          </cell>
          <cell r="C1021">
            <v>1</v>
          </cell>
          <cell r="D1021" t="str">
            <v>город Екатеринбург;</v>
          </cell>
        </row>
        <row r="1022">
          <cell r="A1022" t="str">
            <v>47:008:1:1:1</v>
          </cell>
          <cell r="B1022" t="str">
            <v>Муниципальное образование "город Екатеринбург"</v>
          </cell>
          <cell r="C1022">
            <v>1</v>
          </cell>
          <cell r="D1022" t="str">
            <v>город Екатеринбург;</v>
          </cell>
        </row>
        <row r="1023">
          <cell r="A1023" t="str">
            <v>47:009:1:1:1</v>
          </cell>
          <cell r="B1023" t="str">
            <v>Муниципальное образование "город Екатеринбург"</v>
          </cell>
          <cell r="C1023">
            <v>1</v>
          </cell>
          <cell r="D1023" t="str">
            <v>город Екатеринбург;</v>
          </cell>
        </row>
        <row r="1024">
          <cell r="A1024" t="str">
            <v>47:010:1:1:1</v>
          </cell>
          <cell r="B1024" t="str">
            <v>Муниципальное образование "город Екатеринбург"</v>
          </cell>
          <cell r="C1024">
            <v>1</v>
          </cell>
          <cell r="D1024" t="str">
            <v>город Екатеринбург;</v>
          </cell>
        </row>
        <row r="1025">
          <cell r="A1025" t="str">
            <v>47:011:1:1:1</v>
          </cell>
          <cell r="B1025" t="str">
            <v>Муниципальное образование "город Екатеринбург"</v>
          </cell>
          <cell r="C1025">
            <v>1</v>
          </cell>
          <cell r="D1025" t="str">
            <v>город Екатеринбург;</v>
          </cell>
        </row>
        <row r="1026">
          <cell r="A1026" t="str">
            <v>47:012:1:1:1</v>
          </cell>
          <cell r="B1026" t="str">
            <v>Муниципальное образование "город Екатеринбург"</v>
          </cell>
          <cell r="C1026">
            <v>1</v>
          </cell>
          <cell r="D1026" t="str">
            <v>город Екатеринбург;</v>
          </cell>
        </row>
        <row r="1027">
          <cell r="A1027" t="str">
            <v>47:013:1:1:1</v>
          </cell>
          <cell r="B1027" t="str">
            <v>Муниципальное образование "город Екатеринбург"</v>
          </cell>
          <cell r="C1027">
            <v>1</v>
          </cell>
          <cell r="D1027" t="str">
            <v>город Екатеринбург;</v>
          </cell>
        </row>
        <row r="1028">
          <cell r="A1028" t="str">
            <v>47:014:1:1:1</v>
          </cell>
          <cell r="B1028" t="str">
            <v>Муниципальное образование "город Екатеринбург"</v>
          </cell>
          <cell r="C1028">
            <v>1</v>
          </cell>
          <cell r="D1028" t="str">
            <v>город Екатеринбург;</v>
          </cell>
        </row>
        <row r="1029">
          <cell r="A1029" t="str">
            <v>47:015:1:1:1</v>
          </cell>
          <cell r="B1029" t="str">
            <v>Муниципальное образование "город Екатеринбург"</v>
          </cell>
          <cell r="C1029">
            <v>1</v>
          </cell>
          <cell r="D1029" t="str">
            <v>город Екатеринбург;</v>
          </cell>
        </row>
        <row r="1030">
          <cell r="A1030" t="str">
            <v>47:016:1:1:1</v>
          </cell>
          <cell r="B1030" t="str">
            <v>Муниципальное образование "город Екатеринбург"</v>
          </cell>
          <cell r="C1030">
            <v>1</v>
          </cell>
          <cell r="D1030" t="str">
            <v>город Екатеринбург;</v>
          </cell>
        </row>
        <row r="1031">
          <cell r="A1031" t="str">
            <v>47:017:1:1:1</v>
          </cell>
          <cell r="B1031" t="str">
            <v>Муниципальное образование "город Екатеринбург"</v>
          </cell>
          <cell r="C1031">
            <v>1</v>
          </cell>
          <cell r="D1031" t="str">
            <v>город Екатеринбург;</v>
          </cell>
        </row>
        <row r="1032">
          <cell r="A1032" t="str">
            <v>47:018:1:1:1</v>
          </cell>
          <cell r="B1032" t="str">
            <v>Муниципальное образование "город Екатеринбург"</v>
          </cell>
          <cell r="C1032">
            <v>1</v>
          </cell>
          <cell r="D1032" t="str">
            <v>город Екатеринбург;</v>
          </cell>
        </row>
        <row r="1033">
          <cell r="A1033" t="str">
            <v>47:019:1:1:1</v>
          </cell>
          <cell r="B1033" t="str">
            <v>Муниципальное образование "город Екатеринбург"</v>
          </cell>
          <cell r="C1033">
            <v>1</v>
          </cell>
          <cell r="D1033" t="str">
            <v>город Екатеринбург;</v>
          </cell>
        </row>
        <row r="1034">
          <cell r="A1034" t="str">
            <v>48:001:1:2:4</v>
          </cell>
          <cell r="B1034" t="str">
            <v>муниципальное образование «поселок Уральский»</v>
          </cell>
          <cell r="C1034">
            <v>4</v>
          </cell>
          <cell r="D1034" t="str">
            <v>городские населенные пункты с численностью населения менее 50 000 человек;</v>
          </cell>
        </row>
        <row r="1035">
          <cell r="A1035" t="str">
            <v>48:000:0:0:0</v>
          </cell>
          <cell r="B1035" t="str">
            <v>муниципальное образование «поселок Уральский»</v>
          </cell>
          <cell r="C1035">
            <v>0</v>
          </cell>
          <cell r="D1035" t="str">
            <v>межселенная территория</v>
          </cell>
        </row>
        <row r="1036">
          <cell r="A1036" t="str">
            <v>49:018:2:5:6</v>
          </cell>
          <cell r="B1036" t="str">
            <v>Муниципальное образование Алапаевское</v>
          </cell>
          <cell r="C1036">
            <v>6</v>
          </cell>
          <cell r="D1036" t="str">
            <v>сельские населенные пункты с численностью населения менее 1 000 человек.</v>
          </cell>
        </row>
        <row r="1037">
          <cell r="A1037" t="str">
            <v>49:047:2:5:6</v>
          </cell>
          <cell r="B1037" t="str">
            <v>Муниципальное образование Алапаевское</v>
          </cell>
          <cell r="C1037">
            <v>6</v>
          </cell>
          <cell r="D1037" t="str">
            <v>сельские населенные пункты с численностью населения менее 1 000 человек.</v>
          </cell>
        </row>
        <row r="1038">
          <cell r="A1038" t="str">
            <v>49:061:2:3:6</v>
          </cell>
          <cell r="B1038" t="str">
            <v>Муниципальное образование Алапаевское</v>
          </cell>
          <cell r="C1038">
            <v>6</v>
          </cell>
          <cell r="D1038" t="str">
            <v>сельские населенные пункты с численностью населения менее 1 000 человек.</v>
          </cell>
        </row>
        <row r="1039">
          <cell r="A1039" t="str">
            <v>49:024:2:3:6</v>
          </cell>
          <cell r="B1039" t="str">
            <v>Муниципальное образование Алапаевское</v>
          </cell>
          <cell r="C1039">
            <v>6</v>
          </cell>
          <cell r="D1039" t="str">
            <v>сельские населенные пункты с численностью населения менее 1 000 человек.</v>
          </cell>
        </row>
        <row r="1040">
          <cell r="A1040" t="str">
            <v>49:055:2:3:6</v>
          </cell>
          <cell r="B1040" t="str">
            <v>Муниципальное образование Алапаевское</v>
          </cell>
          <cell r="C1040">
            <v>6</v>
          </cell>
          <cell r="D1040" t="str">
            <v>сельские населенные пункты с численностью населения менее 1 000 человек.</v>
          </cell>
        </row>
        <row r="1041">
          <cell r="A1041" t="str">
            <v>00:024:0:0:0</v>
          </cell>
          <cell r="B1041" t="str">
            <v>Муниципальное образование Алапаевское</v>
          </cell>
          <cell r="C1041">
            <v>0</v>
          </cell>
          <cell r="D1041" t="str">
            <v>межселенная территория</v>
          </cell>
        </row>
        <row r="1042">
          <cell r="A1042" t="str">
            <v>00:026:0:0:0</v>
          </cell>
          <cell r="B1042" t="str">
            <v>Муниципальное образование Алапаевское</v>
          </cell>
          <cell r="C1042">
            <v>0</v>
          </cell>
          <cell r="D1042" t="str">
            <v>межселенная территория</v>
          </cell>
        </row>
        <row r="1043">
          <cell r="A1043" t="str">
            <v>49:059:2:5:6</v>
          </cell>
          <cell r="B1043" t="str">
            <v>Муниципальное образование Алапаевское</v>
          </cell>
          <cell r="C1043">
            <v>6</v>
          </cell>
          <cell r="D1043" t="str">
            <v>сельские населенные пункты с численностью населения менее 1 000 человек.</v>
          </cell>
        </row>
        <row r="1044">
          <cell r="A1044" t="str">
            <v>49:009:2:5:6</v>
          </cell>
          <cell r="B1044" t="str">
            <v>Муниципальное образование Алапаевское</v>
          </cell>
          <cell r="C1044">
            <v>6</v>
          </cell>
          <cell r="D1044" t="str">
            <v>сельские населенные пункты с численностью населения менее 1 000 человек.</v>
          </cell>
        </row>
        <row r="1045">
          <cell r="A1045" t="str">
            <v>00:027:0:0:0</v>
          </cell>
          <cell r="B1045" t="str">
            <v>Муниципальное образование Алапаевское</v>
          </cell>
          <cell r="C1045">
            <v>0</v>
          </cell>
          <cell r="D1045" t="str">
            <v>межселенная территория</v>
          </cell>
        </row>
        <row r="1046">
          <cell r="A1046" t="str">
            <v>49:052:2:3:6</v>
          </cell>
          <cell r="B1046" t="str">
            <v>Муниципальное образование Алапаевское</v>
          </cell>
          <cell r="C1046">
            <v>6</v>
          </cell>
          <cell r="D1046" t="str">
            <v>сельские населенные пункты с численностью населения менее 1 000 человек.</v>
          </cell>
        </row>
        <row r="1047">
          <cell r="A1047" t="str">
            <v>49:003:2:3:6</v>
          </cell>
          <cell r="B1047" t="str">
            <v>Муниципальное образование Алапаевское</v>
          </cell>
          <cell r="C1047">
            <v>6</v>
          </cell>
          <cell r="D1047" t="str">
            <v>сельские населенные пункты с численностью населения менее 1 000 человек.</v>
          </cell>
        </row>
        <row r="1048">
          <cell r="A1048" t="str">
            <v>49:026:2:3:6</v>
          </cell>
          <cell r="B1048" t="str">
            <v>Муниципальное образование Алапаевское</v>
          </cell>
          <cell r="C1048">
            <v>6</v>
          </cell>
          <cell r="D1048" t="str">
            <v>сельские населенные пункты с численностью населения менее 1 000 человек.</v>
          </cell>
        </row>
        <row r="1049">
          <cell r="A1049" t="str">
            <v>49:058:2:4:6</v>
          </cell>
          <cell r="B1049" t="str">
            <v>Муниципальное образование Алапаевское</v>
          </cell>
          <cell r="C1049">
            <v>6</v>
          </cell>
          <cell r="D1049" t="str">
            <v>сельские населенные пункты с численностью населения менее 1 000 человек.</v>
          </cell>
        </row>
        <row r="1050">
          <cell r="A1050" t="str">
            <v>49:013:2:3:6</v>
          </cell>
          <cell r="B1050" t="str">
            <v>Муниципальное образование Алапаевское</v>
          </cell>
          <cell r="C1050">
            <v>6</v>
          </cell>
          <cell r="D1050" t="str">
            <v>сельские населенные пункты с численностью населения менее 1 000 человек.</v>
          </cell>
        </row>
        <row r="1051">
          <cell r="A1051" t="str">
            <v>49:050:2:4:6</v>
          </cell>
          <cell r="B1051" t="str">
            <v>Муниципальное образование Алапаевское</v>
          </cell>
          <cell r="C1051">
            <v>6</v>
          </cell>
          <cell r="D1051" t="str">
            <v>сельские населенные пункты с численностью населения менее 1 000 человек.</v>
          </cell>
        </row>
        <row r="1052">
          <cell r="A1052" t="str">
            <v>49:056:2:5:6</v>
          </cell>
          <cell r="B1052" t="str">
            <v>Муниципальное образование Алапаевское</v>
          </cell>
          <cell r="C1052">
            <v>6</v>
          </cell>
          <cell r="D1052" t="str">
            <v>сельские населенные пункты с численностью населения менее 1 000 человек.</v>
          </cell>
        </row>
        <row r="1053">
          <cell r="A1053" t="str">
            <v>49:028:2:5:6</v>
          </cell>
          <cell r="B1053" t="str">
            <v>Муниципальное образование Алапаевское</v>
          </cell>
          <cell r="C1053">
            <v>6</v>
          </cell>
          <cell r="D1053" t="str">
            <v>сельские населенные пункты с численностью населения менее 1 000 человек.</v>
          </cell>
        </row>
        <row r="1054">
          <cell r="A1054" t="str">
            <v>49:053:2:4:6</v>
          </cell>
          <cell r="B1054" t="str">
            <v>Муниципальное образование Алапаевское</v>
          </cell>
          <cell r="C1054">
            <v>6</v>
          </cell>
          <cell r="D1054" t="str">
            <v>сельские населенные пункты с численностью населения менее 1 000 человек.</v>
          </cell>
        </row>
        <row r="1055">
          <cell r="A1055" t="str">
            <v>49:031:2:4:6</v>
          </cell>
          <cell r="B1055" t="str">
            <v>Муниципальное образование Алапаевское</v>
          </cell>
          <cell r="C1055">
            <v>6</v>
          </cell>
          <cell r="D1055" t="str">
            <v>сельские населенные пункты с численностью населения менее 1 000 человек.</v>
          </cell>
        </row>
        <row r="1056">
          <cell r="A1056" t="str">
            <v>49:004:2:5:6</v>
          </cell>
          <cell r="B1056" t="str">
            <v>Муниципальное образование Алапаевское</v>
          </cell>
          <cell r="C1056">
            <v>6</v>
          </cell>
          <cell r="D1056" t="str">
            <v>сельские населенные пункты с численностью населения менее 1 000 человек.</v>
          </cell>
        </row>
        <row r="1057">
          <cell r="A1057" t="str">
            <v>49:054:2:5:6</v>
          </cell>
          <cell r="B1057" t="str">
            <v>Муниципальное образование Алапаевское</v>
          </cell>
          <cell r="C1057">
            <v>6</v>
          </cell>
          <cell r="D1057" t="str">
            <v>сельские населенные пункты с численностью населения менее 1 000 человек.</v>
          </cell>
        </row>
        <row r="1058">
          <cell r="A1058" t="str">
            <v>49:049:2:4:6</v>
          </cell>
          <cell r="B1058" t="str">
            <v>Муниципальное образование Алапаевское</v>
          </cell>
          <cell r="C1058">
            <v>6</v>
          </cell>
          <cell r="D1058" t="str">
            <v>сельские населенные пункты с численностью населения менее 1 000 человек.</v>
          </cell>
        </row>
        <row r="1059">
          <cell r="A1059" t="str">
            <v>49:033:2:5:6</v>
          </cell>
          <cell r="B1059" t="str">
            <v>Муниципальное образование Алапаевское</v>
          </cell>
          <cell r="C1059">
            <v>6</v>
          </cell>
          <cell r="D1059" t="str">
            <v>сельские населенные пункты с численностью населения менее 1 000 человек.</v>
          </cell>
        </row>
        <row r="1060">
          <cell r="A1060" t="str">
            <v>49:043:2:5:6</v>
          </cell>
          <cell r="B1060" t="str">
            <v>Муниципальное образование Алапаевское</v>
          </cell>
          <cell r="C1060">
            <v>6</v>
          </cell>
          <cell r="D1060" t="str">
            <v>сельские населенные пункты с численностью населения менее 1 000 человек.</v>
          </cell>
        </row>
        <row r="1061">
          <cell r="A1061" t="str">
            <v>49:006:2:5:6</v>
          </cell>
          <cell r="B1061" t="str">
            <v>Муниципальное образование Алапаевское</v>
          </cell>
          <cell r="C1061">
            <v>6</v>
          </cell>
          <cell r="D1061" t="str">
            <v>сельские населенные пункты с численностью населения менее 1 000 человек.</v>
          </cell>
        </row>
        <row r="1062">
          <cell r="A1062" t="str">
            <v>49:071:2:3:6</v>
          </cell>
          <cell r="B1062" t="str">
            <v>Муниципальное образование Алапаевское</v>
          </cell>
          <cell r="C1062">
            <v>6</v>
          </cell>
          <cell r="D1062" t="str">
            <v>сельские населенные пункты с численностью населения менее 1 000 человек.</v>
          </cell>
        </row>
        <row r="1063">
          <cell r="A1063" t="str">
            <v>49:048:2:5:6</v>
          </cell>
          <cell r="B1063" t="str">
            <v>Муниципальное образование Алапаевское</v>
          </cell>
          <cell r="C1063">
            <v>6</v>
          </cell>
          <cell r="D1063" t="str">
            <v>сельские населенные пункты с численностью населения менее 1 000 человек.</v>
          </cell>
        </row>
        <row r="1064">
          <cell r="A1064" t="str">
            <v>49:008:2:5:6</v>
          </cell>
          <cell r="B1064" t="str">
            <v>Муниципальное образование Алапаевское</v>
          </cell>
          <cell r="C1064">
            <v>6</v>
          </cell>
          <cell r="D1064" t="str">
            <v>сельские населенные пункты с численностью населения менее 1 000 человек.</v>
          </cell>
        </row>
        <row r="1065">
          <cell r="A1065" t="str">
            <v>49:021:2:5:6</v>
          </cell>
          <cell r="B1065" t="str">
            <v>Муниципальное образование Алапаевское</v>
          </cell>
          <cell r="C1065">
            <v>6</v>
          </cell>
          <cell r="D1065" t="str">
            <v>сельские населенные пункты с численностью населения менее 1 000 человек.</v>
          </cell>
        </row>
        <row r="1066">
          <cell r="A1066" t="str">
            <v>49:016:2:5:6</v>
          </cell>
          <cell r="B1066" t="str">
            <v>Муниципальное образование Алапаевское</v>
          </cell>
          <cell r="C1066">
            <v>6</v>
          </cell>
          <cell r="D1066" t="str">
            <v>сельские населенные пункты с численностью населения менее 1 000 человек.</v>
          </cell>
        </row>
        <row r="1067">
          <cell r="A1067" t="str">
            <v>49:020:2:3:6</v>
          </cell>
          <cell r="B1067" t="str">
            <v>Муниципальное образование Алапаевское</v>
          </cell>
          <cell r="C1067">
            <v>6</v>
          </cell>
          <cell r="D1067" t="str">
            <v>сельские населенные пункты с численностью населения менее 1 000 человек.</v>
          </cell>
        </row>
        <row r="1068">
          <cell r="A1068" t="str">
            <v>49:068:2:5:6</v>
          </cell>
          <cell r="B1068" t="str">
            <v>Муниципальное образование Алапаевское</v>
          </cell>
          <cell r="C1068">
            <v>6</v>
          </cell>
          <cell r="D1068" t="str">
            <v>сельские населенные пункты с численностью населения менее 1 000 человек.</v>
          </cell>
        </row>
        <row r="1069">
          <cell r="A1069" t="str">
            <v>49:029:2:3:6</v>
          </cell>
          <cell r="B1069" t="str">
            <v>Муниципальное образование Алапаевское</v>
          </cell>
          <cell r="C1069">
            <v>6</v>
          </cell>
          <cell r="D1069" t="str">
            <v>сельские населенные пункты с численностью населения менее 1 000 человек.</v>
          </cell>
        </row>
        <row r="1070">
          <cell r="A1070" t="str">
            <v>49:062:2:5:6</v>
          </cell>
          <cell r="B1070" t="str">
            <v>Муниципальное образование Алапаевское</v>
          </cell>
          <cell r="C1070">
            <v>6</v>
          </cell>
          <cell r="D1070" t="str">
            <v>сельские населенные пункты с численностью населения менее 1 000 человек.</v>
          </cell>
        </row>
        <row r="1071">
          <cell r="A1071" t="str">
            <v>49:011:2:5:6</v>
          </cell>
          <cell r="B1071" t="str">
            <v>Муниципальное образование Алапаевское</v>
          </cell>
          <cell r="C1071">
            <v>6</v>
          </cell>
          <cell r="D1071" t="str">
            <v>сельские населенные пункты с численностью населения менее 1 000 человек.</v>
          </cell>
        </row>
        <row r="1072">
          <cell r="A1072" t="str">
            <v>49:037:2:5:6</v>
          </cell>
          <cell r="B1072" t="str">
            <v>Муниципальное образование Алапаевское</v>
          </cell>
          <cell r="C1072">
            <v>6</v>
          </cell>
          <cell r="D1072" t="str">
            <v>сельские населенные пункты с численностью населения менее 1 000 человек.</v>
          </cell>
        </row>
        <row r="1073">
          <cell r="A1073" t="str">
            <v>00:028:0:0:0</v>
          </cell>
          <cell r="B1073" t="str">
            <v>Муниципальное образование Алапаевское</v>
          </cell>
          <cell r="C1073">
            <v>0</v>
          </cell>
          <cell r="D1073" t="str">
            <v>межселенная территория</v>
          </cell>
        </row>
        <row r="1074">
          <cell r="A1074" t="str">
            <v>49:027:2:5:6</v>
          </cell>
          <cell r="B1074" t="str">
            <v>Муниципальное образование Алапаевское</v>
          </cell>
          <cell r="C1074">
            <v>6</v>
          </cell>
          <cell r="D1074" t="str">
            <v>сельские населенные пункты с численностью населения менее 1 000 человек.</v>
          </cell>
        </row>
        <row r="1075">
          <cell r="A1075" t="str">
            <v>49:035:2:3:6</v>
          </cell>
          <cell r="B1075" t="str">
            <v>Муниципальное образование Алапаевское</v>
          </cell>
          <cell r="C1075">
            <v>6</v>
          </cell>
          <cell r="D1075" t="str">
            <v>сельские населенные пункты с численностью населения менее 1 000 человек.</v>
          </cell>
        </row>
        <row r="1076">
          <cell r="A1076" t="str">
            <v>49:046:2:3:6</v>
          </cell>
          <cell r="B1076" t="str">
            <v>Муниципальное образование Алапаевское</v>
          </cell>
          <cell r="C1076">
            <v>6</v>
          </cell>
          <cell r="D1076" t="str">
            <v>сельские населенные пункты с численностью населения менее 1 000 человек.</v>
          </cell>
        </row>
        <row r="1077">
          <cell r="A1077" t="str">
            <v>49:042:2:3:6</v>
          </cell>
          <cell r="B1077" t="str">
            <v>Муниципальное образование Алапаевское</v>
          </cell>
          <cell r="C1077">
            <v>6</v>
          </cell>
          <cell r="D1077" t="str">
            <v>сельские населенные пункты с численностью населения менее 1 000 человек.</v>
          </cell>
        </row>
        <row r="1078">
          <cell r="A1078" t="str">
            <v>00:029:0:0:0</v>
          </cell>
          <cell r="B1078" t="str">
            <v>Муниципальное образование Алапаевское</v>
          </cell>
          <cell r="C1078">
            <v>0</v>
          </cell>
          <cell r="D1078" t="str">
            <v>межселенная территория</v>
          </cell>
        </row>
        <row r="1079">
          <cell r="A1079" t="str">
            <v>49:044:2:5:6</v>
          </cell>
          <cell r="B1079" t="str">
            <v>Муниципальное образование Алапаевское</v>
          </cell>
          <cell r="C1079">
            <v>6</v>
          </cell>
          <cell r="D1079" t="str">
            <v>сельские населенные пункты с численностью населения менее 1 000 человек.</v>
          </cell>
        </row>
        <row r="1080">
          <cell r="A1080" t="str">
            <v>49:045:2:5:6</v>
          </cell>
          <cell r="B1080" t="str">
            <v>Муниципальное образование Алапаевское</v>
          </cell>
          <cell r="C1080">
            <v>6</v>
          </cell>
          <cell r="D1080" t="str">
            <v>сельские населенные пункты с численностью населения менее 1 000 человек.</v>
          </cell>
        </row>
        <row r="1081">
          <cell r="A1081" t="str">
            <v>49:067:2:5:6</v>
          </cell>
          <cell r="B1081" t="str">
            <v>Муниципальное образование Алапаевское</v>
          </cell>
          <cell r="C1081">
            <v>6</v>
          </cell>
          <cell r="D1081" t="str">
            <v>сельские населенные пункты с численностью населения менее 1 000 человек.</v>
          </cell>
        </row>
        <row r="1082">
          <cell r="A1082" t="str">
            <v>49:023:2:5:6</v>
          </cell>
          <cell r="B1082" t="str">
            <v>Муниципальное образование Алапаевское</v>
          </cell>
          <cell r="C1082">
            <v>6</v>
          </cell>
          <cell r="D1082" t="str">
            <v>сельские населенные пункты с численностью населения менее 1 000 человек.</v>
          </cell>
        </row>
        <row r="1083">
          <cell r="A1083" t="str">
            <v>49:072:2:5:6</v>
          </cell>
          <cell r="B1083" t="str">
            <v>Муниципальное образование Алапаевское</v>
          </cell>
          <cell r="C1083">
            <v>6</v>
          </cell>
          <cell r="D1083" t="str">
            <v>сельские населенные пункты с численностью населения менее 1 000 человек.</v>
          </cell>
        </row>
        <row r="1084">
          <cell r="A1084" t="str">
            <v>49:032:2:4:6</v>
          </cell>
          <cell r="B1084" t="str">
            <v>Муниципальное образование Алапаевское</v>
          </cell>
          <cell r="C1084">
            <v>6</v>
          </cell>
          <cell r="D1084" t="str">
            <v>сельские населенные пункты с численностью населения менее 1 000 человек.</v>
          </cell>
        </row>
        <row r="1085">
          <cell r="A1085" t="str">
            <v>49:007:2:5:6</v>
          </cell>
          <cell r="B1085" t="str">
            <v>Муниципальное образование Алапаевское</v>
          </cell>
          <cell r="C1085">
            <v>6</v>
          </cell>
          <cell r="D1085" t="str">
            <v>сельские населенные пункты с численностью населения менее 1 000 человек.</v>
          </cell>
        </row>
        <row r="1086">
          <cell r="A1086" t="str">
            <v>49:070:2:4:6</v>
          </cell>
          <cell r="B1086" t="str">
            <v>Муниципальное образование Алапаевское</v>
          </cell>
          <cell r="C1086">
            <v>6</v>
          </cell>
          <cell r="D1086" t="str">
            <v>сельские населенные пункты с численностью населения менее 1 000 человек.</v>
          </cell>
        </row>
        <row r="1087">
          <cell r="A1087" t="str">
            <v>49:012:2:5:6</v>
          </cell>
          <cell r="B1087" t="str">
            <v>Муниципальное образование Алапаевское</v>
          </cell>
          <cell r="C1087">
            <v>6</v>
          </cell>
          <cell r="D1087" t="str">
            <v>сельские населенные пункты с численностью населения менее 1 000 человек.</v>
          </cell>
        </row>
        <row r="1088">
          <cell r="A1088" t="str">
            <v>49:064:2:5:6</v>
          </cell>
          <cell r="B1088" t="str">
            <v>Муниципальное образование Алапаевское</v>
          </cell>
          <cell r="C1088">
            <v>6</v>
          </cell>
          <cell r="D1088" t="str">
            <v>сельские населенные пункты с численностью населения менее 1 000 человек.</v>
          </cell>
        </row>
        <row r="1089">
          <cell r="A1089" t="str">
            <v>49:051:2:5:6</v>
          </cell>
          <cell r="B1089" t="str">
            <v>Муниципальное образование Алапаевское</v>
          </cell>
          <cell r="C1089">
            <v>6</v>
          </cell>
          <cell r="D1089" t="str">
            <v>сельские населенные пункты с численностью населения менее 1 000 человек.</v>
          </cell>
        </row>
        <row r="1090">
          <cell r="A1090" t="str">
            <v>49:030:2:5:6</v>
          </cell>
          <cell r="B1090" t="str">
            <v>Муниципальное образование Алапаевское</v>
          </cell>
          <cell r="C1090">
            <v>6</v>
          </cell>
          <cell r="D1090" t="str">
            <v>сельские населенные пункты с численностью населения менее 1 000 человек.</v>
          </cell>
        </row>
        <row r="1091">
          <cell r="A1091" t="str">
            <v>49:040:2:5:6</v>
          </cell>
          <cell r="B1091" t="str">
            <v>Муниципальное образование Алапаевское</v>
          </cell>
          <cell r="C1091">
            <v>6</v>
          </cell>
          <cell r="D1091" t="str">
            <v>сельские населенные пункты с численностью населения менее 1 000 человек.</v>
          </cell>
        </row>
        <row r="1092">
          <cell r="A1092" t="str">
            <v>49:038:2:5:6</v>
          </cell>
          <cell r="B1092" t="str">
            <v>Муниципальное образование Алапаевское</v>
          </cell>
          <cell r="C1092">
            <v>6</v>
          </cell>
          <cell r="D1092" t="str">
            <v>сельские населенные пункты с численностью населения менее 1 000 человек.</v>
          </cell>
        </row>
        <row r="1093">
          <cell r="A1093" t="str">
            <v>49:001:2:4:6</v>
          </cell>
          <cell r="B1093" t="str">
            <v>Муниципальное образование Алапаевское</v>
          </cell>
          <cell r="C1093">
            <v>6</v>
          </cell>
          <cell r="D1093" t="str">
            <v>сельские населенные пункты с численностью населения менее 1 000 человек.</v>
          </cell>
        </row>
        <row r="1094">
          <cell r="A1094" t="str">
            <v>49:060:2:3:6</v>
          </cell>
          <cell r="B1094" t="str">
            <v>Муниципальное образование Алапаевское</v>
          </cell>
          <cell r="C1094">
            <v>6</v>
          </cell>
          <cell r="D1094" t="str">
            <v>сельские населенные пункты с численностью населения менее 1 000 человек.</v>
          </cell>
        </row>
        <row r="1095">
          <cell r="A1095" t="str">
            <v>49:057:2:4:6</v>
          </cell>
          <cell r="B1095" t="str">
            <v>Муниципальное образование Алапаевское</v>
          </cell>
          <cell r="C1095">
            <v>6</v>
          </cell>
          <cell r="D1095" t="str">
            <v>сельские населенные пункты с численностью населения менее 1 000 человек.</v>
          </cell>
        </row>
        <row r="1096">
          <cell r="A1096" t="str">
            <v>49:017:2:4:6</v>
          </cell>
          <cell r="B1096" t="str">
            <v>Муниципальное образование Алапаевское</v>
          </cell>
          <cell r="C1096">
            <v>6</v>
          </cell>
          <cell r="D1096" t="str">
            <v>сельские населенные пункты с численностью населения менее 1 000 человек.</v>
          </cell>
        </row>
        <row r="1097">
          <cell r="A1097" t="str">
            <v>49:005:2:3:5</v>
          </cell>
          <cell r="B1097" t="str">
            <v>Муниципальное образование Алапаевское</v>
          </cell>
          <cell r="C1097">
            <v>5</v>
          </cell>
          <cell r="D1097" t="str">
            <v>сельские населенные пункты с численностью населения более 1 000 человек;</v>
          </cell>
        </row>
        <row r="1098">
          <cell r="A1098" t="str">
            <v>49:010:1:2:4</v>
          </cell>
          <cell r="B1098" t="str">
            <v>Муниципальное образование Алапаевское</v>
          </cell>
          <cell r="C1098">
            <v>4</v>
          </cell>
          <cell r="D1098" t="str">
            <v>городские населенные пункты с численностью населения менее 50 000 человек;</v>
          </cell>
        </row>
        <row r="1099">
          <cell r="A1099" t="str">
            <v>49:015:2:4:6</v>
          </cell>
          <cell r="B1099" t="str">
            <v>Муниципальное образование Алапаевское</v>
          </cell>
          <cell r="C1099">
            <v>6</v>
          </cell>
          <cell r="D1099" t="str">
            <v>сельские населенные пункты с численностью населения менее 1 000 человек.</v>
          </cell>
        </row>
        <row r="1100">
          <cell r="A1100" t="str">
            <v>49:066:2:4:6</v>
          </cell>
          <cell r="B1100" t="str">
            <v>Муниципальное образование Алапаевское</v>
          </cell>
          <cell r="C1100">
            <v>6</v>
          </cell>
          <cell r="D1100" t="str">
            <v>сельские населенные пункты с численностью населения менее 1 000 человек.</v>
          </cell>
        </row>
        <row r="1101">
          <cell r="A1101" t="str">
            <v>49:036:2:4:5</v>
          </cell>
          <cell r="B1101" t="str">
            <v>Муниципальное образование Алапаевское</v>
          </cell>
          <cell r="C1101">
            <v>5</v>
          </cell>
          <cell r="D1101" t="str">
            <v>сельские населенные пункты с численностью населения более 1 000 человек;</v>
          </cell>
        </row>
        <row r="1102">
          <cell r="A1102" t="str">
            <v>49:069:2:4:6</v>
          </cell>
          <cell r="B1102" t="str">
            <v>Муниципальное образование Алапаевское</v>
          </cell>
          <cell r="C1102">
            <v>6</v>
          </cell>
          <cell r="D1102" t="str">
            <v>сельские населенные пункты с численностью населения менее 1 000 человек.</v>
          </cell>
        </row>
        <row r="1103">
          <cell r="A1103" t="str">
            <v>49:034:2:4:5</v>
          </cell>
          <cell r="B1103" t="str">
            <v>Муниципальное образование Алапаевское</v>
          </cell>
          <cell r="C1103">
            <v>5</v>
          </cell>
          <cell r="D1103" t="str">
            <v>сельские населенные пункты с численностью населения более 1 000 человек;</v>
          </cell>
        </row>
        <row r="1104">
          <cell r="A1104" t="str">
            <v>49:019:2:4:6</v>
          </cell>
          <cell r="B1104" t="str">
            <v>Муниципальное образование Алапаевское</v>
          </cell>
          <cell r="C1104">
            <v>6</v>
          </cell>
          <cell r="D1104" t="str">
            <v>сельские населенные пункты с численностью населения менее 1 000 человек.</v>
          </cell>
        </row>
        <row r="1105">
          <cell r="A1105" t="str">
            <v>49:025:2:3:5</v>
          </cell>
          <cell r="B1105" t="str">
            <v>Муниципальное образование Алапаевское</v>
          </cell>
          <cell r="C1105">
            <v>5</v>
          </cell>
          <cell r="D1105" t="str">
            <v>сельские населенные пункты с численностью населения более 1 000 человек;</v>
          </cell>
        </row>
        <row r="1106">
          <cell r="A1106" t="str">
            <v>49:041:2:3:6</v>
          </cell>
          <cell r="B1106" t="str">
            <v>Муниципальное образование Алапаевское</v>
          </cell>
          <cell r="C1106">
            <v>6</v>
          </cell>
          <cell r="D1106" t="str">
            <v>сельские населенные пункты с численностью населения менее 1 000 человек.</v>
          </cell>
        </row>
        <row r="1107">
          <cell r="A1107" t="str">
            <v>49:022:2:3:6</v>
          </cell>
          <cell r="B1107" t="str">
            <v>Муниципальное образование Алапаевское</v>
          </cell>
          <cell r="C1107">
            <v>6</v>
          </cell>
          <cell r="D1107" t="str">
            <v>сельские населенные пункты с численностью населения менее 1 000 человек.</v>
          </cell>
        </row>
        <row r="1108">
          <cell r="A1108" t="str">
            <v>49:014:2:5:6</v>
          </cell>
          <cell r="B1108" t="str">
            <v>Муниципальное образование Алапаевское</v>
          </cell>
          <cell r="C1108">
            <v>6</v>
          </cell>
          <cell r="D1108" t="str">
            <v>сельские населенные пункты с численностью населения менее 1 000 человек.</v>
          </cell>
        </row>
        <row r="1109">
          <cell r="A1109" t="str">
            <v>49:065:2:5:6</v>
          </cell>
          <cell r="B1109" t="str">
            <v>Муниципальное образование Алапаевское</v>
          </cell>
          <cell r="C1109">
            <v>6</v>
          </cell>
          <cell r="D1109" t="str">
            <v>сельские населенные пункты с численностью населения менее 1 000 человек.</v>
          </cell>
        </row>
        <row r="1110">
          <cell r="A1110" t="str">
            <v>49:063:2:3:6</v>
          </cell>
          <cell r="B1110" t="str">
            <v>Муниципальное образование Алапаевское</v>
          </cell>
          <cell r="C1110">
            <v>6</v>
          </cell>
          <cell r="D1110" t="str">
            <v>сельские населенные пункты с численностью населения менее 1 000 человек.</v>
          </cell>
        </row>
        <row r="1111">
          <cell r="A1111" t="str">
            <v>49:039:2:5:6</v>
          </cell>
          <cell r="B1111" t="str">
            <v>Муниципальное образование Алапаевское</v>
          </cell>
          <cell r="C1111">
            <v>6</v>
          </cell>
          <cell r="D1111" t="str">
            <v>сельские населенные пункты с численностью населения менее 1 000 человек.</v>
          </cell>
        </row>
        <row r="1112">
          <cell r="A1112" t="str">
            <v>49:002:2:3:6</v>
          </cell>
          <cell r="B1112" t="str">
            <v>Муниципальное образование Алапаевское</v>
          </cell>
          <cell r="C1112">
            <v>6</v>
          </cell>
          <cell r="D1112" t="str">
            <v>сельские населенные пункты с численностью населения менее 1 000 человек.</v>
          </cell>
        </row>
        <row r="1113">
          <cell r="A1113" t="str">
            <v>49:000:0:0:0</v>
          </cell>
          <cell r="B1113" t="str">
            <v>Муниципальное образование Алапаевское</v>
          </cell>
          <cell r="C1113">
            <v>0</v>
          </cell>
          <cell r="D1113" t="str">
            <v>межселенная территория</v>
          </cell>
        </row>
        <row r="1114">
          <cell r="A1114" t="str">
            <v>50:003:2:5:6</v>
          </cell>
          <cell r="B1114" t="str">
            <v>Муниципальное образование город Алапаевск</v>
          </cell>
          <cell r="C1114">
            <v>6</v>
          </cell>
          <cell r="D1114" t="str">
            <v>сельские населенные пункты с численностью населения менее 1 000 человек.</v>
          </cell>
        </row>
        <row r="1115">
          <cell r="A1115" t="str">
            <v>50:006:2:4:6</v>
          </cell>
          <cell r="B1115" t="str">
            <v>Муниципальное образование город Алапаевск</v>
          </cell>
          <cell r="C1115">
            <v>6</v>
          </cell>
          <cell r="D1115" t="str">
            <v>сельские населенные пункты с численностью населения менее 1 000 человек.</v>
          </cell>
        </row>
        <row r="1116">
          <cell r="A1116" t="str">
            <v>50:009:2:5:6</v>
          </cell>
          <cell r="B1116" t="str">
            <v>Муниципальное образование город Алапаевск</v>
          </cell>
          <cell r="C1116">
            <v>6</v>
          </cell>
          <cell r="D1116" t="str">
            <v>сельские населенные пункты с численностью населения менее 1 000 человек.</v>
          </cell>
        </row>
        <row r="1117">
          <cell r="A1117" t="str">
            <v>50:004:2:3:5</v>
          </cell>
          <cell r="B1117" t="str">
            <v>Муниципальное образование город Алапаевск</v>
          </cell>
          <cell r="C1117">
            <v>5</v>
          </cell>
          <cell r="D1117" t="str">
            <v>сельские населенные пункты с численностью населения более 1 000 человек;</v>
          </cell>
        </row>
        <row r="1118">
          <cell r="A1118" t="str">
            <v>50:010:2:3:5</v>
          </cell>
          <cell r="B1118" t="str">
            <v>Муниципальное образование город Алапаевск</v>
          </cell>
          <cell r="C1118">
            <v>5</v>
          </cell>
          <cell r="D1118" t="str">
            <v>сельские населенные пункты с численностью населения более 1 000 человек;</v>
          </cell>
        </row>
        <row r="1119">
          <cell r="A1119" t="str">
            <v>50:002:2:3:5</v>
          </cell>
          <cell r="B1119" t="str">
            <v>Муниципальное образование город Алапаевск</v>
          </cell>
          <cell r="C1119">
            <v>5</v>
          </cell>
          <cell r="D1119" t="str">
            <v>сельские населенные пункты с численностью населения более 1 000 человек;</v>
          </cell>
        </row>
        <row r="1120">
          <cell r="A1120" t="str">
            <v>50:005:2:3:6</v>
          </cell>
          <cell r="B1120" t="str">
            <v>Муниципальное образование город Алапаевск</v>
          </cell>
          <cell r="C1120">
            <v>6</v>
          </cell>
          <cell r="D1120" t="str">
            <v>сельские населенные пункты с численностью населения менее 1 000 человек.</v>
          </cell>
        </row>
        <row r="1121">
          <cell r="A1121" t="str">
            <v>50:008:2:3:6</v>
          </cell>
          <cell r="B1121" t="str">
            <v>Муниципальное образование город Алапаевск</v>
          </cell>
          <cell r="C1121">
            <v>6</v>
          </cell>
          <cell r="D1121" t="str">
            <v>сельские населенные пункты с численностью населения менее 1 000 человек.</v>
          </cell>
        </row>
        <row r="1122">
          <cell r="A1122" t="str">
            <v>50:007:2:3:6</v>
          </cell>
          <cell r="B1122" t="str">
            <v>Муниципальное образование город Алапаевск</v>
          </cell>
          <cell r="C1122">
            <v>6</v>
          </cell>
          <cell r="D1122" t="str">
            <v>сельские населенные пункты с численностью населения менее 1 000 человек.</v>
          </cell>
        </row>
        <row r="1123">
          <cell r="A1123" t="str">
            <v>50:001:1:1:4</v>
          </cell>
          <cell r="B1123" t="str">
            <v>Муниципальное образование город Алапаевск</v>
          </cell>
          <cell r="C1123">
            <v>4</v>
          </cell>
          <cell r="D1123" t="str">
            <v>городские населенные пункты с численностью населения менее 50 000 человек;</v>
          </cell>
        </row>
        <row r="1124">
          <cell r="A1124" t="str">
            <v>50:000:0:0:0</v>
          </cell>
          <cell r="B1124" t="str">
            <v>Муниципальное образование город Алапаевск</v>
          </cell>
          <cell r="C1124">
            <v>0</v>
          </cell>
          <cell r="D1124" t="str">
            <v>межселенная территория</v>
          </cell>
        </row>
        <row r="1125">
          <cell r="A1125" t="str">
            <v>51:001:1:1:4</v>
          </cell>
          <cell r="B1125" t="str">
            <v>Муниципальное образование город Ирбит</v>
          </cell>
          <cell r="C1125">
            <v>4</v>
          </cell>
          <cell r="D1125" t="str">
            <v>городские населенные пункты с численностью населения менее 50 000 человек;</v>
          </cell>
        </row>
        <row r="1126">
          <cell r="A1126" t="str">
            <v>51:000:0:0:0</v>
          </cell>
          <cell r="B1126" t="str">
            <v>Муниципальное образование город Ирбит</v>
          </cell>
          <cell r="C1126">
            <v>0</v>
          </cell>
          <cell r="D1126" t="str">
            <v>межселенная территория</v>
          </cell>
        </row>
        <row r="1127">
          <cell r="A1127" t="str">
            <v>52:001:1:1:2</v>
          </cell>
          <cell r="B1127" t="str">
            <v>Муниципальное образование город Каменск-Уральский</v>
          </cell>
          <cell r="C1127">
            <v>2</v>
          </cell>
          <cell r="D1127" t="str">
            <v>городские населенные пункты с численностью населения больше 100 000 человек;</v>
          </cell>
        </row>
        <row r="1128">
          <cell r="A1128" t="str">
            <v>52:000:0:0:0</v>
          </cell>
          <cell r="B1128" t="str">
            <v>Муниципальное образование город Каменск-Уральский</v>
          </cell>
          <cell r="C1128">
            <v>0</v>
          </cell>
          <cell r="D1128" t="str">
            <v>межселенная территория</v>
          </cell>
        </row>
        <row r="1129">
          <cell r="A1129" t="str">
            <v>52:002:2:5:6</v>
          </cell>
          <cell r="B1129" t="str">
            <v>Муниципальное образование город Каменск-Уральский</v>
          </cell>
          <cell r="C1129">
            <v>6</v>
          </cell>
          <cell r="D1129" t="str">
            <v>сельские населенные пункты с численностью населения менее 1 000 человек.</v>
          </cell>
        </row>
        <row r="1130">
          <cell r="A1130" t="str">
            <v>52:004:2:5:6</v>
          </cell>
          <cell r="B1130" t="str">
            <v>Муниципальное образование город Каменск-Уральский</v>
          </cell>
          <cell r="C1130">
            <v>6</v>
          </cell>
          <cell r="D1130" t="str">
            <v>сельские населенные пункты с численностью населения менее 1 000 человек.</v>
          </cell>
        </row>
        <row r="1131">
          <cell r="A1131" t="str">
            <v>52:005:2:5:6</v>
          </cell>
          <cell r="B1131" t="str">
            <v>Муниципальное образование город Каменск-Уральский</v>
          </cell>
          <cell r="C1131">
            <v>6</v>
          </cell>
          <cell r="D1131" t="str">
            <v>сельские населенные пункты с численностью населения менее 1 000 человек.</v>
          </cell>
        </row>
        <row r="1132">
          <cell r="A1132" t="str">
            <v>52:007:2:5:6</v>
          </cell>
          <cell r="B1132" t="str">
            <v>Муниципальное образование город Каменск-Уральский</v>
          </cell>
          <cell r="C1132">
            <v>6</v>
          </cell>
          <cell r="D1132" t="str">
            <v>сельские населенные пункты с численностью населения менее 1 000 человек.</v>
          </cell>
        </row>
        <row r="1133">
          <cell r="A1133" t="str">
            <v>52:003:2:5:6</v>
          </cell>
          <cell r="B1133" t="str">
            <v>Муниципальное образование город Каменск-Уральский</v>
          </cell>
          <cell r="C1133">
            <v>6</v>
          </cell>
          <cell r="D1133" t="str">
            <v>сельские населенные пункты с численностью населения менее 1 000 человек.</v>
          </cell>
        </row>
        <row r="1134">
          <cell r="A1134" t="str">
            <v>52:006:2:3:6</v>
          </cell>
          <cell r="B1134" t="str">
            <v>Муниципальное образование город Каменск-Уральский</v>
          </cell>
          <cell r="C1134">
            <v>6</v>
          </cell>
          <cell r="D1134" t="str">
            <v>сельские населенные пункты с численностью населения менее 1 000 человек.</v>
          </cell>
        </row>
        <row r="1135">
          <cell r="A1135" t="str">
            <v>53:015:2:5:6</v>
          </cell>
          <cell r="B1135" t="str">
            <v>муниципальное образование Камышловский муниципальный район</v>
          </cell>
          <cell r="C1135">
            <v>6</v>
          </cell>
          <cell r="D1135" t="str">
            <v>сельские населенные пункты с численностью населения менее 1 000 человек.</v>
          </cell>
        </row>
        <row r="1136">
          <cell r="A1136" t="str">
            <v>53:004:2:4:6</v>
          </cell>
          <cell r="B1136" t="str">
            <v>муниципальное образование Камышловский муниципальный район</v>
          </cell>
          <cell r="C1136">
            <v>6</v>
          </cell>
          <cell r="D1136" t="str">
            <v>сельские населенные пункты с численностью населения менее 1 000 человек.</v>
          </cell>
        </row>
        <row r="1137">
          <cell r="A1137" t="str">
            <v>53:047:2:3:6</v>
          </cell>
          <cell r="B1137" t="str">
            <v>муниципальное образование Камышловский муниципальный район</v>
          </cell>
          <cell r="C1137">
            <v>6</v>
          </cell>
          <cell r="D1137" t="str">
            <v>сельские населенные пункты с численностью населения менее 1 000 человек.</v>
          </cell>
        </row>
        <row r="1138">
          <cell r="A1138" t="str">
            <v>53:018:2:3:6</v>
          </cell>
          <cell r="B1138" t="str">
            <v>муниципальное образование Камышловский муниципальный район</v>
          </cell>
          <cell r="C1138">
            <v>6</v>
          </cell>
          <cell r="D1138" t="str">
            <v>сельские населенные пункты с численностью населения менее 1 000 человек.</v>
          </cell>
        </row>
        <row r="1139">
          <cell r="A1139" t="str">
            <v>53:024:2:5:6</v>
          </cell>
          <cell r="B1139" t="str">
            <v>муниципальное образование Камышловский муниципальный район</v>
          </cell>
          <cell r="C1139">
            <v>6</v>
          </cell>
          <cell r="D1139" t="str">
            <v>сельские населенные пункты с численностью населения менее 1 000 человек.</v>
          </cell>
        </row>
        <row r="1140">
          <cell r="A1140" t="str">
            <v>53:032:2:5:6</v>
          </cell>
          <cell r="B1140" t="str">
            <v>муниципальное образование Камышловский муниципальный район</v>
          </cell>
          <cell r="C1140">
            <v>6</v>
          </cell>
          <cell r="D1140" t="str">
            <v>сельские населенные пункты с численностью населения менее 1 000 человек.</v>
          </cell>
        </row>
        <row r="1141">
          <cell r="A1141" t="str">
            <v>53:022:2:3:6</v>
          </cell>
          <cell r="B1141" t="str">
            <v>муниципальное образование Камышловский муниципальный район</v>
          </cell>
          <cell r="C1141">
            <v>6</v>
          </cell>
          <cell r="D1141" t="str">
            <v>сельские населенные пункты с численностью населения менее 1 000 человек.</v>
          </cell>
        </row>
        <row r="1142">
          <cell r="A1142" t="str">
            <v>53:001:2:5:6</v>
          </cell>
          <cell r="B1142" t="str">
            <v>муниципальное образование Камышловский муниципальный район</v>
          </cell>
          <cell r="C1142">
            <v>6</v>
          </cell>
          <cell r="D1142" t="str">
            <v>сельские населенные пункты с численностью населения менее 1 000 человек.</v>
          </cell>
        </row>
        <row r="1143">
          <cell r="A1143" t="str">
            <v>53:020:2:5:6</v>
          </cell>
          <cell r="B1143" t="str">
            <v>муниципальное образование Камышловский муниципальный район</v>
          </cell>
          <cell r="C1143">
            <v>6</v>
          </cell>
          <cell r="D1143" t="str">
            <v>сельские населенные пункты с численностью населения менее 1 000 человек.</v>
          </cell>
        </row>
        <row r="1144">
          <cell r="A1144" t="str">
            <v>53:044:2:3:6</v>
          </cell>
          <cell r="B1144" t="str">
            <v>муниципальное образование Камышловский муниципальный район</v>
          </cell>
          <cell r="C1144">
            <v>6</v>
          </cell>
          <cell r="D1144" t="str">
            <v>сельские населенные пункты с численностью населения менее 1 000 человек.</v>
          </cell>
        </row>
        <row r="1145">
          <cell r="A1145" t="str">
            <v>53:008:2:6:6</v>
          </cell>
          <cell r="B1145" t="str">
            <v>муниципальное образование Камышловский муниципальный район</v>
          </cell>
          <cell r="C1145">
            <v>6</v>
          </cell>
          <cell r="D1145" t="str">
            <v>сельские населенные пункты с численностью населения менее 1 000 человек.</v>
          </cell>
        </row>
        <row r="1146">
          <cell r="A1146" t="str">
            <v>53:035:2:5:6</v>
          </cell>
          <cell r="B1146" t="str">
            <v>муниципальное образование Камышловский муниципальный район</v>
          </cell>
          <cell r="C1146">
            <v>6</v>
          </cell>
          <cell r="D1146" t="str">
            <v>сельские населенные пункты с численностью населения менее 1 000 человек.</v>
          </cell>
        </row>
        <row r="1147">
          <cell r="A1147" t="str">
            <v>53:043:2:5:6</v>
          </cell>
          <cell r="B1147" t="str">
            <v>муниципальное образование Камышловский муниципальный район</v>
          </cell>
          <cell r="C1147">
            <v>6</v>
          </cell>
          <cell r="D1147" t="str">
            <v>сельские населенные пункты с численностью населения менее 1 000 человек.</v>
          </cell>
        </row>
        <row r="1148">
          <cell r="A1148" t="str">
            <v>53:007:2:5:6</v>
          </cell>
          <cell r="B1148" t="str">
            <v>муниципальное образование Камышловский муниципальный район</v>
          </cell>
          <cell r="C1148">
            <v>6</v>
          </cell>
          <cell r="D1148" t="str">
            <v>сельские населенные пункты с численностью населения менее 1 000 человек.</v>
          </cell>
        </row>
        <row r="1149">
          <cell r="A1149" t="str">
            <v>53:045:2:3:6</v>
          </cell>
          <cell r="B1149" t="str">
            <v>муниципальное образование Камышловский муниципальный район</v>
          </cell>
          <cell r="C1149">
            <v>6</v>
          </cell>
          <cell r="D1149" t="str">
            <v>сельские населенные пункты с численностью населения менее 1 000 человек.</v>
          </cell>
        </row>
        <row r="1150">
          <cell r="A1150" t="str">
            <v>53:033:2:3:6</v>
          </cell>
          <cell r="B1150" t="str">
            <v>муниципальное образование Камышловский муниципальный район</v>
          </cell>
          <cell r="C1150">
            <v>6</v>
          </cell>
          <cell r="D1150" t="str">
            <v>сельские населенные пункты с численностью населения менее 1 000 человек.</v>
          </cell>
        </row>
        <row r="1151">
          <cell r="A1151" t="str">
            <v>53:054:2:5:6</v>
          </cell>
          <cell r="B1151" t="str">
            <v>муниципальное образование Камышловский муниципальный район</v>
          </cell>
          <cell r="C1151">
            <v>6</v>
          </cell>
          <cell r="D1151" t="str">
            <v>сельские населенные пункты с численностью населения менее 1 000 человек.</v>
          </cell>
        </row>
        <row r="1152">
          <cell r="A1152" t="str">
            <v>53:005:2:5:6</v>
          </cell>
          <cell r="B1152" t="str">
            <v>муниципальное образование Камышловский муниципальный район</v>
          </cell>
          <cell r="C1152">
            <v>6</v>
          </cell>
          <cell r="D1152" t="str">
            <v>сельские населенные пункты с численностью населения менее 1 000 человек.</v>
          </cell>
        </row>
        <row r="1153">
          <cell r="A1153" t="str">
            <v>53:023:2:5:6</v>
          </cell>
          <cell r="B1153" t="str">
            <v>муниципальное образование Камышловский муниципальный район</v>
          </cell>
          <cell r="C1153">
            <v>6</v>
          </cell>
          <cell r="D1153" t="str">
            <v>сельские населенные пункты с численностью населения менее 1 000 человек.</v>
          </cell>
        </row>
        <row r="1154">
          <cell r="A1154" t="str">
            <v>53:028:2:5:6</v>
          </cell>
          <cell r="B1154" t="str">
            <v>муниципальное образование Камышловский муниципальный район</v>
          </cell>
          <cell r="C1154">
            <v>6</v>
          </cell>
          <cell r="D1154" t="str">
            <v>сельские населенные пункты с численностью населения менее 1 000 человек.</v>
          </cell>
        </row>
        <row r="1155">
          <cell r="A1155" t="str">
            <v>53:009:2:4:6</v>
          </cell>
          <cell r="B1155" t="str">
            <v>муниципальное образование Камышловский муниципальный район</v>
          </cell>
          <cell r="C1155">
            <v>6</v>
          </cell>
          <cell r="D1155" t="str">
            <v>сельские населенные пункты с численностью населения менее 1 000 человек.</v>
          </cell>
        </row>
        <row r="1156">
          <cell r="A1156" t="str">
            <v>53:026:2:5:6</v>
          </cell>
          <cell r="B1156" t="str">
            <v>муниципальное образование Камышловский муниципальный район</v>
          </cell>
          <cell r="C1156">
            <v>6</v>
          </cell>
          <cell r="D1156" t="str">
            <v>сельские населенные пункты с численностью населения менее 1 000 человек.</v>
          </cell>
        </row>
        <row r="1157">
          <cell r="A1157" t="str">
            <v>53:052:2:4:6</v>
          </cell>
          <cell r="B1157" t="str">
            <v>муниципальное образование Камышловский муниципальный район</v>
          </cell>
          <cell r="C1157">
            <v>6</v>
          </cell>
          <cell r="D1157" t="str">
            <v>сельские населенные пункты с численностью населения менее 1 000 человек.</v>
          </cell>
        </row>
        <row r="1158">
          <cell r="A1158" t="str">
            <v>53:053:2:5:6</v>
          </cell>
          <cell r="B1158" t="str">
            <v>муниципальное образование Камышловский муниципальный район</v>
          </cell>
          <cell r="C1158">
            <v>6</v>
          </cell>
          <cell r="D1158" t="str">
            <v>сельские населенные пункты с численностью населения менее 1 000 человек.</v>
          </cell>
        </row>
        <row r="1159">
          <cell r="A1159" t="str">
            <v>53:030:2:5:6</v>
          </cell>
          <cell r="B1159" t="str">
            <v>муниципальное образование Камышловский муниципальный район</v>
          </cell>
          <cell r="C1159">
            <v>6</v>
          </cell>
          <cell r="D1159" t="str">
            <v>сельские населенные пункты с численностью населения менее 1 000 человек.</v>
          </cell>
        </row>
        <row r="1160">
          <cell r="A1160" t="str">
            <v>53:048:2:4:6</v>
          </cell>
          <cell r="B1160" t="str">
            <v>муниципальное образование Камышловский муниципальный район</v>
          </cell>
          <cell r="C1160">
            <v>6</v>
          </cell>
          <cell r="D1160" t="str">
            <v>сельские населенные пункты с численностью населения менее 1 000 человек.</v>
          </cell>
        </row>
        <row r="1161">
          <cell r="A1161" t="str">
            <v>53:016:2:5:6</v>
          </cell>
          <cell r="B1161" t="str">
            <v>муниципальное образование Камышловский муниципальный район</v>
          </cell>
          <cell r="C1161">
            <v>6</v>
          </cell>
          <cell r="D1161" t="str">
            <v>сельские населенные пункты с численностью населения менее 1 000 человек.</v>
          </cell>
        </row>
        <row r="1162">
          <cell r="A1162" t="str">
            <v>53:027:2:5:6</v>
          </cell>
          <cell r="B1162" t="str">
            <v>муниципальное образование Камышловский муниципальный район</v>
          </cell>
          <cell r="C1162">
            <v>6</v>
          </cell>
          <cell r="D1162" t="str">
            <v>сельские населенные пункты с численностью населения менее 1 000 человек.</v>
          </cell>
        </row>
        <row r="1163">
          <cell r="A1163" t="str">
            <v>53:038:2:3:6</v>
          </cell>
          <cell r="B1163" t="str">
            <v>муниципальное образование Камышловский муниципальный район</v>
          </cell>
          <cell r="C1163">
            <v>6</v>
          </cell>
          <cell r="D1163" t="str">
            <v>сельские населенные пункты с численностью населения менее 1 000 человек.</v>
          </cell>
        </row>
        <row r="1164">
          <cell r="A1164" t="str">
            <v>53:046:2:4:6</v>
          </cell>
          <cell r="B1164" t="str">
            <v>муниципальное образование Камышловский муниципальный район</v>
          </cell>
          <cell r="C1164">
            <v>6</v>
          </cell>
          <cell r="D1164" t="str">
            <v>сельские населенные пункты с численностью населения менее 1 000 человек.</v>
          </cell>
        </row>
        <row r="1165">
          <cell r="A1165" t="str">
            <v>53:006:2:5:6</v>
          </cell>
          <cell r="B1165" t="str">
            <v>муниципальное образование Камышловский муниципальный район</v>
          </cell>
          <cell r="C1165">
            <v>6</v>
          </cell>
          <cell r="D1165" t="str">
            <v>сельские населенные пункты с численностью населения менее 1 000 человек.</v>
          </cell>
        </row>
        <row r="1166">
          <cell r="A1166" t="str">
            <v>53:040:2:5:6</v>
          </cell>
          <cell r="B1166" t="str">
            <v>муниципальное образование Камышловский муниципальный район</v>
          </cell>
          <cell r="C1166">
            <v>6</v>
          </cell>
          <cell r="D1166" t="str">
            <v>сельские населенные пункты с численностью населения менее 1 000 человек.</v>
          </cell>
        </row>
        <row r="1167">
          <cell r="A1167" t="str">
            <v>53:011:2:3:5</v>
          </cell>
          <cell r="B1167" t="str">
            <v>муниципальное образование Камышловский муниципальный район</v>
          </cell>
          <cell r="C1167">
            <v>5</v>
          </cell>
          <cell r="D1167" t="str">
            <v>сельские населенные пункты с численностью населения более 1 000 человек;</v>
          </cell>
        </row>
        <row r="1168">
          <cell r="A1168" t="str">
            <v>53:051:2:5:6</v>
          </cell>
          <cell r="B1168" t="str">
            <v>муниципальное образование Камышловский муниципальный район</v>
          </cell>
          <cell r="C1168">
            <v>6</v>
          </cell>
          <cell r="D1168" t="str">
            <v>сельские населенные пункты с численностью населения менее 1 000 человек.</v>
          </cell>
        </row>
        <row r="1169">
          <cell r="A1169" t="str">
            <v>53:013:2:5:6</v>
          </cell>
          <cell r="B1169" t="str">
            <v>муниципальное образование Камышловский муниципальный район</v>
          </cell>
          <cell r="C1169">
            <v>6</v>
          </cell>
          <cell r="D1169" t="str">
            <v>сельские населенные пункты с численностью населения менее 1 000 человек.</v>
          </cell>
        </row>
        <row r="1170">
          <cell r="A1170" t="str">
            <v>53:042:2:3:6</v>
          </cell>
          <cell r="B1170" t="str">
            <v>муниципальное образование Камышловский муниципальный район</v>
          </cell>
          <cell r="C1170">
            <v>6</v>
          </cell>
          <cell r="D1170" t="str">
            <v>сельские населенные пункты с численностью населения менее 1 000 человек.</v>
          </cell>
        </row>
        <row r="1171">
          <cell r="A1171" t="str">
            <v>53:029:2:4:6</v>
          </cell>
          <cell r="B1171" t="str">
            <v>муниципальное образование Камышловский муниципальный район</v>
          </cell>
          <cell r="C1171">
            <v>6</v>
          </cell>
          <cell r="D1171" t="str">
            <v>сельские населенные пункты с численностью населения менее 1 000 человек.</v>
          </cell>
        </row>
        <row r="1172">
          <cell r="A1172" t="str">
            <v>53:021:2:4:6</v>
          </cell>
          <cell r="B1172" t="str">
            <v>муниципальное образование Камышловский муниципальный район</v>
          </cell>
          <cell r="C1172">
            <v>6</v>
          </cell>
          <cell r="D1172" t="str">
            <v>сельские населенные пункты с численностью населения менее 1 000 человек.</v>
          </cell>
        </row>
        <row r="1173">
          <cell r="A1173" t="str">
            <v>53:019:2:4:6</v>
          </cell>
          <cell r="B1173" t="str">
            <v>муниципальное образование Камышловский муниципальный район</v>
          </cell>
          <cell r="C1173">
            <v>6</v>
          </cell>
          <cell r="D1173" t="str">
            <v>сельские населенные пункты с численностью населения менее 1 000 человек.</v>
          </cell>
        </row>
        <row r="1174">
          <cell r="A1174" t="str">
            <v>53:031:2:4:6</v>
          </cell>
          <cell r="B1174" t="str">
            <v>муниципальное образование Камышловский муниципальный район</v>
          </cell>
          <cell r="C1174">
            <v>6</v>
          </cell>
          <cell r="D1174" t="str">
            <v>сельские населенные пункты с численностью населения менее 1 000 человек.</v>
          </cell>
        </row>
        <row r="1175">
          <cell r="A1175" t="str">
            <v>53:012:2:4:6</v>
          </cell>
          <cell r="B1175" t="str">
            <v>муниципальное образование Камышловский муниципальный район</v>
          </cell>
          <cell r="C1175">
            <v>6</v>
          </cell>
          <cell r="D1175" t="str">
            <v>сельские населенные пункты с численностью населения менее 1 000 человек.</v>
          </cell>
        </row>
        <row r="1176">
          <cell r="A1176" t="str">
            <v>53:010:2:3:6</v>
          </cell>
          <cell r="B1176" t="str">
            <v>муниципальное образование Камышловский муниципальный район</v>
          </cell>
          <cell r="C1176">
            <v>6</v>
          </cell>
          <cell r="D1176" t="str">
            <v>сельские населенные пункты с численностью населения менее 1 000 человек.</v>
          </cell>
        </row>
        <row r="1177">
          <cell r="A1177" t="str">
            <v>53:041:2:3:6</v>
          </cell>
          <cell r="B1177" t="str">
            <v>муниципальное образование Камышловский муниципальный район</v>
          </cell>
          <cell r="C1177">
            <v>6</v>
          </cell>
          <cell r="D1177" t="str">
            <v>сельские населенные пункты с численностью населения менее 1 000 человек.</v>
          </cell>
        </row>
        <row r="1178">
          <cell r="A1178" t="str">
            <v>53:039:2:4:6</v>
          </cell>
          <cell r="B1178" t="str">
            <v>муниципальное образование Камышловский муниципальный район</v>
          </cell>
          <cell r="C1178">
            <v>6</v>
          </cell>
          <cell r="D1178" t="str">
            <v>сельские населенные пункты с численностью населения менее 1 000 человек.</v>
          </cell>
        </row>
        <row r="1179">
          <cell r="A1179" t="str">
            <v>53:017:2:4:6</v>
          </cell>
          <cell r="B1179" t="str">
            <v>муниципальное образование Камышловский муниципальный район</v>
          </cell>
          <cell r="C1179">
            <v>6</v>
          </cell>
          <cell r="D1179" t="str">
            <v>сельские населенные пункты с численностью населения менее 1 000 человек.</v>
          </cell>
        </row>
        <row r="1180">
          <cell r="A1180" t="str">
            <v>53:050:2:5:6</v>
          </cell>
          <cell r="B1180" t="str">
            <v>муниципальное образование Камышловский муниципальный район</v>
          </cell>
          <cell r="C1180">
            <v>6</v>
          </cell>
          <cell r="D1180" t="str">
            <v>сельские населенные пункты с численностью населения менее 1 000 человек.</v>
          </cell>
        </row>
        <row r="1181">
          <cell r="A1181" t="str">
            <v>53:003:2:5:6</v>
          </cell>
          <cell r="B1181" t="str">
            <v>муниципальное образование Камышловский муниципальный район</v>
          </cell>
          <cell r="C1181">
            <v>6</v>
          </cell>
          <cell r="D1181" t="str">
            <v>сельские населенные пункты с численностью населения менее 1 000 человек.</v>
          </cell>
        </row>
        <row r="1182">
          <cell r="A1182" t="str">
            <v>53:037:2:4:6</v>
          </cell>
          <cell r="B1182" t="str">
            <v>муниципальное образование Камышловский муниципальный район</v>
          </cell>
          <cell r="C1182">
            <v>6</v>
          </cell>
          <cell r="D1182" t="str">
            <v>сельские населенные пункты с численностью населения менее 1 000 человек.</v>
          </cell>
        </row>
        <row r="1183">
          <cell r="A1183" t="str">
            <v>53:049:2:4:6</v>
          </cell>
          <cell r="B1183" t="str">
            <v>муниципальное образование Камышловский муниципальный район</v>
          </cell>
          <cell r="C1183">
            <v>6</v>
          </cell>
          <cell r="D1183" t="str">
            <v>сельские населенные пункты с численностью населения менее 1 000 человек.</v>
          </cell>
        </row>
        <row r="1184">
          <cell r="A1184" t="str">
            <v>53:036:2:5:6</v>
          </cell>
          <cell r="B1184" t="str">
            <v>муниципальное образование Камышловский муниципальный район</v>
          </cell>
          <cell r="C1184">
            <v>6</v>
          </cell>
          <cell r="D1184" t="str">
            <v>сельские населенные пункты с численностью населения менее 1 000 человек.</v>
          </cell>
        </row>
        <row r="1185">
          <cell r="A1185" t="str">
            <v>53:034:2:5:6</v>
          </cell>
          <cell r="B1185" t="str">
            <v>муниципальное образование Камышловский муниципальный район</v>
          </cell>
          <cell r="C1185">
            <v>6</v>
          </cell>
          <cell r="D1185" t="str">
            <v>сельские населенные пункты с численностью населения менее 1 000 человек.</v>
          </cell>
        </row>
        <row r="1186">
          <cell r="A1186" t="str">
            <v>53:014:2:3:6</v>
          </cell>
          <cell r="B1186" t="str">
            <v>муниципальное образование Камышловский муниципальный район</v>
          </cell>
          <cell r="C1186">
            <v>6</v>
          </cell>
          <cell r="D1186" t="str">
            <v>сельские населенные пункты с численностью населения менее 1 000 человек.</v>
          </cell>
        </row>
        <row r="1187">
          <cell r="A1187" t="str">
            <v>53:025:2:3:6</v>
          </cell>
          <cell r="B1187" t="str">
            <v>муниципальное образование Камышловский муниципальный район</v>
          </cell>
          <cell r="C1187">
            <v>6</v>
          </cell>
          <cell r="D1187" t="str">
            <v>сельские населенные пункты с численностью населения менее 1 000 человек.</v>
          </cell>
        </row>
        <row r="1188">
          <cell r="A1188" t="str">
            <v>53:002:2:3:6</v>
          </cell>
          <cell r="B1188" t="str">
            <v>муниципальное образование Камышловский муниципальный район</v>
          </cell>
          <cell r="C1188">
            <v>6</v>
          </cell>
          <cell r="D1188" t="str">
            <v>сельские населенные пункты с численностью населения менее 1 000 человек.</v>
          </cell>
        </row>
        <row r="1189">
          <cell r="A1189" t="str">
            <v>53:000:0:0:0</v>
          </cell>
          <cell r="B1189" t="str">
            <v>муниципальное образование Камышловский муниципальный район</v>
          </cell>
          <cell r="C1189">
            <v>0</v>
          </cell>
          <cell r="D1189" t="str">
            <v>межселенная территория</v>
          </cell>
        </row>
        <row r="1190">
          <cell r="A1190" t="str">
            <v>54:020:2:5:6</v>
          </cell>
          <cell r="B1190" t="str">
            <v>Муниципальное образование Красноуфимский округ</v>
          </cell>
          <cell r="C1190">
            <v>6</v>
          </cell>
          <cell r="D1190" t="str">
            <v>сельские населенные пункты с численностью населения менее 1 000 человек.</v>
          </cell>
        </row>
        <row r="1191">
          <cell r="A1191" t="str">
            <v>54:067:2:5:6</v>
          </cell>
          <cell r="B1191" t="str">
            <v>Муниципальное образование Красноуфимский округ</v>
          </cell>
          <cell r="C1191">
            <v>6</v>
          </cell>
          <cell r="D1191" t="str">
            <v>сельские населенные пункты с численностью населения менее 1 000 человек.</v>
          </cell>
        </row>
        <row r="1192">
          <cell r="A1192" t="str">
            <v>54:008:2:5:6</v>
          </cell>
          <cell r="B1192" t="str">
            <v>Муниципальное образование Красноуфимский округ</v>
          </cell>
          <cell r="C1192">
            <v>6</v>
          </cell>
          <cell r="D1192" t="str">
            <v>сельские населенные пункты с численностью населения менее 1 000 человек.</v>
          </cell>
        </row>
        <row r="1193">
          <cell r="A1193" t="str">
            <v>54:057:2:5:6</v>
          </cell>
          <cell r="B1193" t="str">
            <v>Муниципальное образование Красноуфимский округ</v>
          </cell>
          <cell r="C1193">
            <v>6</v>
          </cell>
          <cell r="D1193" t="str">
            <v>сельские населенные пункты с численностью населения менее 1 000 человек.</v>
          </cell>
        </row>
        <row r="1194">
          <cell r="A1194" t="str">
            <v>54:025:2:5:6</v>
          </cell>
          <cell r="B1194" t="str">
            <v>Муниципальное образование Красноуфимский округ</v>
          </cell>
          <cell r="C1194">
            <v>6</v>
          </cell>
          <cell r="D1194" t="str">
            <v>сельские населенные пункты с численностью населения менее 1 000 человек.</v>
          </cell>
        </row>
        <row r="1195">
          <cell r="A1195" t="str">
            <v>54:029:2:5:6</v>
          </cell>
          <cell r="B1195" t="str">
            <v>Муниципальное образование Красноуфимский округ</v>
          </cell>
          <cell r="C1195">
            <v>6</v>
          </cell>
          <cell r="D1195" t="str">
            <v>сельские населенные пункты с численностью населения менее 1 000 человек.</v>
          </cell>
        </row>
        <row r="1196">
          <cell r="A1196" t="str">
            <v>54:030:2:5:6</v>
          </cell>
          <cell r="B1196" t="str">
            <v>Муниципальное образование Красноуфимский округ</v>
          </cell>
          <cell r="C1196">
            <v>6</v>
          </cell>
          <cell r="D1196" t="str">
            <v>сельские населенные пункты с численностью населения менее 1 000 человек.</v>
          </cell>
        </row>
        <row r="1197">
          <cell r="A1197" t="str">
            <v>54:022:2:5:6</v>
          </cell>
          <cell r="B1197" t="str">
            <v>Муниципальное образование Красноуфимский округ</v>
          </cell>
          <cell r="C1197">
            <v>6</v>
          </cell>
          <cell r="D1197" t="str">
            <v>сельские населенные пункты с численностью населения менее 1 000 человек.</v>
          </cell>
        </row>
        <row r="1198">
          <cell r="A1198" t="str">
            <v>54:061:2:5:6</v>
          </cell>
          <cell r="B1198" t="str">
            <v>Муниципальное образование Красноуфимский округ</v>
          </cell>
          <cell r="C1198">
            <v>6</v>
          </cell>
          <cell r="D1198" t="str">
            <v>сельские населенные пункты с численностью населения менее 1 000 человек.</v>
          </cell>
        </row>
        <row r="1199">
          <cell r="A1199" t="str">
            <v>54:011:2:5:6</v>
          </cell>
          <cell r="B1199" t="str">
            <v>Муниципальное образование Красноуфимский округ</v>
          </cell>
          <cell r="C1199">
            <v>6</v>
          </cell>
          <cell r="D1199" t="str">
            <v>сельские населенные пункты с численностью населения менее 1 000 человек.</v>
          </cell>
        </row>
        <row r="1200">
          <cell r="A1200" t="str">
            <v>54:035:2:5:6</v>
          </cell>
          <cell r="B1200" t="str">
            <v>Муниципальное образование Красноуфимский округ</v>
          </cell>
          <cell r="C1200">
            <v>6</v>
          </cell>
          <cell r="D1200" t="str">
            <v>сельские населенные пункты с численностью населения менее 1 000 человек.</v>
          </cell>
        </row>
        <row r="1201">
          <cell r="A1201" t="str">
            <v>54:046:2:5:6</v>
          </cell>
          <cell r="B1201" t="str">
            <v>Муниципальное образование Красноуфимский округ</v>
          </cell>
          <cell r="C1201">
            <v>6</v>
          </cell>
          <cell r="D1201" t="str">
            <v>сельские населенные пункты с численностью населения менее 1 000 человек.</v>
          </cell>
        </row>
        <row r="1202">
          <cell r="A1202" t="str">
            <v>54:013:2:5:6</v>
          </cell>
          <cell r="B1202" t="str">
            <v>Муниципальное образование Красноуфимский округ</v>
          </cell>
          <cell r="C1202">
            <v>6</v>
          </cell>
          <cell r="D1202" t="str">
            <v>сельские населенные пункты с численностью населения менее 1 000 человек.</v>
          </cell>
        </row>
        <row r="1203">
          <cell r="A1203" t="str">
            <v>54:024:2:4:6</v>
          </cell>
          <cell r="B1203" t="str">
            <v>Муниципальное образование Красноуфимский округ</v>
          </cell>
          <cell r="C1203">
            <v>6</v>
          </cell>
          <cell r="D1203" t="str">
            <v>сельские населенные пункты с численностью населения менее 1 000 человек.</v>
          </cell>
        </row>
        <row r="1204">
          <cell r="A1204" t="str">
            <v>54:036:2:4:6</v>
          </cell>
          <cell r="B1204" t="str">
            <v>Муниципальное образование Красноуфимский округ</v>
          </cell>
          <cell r="C1204">
            <v>6</v>
          </cell>
          <cell r="D1204" t="str">
            <v>сельские населенные пункты с численностью населения менее 1 000 человек.</v>
          </cell>
        </row>
        <row r="1205">
          <cell r="A1205" t="str">
            <v>54:037:2:4:6</v>
          </cell>
          <cell r="B1205" t="str">
            <v>Муниципальное образование Красноуфимский округ</v>
          </cell>
          <cell r="C1205">
            <v>6</v>
          </cell>
          <cell r="D1205" t="str">
            <v>сельские населенные пункты с численностью населения менее 1 000 человек.</v>
          </cell>
        </row>
        <row r="1206">
          <cell r="A1206" t="str">
            <v>54:006:2:5:6</v>
          </cell>
          <cell r="B1206" t="str">
            <v>Муниципальное образование Красноуфимский округ</v>
          </cell>
          <cell r="C1206">
            <v>6</v>
          </cell>
          <cell r="D1206" t="str">
            <v>сельские населенные пункты с численностью населения менее 1 000 человек.</v>
          </cell>
        </row>
        <row r="1207">
          <cell r="A1207" t="str">
            <v>54:012:2:5:6</v>
          </cell>
          <cell r="B1207" t="str">
            <v>Муниципальное образование Красноуфимский округ</v>
          </cell>
          <cell r="C1207">
            <v>6</v>
          </cell>
          <cell r="D1207" t="str">
            <v>сельские населенные пункты с численностью населения менее 1 000 человек.</v>
          </cell>
        </row>
        <row r="1208">
          <cell r="A1208" t="str">
            <v>54:062:2:4:6</v>
          </cell>
          <cell r="B1208" t="str">
            <v>Муниципальное образование Красноуфимский округ</v>
          </cell>
          <cell r="C1208">
            <v>6</v>
          </cell>
          <cell r="D1208" t="str">
            <v>сельские населенные пункты с численностью населения менее 1 000 человек.</v>
          </cell>
        </row>
        <row r="1209">
          <cell r="A1209" t="str">
            <v>54:044:2:5:6</v>
          </cell>
          <cell r="B1209" t="str">
            <v>Муниципальное образование Красноуфимский округ</v>
          </cell>
          <cell r="C1209">
            <v>6</v>
          </cell>
          <cell r="D1209" t="str">
            <v>сельские населенные пункты с численностью населения менее 1 000 человек.</v>
          </cell>
        </row>
        <row r="1210">
          <cell r="A1210" t="str">
            <v>54:007:2:4:6</v>
          </cell>
          <cell r="B1210" t="str">
            <v>Муниципальное образование Красноуфимский округ</v>
          </cell>
          <cell r="C1210">
            <v>6</v>
          </cell>
          <cell r="D1210" t="str">
            <v>сельские населенные пункты с численностью населения менее 1 000 человек.</v>
          </cell>
        </row>
        <row r="1211">
          <cell r="A1211" t="str">
            <v>54:040:2:5:6</v>
          </cell>
          <cell r="B1211" t="str">
            <v>Муниципальное образование Красноуфимский округ</v>
          </cell>
          <cell r="C1211">
            <v>6</v>
          </cell>
          <cell r="D1211" t="str">
            <v>сельские населенные пункты с численностью населения менее 1 000 человек.</v>
          </cell>
        </row>
        <row r="1212">
          <cell r="A1212" t="str">
            <v>54:001:2:4:6</v>
          </cell>
          <cell r="B1212" t="str">
            <v>Муниципальное образование Красноуфимский округ</v>
          </cell>
          <cell r="C1212">
            <v>6</v>
          </cell>
          <cell r="D1212" t="str">
            <v>сельские населенные пункты с численностью населения менее 1 000 человек.</v>
          </cell>
        </row>
        <row r="1213">
          <cell r="A1213" t="str">
            <v>54:066:2:5:6</v>
          </cell>
          <cell r="B1213" t="str">
            <v>Муниципальное образование Красноуфимский округ</v>
          </cell>
          <cell r="C1213">
            <v>6</v>
          </cell>
          <cell r="D1213" t="str">
            <v>сельские населенные пункты с численностью населения менее 1 000 человек.</v>
          </cell>
        </row>
        <row r="1214">
          <cell r="A1214" t="str">
            <v>54:065:2:4:6</v>
          </cell>
          <cell r="B1214" t="str">
            <v>Муниципальное образование Красноуфимский округ</v>
          </cell>
          <cell r="C1214">
            <v>6</v>
          </cell>
          <cell r="D1214" t="str">
            <v>сельские населенные пункты с численностью населения менее 1 000 человек.</v>
          </cell>
        </row>
        <row r="1215">
          <cell r="A1215" t="str">
            <v>54:021:2:4:6</v>
          </cell>
          <cell r="B1215" t="str">
            <v>Муниципальное образование Красноуфимский округ</v>
          </cell>
          <cell r="C1215">
            <v>6</v>
          </cell>
          <cell r="D1215" t="str">
            <v>сельские населенные пункты с численностью населения менее 1 000 человек.</v>
          </cell>
        </row>
        <row r="1216">
          <cell r="A1216" t="str">
            <v>54:041:2:5:5</v>
          </cell>
          <cell r="B1216" t="str">
            <v>Муниципальное образование Красноуфимский округ</v>
          </cell>
          <cell r="C1216">
            <v>5</v>
          </cell>
          <cell r="D1216" t="str">
            <v>сельские населенные пункты с численностью населения более 1 000 человек;</v>
          </cell>
        </row>
        <row r="1217">
          <cell r="A1217" t="str">
            <v>54:003:2:3:6</v>
          </cell>
          <cell r="B1217" t="str">
            <v>Муниципальное образование Красноуфимский округ</v>
          </cell>
          <cell r="C1217">
            <v>6</v>
          </cell>
          <cell r="D1217" t="str">
            <v>сельские населенные пункты с численностью населения менее 1 000 человек.</v>
          </cell>
        </row>
        <row r="1218">
          <cell r="A1218" t="str">
            <v>54:033:2:5:6</v>
          </cell>
          <cell r="B1218" t="str">
            <v>Муниципальное образование Красноуфимский округ</v>
          </cell>
          <cell r="C1218">
            <v>6</v>
          </cell>
          <cell r="D1218" t="str">
            <v>сельские населенные пункты с численностью населения менее 1 000 человек.</v>
          </cell>
        </row>
        <row r="1219">
          <cell r="A1219" t="str">
            <v>54:063:2:5:6</v>
          </cell>
          <cell r="B1219" t="str">
            <v>Муниципальное образование Красноуфимский округ</v>
          </cell>
          <cell r="C1219">
            <v>6</v>
          </cell>
          <cell r="D1219" t="str">
            <v>сельские населенные пункты с численностью населения менее 1 000 человек.</v>
          </cell>
        </row>
        <row r="1220">
          <cell r="A1220" t="str">
            <v>54:014:2:5:6</v>
          </cell>
          <cell r="B1220" t="str">
            <v>Муниципальное образование Красноуфимский округ</v>
          </cell>
          <cell r="C1220">
            <v>6</v>
          </cell>
          <cell r="D1220" t="str">
            <v>сельские населенные пункты с численностью населения менее 1 000 человек.</v>
          </cell>
        </row>
        <row r="1221">
          <cell r="A1221" t="str">
            <v>54:027:2:4:5</v>
          </cell>
          <cell r="B1221" t="str">
            <v>Муниципальное образование Красноуфимский округ</v>
          </cell>
          <cell r="C1221">
            <v>5</v>
          </cell>
          <cell r="D1221" t="str">
            <v>сельские населенные пункты с численностью населения более 1 000 человек;</v>
          </cell>
        </row>
        <row r="1222">
          <cell r="A1222" t="str">
            <v>54:059:2:5:6</v>
          </cell>
          <cell r="B1222" t="str">
            <v>Муниципальное образование Красноуфимский округ</v>
          </cell>
          <cell r="C1222">
            <v>6</v>
          </cell>
          <cell r="D1222" t="str">
            <v>сельские населенные пункты с численностью населения менее 1 000 человек.</v>
          </cell>
        </row>
        <row r="1223">
          <cell r="A1223" t="str">
            <v>54:042:2:4:6</v>
          </cell>
          <cell r="B1223" t="str">
            <v>Муниципальное образование Красноуфимский округ</v>
          </cell>
          <cell r="C1223">
            <v>6</v>
          </cell>
          <cell r="D1223" t="str">
            <v>сельские населенные пункты с численностью населения менее 1 000 человек.</v>
          </cell>
        </row>
        <row r="1224">
          <cell r="A1224" t="str">
            <v>54:004:2:5:6</v>
          </cell>
          <cell r="B1224" t="str">
            <v>Муниципальное образование Красноуфимский округ</v>
          </cell>
          <cell r="C1224">
            <v>6</v>
          </cell>
          <cell r="D1224" t="str">
            <v>сельские населенные пункты с численностью населения менее 1 000 человек.</v>
          </cell>
        </row>
        <row r="1225">
          <cell r="A1225" t="str">
            <v>54:028:2:5:6</v>
          </cell>
          <cell r="B1225" t="str">
            <v>Муниципальное образование Красноуфимский округ</v>
          </cell>
          <cell r="C1225">
            <v>6</v>
          </cell>
          <cell r="D1225" t="str">
            <v>сельские населенные пункты с численностью населения менее 1 000 человек.</v>
          </cell>
        </row>
        <row r="1226">
          <cell r="A1226" t="str">
            <v>54:054:2:5:6</v>
          </cell>
          <cell r="B1226" t="str">
            <v>Муниципальное образование Красноуфимский округ</v>
          </cell>
          <cell r="C1226">
            <v>6</v>
          </cell>
          <cell r="D1226" t="str">
            <v>сельские населенные пункты с численностью населения менее 1 000 человек.</v>
          </cell>
        </row>
        <row r="1227">
          <cell r="A1227" t="str">
            <v>54:009:2:5:6</v>
          </cell>
          <cell r="B1227" t="str">
            <v>Муниципальное образование Красноуфимский округ</v>
          </cell>
          <cell r="C1227">
            <v>6</v>
          </cell>
          <cell r="D1227" t="str">
            <v>сельские населенные пункты с численностью населения менее 1 000 человек.</v>
          </cell>
        </row>
        <row r="1228">
          <cell r="A1228" t="str">
            <v>54:019:2:5:6</v>
          </cell>
          <cell r="B1228" t="str">
            <v>Муниципальное образование Красноуфимский округ</v>
          </cell>
          <cell r="C1228">
            <v>6</v>
          </cell>
          <cell r="D1228" t="str">
            <v>сельские населенные пункты с численностью населения менее 1 000 человек.</v>
          </cell>
        </row>
        <row r="1229">
          <cell r="A1229" t="str">
            <v>54:002:2:5:6</v>
          </cell>
          <cell r="B1229" t="str">
            <v>Муниципальное образование Красноуфимский округ</v>
          </cell>
          <cell r="C1229">
            <v>6</v>
          </cell>
          <cell r="D1229" t="str">
            <v>сельские населенные пункты с численностью населения менее 1 000 человек.</v>
          </cell>
        </row>
        <row r="1230">
          <cell r="A1230" t="str">
            <v>54:064:2:5:6</v>
          </cell>
          <cell r="B1230" t="str">
            <v>Муниципальное образование Красноуфимский округ</v>
          </cell>
          <cell r="C1230">
            <v>6</v>
          </cell>
          <cell r="D1230" t="str">
            <v>сельские населенные пункты с численностью населения менее 1 000 человек.</v>
          </cell>
        </row>
        <row r="1231">
          <cell r="A1231" t="str">
            <v>54:018:2:5:6</v>
          </cell>
          <cell r="B1231" t="str">
            <v>Муниципальное образование Красноуфимский округ</v>
          </cell>
          <cell r="C1231">
            <v>6</v>
          </cell>
          <cell r="D1231" t="str">
            <v>сельские населенные пункты с численностью населения менее 1 000 человек.</v>
          </cell>
        </row>
        <row r="1232">
          <cell r="A1232" t="str">
            <v>54:023:2:5:6</v>
          </cell>
          <cell r="B1232" t="str">
            <v>Муниципальное образование Красноуфимский округ</v>
          </cell>
          <cell r="C1232">
            <v>6</v>
          </cell>
          <cell r="D1232" t="str">
            <v>сельские населенные пункты с численностью населения менее 1 000 человек.</v>
          </cell>
        </row>
        <row r="1233">
          <cell r="A1233" t="str">
            <v>54:056:2:5:6</v>
          </cell>
          <cell r="B1233" t="str">
            <v>Муниципальное образование Красноуфимский округ</v>
          </cell>
          <cell r="C1233">
            <v>6</v>
          </cell>
          <cell r="D1233" t="str">
            <v>сельские населенные пункты с численностью населения менее 1 000 человек.</v>
          </cell>
        </row>
        <row r="1234">
          <cell r="A1234" t="str">
            <v>54:039:2:5:6</v>
          </cell>
          <cell r="B1234" t="str">
            <v>Муниципальное образование Красноуфимский округ</v>
          </cell>
          <cell r="C1234">
            <v>6</v>
          </cell>
          <cell r="D1234" t="str">
            <v>сельские населенные пункты с численностью населения менее 1 000 человек.</v>
          </cell>
        </row>
        <row r="1235">
          <cell r="A1235" t="str">
            <v>54:047:2:5:6</v>
          </cell>
          <cell r="B1235" t="str">
            <v>Муниципальное образование Красноуфимский округ</v>
          </cell>
          <cell r="C1235">
            <v>6</v>
          </cell>
          <cell r="D1235" t="str">
            <v>сельские населенные пункты с численностью населения менее 1 000 человек.</v>
          </cell>
        </row>
        <row r="1236">
          <cell r="A1236" t="str">
            <v>54:068:2:4:6</v>
          </cell>
          <cell r="B1236" t="str">
            <v>Муниципальное образование Красноуфимский округ</v>
          </cell>
          <cell r="C1236">
            <v>6</v>
          </cell>
          <cell r="D1236" t="str">
            <v>сельские населенные пункты с численностью населения менее 1 000 человек.</v>
          </cell>
        </row>
        <row r="1237">
          <cell r="A1237" t="str">
            <v>54:045:2:5:6</v>
          </cell>
          <cell r="B1237" t="str">
            <v>Муниципальное образование Красноуфимский округ</v>
          </cell>
          <cell r="C1237">
            <v>6</v>
          </cell>
          <cell r="D1237" t="str">
            <v>сельские населенные пункты с численностью населения менее 1 000 человек.</v>
          </cell>
        </row>
        <row r="1238">
          <cell r="A1238" t="str">
            <v>54:032:2:5:6</v>
          </cell>
          <cell r="B1238" t="str">
            <v>Муниципальное образование Красноуфимский округ</v>
          </cell>
          <cell r="C1238">
            <v>6</v>
          </cell>
          <cell r="D1238" t="str">
            <v>сельские населенные пункты с численностью населения менее 1 000 человек.</v>
          </cell>
        </row>
        <row r="1239">
          <cell r="A1239" t="str">
            <v>54:060:2:5:6</v>
          </cell>
          <cell r="B1239" t="str">
            <v>Муниципальное образование Красноуфимский округ</v>
          </cell>
          <cell r="C1239">
            <v>6</v>
          </cell>
          <cell r="D1239" t="str">
            <v>сельские населенные пункты с численностью населения менее 1 000 человек.</v>
          </cell>
        </row>
        <row r="1240">
          <cell r="A1240" t="str">
            <v>54:038:2:5:6</v>
          </cell>
          <cell r="B1240" t="str">
            <v>Муниципальное образование Красноуфимский округ</v>
          </cell>
          <cell r="C1240">
            <v>6</v>
          </cell>
          <cell r="D1240" t="str">
            <v>сельские населенные пункты с численностью населения менее 1 000 человек.</v>
          </cell>
        </row>
        <row r="1241">
          <cell r="A1241" t="str">
            <v>54:055:2:4:6</v>
          </cell>
          <cell r="B1241" t="str">
            <v>Муниципальное образование Красноуфимский округ</v>
          </cell>
          <cell r="C1241">
            <v>6</v>
          </cell>
          <cell r="D1241" t="str">
            <v>сельские населенные пункты с численностью населения менее 1 000 человек.</v>
          </cell>
        </row>
        <row r="1242">
          <cell r="A1242" t="str">
            <v>54:010:2:5:6</v>
          </cell>
          <cell r="B1242" t="str">
            <v>Муниципальное образование Красноуфимский округ</v>
          </cell>
          <cell r="C1242">
            <v>6</v>
          </cell>
          <cell r="D1242" t="str">
            <v>сельские населенные пункты с численностью населения менее 1 000 человек.</v>
          </cell>
        </row>
        <row r="1243">
          <cell r="A1243" t="str">
            <v>54:015:2:3:6</v>
          </cell>
          <cell r="B1243" t="str">
            <v>Муниципальное образование Красноуфимский округ</v>
          </cell>
          <cell r="C1243">
            <v>6</v>
          </cell>
          <cell r="D1243" t="str">
            <v>сельские населенные пункты с численностью населения менее 1 000 человек.</v>
          </cell>
        </row>
        <row r="1244">
          <cell r="A1244" t="str">
            <v>54:050:2:3:6</v>
          </cell>
          <cell r="B1244" t="str">
            <v>Муниципальное образование Красноуфимский округ</v>
          </cell>
          <cell r="C1244">
            <v>6</v>
          </cell>
          <cell r="D1244" t="str">
            <v>сельские населенные пункты с численностью населения менее 1 000 человек.</v>
          </cell>
        </row>
        <row r="1245">
          <cell r="A1245" t="str">
            <v>54:058:2:5:6</v>
          </cell>
          <cell r="B1245" t="str">
            <v>Муниципальное образование Красноуфимский округ</v>
          </cell>
          <cell r="C1245">
            <v>6</v>
          </cell>
          <cell r="D1245" t="str">
            <v>сельские населенные пункты с численностью населения менее 1 000 человек.</v>
          </cell>
        </row>
        <row r="1246">
          <cell r="A1246" t="str">
            <v>54:051:2:4:6</v>
          </cell>
          <cell r="B1246" t="str">
            <v>Муниципальное образование Красноуфимский округ</v>
          </cell>
          <cell r="C1246">
            <v>6</v>
          </cell>
          <cell r="D1246" t="str">
            <v>сельские населенные пункты с численностью населения менее 1 000 человек.</v>
          </cell>
        </row>
        <row r="1247">
          <cell r="A1247" t="str">
            <v>54:052:2:5:6</v>
          </cell>
          <cell r="B1247" t="str">
            <v>Муниципальное образование Красноуфимский округ</v>
          </cell>
          <cell r="C1247">
            <v>6</v>
          </cell>
          <cell r="D1247" t="str">
            <v>сельские населенные пункты с численностью населения менее 1 000 человек.</v>
          </cell>
        </row>
        <row r="1248">
          <cell r="A1248" t="str">
            <v>54:026:2:4:5</v>
          </cell>
          <cell r="B1248" t="str">
            <v>Муниципальное образование Красноуфимский округ</v>
          </cell>
          <cell r="C1248">
            <v>5</v>
          </cell>
          <cell r="D1248" t="str">
            <v>сельские населенные пункты с численностью населения более 1 000 человек;</v>
          </cell>
        </row>
        <row r="1249">
          <cell r="A1249" t="str">
            <v>54:048:2:3:5</v>
          </cell>
          <cell r="B1249" t="str">
            <v>Муниципальное образование Красноуфимский округ</v>
          </cell>
          <cell r="C1249">
            <v>5</v>
          </cell>
          <cell r="D1249" t="str">
            <v>сельские населенные пункты с численностью населения более 1 000 человек;</v>
          </cell>
        </row>
        <row r="1250">
          <cell r="A1250" t="str">
            <v>54:034:1:2:4</v>
          </cell>
          <cell r="B1250" t="str">
            <v>Муниципальное образование Красноуфимский округ</v>
          </cell>
          <cell r="C1250">
            <v>4</v>
          </cell>
          <cell r="D1250" t="str">
            <v>городские населенные пункты с численностью населения менее 50 000 человек;</v>
          </cell>
        </row>
        <row r="1251">
          <cell r="A1251" t="str">
            <v>54:043:2:4:6</v>
          </cell>
          <cell r="B1251" t="str">
            <v>Муниципальное образование Красноуфимский округ</v>
          </cell>
          <cell r="C1251">
            <v>6</v>
          </cell>
          <cell r="D1251" t="str">
            <v>сельские населенные пункты с численностью населения менее 1 000 человек.</v>
          </cell>
        </row>
        <row r="1252">
          <cell r="A1252" t="str">
            <v>54:005:2:5:5</v>
          </cell>
          <cell r="B1252" t="str">
            <v>Муниципальное образование Красноуфимский округ</v>
          </cell>
          <cell r="C1252">
            <v>5</v>
          </cell>
          <cell r="D1252" t="str">
            <v>сельские населенные пункты с численностью населения более 1 000 человек;</v>
          </cell>
        </row>
        <row r="1253">
          <cell r="A1253" t="str">
            <v>54:053:2:3:6</v>
          </cell>
          <cell r="B1253" t="str">
            <v>Муниципальное образование Красноуфимский округ</v>
          </cell>
          <cell r="C1253">
            <v>6</v>
          </cell>
          <cell r="D1253" t="str">
            <v>сельские населенные пункты с численностью населения менее 1 000 человек.</v>
          </cell>
        </row>
        <row r="1254">
          <cell r="A1254" t="str">
            <v>54:049:2:3:6</v>
          </cell>
          <cell r="B1254" t="str">
            <v>Муниципальное образование Красноуфимский округ</v>
          </cell>
          <cell r="C1254">
            <v>6</v>
          </cell>
          <cell r="D1254" t="str">
            <v>сельские населенные пункты с численностью населения менее 1 000 человек.</v>
          </cell>
        </row>
        <row r="1255">
          <cell r="A1255" t="str">
            <v>54:016:2:5:6</v>
          </cell>
          <cell r="B1255" t="str">
            <v>Муниципальное образование Красноуфимский округ</v>
          </cell>
          <cell r="C1255">
            <v>6</v>
          </cell>
          <cell r="D1255" t="str">
            <v>сельские населенные пункты с численностью населения менее 1 000 человек.</v>
          </cell>
        </row>
        <row r="1256">
          <cell r="A1256" t="str">
            <v>54:031:2:4:6</v>
          </cell>
          <cell r="B1256" t="str">
            <v>Муниципальное образование Красноуфимский округ</v>
          </cell>
          <cell r="C1256">
            <v>6</v>
          </cell>
          <cell r="D1256" t="str">
            <v>сельские населенные пункты с численностью населения менее 1 000 человек.</v>
          </cell>
        </row>
        <row r="1257">
          <cell r="A1257" t="str">
            <v>54:000:0:0:0</v>
          </cell>
          <cell r="B1257" t="str">
            <v>Муниципальное образование Красноуфимский округ</v>
          </cell>
          <cell r="C1257">
            <v>0</v>
          </cell>
          <cell r="D1257" t="str">
            <v>межселенная территория</v>
          </cell>
        </row>
        <row r="1258">
          <cell r="A1258" t="str">
            <v>55:001:2:3:6</v>
          </cell>
          <cell r="B1258" t="str">
            <v>Невьянский городской округ</v>
          </cell>
          <cell r="C1258">
            <v>6</v>
          </cell>
          <cell r="D1258" t="str">
            <v>сельские населенные пункты с численностью населения менее 1 000 человек.</v>
          </cell>
        </row>
        <row r="1259">
          <cell r="A1259" t="str">
            <v>55:023:2:5:6</v>
          </cell>
          <cell r="B1259" t="str">
            <v>Невьянский городской округ</v>
          </cell>
          <cell r="C1259">
            <v>6</v>
          </cell>
          <cell r="D1259" t="str">
            <v>сельские населенные пункты с численностью населения менее 1 000 человек.</v>
          </cell>
        </row>
        <row r="1260">
          <cell r="A1260" t="str">
            <v>55:027:2:5:6</v>
          </cell>
          <cell r="B1260" t="str">
            <v>Невьянский городской округ</v>
          </cell>
          <cell r="C1260">
            <v>6</v>
          </cell>
          <cell r="D1260" t="str">
            <v>сельские населенные пункты с численностью населения менее 1 000 человек.</v>
          </cell>
        </row>
        <row r="1261">
          <cell r="A1261" t="str">
            <v>55:032:2:3:6</v>
          </cell>
          <cell r="B1261" t="str">
            <v>Невьянский городской округ</v>
          </cell>
          <cell r="C1261">
            <v>6</v>
          </cell>
          <cell r="D1261" t="str">
            <v>сельские населенные пункты с численностью населения менее 1 000 человек.</v>
          </cell>
        </row>
        <row r="1262">
          <cell r="A1262" t="str">
            <v>55:021:2:3:6</v>
          </cell>
          <cell r="B1262" t="str">
            <v>Невьянский городской округ</v>
          </cell>
          <cell r="C1262">
            <v>6</v>
          </cell>
          <cell r="D1262" t="str">
            <v>сельские населенные пункты с численностью населения менее 1 000 человек.</v>
          </cell>
        </row>
        <row r="1263">
          <cell r="A1263" t="str">
            <v>55:020:2:5:6</v>
          </cell>
          <cell r="B1263" t="str">
            <v>Невьянский городской округ</v>
          </cell>
          <cell r="C1263">
            <v>6</v>
          </cell>
          <cell r="D1263" t="str">
            <v>сельские населенные пункты с численностью населения менее 1 000 человек.</v>
          </cell>
        </row>
        <row r="1264">
          <cell r="A1264" t="str">
            <v>55:008:2:5:6</v>
          </cell>
          <cell r="B1264" t="str">
            <v>Невьянский городской округ</v>
          </cell>
          <cell r="C1264">
            <v>6</v>
          </cell>
          <cell r="D1264" t="str">
            <v>сельские населенные пункты с численностью населения менее 1 000 человек.</v>
          </cell>
        </row>
        <row r="1265">
          <cell r="A1265" t="str">
            <v>55:010:2:3:6</v>
          </cell>
          <cell r="B1265" t="str">
            <v>Невьянский городской округ</v>
          </cell>
          <cell r="C1265">
            <v>6</v>
          </cell>
          <cell r="D1265" t="str">
            <v>сельские населенные пункты с численностью населения менее 1 000 человек.</v>
          </cell>
        </row>
        <row r="1266">
          <cell r="A1266" t="str">
            <v>55:028:2:3:6</v>
          </cell>
          <cell r="B1266" t="str">
            <v>Невьянский городской округ</v>
          </cell>
          <cell r="C1266">
            <v>6</v>
          </cell>
          <cell r="D1266" t="str">
            <v>сельские населенные пункты с численностью населения менее 1 000 человек.</v>
          </cell>
        </row>
        <row r="1267">
          <cell r="A1267" t="str">
            <v>55:016:2:5:6</v>
          </cell>
          <cell r="B1267" t="str">
            <v>Невьянский городской округ</v>
          </cell>
          <cell r="C1267">
            <v>6</v>
          </cell>
          <cell r="D1267" t="str">
            <v>сельские населенные пункты с численностью населения менее 1 000 человек.</v>
          </cell>
        </row>
        <row r="1268">
          <cell r="A1268" t="str">
            <v>55:014:2:4:6</v>
          </cell>
          <cell r="B1268" t="str">
            <v>Невьянский городской округ</v>
          </cell>
          <cell r="C1268">
            <v>6</v>
          </cell>
          <cell r="D1268" t="str">
            <v>сельские населенные пункты с численностью населения менее 1 000 человек.</v>
          </cell>
        </row>
        <row r="1269">
          <cell r="A1269" t="str">
            <v>55:038:2:3:6</v>
          </cell>
          <cell r="B1269" t="str">
            <v>Невьянский городской округ</v>
          </cell>
          <cell r="C1269">
            <v>6</v>
          </cell>
          <cell r="D1269" t="str">
            <v>сельские населенные пункты с численностью населения менее 1 000 человек.</v>
          </cell>
        </row>
        <row r="1270">
          <cell r="A1270" t="str">
            <v>55:025:2:5:6</v>
          </cell>
          <cell r="B1270" t="str">
            <v>Невьянский городской округ</v>
          </cell>
          <cell r="C1270">
            <v>6</v>
          </cell>
          <cell r="D1270" t="str">
            <v>сельские населенные пункты с численностью населения менее 1 000 человек.</v>
          </cell>
        </row>
        <row r="1271">
          <cell r="A1271" t="str">
            <v>55:018:2:3:6</v>
          </cell>
          <cell r="B1271" t="str">
            <v>Невьянский городской округ</v>
          </cell>
          <cell r="C1271">
            <v>6</v>
          </cell>
          <cell r="D1271" t="str">
            <v>сельские населенные пункты с численностью населения менее 1 000 человек.</v>
          </cell>
        </row>
        <row r="1272">
          <cell r="A1272" t="str">
            <v>55:031:2:3:6</v>
          </cell>
          <cell r="B1272" t="str">
            <v>Невьянский городской округ</v>
          </cell>
          <cell r="C1272">
            <v>6</v>
          </cell>
          <cell r="D1272" t="str">
            <v>сельские населенные пункты с численностью населения менее 1 000 человек.</v>
          </cell>
        </row>
        <row r="1273">
          <cell r="A1273" t="str">
            <v>55:024:2:3:6</v>
          </cell>
          <cell r="B1273" t="str">
            <v>Невьянский городской округ</v>
          </cell>
          <cell r="C1273">
            <v>6</v>
          </cell>
          <cell r="D1273" t="str">
            <v>сельские населенные пункты с численностью населения менее 1 000 человек.</v>
          </cell>
        </row>
        <row r="1274">
          <cell r="A1274" t="str">
            <v>55:034:2:3:6</v>
          </cell>
          <cell r="B1274" t="str">
            <v>Невьянский городской округ</v>
          </cell>
          <cell r="C1274">
            <v>6</v>
          </cell>
          <cell r="D1274" t="str">
            <v>сельские населенные пункты с численностью населения менее 1 000 человек.</v>
          </cell>
        </row>
        <row r="1275">
          <cell r="A1275" t="str">
            <v>55:005:2:3:6</v>
          </cell>
          <cell r="B1275" t="str">
            <v>Невьянский городской округ</v>
          </cell>
          <cell r="C1275">
            <v>6</v>
          </cell>
          <cell r="D1275" t="str">
            <v>сельские населенные пункты с численностью населения менее 1 000 человек.</v>
          </cell>
        </row>
        <row r="1276">
          <cell r="A1276" t="str">
            <v>55:019:2:5:6</v>
          </cell>
          <cell r="B1276" t="str">
            <v>Невьянский городской округ</v>
          </cell>
          <cell r="C1276">
            <v>6</v>
          </cell>
          <cell r="D1276" t="str">
            <v>сельские населенные пункты с численностью населения менее 1 000 человек.</v>
          </cell>
        </row>
        <row r="1277">
          <cell r="A1277" t="str">
            <v>55:004:2:4:6</v>
          </cell>
          <cell r="B1277" t="str">
            <v>Невьянский городской округ</v>
          </cell>
          <cell r="C1277">
            <v>6</v>
          </cell>
          <cell r="D1277" t="str">
            <v>сельские населенные пункты с численностью населения менее 1 000 человек.</v>
          </cell>
        </row>
        <row r="1278">
          <cell r="A1278" t="str">
            <v>55:035:2:3:6</v>
          </cell>
          <cell r="B1278" t="str">
            <v>Невьянский городской округ</v>
          </cell>
          <cell r="C1278">
            <v>6</v>
          </cell>
          <cell r="D1278" t="str">
            <v>сельские населенные пункты с численностью населения менее 1 000 человек.</v>
          </cell>
        </row>
        <row r="1279">
          <cell r="A1279" t="str">
            <v>55:026:2:3:6</v>
          </cell>
          <cell r="B1279" t="str">
            <v>Невьянский городской округ</v>
          </cell>
          <cell r="C1279">
            <v>6</v>
          </cell>
          <cell r="D1279" t="str">
            <v>сельские населенные пункты с численностью населения менее 1 000 человек.</v>
          </cell>
        </row>
        <row r="1280">
          <cell r="A1280" t="str">
            <v>55:013:2:4:6</v>
          </cell>
          <cell r="B1280" t="str">
            <v>Невьянский городской округ</v>
          </cell>
          <cell r="C1280">
            <v>6</v>
          </cell>
          <cell r="D1280" t="str">
            <v>сельские населенные пункты с численностью населения менее 1 000 человек.</v>
          </cell>
        </row>
        <row r="1281">
          <cell r="A1281" t="str">
            <v>55:012:2:4:6</v>
          </cell>
          <cell r="B1281" t="str">
            <v>Невьянский городской округ</v>
          </cell>
          <cell r="C1281">
            <v>6</v>
          </cell>
          <cell r="D1281" t="str">
            <v>сельские населенные пункты с численностью населения менее 1 000 человек.</v>
          </cell>
        </row>
        <row r="1282">
          <cell r="A1282" t="str">
            <v>55:037:2:4:6</v>
          </cell>
          <cell r="B1282" t="str">
            <v>Невьянский городской округ</v>
          </cell>
          <cell r="C1282">
            <v>6</v>
          </cell>
          <cell r="D1282" t="str">
            <v>сельские населенные пункты с численностью населения менее 1 000 человек.</v>
          </cell>
        </row>
        <row r="1283">
          <cell r="A1283" t="str">
            <v>55:033:2:4:6</v>
          </cell>
          <cell r="B1283" t="str">
            <v>Невьянский городской округ</v>
          </cell>
          <cell r="C1283">
            <v>6</v>
          </cell>
          <cell r="D1283" t="str">
            <v>сельские населенные пункты с численностью населения менее 1 000 человек.</v>
          </cell>
        </row>
        <row r="1284">
          <cell r="A1284" t="str">
            <v>55:015:2:4:6</v>
          </cell>
          <cell r="B1284" t="str">
            <v>Невьянский городской округ</v>
          </cell>
          <cell r="C1284">
            <v>6</v>
          </cell>
          <cell r="D1284" t="str">
            <v>сельские населенные пункты с численностью населения менее 1 000 человек.</v>
          </cell>
        </row>
        <row r="1285">
          <cell r="A1285" t="str">
            <v>55:036:2:4:6</v>
          </cell>
          <cell r="B1285" t="str">
            <v>Невьянский городской округ</v>
          </cell>
          <cell r="C1285">
            <v>6</v>
          </cell>
          <cell r="D1285" t="str">
            <v>сельские населенные пункты с численностью населения менее 1 000 человек.</v>
          </cell>
        </row>
        <row r="1286">
          <cell r="A1286" t="str">
            <v>55:002:2:4:6</v>
          </cell>
          <cell r="B1286" t="str">
            <v>Невьянский городской округ</v>
          </cell>
          <cell r="C1286">
            <v>6</v>
          </cell>
          <cell r="D1286" t="str">
            <v>сельские населенные пункты с численностью населения менее 1 000 человек.</v>
          </cell>
        </row>
        <row r="1287">
          <cell r="A1287" t="str">
            <v>55:030:2:3:6</v>
          </cell>
          <cell r="B1287" t="str">
            <v>Невьянский городской округ</v>
          </cell>
          <cell r="C1287">
            <v>6</v>
          </cell>
          <cell r="D1287" t="str">
            <v>сельские населенные пункты с численностью населения менее 1 000 человек.</v>
          </cell>
        </row>
        <row r="1288">
          <cell r="A1288" t="str">
            <v>55:011:2:3:6</v>
          </cell>
          <cell r="B1288" t="str">
            <v>Невьянский городской округ</v>
          </cell>
          <cell r="C1288">
            <v>6</v>
          </cell>
          <cell r="D1288" t="str">
            <v>сельские населенные пункты с численностью населения менее 1 000 человек.</v>
          </cell>
        </row>
        <row r="1289">
          <cell r="A1289" t="str">
            <v>55:029:2:4:6</v>
          </cell>
          <cell r="B1289" t="str">
            <v>Невьянский городской округ</v>
          </cell>
          <cell r="C1289">
            <v>6</v>
          </cell>
          <cell r="D1289" t="str">
            <v>сельские населенные пункты с численностью населения менее 1 000 человек.</v>
          </cell>
        </row>
        <row r="1290">
          <cell r="A1290" t="str">
            <v>55:003:2:3:6</v>
          </cell>
          <cell r="B1290" t="str">
            <v>Невьянский городской округ</v>
          </cell>
          <cell r="C1290">
            <v>6</v>
          </cell>
          <cell r="D1290" t="str">
            <v>сельские населенные пункты с численностью населения менее 1 000 человек.</v>
          </cell>
        </row>
        <row r="1291">
          <cell r="A1291" t="str">
            <v>55:007:2:5:6</v>
          </cell>
          <cell r="B1291" t="str">
            <v>Невьянский городской округ</v>
          </cell>
          <cell r="C1291">
            <v>6</v>
          </cell>
          <cell r="D1291" t="str">
            <v>сельские населенные пункты с численностью населения менее 1 000 человек.</v>
          </cell>
        </row>
        <row r="1292">
          <cell r="A1292" t="str">
            <v>55:006:2:3:6</v>
          </cell>
          <cell r="B1292" t="str">
            <v>Невьянский городской округ</v>
          </cell>
          <cell r="C1292">
            <v>6</v>
          </cell>
          <cell r="D1292" t="str">
            <v>сельские населенные пункты с численностью населения менее 1 000 человек.</v>
          </cell>
        </row>
        <row r="1293">
          <cell r="A1293" t="str">
            <v>55:017:1:1:4</v>
          </cell>
          <cell r="B1293" t="str">
            <v>Невьянский городской округ</v>
          </cell>
          <cell r="C1293">
            <v>4</v>
          </cell>
          <cell r="D1293" t="str">
            <v>городские населенные пункты с численностью населения менее 50 000 человек;</v>
          </cell>
        </row>
        <row r="1294">
          <cell r="A1294" t="str">
            <v>55:022:2:3:6</v>
          </cell>
          <cell r="B1294" t="str">
            <v>Невьянский городской округ</v>
          </cell>
          <cell r="C1294">
            <v>6</v>
          </cell>
          <cell r="D1294" t="str">
            <v>сельские населенные пункты с численностью населения менее 1 000 человек.</v>
          </cell>
        </row>
        <row r="1295">
          <cell r="A1295" t="str">
            <v>55:009:2:3:6</v>
          </cell>
          <cell r="B1295" t="str">
            <v>Невьянский городской округ</v>
          </cell>
          <cell r="C1295">
            <v>6</v>
          </cell>
          <cell r="D1295" t="str">
            <v>сельские населенные пункты с численностью населения менее 1 000 человек.</v>
          </cell>
        </row>
        <row r="1296">
          <cell r="A1296" t="str">
            <v>55:000:0:0:0</v>
          </cell>
          <cell r="B1296" t="str">
            <v>Невьянский городской округ</v>
          </cell>
          <cell r="C1296">
            <v>0</v>
          </cell>
          <cell r="D1296" t="str">
            <v>межселенная территория</v>
          </cell>
        </row>
        <row r="1297">
          <cell r="A1297" t="str">
            <v>56:015:2:5:6</v>
          </cell>
          <cell r="B1297" t="str">
            <v>Нижнесергинский муниципальный район</v>
          </cell>
          <cell r="C1297">
            <v>6</v>
          </cell>
          <cell r="D1297" t="str">
            <v>сельские населенные пункты с численностью населения менее 1 000 человек.</v>
          </cell>
        </row>
        <row r="1298">
          <cell r="A1298" t="str">
            <v>56:013:2:3:6</v>
          </cell>
          <cell r="B1298" t="str">
            <v>Нижнесергинский муниципальный район</v>
          </cell>
          <cell r="C1298">
            <v>6</v>
          </cell>
          <cell r="D1298" t="str">
            <v>сельские населенные пункты с численностью населения менее 1 000 человек.</v>
          </cell>
        </row>
        <row r="1299">
          <cell r="A1299" t="str">
            <v>56:004:2:5:6</v>
          </cell>
          <cell r="B1299" t="str">
            <v>Нижнесергинский муниципальный район</v>
          </cell>
          <cell r="C1299">
            <v>6</v>
          </cell>
          <cell r="D1299" t="str">
            <v>сельские населенные пункты с численностью населения менее 1 000 человек.</v>
          </cell>
        </row>
        <row r="1300">
          <cell r="A1300" t="str">
            <v>56:033:2:5:6</v>
          </cell>
          <cell r="B1300" t="str">
            <v>Нижнесергинский муниципальный район</v>
          </cell>
          <cell r="C1300">
            <v>6</v>
          </cell>
          <cell r="D1300" t="str">
            <v>сельские населенные пункты с численностью населения менее 1 000 человек.</v>
          </cell>
        </row>
        <row r="1301">
          <cell r="A1301" t="str">
            <v>56:017:2:3:6</v>
          </cell>
          <cell r="B1301" t="str">
            <v>Нижнесергинский муниципальный район</v>
          </cell>
          <cell r="C1301">
            <v>6</v>
          </cell>
          <cell r="D1301" t="str">
            <v>сельские населенные пункты с численностью населения менее 1 000 человек.</v>
          </cell>
        </row>
        <row r="1302">
          <cell r="A1302" t="str">
            <v>56:034:2:5:6</v>
          </cell>
          <cell r="B1302" t="str">
            <v>Нижнесергинский муниципальный район</v>
          </cell>
          <cell r="C1302">
            <v>6</v>
          </cell>
          <cell r="D1302" t="str">
            <v>сельские населенные пункты с численностью населения менее 1 000 человек.</v>
          </cell>
        </row>
        <row r="1303">
          <cell r="A1303" t="str">
            <v>56:012:2:5:6</v>
          </cell>
          <cell r="B1303" t="str">
            <v>Нижнесергинский муниципальный район</v>
          </cell>
          <cell r="C1303">
            <v>6</v>
          </cell>
          <cell r="D1303" t="str">
            <v>сельские населенные пункты с численностью населения менее 1 000 человек.</v>
          </cell>
        </row>
        <row r="1304">
          <cell r="A1304" t="str">
            <v>56:023:2:5:6</v>
          </cell>
          <cell r="B1304" t="str">
            <v>Нижнесергинский муниципальный район</v>
          </cell>
          <cell r="C1304">
            <v>6</v>
          </cell>
          <cell r="D1304" t="str">
            <v>сельские населенные пункты с численностью населения менее 1 000 человек.</v>
          </cell>
        </row>
        <row r="1305">
          <cell r="A1305" t="str">
            <v>56:009:2:5:6</v>
          </cell>
          <cell r="B1305" t="str">
            <v>Нижнесергинский муниципальный район</v>
          </cell>
          <cell r="C1305">
            <v>6</v>
          </cell>
          <cell r="D1305" t="str">
            <v>сельские населенные пункты с численностью населения менее 1 000 человек.</v>
          </cell>
        </row>
        <row r="1306">
          <cell r="A1306" t="str">
            <v>56:029:2:5:6</v>
          </cell>
          <cell r="B1306" t="str">
            <v>Нижнесергинский муниципальный район</v>
          </cell>
          <cell r="C1306">
            <v>6</v>
          </cell>
          <cell r="D1306" t="str">
            <v>сельские населенные пункты с численностью населения менее 1 000 человек.</v>
          </cell>
        </row>
        <row r="1307">
          <cell r="A1307" t="str">
            <v>56:022:2:3:6</v>
          </cell>
          <cell r="B1307" t="str">
            <v>Нижнесергинский муниципальный район</v>
          </cell>
          <cell r="C1307">
            <v>6</v>
          </cell>
          <cell r="D1307" t="str">
            <v>сельские населенные пункты с численностью населения менее 1 000 человек.</v>
          </cell>
        </row>
        <row r="1308">
          <cell r="A1308" t="str">
            <v>56:005:2:3:6</v>
          </cell>
          <cell r="B1308" t="str">
            <v>Нижнесергинский муниципальный район</v>
          </cell>
          <cell r="C1308">
            <v>6</v>
          </cell>
          <cell r="D1308" t="str">
            <v>сельские населенные пункты с численностью населения менее 1 000 человек.</v>
          </cell>
        </row>
        <row r="1309">
          <cell r="A1309" t="str">
            <v>56:028:2:3:6</v>
          </cell>
          <cell r="B1309" t="str">
            <v>Нижнесергинский муниципальный район</v>
          </cell>
          <cell r="C1309">
            <v>6</v>
          </cell>
          <cell r="D1309" t="str">
            <v>сельские населенные пункты с численностью населения менее 1 000 человек.</v>
          </cell>
        </row>
        <row r="1310">
          <cell r="A1310" t="str">
            <v>56:016:2:3:6</v>
          </cell>
          <cell r="B1310" t="str">
            <v>Нижнесергинский муниципальный район</v>
          </cell>
          <cell r="C1310">
            <v>6</v>
          </cell>
          <cell r="D1310" t="str">
            <v>сельские населенные пункты с численностью населения менее 1 000 человек.</v>
          </cell>
        </row>
        <row r="1311">
          <cell r="A1311" t="str">
            <v>56:026:2:5:6</v>
          </cell>
          <cell r="B1311" t="str">
            <v>Нижнесергинский муниципальный район</v>
          </cell>
          <cell r="C1311">
            <v>6</v>
          </cell>
          <cell r="D1311" t="str">
            <v>сельские населенные пункты с численностью населения менее 1 000 человек.</v>
          </cell>
        </row>
        <row r="1312">
          <cell r="A1312" t="str">
            <v>56:037:2:5:6</v>
          </cell>
          <cell r="B1312" t="str">
            <v>Нижнесергинский муниципальный район</v>
          </cell>
          <cell r="C1312">
            <v>6</v>
          </cell>
          <cell r="D1312" t="str">
            <v>сельские населенные пункты с численностью населения менее 1 000 человек.</v>
          </cell>
        </row>
        <row r="1313">
          <cell r="A1313" t="str">
            <v>56:027:2:3:6</v>
          </cell>
          <cell r="B1313" t="str">
            <v>Нижнесергинский муниципальный район</v>
          </cell>
          <cell r="C1313">
            <v>6</v>
          </cell>
          <cell r="D1313" t="str">
            <v>сельские населенные пункты с численностью населения менее 1 000 человек.</v>
          </cell>
        </row>
        <row r="1314">
          <cell r="A1314" t="str">
            <v>56:011:2:3:6</v>
          </cell>
          <cell r="B1314" t="str">
            <v>Нижнесергинский муниципальный район</v>
          </cell>
          <cell r="C1314">
            <v>6</v>
          </cell>
          <cell r="D1314" t="str">
            <v>сельские населенные пункты с численностью населения менее 1 000 человек.</v>
          </cell>
        </row>
        <row r="1315">
          <cell r="A1315" t="str">
            <v>56:010:2:4:6</v>
          </cell>
          <cell r="B1315" t="str">
            <v>Нижнесергинский муниципальный район</v>
          </cell>
          <cell r="C1315">
            <v>6</v>
          </cell>
          <cell r="D1315" t="str">
            <v>сельские населенные пункты с численностью населения менее 1 000 человек.</v>
          </cell>
        </row>
        <row r="1316">
          <cell r="A1316" t="str">
            <v>56:031:2:5:6</v>
          </cell>
          <cell r="B1316" t="str">
            <v>Нижнесергинский муниципальный район</v>
          </cell>
          <cell r="C1316">
            <v>6</v>
          </cell>
          <cell r="D1316" t="str">
            <v>сельские населенные пункты с численностью населения менее 1 000 человек.</v>
          </cell>
        </row>
        <row r="1317">
          <cell r="A1317" t="str">
            <v>56:006:2:5:6</v>
          </cell>
          <cell r="B1317" t="str">
            <v>Нижнесергинский муниципальный район</v>
          </cell>
          <cell r="C1317">
            <v>6</v>
          </cell>
          <cell r="D1317" t="str">
            <v>сельские населенные пункты с численностью населения менее 1 000 человек.</v>
          </cell>
        </row>
        <row r="1318">
          <cell r="A1318" t="str">
            <v>56:020:2:4:6</v>
          </cell>
          <cell r="B1318" t="str">
            <v>Нижнесергинский муниципальный район</v>
          </cell>
          <cell r="C1318">
            <v>6</v>
          </cell>
          <cell r="D1318" t="str">
            <v>сельские населенные пункты с численностью населения менее 1 000 человек.</v>
          </cell>
        </row>
        <row r="1319">
          <cell r="A1319" t="str">
            <v>56:024:2:4:6</v>
          </cell>
          <cell r="B1319" t="str">
            <v>Нижнесергинский муниципальный район</v>
          </cell>
          <cell r="C1319">
            <v>6</v>
          </cell>
          <cell r="D1319" t="str">
            <v>сельские населенные пункты с численностью населения менее 1 000 человек.</v>
          </cell>
        </row>
        <row r="1320">
          <cell r="A1320" t="str">
            <v>56:008:1:2:4</v>
          </cell>
          <cell r="B1320" t="str">
            <v>Нижнесергинский муниципальный район</v>
          </cell>
          <cell r="C1320">
            <v>4</v>
          </cell>
          <cell r="D1320" t="str">
            <v>городские населенные пункты с численностью населения менее 50 000 человек;</v>
          </cell>
        </row>
        <row r="1321">
          <cell r="A1321" t="str">
            <v>56:003:1:2:4</v>
          </cell>
          <cell r="B1321" t="str">
            <v>Нижнесергинский муниципальный район</v>
          </cell>
          <cell r="C1321">
            <v>4</v>
          </cell>
          <cell r="D1321" t="str">
            <v>городские населенные пункты с численностью населения менее 50 000 человек;</v>
          </cell>
        </row>
        <row r="1322">
          <cell r="A1322" t="str">
            <v>56:021:1:1:4</v>
          </cell>
          <cell r="B1322" t="str">
            <v>Нижнесергинский муниципальный район</v>
          </cell>
          <cell r="C1322">
            <v>4</v>
          </cell>
          <cell r="D1322" t="str">
            <v>городские населенные пункты с численностью населения менее 50 000 человек;</v>
          </cell>
        </row>
        <row r="1323">
          <cell r="A1323" t="str">
            <v>56:007:1:2:4</v>
          </cell>
          <cell r="B1323" t="str">
            <v>Нижнесергинский муниципальный район</v>
          </cell>
          <cell r="C1323">
            <v>4</v>
          </cell>
          <cell r="D1323" t="str">
            <v>городские населенные пункты с численностью населения менее 50 000 человек;</v>
          </cell>
        </row>
        <row r="1324">
          <cell r="A1324" t="str">
            <v>56:036:2:5:6</v>
          </cell>
          <cell r="B1324" t="str">
            <v>Нижнесергинский муниципальный район</v>
          </cell>
          <cell r="C1324">
            <v>6</v>
          </cell>
          <cell r="D1324" t="str">
            <v>сельские населенные пункты с численностью населения менее 1 000 человек.</v>
          </cell>
        </row>
        <row r="1325">
          <cell r="A1325" t="str">
            <v>56:035:2:5:6</v>
          </cell>
          <cell r="B1325" t="str">
            <v>Нижнесергинский муниципальный район</v>
          </cell>
          <cell r="C1325">
            <v>6</v>
          </cell>
          <cell r="D1325" t="str">
            <v>сельские населенные пункты с численностью населения менее 1 000 человек.</v>
          </cell>
        </row>
        <row r="1326">
          <cell r="A1326" t="str">
            <v>56:018:1:1:4</v>
          </cell>
          <cell r="B1326" t="str">
            <v>Нижнесергинский муниципальный район</v>
          </cell>
          <cell r="C1326">
            <v>4</v>
          </cell>
          <cell r="D1326" t="str">
            <v>городские населенные пункты с численностью населения менее 50 000 человек;</v>
          </cell>
        </row>
        <row r="1327">
          <cell r="A1327" t="str">
            <v>56:001:2:4:6</v>
          </cell>
          <cell r="B1327" t="str">
            <v>Нижнесергинский муниципальный район</v>
          </cell>
          <cell r="C1327">
            <v>6</v>
          </cell>
          <cell r="D1327" t="str">
            <v>сельские населенные пункты с численностью населения менее 1 000 человек.</v>
          </cell>
        </row>
        <row r="1328">
          <cell r="A1328" t="str">
            <v>56:019:2:3:6</v>
          </cell>
          <cell r="B1328" t="str">
            <v>Нижнесергинский муниципальный район</v>
          </cell>
          <cell r="C1328">
            <v>6</v>
          </cell>
          <cell r="D1328" t="str">
            <v>сельские населенные пункты с численностью населения менее 1 000 человек.</v>
          </cell>
        </row>
        <row r="1329">
          <cell r="A1329" t="str">
            <v>56:025:2:5:6</v>
          </cell>
          <cell r="B1329" t="str">
            <v>Нижнесергинский муниципальный район</v>
          </cell>
          <cell r="C1329">
            <v>6</v>
          </cell>
          <cell r="D1329" t="str">
            <v>сельские населенные пункты с численностью населения менее 1 000 человек.</v>
          </cell>
        </row>
        <row r="1330">
          <cell r="A1330" t="str">
            <v>56:014:2:3:6</v>
          </cell>
          <cell r="B1330" t="str">
            <v>Нижнесергинский муниципальный район</v>
          </cell>
          <cell r="C1330">
            <v>6</v>
          </cell>
          <cell r="D1330" t="str">
            <v>сельские населенные пункты с численностью населения менее 1 000 человек.</v>
          </cell>
        </row>
        <row r="1331">
          <cell r="A1331" t="str">
            <v>56:038:2:4:6</v>
          </cell>
          <cell r="B1331" t="str">
            <v>Нижнесергинский муниципальный район</v>
          </cell>
          <cell r="C1331">
            <v>6</v>
          </cell>
          <cell r="D1331" t="str">
            <v>сельские населенные пункты с численностью населения менее 1 000 человек.</v>
          </cell>
        </row>
        <row r="1332">
          <cell r="A1332" t="str">
            <v>56:032:2:4:6</v>
          </cell>
          <cell r="B1332" t="str">
            <v>Нижнесергинский муниципальный район</v>
          </cell>
          <cell r="C1332">
            <v>6</v>
          </cell>
          <cell r="D1332" t="str">
            <v>сельские населенные пункты с численностью населения менее 1 000 человек.</v>
          </cell>
        </row>
        <row r="1333">
          <cell r="A1333" t="str">
            <v>56:030:2:4:6</v>
          </cell>
          <cell r="B1333" t="str">
            <v>Нижнесергинский муниципальный район</v>
          </cell>
          <cell r="C1333">
            <v>6</v>
          </cell>
          <cell r="D1333" t="str">
            <v>сельские населенные пункты с численностью населения менее 1 000 человек.</v>
          </cell>
        </row>
        <row r="1334">
          <cell r="A1334" t="str">
            <v>56:002:2:4:6</v>
          </cell>
          <cell r="B1334" t="str">
            <v>Нижнесергинский муниципальный район</v>
          </cell>
          <cell r="C1334">
            <v>6</v>
          </cell>
          <cell r="D1334" t="str">
            <v>сельские населенные пункты с численностью населения менее 1 000 человек.</v>
          </cell>
        </row>
        <row r="1335">
          <cell r="A1335" t="str">
            <v>56:000:0:0:0</v>
          </cell>
          <cell r="B1335" t="str">
            <v>Нижнесергинский муниципальный район</v>
          </cell>
          <cell r="C1335">
            <v>0</v>
          </cell>
          <cell r="D1335" t="str">
            <v>межселенная территория</v>
          </cell>
        </row>
        <row r="1336">
          <cell r="A1336" t="str">
            <v>57:021:2:3:6</v>
          </cell>
          <cell r="B1336" t="str">
            <v>Нижнетуринский городской округ</v>
          </cell>
          <cell r="C1336">
            <v>6</v>
          </cell>
          <cell r="D1336" t="str">
            <v>сельские населенные пункты с численностью населения менее 1 000 человек.</v>
          </cell>
        </row>
        <row r="1337">
          <cell r="A1337" t="str">
            <v>57:008:2:3:6</v>
          </cell>
          <cell r="B1337" t="str">
            <v>Нижнетуринский городской округ</v>
          </cell>
          <cell r="C1337">
            <v>6</v>
          </cell>
          <cell r="D1337" t="str">
            <v>сельские населенные пункты с численностью населения менее 1 000 человек.</v>
          </cell>
        </row>
        <row r="1338">
          <cell r="A1338" t="str">
            <v>57:018:2:3:6</v>
          </cell>
          <cell r="B1338" t="str">
            <v>Нижнетуринский городской округ</v>
          </cell>
          <cell r="C1338">
            <v>6</v>
          </cell>
          <cell r="D1338" t="str">
            <v>сельские населенные пункты с численностью населения менее 1 000 человек.</v>
          </cell>
        </row>
        <row r="1339">
          <cell r="A1339" t="str">
            <v>57:011:2:3:6</v>
          </cell>
          <cell r="B1339" t="str">
            <v>Нижнетуринский городской округ</v>
          </cell>
          <cell r="C1339">
            <v>6</v>
          </cell>
          <cell r="D1339" t="str">
            <v>сельские населенные пункты с численностью населения менее 1 000 человек.</v>
          </cell>
        </row>
        <row r="1340">
          <cell r="A1340" t="str">
            <v>57:007:2:3:6</v>
          </cell>
          <cell r="B1340" t="str">
            <v>Нижнетуринский городской округ</v>
          </cell>
          <cell r="C1340">
            <v>6</v>
          </cell>
          <cell r="D1340" t="str">
            <v>сельские населенные пункты с численностью населения менее 1 000 человек.</v>
          </cell>
        </row>
        <row r="1341">
          <cell r="A1341" t="str">
            <v>57:005:2:3:6</v>
          </cell>
          <cell r="B1341" t="str">
            <v>Нижнетуринский городской округ</v>
          </cell>
          <cell r="C1341">
            <v>6</v>
          </cell>
          <cell r="D1341" t="str">
            <v>сельские населенные пункты с численностью населения менее 1 000 человек.</v>
          </cell>
        </row>
        <row r="1342">
          <cell r="A1342" t="str">
            <v>57:004:2:3:6</v>
          </cell>
          <cell r="B1342" t="str">
            <v>Нижнетуринский городской округ</v>
          </cell>
          <cell r="C1342">
            <v>6</v>
          </cell>
          <cell r="D1342" t="str">
            <v>сельские населенные пункты с численностью населения менее 1 000 человек.</v>
          </cell>
        </row>
        <row r="1343">
          <cell r="A1343" t="str">
            <v>57:001:2:3:6</v>
          </cell>
          <cell r="B1343" t="str">
            <v>Нижнетуринский городской округ</v>
          </cell>
          <cell r="C1343">
            <v>6</v>
          </cell>
          <cell r="D1343" t="str">
            <v>сельские населенные пункты с численностью населения менее 1 000 человек.</v>
          </cell>
        </row>
        <row r="1344">
          <cell r="A1344" t="str">
            <v>57:022:2:3:6</v>
          </cell>
          <cell r="B1344" t="str">
            <v>Нижнетуринский городской округ</v>
          </cell>
          <cell r="C1344">
            <v>6</v>
          </cell>
          <cell r="D1344" t="str">
            <v>сельские населенные пункты с численностью населения менее 1 000 человек.</v>
          </cell>
        </row>
        <row r="1345">
          <cell r="A1345" t="str">
            <v>57:014:2:3:6</v>
          </cell>
          <cell r="B1345" t="str">
            <v>Нижнетуринский городской округ</v>
          </cell>
          <cell r="C1345">
            <v>6</v>
          </cell>
          <cell r="D1345" t="str">
            <v>сельские населенные пункты с численностью населения менее 1 000 человек.</v>
          </cell>
        </row>
        <row r="1346">
          <cell r="A1346" t="str">
            <v>57:020:2:3:6</v>
          </cell>
          <cell r="B1346" t="str">
            <v>Нижнетуринский городской округ</v>
          </cell>
          <cell r="C1346">
            <v>6</v>
          </cell>
          <cell r="D1346" t="str">
            <v>сельские населенные пункты с численностью населения менее 1 000 человек.</v>
          </cell>
        </row>
        <row r="1347">
          <cell r="A1347" t="str">
            <v>57:012:2:3:6</v>
          </cell>
          <cell r="B1347" t="str">
            <v>Нижнетуринский городской округ</v>
          </cell>
          <cell r="C1347">
            <v>6</v>
          </cell>
          <cell r="D1347" t="str">
            <v>сельские населенные пункты с численностью населения менее 1 000 человек.</v>
          </cell>
        </row>
        <row r="1348">
          <cell r="A1348" t="str">
            <v>57:013:2:5:6</v>
          </cell>
          <cell r="B1348" t="str">
            <v>Нижнетуринский городской округ</v>
          </cell>
          <cell r="C1348">
            <v>6</v>
          </cell>
          <cell r="D1348" t="str">
            <v>сельские населенные пункты с численностью населения менее 1 000 человек.</v>
          </cell>
        </row>
        <row r="1349">
          <cell r="A1349" t="str">
            <v>57:010:2:3:6</v>
          </cell>
          <cell r="B1349" t="str">
            <v>Нижнетуринский городской округ</v>
          </cell>
          <cell r="C1349">
            <v>6</v>
          </cell>
          <cell r="D1349" t="str">
            <v>сельские населенные пункты с численностью населения менее 1 000 человек.</v>
          </cell>
        </row>
        <row r="1350">
          <cell r="A1350" t="str">
            <v>57:009:2:3:6</v>
          </cell>
          <cell r="B1350" t="str">
            <v>Нижнетуринский городской округ</v>
          </cell>
          <cell r="C1350">
            <v>6</v>
          </cell>
          <cell r="D1350" t="str">
            <v>сельские населенные пункты с численностью населения менее 1 000 человек.</v>
          </cell>
        </row>
        <row r="1351">
          <cell r="A1351" t="str">
            <v>57:019:2:3:6</v>
          </cell>
          <cell r="B1351" t="str">
            <v>Нижнетуринский городской округ</v>
          </cell>
          <cell r="C1351">
            <v>6</v>
          </cell>
          <cell r="D1351" t="str">
            <v>сельские населенные пункты с численностью населения менее 1 000 человек.</v>
          </cell>
        </row>
        <row r="1352">
          <cell r="A1352" t="str">
            <v>57:006:2:3:6</v>
          </cell>
          <cell r="B1352" t="str">
            <v>Нижнетуринский городской округ</v>
          </cell>
          <cell r="C1352">
            <v>6</v>
          </cell>
          <cell r="D1352" t="str">
            <v>сельские населенные пункты с численностью населения менее 1 000 человек.</v>
          </cell>
        </row>
        <row r="1353">
          <cell r="A1353" t="str">
            <v>57:016:2:5:6</v>
          </cell>
          <cell r="B1353" t="str">
            <v>Нижнетуринский городской округ</v>
          </cell>
          <cell r="C1353">
            <v>6</v>
          </cell>
          <cell r="D1353" t="str">
            <v>сельские населенные пункты с численностью населения менее 1 000 человек.</v>
          </cell>
        </row>
        <row r="1354">
          <cell r="A1354" t="str">
            <v>57:017:2:3:6</v>
          </cell>
          <cell r="B1354" t="str">
            <v>Нижнетуринский городской округ</v>
          </cell>
          <cell r="C1354">
            <v>6</v>
          </cell>
          <cell r="D1354" t="str">
            <v>сельские населенные пункты с численностью населения менее 1 000 человек.</v>
          </cell>
        </row>
        <row r="1355">
          <cell r="A1355" t="str">
            <v>57:015:1:1:4</v>
          </cell>
          <cell r="B1355" t="str">
            <v>Нижнетуринский городской округ</v>
          </cell>
          <cell r="C1355">
            <v>4</v>
          </cell>
          <cell r="D1355" t="str">
            <v>городские населенные пункты с численностью населения менее 50 000 человек;</v>
          </cell>
        </row>
        <row r="1356">
          <cell r="A1356" t="str">
            <v>57:002:2:3:6</v>
          </cell>
          <cell r="B1356" t="str">
            <v>Нижнетуринский городской округ</v>
          </cell>
          <cell r="C1356">
            <v>6</v>
          </cell>
          <cell r="D1356" t="str">
            <v>сельские населенные пункты с численностью населения менее 1 000 человек.</v>
          </cell>
        </row>
        <row r="1357">
          <cell r="A1357" t="str">
            <v>57:003:2:5:6</v>
          </cell>
          <cell r="B1357" t="str">
            <v>Нижнетуринский городской округ</v>
          </cell>
          <cell r="C1357">
            <v>6</v>
          </cell>
          <cell r="D1357" t="str">
            <v>сельские населенные пункты с численностью населения менее 1 000 человек.</v>
          </cell>
        </row>
        <row r="1358">
          <cell r="A1358" t="str">
            <v>57:000:0:0:0</v>
          </cell>
          <cell r="B1358" t="str">
            <v>Нижнетуринский городской округ</v>
          </cell>
          <cell r="C1358">
            <v>0</v>
          </cell>
          <cell r="D1358" t="str">
            <v>межселенная территория</v>
          </cell>
        </row>
        <row r="1359">
          <cell r="A1359" t="str">
            <v>58:020:2:3:6</v>
          </cell>
          <cell r="B1359" t="str">
            <v>Новолялинский городской округ</v>
          </cell>
          <cell r="C1359">
            <v>6</v>
          </cell>
          <cell r="D1359" t="str">
            <v>сельские населенные пункты с численностью населения менее 1 000 человек.</v>
          </cell>
        </row>
        <row r="1360">
          <cell r="A1360" t="str">
            <v>58:001:2:5:6</v>
          </cell>
          <cell r="B1360" t="str">
            <v>Новолялинский городской округ</v>
          </cell>
          <cell r="C1360">
            <v>6</v>
          </cell>
          <cell r="D1360" t="str">
            <v>сельские населенные пункты с численностью населения менее 1 000 человек.</v>
          </cell>
        </row>
        <row r="1361">
          <cell r="A1361" t="str">
            <v>58:021:2:3:6</v>
          </cell>
          <cell r="B1361" t="str">
            <v>Новолялинский городской округ</v>
          </cell>
          <cell r="C1361">
            <v>6</v>
          </cell>
          <cell r="D1361" t="str">
            <v>сельские населенные пункты с численностью населения менее 1 000 человек.</v>
          </cell>
        </row>
        <row r="1362">
          <cell r="A1362" t="str">
            <v>58:022:2:3:6</v>
          </cell>
          <cell r="B1362" t="str">
            <v>Новолялинский городской округ</v>
          </cell>
          <cell r="C1362">
            <v>6</v>
          </cell>
          <cell r="D1362" t="str">
            <v>сельские населенные пункты с численностью населения менее 1 000 человек.</v>
          </cell>
        </row>
        <row r="1363">
          <cell r="A1363" t="str">
            <v>58:003:2:3:6</v>
          </cell>
          <cell r="B1363" t="str">
            <v>Новолялинский городской округ</v>
          </cell>
          <cell r="C1363">
            <v>6</v>
          </cell>
          <cell r="D1363" t="str">
            <v>сельские населенные пункты с численностью населения менее 1 000 человек.</v>
          </cell>
        </row>
        <row r="1364">
          <cell r="A1364" t="str">
            <v>58:006:2:3:6</v>
          </cell>
          <cell r="B1364" t="str">
            <v>Новолялинский городской округ</v>
          </cell>
          <cell r="C1364">
            <v>6</v>
          </cell>
          <cell r="D1364" t="str">
            <v>сельские населенные пункты с численностью населения менее 1 000 человек.</v>
          </cell>
        </row>
        <row r="1365">
          <cell r="A1365" t="str">
            <v>58:008:2:4:6</v>
          </cell>
          <cell r="B1365" t="str">
            <v>Новолялинский городской округ</v>
          </cell>
          <cell r="C1365">
            <v>6</v>
          </cell>
          <cell r="D1365" t="str">
            <v>сельские населенные пункты с численностью населения менее 1 000 человек.</v>
          </cell>
        </row>
        <row r="1366">
          <cell r="A1366" t="str">
            <v>58:018:2:4:6</v>
          </cell>
          <cell r="B1366" t="str">
            <v>Новолялинский городской округ</v>
          </cell>
          <cell r="C1366">
            <v>6</v>
          </cell>
          <cell r="D1366" t="str">
            <v>сельские населенные пункты с численностью населения менее 1 000 человек.</v>
          </cell>
        </row>
        <row r="1367">
          <cell r="A1367" t="str">
            <v>00:034:0:0:0</v>
          </cell>
          <cell r="B1367" t="str">
            <v>Новолялинский городской округ</v>
          </cell>
          <cell r="C1367">
            <v>0</v>
          </cell>
          <cell r="D1367" t="str">
            <v>межселенная территория</v>
          </cell>
        </row>
        <row r="1368">
          <cell r="A1368" t="str">
            <v>00:035:0:0:0</v>
          </cell>
          <cell r="B1368" t="str">
            <v>Новолялинский городской округ</v>
          </cell>
          <cell r="C1368">
            <v>0</v>
          </cell>
          <cell r="D1368" t="str">
            <v>межселенная территория</v>
          </cell>
        </row>
        <row r="1369">
          <cell r="A1369" t="str">
            <v>58:009:2:4:6</v>
          </cell>
          <cell r="B1369" t="str">
            <v>Новолялинский городской округ</v>
          </cell>
          <cell r="C1369">
            <v>6</v>
          </cell>
          <cell r="D1369" t="str">
            <v>сельские населенные пункты с численностью населения менее 1 000 человек.</v>
          </cell>
        </row>
        <row r="1370">
          <cell r="A1370" t="str">
            <v>00:036:0:0:0</v>
          </cell>
          <cell r="B1370" t="str">
            <v>Новолялинский городской округ</v>
          </cell>
          <cell r="C1370">
            <v>0</v>
          </cell>
          <cell r="D1370" t="str">
            <v>межселенная территория</v>
          </cell>
        </row>
        <row r="1371">
          <cell r="A1371" t="str">
            <v>58:015:2:5:6</v>
          </cell>
          <cell r="B1371" t="str">
            <v>Новолялинский городской округ</v>
          </cell>
          <cell r="C1371">
            <v>6</v>
          </cell>
          <cell r="D1371" t="str">
            <v>сельские населенные пункты с численностью населения менее 1 000 человек.</v>
          </cell>
        </row>
        <row r="1372">
          <cell r="A1372" t="str">
            <v>58:002:2:3:6</v>
          </cell>
          <cell r="B1372" t="str">
            <v>Новолялинский городской округ</v>
          </cell>
          <cell r="C1372">
            <v>6</v>
          </cell>
          <cell r="D1372" t="str">
            <v>сельские населенные пункты с численностью населения менее 1 000 человек.</v>
          </cell>
        </row>
        <row r="1373">
          <cell r="A1373" t="str">
            <v>58:012:2:3:6</v>
          </cell>
          <cell r="B1373" t="str">
            <v>Новолялинский городской округ</v>
          </cell>
          <cell r="C1373">
            <v>6</v>
          </cell>
          <cell r="D1373" t="str">
            <v>сельские населенные пункты с численностью населения менее 1 000 человек.</v>
          </cell>
        </row>
        <row r="1374">
          <cell r="A1374" t="str">
            <v>58:023:2:3:6</v>
          </cell>
          <cell r="B1374" t="str">
            <v>Новолялинский городской округ</v>
          </cell>
          <cell r="C1374">
            <v>6</v>
          </cell>
          <cell r="D1374" t="str">
            <v>сельские населенные пункты с численностью населения менее 1 000 человек.</v>
          </cell>
        </row>
        <row r="1375">
          <cell r="A1375" t="str">
            <v>58:019:2:3:6</v>
          </cell>
          <cell r="B1375" t="str">
            <v>Новолялинский городской округ</v>
          </cell>
          <cell r="C1375">
            <v>6</v>
          </cell>
          <cell r="D1375" t="str">
            <v>сельские населенные пункты с численностью населения менее 1 000 человек.</v>
          </cell>
        </row>
        <row r="1376">
          <cell r="A1376" t="str">
            <v>58:017:2:5:6</v>
          </cell>
          <cell r="B1376" t="str">
            <v>Новолялинский городской округ</v>
          </cell>
          <cell r="C1376">
            <v>6</v>
          </cell>
          <cell r="D1376" t="str">
            <v>сельские населенные пункты с численностью населения менее 1 000 человек.</v>
          </cell>
        </row>
        <row r="1377">
          <cell r="A1377" t="str">
            <v>58:024:2:3:6</v>
          </cell>
          <cell r="B1377" t="str">
            <v>Новолялинский городской округ</v>
          </cell>
          <cell r="C1377">
            <v>6</v>
          </cell>
          <cell r="D1377" t="str">
            <v>сельские населенные пункты с численностью населения менее 1 000 человек.</v>
          </cell>
        </row>
        <row r="1378">
          <cell r="A1378" t="str">
            <v>58:013:2:5:6</v>
          </cell>
          <cell r="B1378" t="str">
            <v>Новолялинский городской округ</v>
          </cell>
          <cell r="C1378">
            <v>6</v>
          </cell>
          <cell r="D1378" t="str">
            <v>сельские населенные пункты с численностью населения менее 1 000 человек.</v>
          </cell>
        </row>
        <row r="1379">
          <cell r="A1379" t="str">
            <v>58:004:2:4:6</v>
          </cell>
          <cell r="B1379" t="str">
            <v>Новолялинский городской округ</v>
          </cell>
          <cell r="C1379">
            <v>6</v>
          </cell>
          <cell r="D1379" t="str">
            <v>сельские населенные пункты с численностью населения менее 1 000 человек.</v>
          </cell>
        </row>
        <row r="1380">
          <cell r="A1380" t="str">
            <v>58:010:2:5:6</v>
          </cell>
          <cell r="B1380" t="str">
            <v>Новолялинский городской округ</v>
          </cell>
          <cell r="C1380">
            <v>6</v>
          </cell>
          <cell r="D1380" t="str">
            <v>сельские населенные пункты с численностью населения менее 1 000 человек.</v>
          </cell>
        </row>
        <row r="1381">
          <cell r="A1381" t="str">
            <v>58:014:2:5:6</v>
          </cell>
          <cell r="B1381" t="str">
            <v>Новолялинский городской округ</v>
          </cell>
          <cell r="C1381">
            <v>6</v>
          </cell>
          <cell r="D1381" t="str">
            <v>сельские населенные пункты с численностью населения менее 1 000 человек.</v>
          </cell>
        </row>
        <row r="1382">
          <cell r="A1382" t="str">
            <v>58:007:2:3:5</v>
          </cell>
          <cell r="B1382" t="str">
            <v>Новолялинский городской округ</v>
          </cell>
          <cell r="C1382">
            <v>5</v>
          </cell>
          <cell r="D1382" t="str">
            <v>сельские населенные пункты с численностью населения более 1 000 человек;</v>
          </cell>
        </row>
        <row r="1383">
          <cell r="A1383" t="str">
            <v>58:011:1:1:4</v>
          </cell>
          <cell r="B1383" t="str">
            <v>Новолялинский городской округ</v>
          </cell>
          <cell r="C1383">
            <v>4</v>
          </cell>
          <cell r="D1383" t="str">
            <v>городские населенные пункты с численностью населения менее 50 000 человек;</v>
          </cell>
        </row>
        <row r="1384">
          <cell r="A1384" t="str">
            <v>58:005:2:4:6</v>
          </cell>
          <cell r="B1384" t="str">
            <v>Новолялинский городской округ</v>
          </cell>
          <cell r="C1384">
            <v>6</v>
          </cell>
          <cell r="D1384" t="str">
            <v>сельские населенные пункты с численностью населения менее 1 000 человек.</v>
          </cell>
        </row>
        <row r="1385">
          <cell r="A1385" t="str">
            <v>58:016:2:3:6</v>
          </cell>
          <cell r="B1385" t="str">
            <v>Новолялинский городской округ</v>
          </cell>
          <cell r="C1385">
            <v>6</v>
          </cell>
          <cell r="D1385" t="str">
            <v>сельские населенные пункты с численностью населения менее 1 000 человек.</v>
          </cell>
        </row>
        <row r="1386">
          <cell r="A1386" t="str">
            <v>58:000:0:0:0</v>
          </cell>
          <cell r="B1386" t="str">
            <v>Новолялинский городской округ</v>
          </cell>
          <cell r="C1386">
            <v>0</v>
          </cell>
          <cell r="D1386" t="str">
            <v>межселенная территория</v>
          </cell>
        </row>
        <row r="1387">
          <cell r="A1387" t="str">
            <v>59:003:1:1:3</v>
          </cell>
          <cell r="B1387" t="str">
            <v>Новоуральский городской округ</v>
          </cell>
          <cell r="C1387">
            <v>3</v>
          </cell>
          <cell r="D1387" t="str">
            <v>городские населенные пункты с численностью населения от 100 000 до 50 000 человек;</v>
          </cell>
        </row>
        <row r="1388">
          <cell r="A1388" t="str">
            <v>59:002:2:3:6</v>
          </cell>
          <cell r="B1388" t="str">
            <v>Новоуральский городской округ</v>
          </cell>
          <cell r="C1388">
            <v>6</v>
          </cell>
          <cell r="D1388" t="str">
            <v>сельские населенные пункты с численностью населения менее 1 000 человек.</v>
          </cell>
        </row>
        <row r="1389">
          <cell r="A1389" t="str">
            <v>59:006:2:4:5</v>
          </cell>
          <cell r="B1389" t="str">
            <v>Новоуральский городской округ</v>
          </cell>
          <cell r="C1389">
            <v>5</v>
          </cell>
          <cell r="D1389" t="str">
            <v>сельские населенные пункты с численностью населения более 1 000 человек;</v>
          </cell>
        </row>
        <row r="1390">
          <cell r="A1390" t="str">
            <v>59:001:2:5:6</v>
          </cell>
          <cell r="B1390" t="str">
            <v>Новоуральский городской округ</v>
          </cell>
          <cell r="C1390">
            <v>6</v>
          </cell>
          <cell r="D1390" t="str">
            <v>сельские населенные пункты с численностью населения менее 1 000 человек.</v>
          </cell>
        </row>
        <row r="1391">
          <cell r="A1391" t="str">
            <v>59:005:2:5:5</v>
          </cell>
          <cell r="B1391" t="str">
            <v>Новоуральский городской округ</v>
          </cell>
          <cell r="C1391">
            <v>5</v>
          </cell>
          <cell r="D1391" t="str">
            <v>сельские населенные пункты с численностью населения более 1 000 человек;</v>
          </cell>
        </row>
        <row r="1392">
          <cell r="A1392" t="str">
            <v>59:004:2:5:6</v>
          </cell>
          <cell r="B1392" t="str">
            <v>Новоуральский городской округ</v>
          </cell>
          <cell r="C1392">
            <v>6</v>
          </cell>
          <cell r="D1392" t="str">
            <v>сельские населенные пункты с численностью населения менее 1 000 человек.</v>
          </cell>
        </row>
        <row r="1393">
          <cell r="A1393" t="str">
            <v>59:000:0:0:0</v>
          </cell>
          <cell r="B1393" t="str">
            <v>Новоуральский городской округ</v>
          </cell>
          <cell r="C1393">
            <v>0</v>
          </cell>
          <cell r="D1393" t="str">
            <v>межселенная территория</v>
          </cell>
        </row>
        <row r="1394">
          <cell r="A1394" t="str">
            <v>60:004:2:5:6</v>
          </cell>
          <cell r="B1394" t="str">
            <v>Полевской городской округ</v>
          </cell>
          <cell r="C1394">
            <v>6</v>
          </cell>
          <cell r="D1394" t="str">
            <v>сельские населенные пункты с численностью населения менее 1 000 человек.</v>
          </cell>
        </row>
        <row r="1395">
          <cell r="A1395" t="str">
            <v>60:012:1:1:3</v>
          </cell>
          <cell r="B1395" t="str">
            <v>Полевской городской округ</v>
          </cell>
          <cell r="C1395">
            <v>3</v>
          </cell>
          <cell r="D1395" t="str">
            <v>городские населенные пункты с численностью населения от 100 000 до 50 000 человек;</v>
          </cell>
        </row>
        <row r="1396">
          <cell r="A1396" t="str">
            <v>60:007:2:3:6</v>
          </cell>
          <cell r="B1396" t="str">
            <v>Полевской городской округ</v>
          </cell>
          <cell r="C1396">
            <v>6</v>
          </cell>
          <cell r="D1396" t="str">
            <v>сельские населенные пункты с численностью населения менее 1 000 человек.</v>
          </cell>
        </row>
        <row r="1397">
          <cell r="A1397" t="str">
            <v>60:009:2:4:6</v>
          </cell>
          <cell r="B1397" t="str">
            <v>Полевской городской округ</v>
          </cell>
          <cell r="C1397">
            <v>6</v>
          </cell>
          <cell r="D1397" t="str">
            <v>сельские населенные пункты с численностью населения менее 1 000 человек.</v>
          </cell>
        </row>
        <row r="1398">
          <cell r="A1398" t="str">
            <v>60:003:2:3:6</v>
          </cell>
          <cell r="B1398" t="str">
            <v>Полевской городской округ</v>
          </cell>
          <cell r="C1398">
            <v>6</v>
          </cell>
          <cell r="D1398" t="str">
            <v>сельские населенные пункты с численностью населения менее 1 000 человек.</v>
          </cell>
        </row>
        <row r="1399">
          <cell r="A1399" t="str">
            <v>60:006:2:4:6</v>
          </cell>
          <cell r="B1399" t="str">
            <v>Полевской городской округ</v>
          </cell>
          <cell r="C1399">
            <v>6</v>
          </cell>
          <cell r="D1399" t="str">
            <v>сельские населенные пункты с численностью населения менее 1 000 человек.</v>
          </cell>
        </row>
        <row r="1400">
          <cell r="A1400" t="str">
            <v>60:014:2:3:6</v>
          </cell>
          <cell r="B1400" t="str">
            <v>Полевской городской округ</v>
          </cell>
          <cell r="C1400">
            <v>6</v>
          </cell>
          <cell r="D1400" t="str">
            <v>сельские населенные пункты с численностью населения менее 1 000 человек.</v>
          </cell>
        </row>
        <row r="1401">
          <cell r="A1401" t="str">
            <v>60:011:2:4:6</v>
          </cell>
          <cell r="B1401" t="str">
            <v>Полевской городской округ</v>
          </cell>
          <cell r="C1401">
            <v>6</v>
          </cell>
          <cell r="D1401" t="str">
            <v>сельские населенные пункты с численностью населения менее 1 000 человек.</v>
          </cell>
        </row>
        <row r="1402">
          <cell r="A1402" t="str">
            <v>60:005:2:3:6</v>
          </cell>
          <cell r="B1402" t="str">
            <v>Полевской городской округ</v>
          </cell>
          <cell r="C1402">
            <v>6</v>
          </cell>
          <cell r="D1402" t="str">
            <v>сельские населенные пункты с численностью населения менее 1 000 человек.</v>
          </cell>
        </row>
        <row r="1403">
          <cell r="A1403" t="str">
            <v>60:008:2:4:6</v>
          </cell>
          <cell r="B1403" t="str">
            <v>Полевской городской округ</v>
          </cell>
          <cell r="C1403">
            <v>6</v>
          </cell>
          <cell r="D1403" t="str">
            <v>сельские населенные пункты с численностью населения менее 1 000 человек.</v>
          </cell>
        </row>
        <row r="1404">
          <cell r="A1404" t="str">
            <v>60:001:2:3:6</v>
          </cell>
          <cell r="B1404" t="str">
            <v>Полевской городской округ</v>
          </cell>
          <cell r="C1404">
            <v>6</v>
          </cell>
          <cell r="D1404" t="str">
            <v>сельские населенные пункты с численностью населения менее 1 000 человек.</v>
          </cell>
        </row>
        <row r="1405">
          <cell r="A1405" t="str">
            <v>60:002:2:3:6</v>
          </cell>
          <cell r="B1405" t="str">
            <v>Полевской городской округ</v>
          </cell>
          <cell r="C1405">
            <v>6</v>
          </cell>
          <cell r="D1405" t="str">
            <v>сельские населенные пункты с численностью населения менее 1 000 человек.</v>
          </cell>
        </row>
        <row r="1406">
          <cell r="A1406" t="str">
            <v>60:013:2:5:6</v>
          </cell>
          <cell r="B1406" t="str">
            <v>Полевской городской округ</v>
          </cell>
          <cell r="C1406">
            <v>6</v>
          </cell>
          <cell r="D1406" t="str">
            <v>сельские населенные пункты с численностью населения менее 1 000 человек.</v>
          </cell>
        </row>
        <row r="1407">
          <cell r="A1407" t="str">
            <v>60:010:2:3:6</v>
          </cell>
          <cell r="B1407" t="str">
            <v>Полевской городской округ</v>
          </cell>
          <cell r="C1407">
            <v>6</v>
          </cell>
          <cell r="D1407" t="str">
            <v>сельские населенные пункты с численностью населения менее 1 000 человек.</v>
          </cell>
        </row>
        <row r="1408">
          <cell r="A1408" t="str">
            <v>60:000:0:0:0</v>
          </cell>
          <cell r="B1408" t="str">
            <v>Полевской городской округ</v>
          </cell>
          <cell r="C1408">
            <v>0</v>
          </cell>
          <cell r="D1408" t="str">
            <v>межселенная территория</v>
          </cell>
        </row>
        <row r="1409">
          <cell r="A1409" t="str">
            <v>61:030:2:5:6</v>
          </cell>
          <cell r="B1409" t="str">
            <v>Пышминский городской округ</v>
          </cell>
          <cell r="C1409">
            <v>6</v>
          </cell>
          <cell r="D1409" t="str">
            <v>сельские населенные пункты с численностью населения менее 1 000 человек.</v>
          </cell>
        </row>
        <row r="1410">
          <cell r="A1410" t="str">
            <v>61:019:2:4:6</v>
          </cell>
          <cell r="B1410" t="str">
            <v>Пышминский городской округ</v>
          </cell>
          <cell r="C1410">
            <v>6</v>
          </cell>
          <cell r="D1410" t="str">
            <v>сельские населенные пункты с численностью населения менее 1 000 человек.</v>
          </cell>
        </row>
        <row r="1411">
          <cell r="A1411" t="str">
            <v>61:037:2:5:6</v>
          </cell>
          <cell r="B1411" t="str">
            <v>Пышминский городской округ</v>
          </cell>
          <cell r="C1411">
            <v>6</v>
          </cell>
          <cell r="D1411" t="str">
            <v>сельские населенные пункты с численностью населения менее 1 000 человек.</v>
          </cell>
        </row>
        <row r="1412">
          <cell r="A1412" t="str">
            <v>61:036:2:5:6</v>
          </cell>
          <cell r="B1412" t="str">
            <v>Пышминский городской округ</v>
          </cell>
          <cell r="C1412">
            <v>6</v>
          </cell>
          <cell r="D1412" t="str">
            <v>сельские населенные пункты с численностью населения менее 1 000 человек.</v>
          </cell>
        </row>
        <row r="1413">
          <cell r="A1413" t="str">
            <v>61:044:2:4:6</v>
          </cell>
          <cell r="B1413" t="str">
            <v>Пышминский городской округ</v>
          </cell>
          <cell r="C1413">
            <v>6</v>
          </cell>
          <cell r="D1413" t="str">
            <v>сельские населенные пункты с численностью населения менее 1 000 человек.</v>
          </cell>
        </row>
        <row r="1414">
          <cell r="A1414" t="str">
            <v>61:005:2:5:6</v>
          </cell>
          <cell r="B1414" t="str">
            <v>Пышминский городской округ</v>
          </cell>
          <cell r="C1414">
            <v>6</v>
          </cell>
          <cell r="D1414" t="str">
            <v>сельские населенные пункты с численностью населения менее 1 000 человек.</v>
          </cell>
        </row>
        <row r="1415">
          <cell r="A1415" t="str">
            <v>61:006:2:5:6</v>
          </cell>
          <cell r="B1415" t="str">
            <v>Пышминский городской округ</v>
          </cell>
          <cell r="C1415">
            <v>6</v>
          </cell>
          <cell r="D1415" t="str">
            <v>сельские населенные пункты с численностью населения менее 1 000 человек.</v>
          </cell>
        </row>
        <row r="1416">
          <cell r="A1416" t="str">
            <v>61:026:2:5:6</v>
          </cell>
          <cell r="B1416" t="str">
            <v>Пышминский городской округ</v>
          </cell>
          <cell r="C1416">
            <v>6</v>
          </cell>
          <cell r="D1416" t="str">
            <v>сельские населенные пункты с численностью населения менее 1 000 человек.</v>
          </cell>
        </row>
        <row r="1417">
          <cell r="A1417" t="str">
            <v>61:035:2:5:6</v>
          </cell>
          <cell r="B1417" t="str">
            <v>Пышминский городской округ</v>
          </cell>
          <cell r="C1417">
            <v>6</v>
          </cell>
          <cell r="D1417" t="str">
            <v>сельские населенные пункты с численностью населения менее 1 000 человек.</v>
          </cell>
        </row>
        <row r="1418">
          <cell r="A1418" t="str">
            <v>61:032:2:4:6</v>
          </cell>
          <cell r="B1418" t="str">
            <v>Пышминский городской округ</v>
          </cell>
          <cell r="C1418">
            <v>6</v>
          </cell>
          <cell r="D1418" t="str">
            <v>сельские населенные пункты с численностью населения менее 1 000 человек.</v>
          </cell>
        </row>
        <row r="1419">
          <cell r="A1419" t="str">
            <v>61:014:2:5:6</v>
          </cell>
          <cell r="B1419" t="str">
            <v>Пышминский городской округ</v>
          </cell>
          <cell r="C1419">
            <v>6</v>
          </cell>
          <cell r="D1419" t="str">
            <v>сельские населенные пункты с численностью населения менее 1 000 человек.</v>
          </cell>
        </row>
        <row r="1420">
          <cell r="A1420" t="str">
            <v>61:020:2:5:6</v>
          </cell>
          <cell r="B1420" t="str">
            <v>Пышминский городской округ</v>
          </cell>
          <cell r="C1420">
            <v>6</v>
          </cell>
          <cell r="D1420" t="str">
            <v>сельские населенные пункты с численностью населения менее 1 000 человек.</v>
          </cell>
        </row>
        <row r="1421">
          <cell r="A1421" t="str">
            <v>61:041:2:4:6</v>
          </cell>
          <cell r="B1421" t="str">
            <v>Пышминский городской округ</v>
          </cell>
          <cell r="C1421">
            <v>6</v>
          </cell>
          <cell r="D1421" t="str">
            <v>сельские населенные пункты с численностью населения менее 1 000 человек.</v>
          </cell>
        </row>
        <row r="1422">
          <cell r="A1422" t="str">
            <v>61:009:2:5:6</v>
          </cell>
          <cell r="B1422" t="str">
            <v>Пышминский городской округ</v>
          </cell>
          <cell r="C1422">
            <v>6</v>
          </cell>
          <cell r="D1422" t="str">
            <v>сельские населенные пункты с численностью населения менее 1 000 человек.</v>
          </cell>
        </row>
        <row r="1423">
          <cell r="A1423" t="str">
            <v>61:031:2:4:6</v>
          </cell>
          <cell r="B1423" t="str">
            <v>Пышминский городской округ</v>
          </cell>
          <cell r="C1423">
            <v>6</v>
          </cell>
          <cell r="D1423" t="str">
            <v>сельские населенные пункты с численностью населения менее 1 000 человек.</v>
          </cell>
        </row>
        <row r="1424">
          <cell r="A1424" t="str">
            <v>61:025:2:5:6</v>
          </cell>
          <cell r="B1424" t="str">
            <v>Пышминский городской округ</v>
          </cell>
          <cell r="C1424">
            <v>6</v>
          </cell>
          <cell r="D1424" t="str">
            <v>сельские населенные пункты с численностью населения менее 1 000 человек.</v>
          </cell>
        </row>
        <row r="1425">
          <cell r="A1425" t="str">
            <v>61:039:2:4:6</v>
          </cell>
          <cell r="B1425" t="str">
            <v>Пышминский городской округ</v>
          </cell>
          <cell r="C1425">
            <v>6</v>
          </cell>
          <cell r="D1425" t="str">
            <v>сельские населенные пункты с численностью населения менее 1 000 человек.</v>
          </cell>
        </row>
        <row r="1426">
          <cell r="A1426" t="str">
            <v>61:038:2:4:6</v>
          </cell>
          <cell r="B1426" t="str">
            <v>Пышминский городской округ</v>
          </cell>
          <cell r="C1426">
            <v>6</v>
          </cell>
          <cell r="D1426" t="str">
            <v>сельские населенные пункты с численностью населения менее 1 000 человек.</v>
          </cell>
        </row>
        <row r="1427">
          <cell r="A1427" t="str">
            <v>61:004:2:5:6</v>
          </cell>
          <cell r="B1427" t="str">
            <v>Пышминский городской округ</v>
          </cell>
          <cell r="C1427">
            <v>6</v>
          </cell>
          <cell r="D1427" t="str">
            <v>сельские населенные пункты с численностью населения менее 1 000 человек.</v>
          </cell>
        </row>
        <row r="1428">
          <cell r="A1428" t="str">
            <v>61:010:2:4:6</v>
          </cell>
          <cell r="B1428" t="str">
            <v>Пышминский городской округ</v>
          </cell>
          <cell r="C1428">
            <v>6</v>
          </cell>
          <cell r="D1428" t="str">
            <v>сельские населенные пункты с численностью населения менее 1 000 человек.</v>
          </cell>
        </row>
        <row r="1429">
          <cell r="A1429" t="str">
            <v>61:012:2:5:6</v>
          </cell>
          <cell r="B1429" t="str">
            <v>Пышминский городской округ</v>
          </cell>
          <cell r="C1429">
            <v>6</v>
          </cell>
          <cell r="D1429" t="str">
            <v>сельские населенные пункты с численностью населения менее 1 000 человек.</v>
          </cell>
        </row>
        <row r="1430">
          <cell r="A1430" t="str">
            <v>61:034:2:4:6</v>
          </cell>
          <cell r="B1430" t="str">
            <v>Пышминский городской округ</v>
          </cell>
          <cell r="C1430">
            <v>6</v>
          </cell>
          <cell r="D1430" t="str">
            <v>сельские населенные пункты с численностью населения менее 1 000 человек.</v>
          </cell>
        </row>
        <row r="1431">
          <cell r="A1431" t="str">
            <v>61:027:2:5:6</v>
          </cell>
          <cell r="B1431" t="str">
            <v>Пышминский городской округ</v>
          </cell>
          <cell r="C1431">
            <v>6</v>
          </cell>
          <cell r="D1431" t="str">
            <v>сельские населенные пункты с численностью населения менее 1 000 человек.</v>
          </cell>
        </row>
        <row r="1432">
          <cell r="A1432" t="str">
            <v>61:011:2:3:6</v>
          </cell>
          <cell r="B1432" t="str">
            <v>Пышминский городской округ</v>
          </cell>
          <cell r="C1432">
            <v>6</v>
          </cell>
          <cell r="D1432" t="str">
            <v>сельские населенные пункты с численностью населения менее 1 000 человек.</v>
          </cell>
        </row>
        <row r="1433">
          <cell r="A1433" t="str">
            <v>61:007:2:3:6</v>
          </cell>
          <cell r="B1433" t="str">
            <v>Пышминский городской округ</v>
          </cell>
          <cell r="C1433">
            <v>6</v>
          </cell>
          <cell r="D1433" t="str">
            <v>сельские населенные пункты с численностью населения менее 1 000 человек.</v>
          </cell>
        </row>
        <row r="1434">
          <cell r="A1434" t="str">
            <v>61:008:2:5:6</v>
          </cell>
          <cell r="B1434" t="str">
            <v>Пышминский городской округ</v>
          </cell>
          <cell r="C1434">
            <v>6</v>
          </cell>
          <cell r="D1434" t="str">
            <v>сельские населенные пункты с численностью населения менее 1 000 человек.</v>
          </cell>
        </row>
        <row r="1435">
          <cell r="A1435" t="str">
            <v>61:024:2:5:6</v>
          </cell>
          <cell r="B1435" t="str">
            <v>Пышминский городской округ</v>
          </cell>
          <cell r="C1435">
            <v>6</v>
          </cell>
          <cell r="D1435" t="str">
            <v>сельские населенные пункты с численностью населения менее 1 000 человек.</v>
          </cell>
        </row>
        <row r="1436">
          <cell r="A1436" t="str">
            <v>61:040:2:4:6</v>
          </cell>
          <cell r="B1436" t="str">
            <v>Пышминский городской округ</v>
          </cell>
          <cell r="C1436">
            <v>6</v>
          </cell>
          <cell r="D1436" t="str">
            <v>сельские населенные пункты с численностью населения менее 1 000 человек.</v>
          </cell>
        </row>
        <row r="1437">
          <cell r="A1437" t="str">
            <v>61:023:2:5:6</v>
          </cell>
          <cell r="B1437" t="str">
            <v>Пышминский городской округ</v>
          </cell>
          <cell r="C1437">
            <v>6</v>
          </cell>
          <cell r="D1437" t="str">
            <v>сельские населенные пункты с численностью населения менее 1 000 человек.</v>
          </cell>
        </row>
        <row r="1438">
          <cell r="A1438" t="str">
            <v>61:029:2:5:6</v>
          </cell>
          <cell r="B1438" t="str">
            <v>Пышминский городской округ</v>
          </cell>
          <cell r="C1438">
            <v>6</v>
          </cell>
          <cell r="D1438" t="str">
            <v>сельские населенные пункты с численностью населения менее 1 000 человек.</v>
          </cell>
        </row>
        <row r="1439">
          <cell r="A1439" t="str">
            <v>61:022:2:5:6</v>
          </cell>
          <cell r="B1439" t="str">
            <v>Пышминский городской округ</v>
          </cell>
          <cell r="C1439">
            <v>6</v>
          </cell>
          <cell r="D1439" t="str">
            <v>сельские населенные пункты с численностью населения менее 1 000 человек.</v>
          </cell>
        </row>
        <row r="1440">
          <cell r="A1440" t="str">
            <v>61:017:2:3:6</v>
          </cell>
          <cell r="B1440" t="str">
            <v>Пышминский городской округ</v>
          </cell>
          <cell r="C1440">
            <v>6</v>
          </cell>
          <cell r="D1440" t="str">
            <v>сельские населенные пункты с численностью населения менее 1 000 человек.</v>
          </cell>
        </row>
        <row r="1441">
          <cell r="A1441" t="str">
            <v>61:002:2:5:6</v>
          </cell>
          <cell r="B1441" t="str">
            <v>Пышминский городской округ</v>
          </cell>
          <cell r="C1441">
            <v>6</v>
          </cell>
          <cell r="D1441" t="str">
            <v>сельские населенные пункты с численностью населения менее 1 000 человек.</v>
          </cell>
        </row>
        <row r="1442">
          <cell r="A1442" t="str">
            <v>61:033:2:5:6</v>
          </cell>
          <cell r="B1442" t="str">
            <v>Пышминский городской округ</v>
          </cell>
          <cell r="C1442">
            <v>6</v>
          </cell>
          <cell r="D1442" t="str">
            <v>сельские населенные пункты с численностью населения менее 1 000 человек.</v>
          </cell>
        </row>
        <row r="1443">
          <cell r="A1443" t="str">
            <v>61:028:2:5:6</v>
          </cell>
          <cell r="B1443" t="str">
            <v>Пышминский городской округ</v>
          </cell>
          <cell r="C1443">
            <v>6</v>
          </cell>
          <cell r="D1443" t="str">
            <v>сельские населенные пункты с численностью населения менее 1 000 человек.</v>
          </cell>
        </row>
        <row r="1444">
          <cell r="A1444" t="str">
            <v>61:043:2:3:6</v>
          </cell>
          <cell r="B1444" t="str">
            <v>Пышминский городской округ</v>
          </cell>
          <cell r="C1444">
            <v>6</v>
          </cell>
          <cell r="D1444" t="str">
            <v>сельские населенные пункты с численностью населения менее 1 000 человек.</v>
          </cell>
        </row>
        <row r="1445">
          <cell r="A1445" t="str">
            <v>61:016:2:5:6</v>
          </cell>
          <cell r="B1445" t="str">
            <v>Пышминский городской округ</v>
          </cell>
          <cell r="C1445">
            <v>6</v>
          </cell>
          <cell r="D1445" t="str">
            <v>сельские населенные пункты с численностью населения менее 1 000 человек.</v>
          </cell>
        </row>
        <row r="1446">
          <cell r="A1446" t="str">
            <v>61:001:2:4:6</v>
          </cell>
          <cell r="B1446" t="str">
            <v>Пышминский городской округ</v>
          </cell>
          <cell r="C1446">
            <v>6</v>
          </cell>
          <cell r="D1446" t="str">
            <v>сельские населенные пункты с численностью населения менее 1 000 человек.</v>
          </cell>
        </row>
        <row r="1447">
          <cell r="A1447" t="str">
            <v>61:013:2:5:6</v>
          </cell>
          <cell r="B1447" t="str">
            <v>Пышминский городской округ</v>
          </cell>
          <cell r="C1447">
            <v>6</v>
          </cell>
          <cell r="D1447" t="str">
            <v>сельские населенные пункты с численностью населения менее 1 000 человек.</v>
          </cell>
        </row>
        <row r="1448">
          <cell r="A1448" t="str">
            <v>61:015:2:5:6</v>
          </cell>
          <cell r="B1448" t="str">
            <v>Пышминский городской округ</v>
          </cell>
          <cell r="C1448">
            <v>6</v>
          </cell>
          <cell r="D1448" t="str">
            <v>сельские населенные пункты с численностью населения менее 1 000 человек.</v>
          </cell>
        </row>
        <row r="1449">
          <cell r="A1449" t="str">
            <v>61:003:2:5:6</v>
          </cell>
          <cell r="B1449" t="str">
            <v>Пышминский городской округ</v>
          </cell>
          <cell r="C1449">
            <v>6</v>
          </cell>
          <cell r="D1449" t="str">
            <v>сельские населенные пункты с численностью населения менее 1 000 человек.</v>
          </cell>
        </row>
        <row r="1450">
          <cell r="A1450" t="str">
            <v>61:021:1:2:4</v>
          </cell>
          <cell r="B1450" t="str">
            <v>Пышминский городской округ</v>
          </cell>
          <cell r="C1450">
            <v>4</v>
          </cell>
          <cell r="D1450" t="str">
            <v>городские населенные пункты с численностью населения менее 50 000 человек;</v>
          </cell>
        </row>
        <row r="1451">
          <cell r="A1451" t="str">
            <v>61:018:2:4:6</v>
          </cell>
          <cell r="B1451" t="str">
            <v>Пышминский городской округ</v>
          </cell>
          <cell r="C1451">
            <v>6</v>
          </cell>
          <cell r="D1451" t="str">
            <v>сельские населенные пункты с численностью населения менее 1 000 человек.</v>
          </cell>
        </row>
        <row r="1452">
          <cell r="A1452" t="str">
            <v>61:042:2:5:6</v>
          </cell>
          <cell r="B1452" t="str">
            <v>Пышминский городской округ</v>
          </cell>
          <cell r="C1452">
            <v>6</v>
          </cell>
          <cell r="D1452" t="str">
            <v>сельские населенные пункты с численностью населения менее 1 000 человек.</v>
          </cell>
        </row>
        <row r="1453">
          <cell r="A1453" t="str">
            <v>61:000:0:0:0</v>
          </cell>
          <cell r="B1453" t="str">
            <v>Пышминский городской округ</v>
          </cell>
          <cell r="C1453">
            <v>0</v>
          </cell>
          <cell r="D1453" t="str">
            <v>межселенная территория</v>
          </cell>
        </row>
        <row r="1454">
          <cell r="A1454" t="str">
            <v>00:004:0:0:0</v>
          </cell>
          <cell r="B1454" t="str">
            <v>Режевской городской округ</v>
          </cell>
          <cell r="C1454">
            <v>0</v>
          </cell>
          <cell r="D1454" t="str">
            <v>межселенная территория</v>
          </cell>
        </row>
        <row r="1455">
          <cell r="A1455" t="str">
            <v>62:013:2:5:6</v>
          </cell>
          <cell r="B1455" t="str">
            <v>Режевской городской округ</v>
          </cell>
          <cell r="C1455">
            <v>6</v>
          </cell>
          <cell r="D1455" t="str">
            <v>сельские населенные пункты с численностью населения менее 1 000 человек.</v>
          </cell>
        </row>
        <row r="1456">
          <cell r="A1456" t="str">
            <v>62:017:2:5:6</v>
          </cell>
          <cell r="B1456" t="str">
            <v>Режевской городской округ</v>
          </cell>
          <cell r="C1456">
            <v>6</v>
          </cell>
          <cell r="D1456" t="str">
            <v>сельские населенные пункты с численностью населения менее 1 000 человек.</v>
          </cell>
        </row>
        <row r="1457">
          <cell r="A1457" t="str">
            <v>62:029:2:4:6</v>
          </cell>
          <cell r="B1457" t="str">
            <v>Режевской городской округ</v>
          </cell>
          <cell r="C1457">
            <v>6</v>
          </cell>
          <cell r="D1457" t="str">
            <v>сельские населенные пункты с численностью населения менее 1 000 человек.</v>
          </cell>
        </row>
        <row r="1458">
          <cell r="A1458" t="str">
            <v>62:028:2:4:6</v>
          </cell>
          <cell r="B1458" t="str">
            <v>Режевской городской округ</v>
          </cell>
          <cell r="C1458">
            <v>6</v>
          </cell>
          <cell r="D1458" t="str">
            <v>сельские населенные пункты с численностью населения менее 1 000 человек.</v>
          </cell>
        </row>
        <row r="1459">
          <cell r="A1459" t="str">
            <v>62:004:2:5:6</v>
          </cell>
          <cell r="B1459" t="str">
            <v>Режевской городской округ</v>
          </cell>
          <cell r="C1459">
            <v>6</v>
          </cell>
          <cell r="D1459" t="str">
            <v>сельские населенные пункты с численностью населения менее 1 000 человек.</v>
          </cell>
        </row>
        <row r="1460">
          <cell r="A1460" t="str">
            <v>62:025:2:5:6</v>
          </cell>
          <cell r="B1460" t="str">
            <v>Режевской городской округ</v>
          </cell>
          <cell r="C1460">
            <v>6</v>
          </cell>
          <cell r="D1460" t="str">
            <v>сельские населенные пункты с численностью населения менее 1 000 человек.</v>
          </cell>
        </row>
        <row r="1461">
          <cell r="A1461" t="str">
            <v>62:002:2:5:6</v>
          </cell>
          <cell r="B1461" t="str">
            <v>Режевской городской округ</v>
          </cell>
          <cell r="C1461">
            <v>6</v>
          </cell>
          <cell r="D1461" t="str">
            <v>сельские населенные пункты с численностью населения менее 1 000 человек.</v>
          </cell>
        </row>
        <row r="1462">
          <cell r="A1462" t="str">
            <v>62:008:2:4:6</v>
          </cell>
          <cell r="B1462" t="str">
            <v>Режевской городской округ</v>
          </cell>
          <cell r="C1462">
            <v>6</v>
          </cell>
          <cell r="D1462" t="str">
            <v>сельские населенные пункты с численностью населения менее 1 000 человек.</v>
          </cell>
        </row>
        <row r="1463">
          <cell r="A1463" t="str">
            <v>62:018:2:5:6</v>
          </cell>
          <cell r="B1463" t="str">
            <v>Режевской городской округ</v>
          </cell>
          <cell r="C1463">
            <v>6</v>
          </cell>
          <cell r="D1463" t="str">
            <v>сельские населенные пункты с численностью населения менее 1 000 человек.</v>
          </cell>
        </row>
        <row r="1464">
          <cell r="A1464" t="str">
            <v>62:007:2:5:6</v>
          </cell>
          <cell r="B1464" t="str">
            <v>Режевской городской округ</v>
          </cell>
          <cell r="C1464">
            <v>6</v>
          </cell>
          <cell r="D1464" t="str">
            <v>сельские населенные пункты с численностью населения менее 1 000 человек.</v>
          </cell>
        </row>
        <row r="1465">
          <cell r="A1465" t="str">
            <v>62:030:2:5:6</v>
          </cell>
          <cell r="B1465" t="str">
            <v>Режевской городской округ</v>
          </cell>
          <cell r="C1465">
            <v>6</v>
          </cell>
          <cell r="D1465" t="str">
            <v>сельские населенные пункты с численностью населения менее 1 000 человек.</v>
          </cell>
        </row>
        <row r="1466">
          <cell r="A1466" t="str">
            <v>62:015:2:3:6</v>
          </cell>
          <cell r="B1466" t="str">
            <v>Режевской городской округ</v>
          </cell>
          <cell r="C1466">
            <v>6</v>
          </cell>
          <cell r="D1466" t="str">
            <v>сельские населенные пункты с численностью населения менее 1 000 человек.</v>
          </cell>
        </row>
        <row r="1467">
          <cell r="A1467" t="str">
            <v>62:022:2:5:6</v>
          </cell>
          <cell r="B1467" t="str">
            <v>Режевской городской округ</v>
          </cell>
          <cell r="C1467">
            <v>6</v>
          </cell>
          <cell r="D1467" t="str">
            <v>сельские населенные пункты с численностью населения менее 1 000 человек.</v>
          </cell>
        </row>
        <row r="1468">
          <cell r="A1468" t="str">
            <v>62:026:2:5:6</v>
          </cell>
          <cell r="B1468" t="str">
            <v>Режевской городской округ</v>
          </cell>
          <cell r="C1468">
            <v>6</v>
          </cell>
          <cell r="D1468" t="str">
            <v>сельские населенные пункты с численностью населения менее 1 000 человек.</v>
          </cell>
        </row>
        <row r="1469">
          <cell r="A1469" t="str">
            <v>62:005:2:5:6</v>
          </cell>
          <cell r="B1469" t="str">
            <v>Режевской городской округ</v>
          </cell>
          <cell r="C1469">
            <v>6</v>
          </cell>
          <cell r="D1469" t="str">
            <v>сельские населенные пункты с численностью населения менее 1 000 человек.</v>
          </cell>
        </row>
        <row r="1470">
          <cell r="A1470" t="str">
            <v>62:010:2:5:6</v>
          </cell>
          <cell r="B1470" t="str">
            <v>Режевской городской округ</v>
          </cell>
          <cell r="C1470">
            <v>6</v>
          </cell>
          <cell r="D1470" t="str">
            <v>сельские населенные пункты с численностью населения менее 1 000 человек.</v>
          </cell>
        </row>
        <row r="1471">
          <cell r="A1471" t="str">
            <v>62:020:2:4:6</v>
          </cell>
          <cell r="B1471" t="str">
            <v>Режевской городской округ</v>
          </cell>
          <cell r="C1471">
            <v>6</v>
          </cell>
          <cell r="D1471" t="str">
            <v>сельские населенные пункты с численностью населения менее 1 000 человек.</v>
          </cell>
        </row>
        <row r="1472">
          <cell r="A1472" t="str">
            <v>62:023:2:4:6</v>
          </cell>
          <cell r="B1472" t="str">
            <v>Режевской городской округ</v>
          </cell>
          <cell r="C1472">
            <v>6</v>
          </cell>
          <cell r="D1472" t="str">
            <v>сельские населенные пункты с численностью населения менее 1 000 человек.</v>
          </cell>
        </row>
        <row r="1473">
          <cell r="A1473" t="str">
            <v>62:019:2:3:6</v>
          </cell>
          <cell r="B1473" t="str">
            <v>Режевской городской округ</v>
          </cell>
          <cell r="C1473">
            <v>6</v>
          </cell>
          <cell r="D1473" t="str">
            <v>сельские населенные пункты с численностью населения менее 1 000 человек.</v>
          </cell>
        </row>
        <row r="1474">
          <cell r="A1474" t="str">
            <v>62:011:2:3:6</v>
          </cell>
          <cell r="B1474" t="str">
            <v>Режевской городской округ</v>
          </cell>
          <cell r="C1474">
            <v>6</v>
          </cell>
          <cell r="D1474" t="str">
            <v>сельские населенные пункты с численностью населения менее 1 000 человек.</v>
          </cell>
        </row>
        <row r="1475">
          <cell r="A1475" t="str">
            <v>62:012:2:3:6</v>
          </cell>
          <cell r="B1475" t="str">
            <v>Режевской городской округ</v>
          </cell>
          <cell r="C1475">
            <v>6</v>
          </cell>
          <cell r="D1475" t="str">
            <v>сельские населенные пункты с численностью населения менее 1 000 человек.</v>
          </cell>
        </row>
        <row r="1476">
          <cell r="A1476" t="str">
            <v>62:024:1:1:4</v>
          </cell>
          <cell r="B1476" t="str">
            <v>Режевской городской округ</v>
          </cell>
          <cell r="C1476">
            <v>4</v>
          </cell>
          <cell r="D1476" t="str">
            <v>городские населенные пункты с численностью населения менее 50 000 человек;</v>
          </cell>
        </row>
        <row r="1477">
          <cell r="A1477" t="str">
            <v>62:001:2:4:6</v>
          </cell>
          <cell r="B1477" t="str">
            <v>Режевской городской округ</v>
          </cell>
          <cell r="C1477">
            <v>6</v>
          </cell>
          <cell r="D1477" t="str">
            <v>сельские населенные пункты с численностью населения менее 1 000 человек.</v>
          </cell>
        </row>
        <row r="1478">
          <cell r="A1478" t="str">
            <v>62:031:2:4:5</v>
          </cell>
          <cell r="B1478" t="str">
            <v>Режевской городской округ</v>
          </cell>
          <cell r="C1478">
            <v>5</v>
          </cell>
          <cell r="D1478" t="str">
            <v>сельские населенные пункты с численностью населения более 1 000 человек;</v>
          </cell>
        </row>
        <row r="1479">
          <cell r="A1479" t="str">
            <v>62:003:2:4:5</v>
          </cell>
          <cell r="B1479" t="str">
            <v>Режевской городской округ</v>
          </cell>
          <cell r="C1479">
            <v>5</v>
          </cell>
          <cell r="D1479" t="str">
            <v>сельские населенные пункты с численностью населения более 1 000 человек;</v>
          </cell>
        </row>
        <row r="1480">
          <cell r="A1480" t="str">
            <v>62:016:2:4:5</v>
          </cell>
          <cell r="B1480" t="str">
            <v>Режевской городской округ</v>
          </cell>
          <cell r="C1480">
            <v>5</v>
          </cell>
          <cell r="D1480" t="str">
            <v>сельские населенные пункты с численностью населения более 1 000 человек;</v>
          </cell>
        </row>
        <row r="1481">
          <cell r="A1481" t="str">
            <v>62:021:2:4:6</v>
          </cell>
          <cell r="B1481" t="str">
            <v>Режевской городской округ</v>
          </cell>
          <cell r="C1481">
            <v>6</v>
          </cell>
          <cell r="D1481" t="str">
            <v>сельские населенные пункты с численностью населения менее 1 000 человек.</v>
          </cell>
        </row>
        <row r="1482">
          <cell r="A1482" t="str">
            <v>62:014:2:4:6</v>
          </cell>
          <cell r="B1482" t="str">
            <v>Режевской городской округ</v>
          </cell>
          <cell r="C1482">
            <v>6</v>
          </cell>
          <cell r="D1482" t="str">
            <v>сельские населенные пункты с численностью населения менее 1 000 человек.</v>
          </cell>
        </row>
        <row r="1483">
          <cell r="A1483" t="str">
            <v>62:009:2:4:5</v>
          </cell>
          <cell r="B1483" t="str">
            <v>Режевской городской округ</v>
          </cell>
          <cell r="C1483">
            <v>5</v>
          </cell>
          <cell r="D1483" t="str">
            <v>сельские населенные пункты с численностью населения более 1 000 человек;</v>
          </cell>
        </row>
        <row r="1484">
          <cell r="A1484" t="str">
            <v>62:006:2:5:6</v>
          </cell>
          <cell r="B1484" t="str">
            <v>Режевской городской округ</v>
          </cell>
          <cell r="C1484">
            <v>6</v>
          </cell>
          <cell r="D1484" t="str">
            <v>сельские населенные пункты с численностью населения менее 1 000 человек.</v>
          </cell>
        </row>
        <row r="1485">
          <cell r="A1485" t="str">
            <v>62:027:2:3:6</v>
          </cell>
          <cell r="B1485" t="str">
            <v>Режевской городской округ</v>
          </cell>
          <cell r="C1485">
            <v>6</v>
          </cell>
          <cell r="D1485" t="str">
            <v>сельские населенные пункты с численностью населения менее 1 000 человек.</v>
          </cell>
        </row>
        <row r="1486">
          <cell r="A1486" t="str">
            <v>62:000:0:0:0</v>
          </cell>
          <cell r="B1486" t="str">
            <v>Режевской городской округ</v>
          </cell>
          <cell r="C1486">
            <v>0</v>
          </cell>
          <cell r="D1486" t="str">
            <v>межселенная территория</v>
          </cell>
        </row>
        <row r="1487">
          <cell r="A1487" t="str">
            <v>63:003:2:4:6</v>
          </cell>
          <cell r="B1487" t="str">
            <v>Североуральский городской округ</v>
          </cell>
          <cell r="C1487">
            <v>6</v>
          </cell>
          <cell r="D1487" t="str">
            <v>сельские населенные пункты с численностью населения менее 1 000 человек.</v>
          </cell>
        </row>
        <row r="1488">
          <cell r="A1488" t="str">
            <v>63:007:2:3:6</v>
          </cell>
          <cell r="B1488" t="str">
            <v>Североуральский городской округ</v>
          </cell>
          <cell r="C1488">
            <v>6</v>
          </cell>
          <cell r="D1488" t="str">
            <v>сельские населенные пункты с численностью населения менее 1 000 человек.</v>
          </cell>
        </row>
        <row r="1489">
          <cell r="A1489" t="str">
            <v>63:009:2:3:5</v>
          </cell>
          <cell r="B1489" t="str">
            <v>Североуральский городской округ</v>
          </cell>
          <cell r="C1489">
            <v>5</v>
          </cell>
          <cell r="D1489" t="str">
            <v>сельские населенные пункты с численностью населения более 1 000 человек;</v>
          </cell>
        </row>
        <row r="1490">
          <cell r="A1490" t="str">
            <v>63:004:2:3:5</v>
          </cell>
          <cell r="B1490" t="str">
            <v>Североуральский городской округ</v>
          </cell>
          <cell r="C1490">
            <v>5</v>
          </cell>
          <cell r="D1490" t="str">
            <v>сельские населенные пункты с численностью населения более 1 000 человек;</v>
          </cell>
        </row>
        <row r="1491">
          <cell r="A1491" t="str">
            <v>63:008:2:3:5</v>
          </cell>
          <cell r="B1491" t="str">
            <v>Североуральский городской округ</v>
          </cell>
          <cell r="C1491">
            <v>5</v>
          </cell>
          <cell r="D1491" t="str">
            <v>сельские населенные пункты с численностью населения более 1 000 человек;</v>
          </cell>
        </row>
        <row r="1492">
          <cell r="A1492" t="str">
            <v>63:001:2:3:6</v>
          </cell>
          <cell r="B1492" t="str">
            <v>Североуральский городской округ</v>
          </cell>
          <cell r="C1492">
            <v>6</v>
          </cell>
          <cell r="D1492" t="str">
            <v>сельские населенные пункты с численностью населения менее 1 000 человек.</v>
          </cell>
        </row>
        <row r="1493">
          <cell r="A1493" t="str">
            <v>63:005:2:3:5</v>
          </cell>
          <cell r="B1493" t="str">
            <v>Североуральский городской округ</v>
          </cell>
          <cell r="C1493">
            <v>5</v>
          </cell>
          <cell r="D1493" t="str">
            <v>сельские населенные пункты с численностью населения более 1 000 человек;</v>
          </cell>
        </row>
        <row r="1494">
          <cell r="A1494" t="str">
            <v>63:006:1:1:4</v>
          </cell>
          <cell r="B1494" t="str">
            <v>Североуральский городской округ</v>
          </cell>
          <cell r="C1494">
            <v>4</v>
          </cell>
          <cell r="D1494" t="str">
            <v>городские населенные пункты с численностью населения менее 50 000 человек;</v>
          </cell>
        </row>
        <row r="1495">
          <cell r="A1495" t="str">
            <v>63:002:2:3:6</v>
          </cell>
          <cell r="B1495" t="str">
            <v>Североуральский городской округ</v>
          </cell>
          <cell r="C1495">
            <v>6</v>
          </cell>
          <cell r="D1495" t="str">
            <v>сельские населенные пункты с численностью населения менее 1 000 человек.</v>
          </cell>
        </row>
        <row r="1496">
          <cell r="A1496" t="str">
            <v>63:000:0:0:0</v>
          </cell>
          <cell r="B1496" t="str">
            <v>Североуральский городской округ</v>
          </cell>
          <cell r="C1496">
            <v>0</v>
          </cell>
          <cell r="D1496" t="str">
            <v>межселенная территория</v>
          </cell>
        </row>
        <row r="1497">
          <cell r="A1497" t="str">
            <v>64:030:2:3:6</v>
          </cell>
          <cell r="B1497" t="str">
            <v>Серовский городской округ</v>
          </cell>
          <cell r="C1497">
            <v>6</v>
          </cell>
          <cell r="D1497" t="str">
            <v>сельские населенные пункты с численностью населения менее 1 000 человек.</v>
          </cell>
        </row>
        <row r="1498">
          <cell r="A1498" t="str">
            <v>64:029:2:5:6</v>
          </cell>
          <cell r="B1498" t="str">
            <v>Серовский городской округ</v>
          </cell>
          <cell r="C1498">
            <v>6</v>
          </cell>
          <cell r="D1498" t="str">
            <v>сельские населенные пункты с численностью населения менее 1 000 человек.</v>
          </cell>
        </row>
        <row r="1499">
          <cell r="A1499" t="str">
            <v>64:020:2:3:6</v>
          </cell>
          <cell r="B1499" t="str">
            <v>Серовский городской округ</v>
          </cell>
          <cell r="C1499">
            <v>6</v>
          </cell>
          <cell r="D1499" t="str">
            <v>сельские населенные пункты с численностью населения менее 1 000 человек.</v>
          </cell>
        </row>
        <row r="1500">
          <cell r="A1500" t="str">
            <v>64:008:2:3:6</v>
          </cell>
          <cell r="B1500" t="str">
            <v>Серовский городской округ</v>
          </cell>
          <cell r="C1500">
            <v>6</v>
          </cell>
          <cell r="D1500" t="str">
            <v>сельские населенные пункты с численностью населения менее 1 000 человек.</v>
          </cell>
        </row>
        <row r="1501">
          <cell r="A1501" t="str">
            <v>64:026:2:3:6</v>
          </cell>
          <cell r="B1501" t="str">
            <v>Серовский городской округ</v>
          </cell>
          <cell r="C1501">
            <v>6</v>
          </cell>
          <cell r="D1501" t="str">
            <v>сельские населенные пункты с численностью населения менее 1 000 человек.</v>
          </cell>
        </row>
        <row r="1502">
          <cell r="A1502" t="str">
            <v>64:024:2:3:6</v>
          </cell>
          <cell r="B1502" t="str">
            <v>Серовский городской округ</v>
          </cell>
          <cell r="C1502">
            <v>6</v>
          </cell>
          <cell r="D1502" t="str">
            <v>сельские населенные пункты с численностью населения менее 1 000 человек.</v>
          </cell>
        </row>
        <row r="1503">
          <cell r="A1503" t="str">
            <v>64:013:2:3:6</v>
          </cell>
          <cell r="B1503" t="str">
            <v>Серовский городской округ</v>
          </cell>
          <cell r="C1503">
            <v>6</v>
          </cell>
          <cell r="D1503" t="str">
            <v>сельские населенные пункты с численностью населения менее 1 000 человек.</v>
          </cell>
        </row>
        <row r="1504">
          <cell r="A1504" t="str">
            <v>64:005:2:3:6</v>
          </cell>
          <cell r="B1504" t="str">
            <v>Серовский городской округ</v>
          </cell>
          <cell r="C1504">
            <v>6</v>
          </cell>
          <cell r="D1504" t="str">
            <v>сельские населенные пункты с численностью населения менее 1 000 человек.</v>
          </cell>
        </row>
        <row r="1505">
          <cell r="A1505" t="str">
            <v>64:004:2:5:6</v>
          </cell>
          <cell r="B1505" t="str">
            <v>Серовский городской округ</v>
          </cell>
          <cell r="C1505">
            <v>6</v>
          </cell>
          <cell r="D1505" t="str">
            <v>сельские населенные пункты с численностью населения менее 1 000 человек.</v>
          </cell>
        </row>
        <row r="1506">
          <cell r="A1506" t="str">
            <v>64:015:2:3:6</v>
          </cell>
          <cell r="B1506" t="str">
            <v>Серовский городской округ</v>
          </cell>
          <cell r="C1506">
            <v>6</v>
          </cell>
          <cell r="D1506" t="str">
            <v>сельские населенные пункты с численностью населения менее 1 000 человек.</v>
          </cell>
        </row>
        <row r="1507">
          <cell r="A1507" t="str">
            <v>64:012:2:3:6</v>
          </cell>
          <cell r="B1507" t="str">
            <v>Серовский городской округ</v>
          </cell>
          <cell r="C1507">
            <v>6</v>
          </cell>
          <cell r="D1507" t="str">
            <v>сельские населенные пункты с численностью населения менее 1 000 человек.</v>
          </cell>
        </row>
        <row r="1508">
          <cell r="A1508" t="str">
            <v>64:001:2:4:6</v>
          </cell>
          <cell r="B1508" t="str">
            <v>Серовский городской округ</v>
          </cell>
          <cell r="C1508">
            <v>6</v>
          </cell>
          <cell r="D1508" t="str">
            <v>сельские населенные пункты с численностью населения менее 1 000 человек.</v>
          </cell>
        </row>
        <row r="1509">
          <cell r="A1509" t="str">
            <v>64:023:2:5:6</v>
          </cell>
          <cell r="B1509" t="str">
            <v>Серовский городской округ</v>
          </cell>
          <cell r="C1509">
            <v>6</v>
          </cell>
          <cell r="D1509" t="str">
            <v>сельские населенные пункты с численностью населения менее 1 000 человек.</v>
          </cell>
        </row>
        <row r="1510">
          <cell r="A1510" t="str">
            <v>64:016:2:3:6</v>
          </cell>
          <cell r="B1510" t="str">
            <v>Серовский городской округ</v>
          </cell>
          <cell r="C1510">
            <v>6</v>
          </cell>
          <cell r="D1510" t="str">
            <v>сельские населенные пункты с численностью населения менее 1 000 человек.</v>
          </cell>
        </row>
        <row r="1511">
          <cell r="A1511" t="str">
            <v>64:034:2:3:6</v>
          </cell>
          <cell r="B1511" t="str">
            <v>Серовский городской округ</v>
          </cell>
          <cell r="C1511">
            <v>6</v>
          </cell>
          <cell r="D1511" t="str">
            <v>сельские населенные пункты с численностью населения менее 1 000 человек.</v>
          </cell>
        </row>
        <row r="1512">
          <cell r="A1512" t="str">
            <v>64:017:2:6:6</v>
          </cell>
          <cell r="B1512" t="str">
            <v>Серовский городской округ</v>
          </cell>
          <cell r="C1512">
            <v>6</v>
          </cell>
          <cell r="D1512" t="str">
            <v>сельские населенные пункты с численностью населения менее 1 000 человек.</v>
          </cell>
        </row>
        <row r="1513">
          <cell r="A1513" t="str">
            <v>64:019:2:3:6</v>
          </cell>
          <cell r="B1513" t="str">
            <v>Серовский городской округ</v>
          </cell>
          <cell r="C1513">
            <v>6</v>
          </cell>
          <cell r="D1513" t="str">
            <v>сельские населенные пункты с численностью населения менее 1 000 человек.</v>
          </cell>
        </row>
        <row r="1514">
          <cell r="A1514" t="str">
            <v>64:021:2:3:6</v>
          </cell>
          <cell r="B1514" t="str">
            <v>Серовский городской округ</v>
          </cell>
          <cell r="C1514">
            <v>6</v>
          </cell>
          <cell r="D1514" t="str">
            <v>сельские населенные пункты с численностью населения менее 1 000 человек.</v>
          </cell>
        </row>
        <row r="1515">
          <cell r="A1515" t="str">
            <v>64:028:2:3:6</v>
          </cell>
          <cell r="B1515" t="str">
            <v>Серовский городской округ</v>
          </cell>
          <cell r="C1515">
            <v>6</v>
          </cell>
          <cell r="D1515" t="str">
            <v>сельские населенные пункты с численностью населения менее 1 000 человек.</v>
          </cell>
        </row>
        <row r="1516">
          <cell r="A1516" t="str">
            <v>64:011:2:3:6</v>
          </cell>
          <cell r="B1516" t="str">
            <v>Серовский городской округ</v>
          </cell>
          <cell r="C1516">
            <v>6</v>
          </cell>
          <cell r="D1516" t="str">
            <v>сельские населенные пункты с численностью населения менее 1 000 человек.</v>
          </cell>
        </row>
        <row r="1517">
          <cell r="A1517" t="str">
            <v>64:002:2:3:6</v>
          </cell>
          <cell r="B1517" t="str">
            <v>Серовский городской округ</v>
          </cell>
          <cell r="C1517">
            <v>6</v>
          </cell>
          <cell r="D1517" t="str">
            <v>сельские населенные пункты с численностью населения менее 1 000 человек.</v>
          </cell>
        </row>
        <row r="1518">
          <cell r="A1518" t="str">
            <v>64:022:2:3:6</v>
          </cell>
          <cell r="B1518" t="str">
            <v>Серовский городской округ</v>
          </cell>
          <cell r="C1518">
            <v>6</v>
          </cell>
          <cell r="D1518" t="str">
            <v>сельские населенные пункты с численностью населения менее 1 000 человек.</v>
          </cell>
        </row>
        <row r="1519">
          <cell r="A1519" t="str">
            <v>64:027:2:5:6</v>
          </cell>
          <cell r="B1519" t="str">
            <v>Серовский городской округ</v>
          </cell>
          <cell r="C1519">
            <v>6</v>
          </cell>
          <cell r="D1519" t="str">
            <v>сельские населенные пункты с численностью населения менее 1 000 человек.</v>
          </cell>
        </row>
        <row r="1520">
          <cell r="A1520" t="str">
            <v>64:018:2:5:6</v>
          </cell>
          <cell r="B1520" t="str">
            <v>Серовский городской округ</v>
          </cell>
          <cell r="C1520">
            <v>6</v>
          </cell>
          <cell r="D1520" t="str">
            <v>сельские населенные пункты с численностью населения менее 1 000 человек.</v>
          </cell>
        </row>
        <row r="1521">
          <cell r="A1521" t="str">
            <v>64:033:2:3:6</v>
          </cell>
          <cell r="B1521" t="str">
            <v>Серовский городской округ</v>
          </cell>
          <cell r="C1521">
            <v>6</v>
          </cell>
          <cell r="D1521" t="str">
            <v>сельские населенные пункты с численностью населения менее 1 000 человек.</v>
          </cell>
        </row>
        <row r="1522">
          <cell r="A1522" t="str">
            <v>64:006:2:5:6</v>
          </cell>
          <cell r="B1522" t="str">
            <v>Серовский городской округ</v>
          </cell>
          <cell r="C1522">
            <v>6</v>
          </cell>
          <cell r="D1522" t="str">
            <v>сельские населенные пункты с численностью населения менее 1 000 человек.</v>
          </cell>
        </row>
        <row r="1523">
          <cell r="A1523" t="str">
            <v>64:009:2:3:5</v>
          </cell>
          <cell r="B1523" t="str">
            <v>Серовский городской округ</v>
          </cell>
          <cell r="C1523">
            <v>5</v>
          </cell>
          <cell r="D1523" t="str">
            <v>сельские населенные пункты с численностью населения более 1 000 человек;</v>
          </cell>
        </row>
        <row r="1524">
          <cell r="A1524" t="str">
            <v>64:003:2:3:6</v>
          </cell>
          <cell r="B1524" t="str">
            <v>Серовский городской округ</v>
          </cell>
          <cell r="C1524">
            <v>6</v>
          </cell>
          <cell r="D1524" t="str">
            <v>сельские населенные пункты с численностью населения менее 1 000 человек.</v>
          </cell>
        </row>
        <row r="1525">
          <cell r="A1525" t="str">
            <v>64:032:2:5:6</v>
          </cell>
          <cell r="B1525" t="str">
            <v>Серовский городской округ</v>
          </cell>
          <cell r="C1525">
            <v>6</v>
          </cell>
          <cell r="D1525" t="str">
            <v>сельские населенные пункты с численностью населения менее 1 000 человек.</v>
          </cell>
        </row>
        <row r="1526">
          <cell r="A1526" t="str">
            <v>64:025:2:3:6</v>
          </cell>
          <cell r="B1526" t="str">
            <v>Серовский городской округ</v>
          </cell>
          <cell r="C1526">
            <v>6</v>
          </cell>
          <cell r="D1526" t="str">
            <v>сельские населенные пункты с численностью населения менее 1 000 человек.</v>
          </cell>
        </row>
        <row r="1527">
          <cell r="A1527" t="str">
            <v>64:014:2:5:6</v>
          </cell>
          <cell r="B1527" t="str">
            <v>Серовский городской округ</v>
          </cell>
          <cell r="C1527">
            <v>6</v>
          </cell>
          <cell r="D1527" t="str">
            <v>сельские населенные пункты с численностью населения менее 1 000 человек.</v>
          </cell>
        </row>
        <row r="1528">
          <cell r="A1528" t="str">
            <v>64:007:2:3:6</v>
          </cell>
          <cell r="B1528" t="str">
            <v>Серовский городской округ</v>
          </cell>
          <cell r="C1528">
            <v>6</v>
          </cell>
          <cell r="D1528" t="str">
            <v>сельские населенные пункты с численностью населения менее 1 000 человек.</v>
          </cell>
        </row>
        <row r="1529">
          <cell r="A1529" t="str">
            <v>64:010:2:3:5</v>
          </cell>
          <cell r="B1529" t="str">
            <v>Серовский городской округ</v>
          </cell>
          <cell r="C1529">
            <v>5</v>
          </cell>
          <cell r="D1529" t="str">
            <v>сельские населенные пункты с численностью населения более 1 000 человек;</v>
          </cell>
        </row>
        <row r="1530">
          <cell r="A1530" t="str">
            <v>64:031:1:1:3</v>
          </cell>
          <cell r="B1530" t="str">
            <v>Серовский городской округ</v>
          </cell>
          <cell r="C1530">
            <v>3</v>
          </cell>
          <cell r="D1530" t="str">
            <v>городские населенные пункты с численностью населения от 100 000 до 50 000 человек;</v>
          </cell>
        </row>
        <row r="1531">
          <cell r="A1531" t="str">
            <v>00:043:0:0:0</v>
          </cell>
          <cell r="B1531" t="str">
            <v>Серовский городской округ</v>
          </cell>
          <cell r="C1531">
            <v>0</v>
          </cell>
          <cell r="D1531" t="str">
            <v>межселенная территория</v>
          </cell>
        </row>
        <row r="1532">
          <cell r="A1532" t="str">
            <v>64:037:2:3:6</v>
          </cell>
          <cell r="B1532" t="str">
            <v>Серовский городской округ</v>
          </cell>
          <cell r="C1532">
            <v>6</v>
          </cell>
          <cell r="D1532" t="str">
            <v>сельские населенные пункты с численностью населения менее 1 000 человек.</v>
          </cell>
        </row>
        <row r="1533">
          <cell r="A1533" t="str">
            <v>64:035:2:3:6</v>
          </cell>
          <cell r="B1533" t="str">
            <v>Серовский городской округ</v>
          </cell>
          <cell r="C1533">
            <v>6</v>
          </cell>
          <cell r="D1533" t="str">
            <v>сельские населенные пункты с численностью населения менее 1 000 человек.</v>
          </cell>
        </row>
        <row r="1534">
          <cell r="A1534" t="str">
            <v>64:036:2:4:6</v>
          </cell>
          <cell r="B1534" t="str">
            <v>Серовский городской округ</v>
          </cell>
          <cell r="C1534">
            <v>6</v>
          </cell>
          <cell r="D1534" t="str">
            <v>сельские населенные пункты с численностью населения менее 1 000 человек.</v>
          </cell>
        </row>
        <row r="1535">
          <cell r="A1535" t="str">
            <v>64:000:0:0:0</v>
          </cell>
          <cell r="B1535" t="str">
            <v>Серовский городской округ</v>
          </cell>
          <cell r="C1535">
            <v>0</v>
          </cell>
          <cell r="D1535" t="str">
            <v>межселенная территория</v>
          </cell>
        </row>
        <row r="1536">
          <cell r="A1536" t="str">
            <v>00:005:0:0:0</v>
          </cell>
          <cell r="B1536" t="str">
            <v>Слободо-Туринский муниципальный район</v>
          </cell>
          <cell r="C1536">
            <v>0</v>
          </cell>
          <cell r="D1536" t="str">
            <v>межселенная территория</v>
          </cell>
        </row>
        <row r="1537">
          <cell r="A1537" t="str">
            <v>65:024:2:5:6</v>
          </cell>
          <cell r="B1537" t="str">
            <v>Слободо-Туринский муниципальный район</v>
          </cell>
          <cell r="C1537">
            <v>6</v>
          </cell>
          <cell r="D1537" t="str">
            <v>сельские населенные пункты с численностью населения менее 1 000 человек.</v>
          </cell>
        </row>
        <row r="1538">
          <cell r="A1538" t="str">
            <v>65:046:2:5:6</v>
          </cell>
          <cell r="B1538" t="str">
            <v>Слободо-Туринский муниципальный район</v>
          </cell>
          <cell r="C1538">
            <v>6</v>
          </cell>
          <cell r="D1538" t="str">
            <v>сельские населенные пункты с численностью населения менее 1 000 человек.</v>
          </cell>
        </row>
        <row r="1539">
          <cell r="A1539" t="str">
            <v>65:007:2:5:6</v>
          </cell>
          <cell r="B1539" t="str">
            <v>Слободо-Туринский муниципальный район</v>
          </cell>
          <cell r="C1539">
            <v>6</v>
          </cell>
          <cell r="D1539" t="str">
            <v>сельские населенные пункты с численностью населения менее 1 000 человек.</v>
          </cell>
        </row>
        <row r="1540">
          <cell r="A1540" t="str">
            <v>65:032:2:5:6</v>
          </cell>
          <cell r="B1540" t="str">
            <v>Слободо-Туринский муниципальный район</v>
          </cell>
          <cell r="C1540">
            <v>6</v>
          </cell>
          <cell r="D1540" t="str">
            <v>сельские населенные пункты с численностью населения менее 1 000 человек.</v>
          </cell>
        </row>
        <row r="1541">
          <cell r="A1541" t="str">
            <v>65:037:2:5:6</v>
          </cell>
          <cell r="B1541" t="str">
            <v>Слободо-Туринский муниципальный район</v>
          </cell>
          <cell r="C1541">
            <v>6</v>
          </cell>
          <cell r="D1541" t="str">
            <v>сельские населенные пункты с численностью населения менее 1 000 человек.</v>
          </cell>
        </row>
        <row r="1542">
          <cell r="A1542" t="str">
            <v>65:047:2:5:6</v>
          </cell>
          <cell r="B1542" t="str">
            <v>Слободо-Туринский муниципальный район</v>
          </cell>
          <cell r="C1542">
            <v>6</v>
          </cell>
          <cell r="D1542" t="str">
            <v>сельские населенные пункты с численностью населения менее 1 000 человек.</v>
          </cell>
        </row>
        <row r="1543">
          <cell r="A1543" t="str">
            <v>65:022:2:4:6</v>
          </cell>
          <cell r="B1543" t="str">
            <v>Слободо-Туринский муниципальный район</v>
          </cell>
          <cell r="C1543">
            <v>6</v>
          </cell>
          <cell r="D1543" t="str">
            <v>сельские населенные пункты с численностью населения менее 1 000 человек.</v>
          </cell>
        </row>
        <row r="1544">
          <cell r="A1544" t="str">
            <v>65:002:2:5:6</v>
          </cell>
          <cell r="B1544" t="str">
            <v>Слободо-Туринский муниципальный район</v>
          </cell>
          <cell r="C1544">
            <v>6</v>
          </cell>
          <cell r="D1544" t="str">
            <v>сельские населенные пункты с численностью населения менее 1 000 человек.</v>
          </cell>
        </row>
        <row r="1545">
          <cell r="A1545" t="str">
            <v>65:025:2:5:6</v>
          </cell>
          <cell r="B1545" t="str">
            <v>Слободо-Туринский муниципальный район</v>
          </cell>
          <cell r="C1545">
            <v>6</v>
          </cell>
          <cell r="D1545" t="str">
            <v>сельские населенные пункты с численностью населения менее 1 000 человек.</v>
          </cell>
        </row>
        <row r="1546">
          <cell r="A1546" t="str">
            <v>65:021:2:5:6</v>
          </cell>
          <cell r="B1546" t="str">
            <v>Слободо-Туринский муниципальный район</v>
          </cell>
          <cell r="C1546">
            <v>6</v>
          </cell>
          <cell r="D1546" t="str">
            <v>сельские населенные пункты с численностью населения менее 1 000 человек.</v>
          </cell>
        </row>
        <row r="1547">
          <cell r="A1547" t="str">
            <v>65:013:2:5:6</v>
          </cell>
          <cell r="B1547" t="str">
            <v>Слободо-Туринский муниципальный район</v>
          </cell>
          <cell r="C1547">
            <v>6</v>
          </cell>
          <cell r="D1547" t="str">
            <v>сельские населенные пункты с численностью населения менее 1 000 человек.</v>
          </cell>
        </row>
        <row r="1548">
          <cell r="A1548" t="str">
            <v>65:039:2:5:6</v>
          </cell>
          <cell r="B1548" t="str">
            <v>Слободо-Туринский муниципальный район</v>
          </cell>
          <cell r="C1548">
            <v>6</v>
          </cell>
          <cell r="D1548" t="str">
            <v>сельские населенные пункты с численностью населения менее 1 000 человек.</v>
          </cell>
        </row>
        <row r="1549">
          <cell r="A1549" t="str">
            <v>65:008:2:5:6</v>
          </cell>
          <cell r="B1549" t="str">
            <v>Слободо-Туринский муниципальный район</v>
          </cell>
          <cell r="C1549">
            <v>6</v>
          </cell>
          <cell r="D1549" t="str">
            <v>сельские населенные пункты с численностью населения менее 1 000 человек.</v>
          </cell>
        </row>
        <row r="1550">
          <cell r="A1550" t="str">
            <v>65:027:2:5:6</v>
          </cell>
          <cell r="B1550" t="str">
            <v>Слободо-Туринский муниципальный район</v>
          </cell>
          <cell r="C1550">
            <v>6</v>
          </cell>
          <cell r="D1550" t="str">
            <v>сельские населенные пункты с численностью населения менее 1 000 человек.</v>
          </cell>
        </row>
        <row r="1551">
          <cell r="A1551" t="str">
            <v>65:028:2:5:6</v>
          </cell>
          <cell r="B1551" t="str">
            <v>Слободо-Туринский муниципальный район</v>
          </cell>
          <cell r="C1551">
            <v>6</v>
          </cell>
          <cell r="D1551" t="str">
            <v>сельские населенные пункты с численностью населения менее 1 000 человек.</v>
          </cell>
        </row>
        <row r="1552">
          <cell r="A1552" t="str">
            <v>65:018:2:5:6</v>
          </cell>
          <cell r="B1552" t="str">
            <v>Слободо-Туринский муниципальный район</v>
          </cell>
          <cell r="C1552">
            <v>6</v>
          </cell>
          <cell r="D1552" t="str">
            <v>сельские населенные пункты с численностью населения менее 1 000 человек.</v>
          </cell>
        </row>
        <row r="1553">
          <cell r="A1553" t="str">
            <v>65:005:2:5:6</v>
          </cell>
          <cell r="B1553" t="str">
            <v>Слободо-Туринский муниципальный район</v>
          </cell>
          <cell r="C1553">
            <v>6</v>
          </cell>
          <cell r="D1553" t="str">
            <v>сельские населенные пункты с численностью населения менее 1 000 человек.</v>
          </cell>
        </row>
        <row r="1554">
          <cell r="A1554" t="str">
            <v>65:012:2:5:6</v>
          </cell>
          <cell r="B1554" t="str">
            <v>Слободо-Туринский муниципальный район</v>
          </cell>
          <cell r="C1554">
            <v>6</v>
          </cell>
          <cell r="D1554" t="str">
            <v>сельские населенные пункты с численностью населения менее 1 000 человек.</v>
          </cell>
        </row>
        <row r="1555">
          <cell r="A1555" t="str">
            <v>65:029:2:5:6</v>
          </cell>
          <cell r="B1555" t="str">
            <v>Слободо-Туринский муниципальный район</v>
          </cell>
          <cell r="C1555">
            <v>6</v>
          </cell>
          <cell r="D1555" t="str">
            <v>сельские населенные пункты с численностью населения менее 1 000 человек.</v>
          </cell>
        </row>
        <row r="1556">
          <cell r="A1556" t="str">
            <v>65:004:2:5:6</v>
          </cell>
          <cell r="B1556" t="str">
            <v>Слободо-Туринский муниципальный район</v>
          </cell>
          <cell r="C1556">
            <v>6</v>
          </cell>
          <cell r="D1556" t="str">
            <v>сельские населенные пункты с численностью населения менее 1 000 человек.</v>
          </cell>
        </row>
        <row r="1557">
          <cell r="A1557" t="str">
            <v>65:041:2:5:6</v>
          </cell>
          <cell r="B1557" t="str">
            <v>Слободо-Туринский муниципальный район</v>
          </cell>
          <cell r="C1557">
            <v>6</v>
          </cell>
          <cell r="D1557" t="str">
            <v>сельские населенные пункты с численностью населения менее 1 000 человек.</v>
          </cell>
        </row>
        <row r="1558">
          <cell r="A1558" t="str">
            <v>65:001:2:5:6</v>
          </cell>
          <cell r="B1558" t="str">
            <v>Слободо-Туринский муниципальный район</v>
          </cell>
          <cell r="C1558">
            <v>6</v>
          </cell>
          <cell r="D1558" t="str">
            <v>сельские населенные пункты с численностью населения менее 1 000 человек.</v>
          </cell>
        </row>
        <row r="1559">
          <cell r="A1559" t="str">
            <v>65:015:2:3:6</v>
          </cell>
          <cell r="B1559" t="str">
            <v>Слободо-Туринский муниципальный район</v>
          </cell>
          <cell r="C1559">
            <v>6</v>
          </cell>
          <cell r="D1559" t="str">
            <v>сельские населенные пункты с численностью населения менее 1 000 человек.</v>
          </cell>
        </row>
        <row r="1560">
          <cell r="A1560" t="str">
            <v>65:048:2:5:6</v>
          </cell>
          <cell r="B1560" t="str">
            <v>Слободо-Туринский муниципальный район</v>
          </cell>
          <cell r="C1560">
            <v>6</v>
          </cell>
          <cell r="D1560" t="str">
            <v>сельские населенные пункты с численностью населения менее 1 000 человек.</v>
          </cell>
        </row>
        <row r="1561">
          <cell r="A1561" t="str">
            <v>65:003:2:4:6</v>
          </cell>
          <cell r="B1561" t="str">
            <v>Слободо-Туринский муниципальный район</v>
          </cell>
          <cell r="C1561">
            <v>6</v>
          </cell>
          <cell r="D1561" t="str">
            <v>сельские населенные пункты с численностью населения менее 1 000 человек.</v>
          </cell>
        </row>
        <row r="1562">
          <cell r="A1562" t="str">
            <v>65:044:2:5:6</v>
          </cell>
          <cell r="B1562" t="str">
            <v>Слободо-Туринский муниципальный район</v>
          </cell>
          <cell r="C1562">
            <v>6</v>
          </cell>
          <cell r="D1562" t="str">
            <v>сельские населенные пункты с численностью населения менее 1 000 человек.</v>
          </cell>
        </row>
        <row r="1563">
          <cell r="A1563" t="str">
            <v>65:017:2:5:6</v>
          </cell>
          <cell r="B1563" t="str">
            <v>Слободо-Туринский муниципальный район</v>
          </cell>
          <cell r="C1563">
            <v>6</v>
          </cell>
          <cell r="D1563" t="str">
            <v>сельские населенные пункты с численностью населения менее 1 000 человек.</v>
          </cell>
        </row>
        <row r="1564">
          <cell r="A1564" t="str">
            <v>65:035:2:3:6</v>
          </cell>
          <cell r="B1564" t="str">
            <v>Слободо-Туринский муниципальный район</v>
          </cell>
          <cell r="C1564">
            <v>6</v>
          </cell>
          <cell r="D1564" t="str">
            <v>сельские населенные пункты с численностью населения менее 1 000 человек.</v>
          </cell>
        </row>
        <row r="1565">
          <cell r="A1565" t="str">
            <v>65:006:2:5:6</v>
          </cell>
          <cell r="B1565" t="str">
            <v>Слободо-Туринский муниципальный район</v>
          </cell>
          <cell r="C1565">
            <v>6</v>
          </cell>
          <cell r="D1565" t="str">
            <v>сельские населенные пункты с численностью населения менее 1 000 человек.</v>
          </cell>
        </row>
        <row r="1566">
          <cell r="A1566" t="str">
            <v>65:011:2:5:6</v>
          </cell>
          <cell r="B1566" t="str">
            <v>Слободо-Туринский муниципальный район</v>
          </cell>
          <cell r="C1566">
            <v>6</v>
          </cell>
          <cell r="D1566" t="str">
            <v>сельские населенные пункты с численностью населения менее 1 000 человек.</v>
          </cell>
        </row>
        <row r="1567">
          <cell r="A1567" t="str">
            <v>65:036:2:5:6</v>
          </cell>
          <cell r="B1567" t="str">
            <v>Слободо-Туринский муниципальный район</v>
          </cell>
          <cell r="C1567">
            <v>6</v>
          </cell>
          <cell r="D1567" t="str">
            <v>сельские населенные пункты с численностью населения менее 1 000 человек.</v>
          </cell>
        </row>
        <row r="1568">
          <cell r="A1568" t="str">
            <v>65:038:2:4:6</v>
          </cell>
          <cell r="B1568" t="str">
            <v>Слободо-Туринский муниципальный район</v>
          </cell>
          <cell r="C1568">
            <v>6</v>
          </cell>
          <cell r="D1568" t="str">
            <v>сельские населенные пункты с численностью населения менее 1 000 человек.</v>
          </cell>
        </row>
        <row r="1569">
          <cell r="A1569" t="str">
            <v>65:045:2:4:6</v>
          </cell>
          <cell r="B1569" t="str">
            <v>Слободо-Туринский муниципальный район</v>
          </cell>
          <cell r="C1569">
            <v>6</v>
          </cell>
          <cell r="D1569" t="str">
            <v>сельские населенные пункты с численностью населения менее 1 000 человек.</v>
          </cell>
        </row>
        <row r="1570">
          <cell r="A1570" t="str">
            <v>65:030:2:4:6</v>
          </cell>
          <cell r="B1570" t="str">
            <v>Слободо-Туринский муниципальный район</v>
          </cell>
          <cell r="C1570">
            <v>6</v>
          </cell>
          <cell r="D1570" t="str">
            <v>сельские населенные пункты с численностью населения менее 1 000 человек.</v>
          </cell>
        </row>
        <row r="1571">
          <cell r="A1571" t="str">
            <v>65:042:2:4:6</v>
          </cell>
          <cell r="B1571" t="str">
            <v>Слободо-Туринский муниципальный район</v>
          </cell>
          <cell r="C1571">
            <v>6</v>
          </cell>
          <cell r="D1571" t="str">
            <v>сельские населенные пункты с численностью населения менее 1 000 человек.</v>
          </cell>
        </row>
        <row r="1572">
          <cell r="A1572" t="str">
            <v>65:040:2:4:6</v>
          </cell>
          <cell r="B1572" t="str">
            <v>Слободо-Туринский муниципальный район</v>
          </cell>
          <cell r="C1572">
            <v>6</v>
          </cell>
          <cell r="D1572" t="str">
            <v>сельские населенные пункты с численностью населения менее 1 000 человек.</v>
          </cell>
        </row>
        <row r="1573">
          <cell r="A1573" t="str">
            <v>65:020:2:4:6</v>
          </cell>
          <cell r="B1573" t="str">
            <v>Слободо-Туринский муниципальный район</v>
          </cell>
          <cell r="C1573">
            <v>6</v>
          </cell>
          <cell r="D1573" t="str">
            <v>сельские населенные пункты с численностью населения менее 1 000 человек.</v>
          </cell>
        </row>
        <row r="1574">
          <cell r="A1574" t="str">
            <v>65:043:2:4:6</v>
          </cell>
          <cell r="B1574" t="str">
            <v>Слободо-Туринский муниципальный район</v>
          </cell>
          <cell r="C1574">
            <v>6</v>
          </cell>
          <cell r="D1574" t="str">
            <v>сельские населенные пункты с численностью населения менее 1 000 человек.</v>
          </cell>
        </row>
        <row r="1575">
          <cell r="A1575" t="str">
            <v>65:023:2:4:6</v>
          </cell>
          <cell r="B1575" t="str">
            <v>Слободо-Туринский муниципальный район</v>
          </cell>
          <cell r="C1575">
            <v>6</v>
          </cell>
          <cell r="D1575" t="str">
            <v>сельские населенные пункты с численностью населения менее 1 000 человек.</v>
          </cell>
        </row>
        <row r="1576">
          <cell r="A1576" t="str">
            <v>65:014:2:5:6</v>
          </cell>
          <cell r="B1576" t="str">
            <v>Слободо-Туринский муниципальный район</v>
          </cell>
          <cell r="C1576">
            <v>6</v>
          </cell>
          <cell r="D1576" t="str">
            <v>сельские населенные пункты с численностью населения менее 1 000 человек.</v>
          </cell>
        </row>
        <row r="1577">
          <cell r="A1577" t="str">
            <v>65:009:2:5:6</v>
          </cell>
          <cell r="B1577" t="str">
            <v>Слободо-Туринский муниципальный район</v>
          </cell>
          <cell r="C1577">
            <v>6</v>
          </cell>
          <cell r="D1577" t="str">
            <v>сельские населенные пункты с численностью населения менее 1 000 человек.</v>
          </cell>
        </row>
        <row r="1578">
          <cell r="A1578" t="str">
            <v>65:019:2:5:6</v>
          </cell>
          <cell r="B1578" t="str">
            <v>Слободо-Туринский муниципальный район</v>
          </cell>
          <cell r="C1578">
            <v>6</v>
          </cell>
          <cell r="D1578" t="str">
            <v>сельские населенные пункты с численностью населения менее 1 000 человек.</v>
          </cell>
        </row>
        <row r="1579">
          <cell r="A1579" t="str">
            <v>65:016:2:5:6</v>
          </cell>
          <cell r="B1579" t="str">
            <v>Слободо-Туринский муниципальный район</v>
          </cell>
          <cell r="C1579">
            <v>6</v>
          </cell>
          <cell r="D1579" t="str">
            <v>сельские населенные пункты с численностью населения менее 1 000 человек.</v>
          </cell>
        </row>
        <row r="1580">
          <cell r="A1580" t="str">
            <v>65:034:2:4:6</v>
          </cell>
          <cell r="B1580" t="str">
            <v>Слободо-Туринский муниципальный район</v>
          </cell>
          <cell r="C1580">
            <v>6</v>
          </cell>
          <cell r="D1580" t="str">
            <v>сельские населенные пункты с численностью населения менее 1 000 человек.</v>
          </cell>
        </row>
        <row r="1581">
          <cell r="A1581" t="str">
            <v>65:033:2:4:6</v>
          </cell>
          <cell r="B1581" t="str">
            <v>Слободо-Туринский муниципальный район</v>
          </cell>
          <cell r="C1581">
            <v>6</v>
          </cell>
          <cell r="D1581" t="str">
            <v>сельские населенные пункты с численностью населения менее 1 000 человек.</v>
          </cell>
        </row>
        <row r="1582">
          <cell r="A1582" t="str">
            <v>65:026:2:5:6</v>
          </cell>
          <cell r="B1582" t="str">
            <v>Слободо-Туринский муниципальный район</v>
          </cell>
          <cell r="C1582">
            <v>6</v>
          </cell>
          <cell r="D1582" t="str">
            <v>сельские населенные пункты с численностью населения менее 1 000 человек.</v>
          </cell>
        </row>
        <row r="1583">
          <cell r="A1583" t="str">
            <v>65:010:2:5:6</v>
          </cell>
          <cell r="B1583" t="str">
            <v>Слободо-Туринский муниципальный район</v>
          </cell>
          <cell r="C1583">
            <v>6</v>
          </cell>
          <cell r="D1583" t="str">
            <v>сельские населенные пункты с численностью населения менее 1 000 человек.</v>
          </cell>
        </row>
        <row r="1584">
          <cell r="A1584" t="str">
            <v>65:031:2:5:6</v>
          </cell>
          <cell r="B1584" t="str">
            <v>Слободо-Туринский муниципальный район</v>
          </cell>
          <cell r="C1584">
            <v>6</v>
          </cell>
          <cell r="D1584" t="str">
            <v>сельские населенные пункты с численностью населения менее 1 000 человек.</v>
          </cell>
        </row>
        <row r="1585">
          <cell r="A1585" t="str">
            <v>65:000:0:0:0</v>
          </cell>
          <cell r="B1585" t="str">
            <v>Слободо-Туринский муниципальный район</v>
          </cell>
          <cell r="C1585">
            <v>0</v>
          </cell>
          <cell r="D1585" t="str">
            <v>межселенная территория</v>
          </cell>
        </row>
        <row r="1586">
          <cell r="A1586" t="str">
            <v>66:024:2:3:6</v>
          </cell>
          <cell r="B1586" t="str">
            <v>Сосьвинский городской округ</v>
          </cell>
          <cell r="C1586">
            <v>6</v>
          </cell>
          <cell r="D1586" t="str">
            <v>сельские населенные пункты с численностью населения менее 1 000 человек.</v>
          </cell>
        </row>
        <row r="1587">
          <cell r="A1587" t="str">
            <v>66:020:2:5:6</v>
          </cell>
          <cell r="B1587" t="str">
            <v>Сосьвинский городской округ</v>
          </cell>
          <cell r="C1587">
            <v>6</v>
          </cell>
          <cell r="D1587" t="str">
            <v>сельские населенные пункты с численностью населения менее 1 000 человек.</v>
          </cell>
        </row>
        <row r="1588">
          <cell r="A1588" t="str">
            <v>66:005:2:5:6</v>
          </cell>
          <cell r="B1588" t="str">
            <v>Сосьвинский городской округ</v>
          </cell>
          <cell r="C1588">
            <v>6</v>
          </cell>
          <cell r="D1588" t="str">
            <v>сельские населенные пункты с численностью населения менее 1 000 человек.</v>
          </cell>
        </row>
        <row r="1589">
          <cell r="A1589" t="str">
            <v>66:015:2:3:6</v>
          </cell>
          <cell r="B1589" t="str">
            <v>Сосьвинский городской округ</v>
          </cell>
          <cell r="C1589">
            <v>6</v>
          </cell>
          <cell r="D1589" t="str">
            <v>сельские населенные пункты с численностью населения менее 1 000 человек.</v>
          </cell>
        </row>
        <row r="1590">
          <cell r="A1590" t="str">
            <v>66:014:2:4:6</v>
          </cell>
          <cell r="B1590" t="str">
            <v>Сосьвинский городской округ</v>
          </cell>
          <cell r="C1590">
            <v>6</v>
          </cell>
          <cell r="D1590" t="str">
            <v>сельские населенные пункты с численностью населения менее 1 000 человек.</v>
          </cell>
        </row>
        <row r="1591">
          <cell r="A1591" t="str">
            <v>66:013:2:5:6</v>
          </cell>
          <cell r="B1591" t="str">
            <v>Сосьвинский городской округ</v>
          </cell>
          <cell r="C1591">
            <v>6</v>
          </cell>
          <cell r="D1591" t="str">
            <v>сельские населенные пункты с численностью населения менее 1 000 человек.</v>
          </cell>
        </row>
        <row r="1592">
          <cell r="A1592" t="str">
            <v>66:011:2:5:6</v>
          </cell>
          <cell r="B1592" t="str">
            <v>Сосьвинский городской округ</v>
          </cell>
          <cell r="C1592">
            <v>6</v>
          </cell>
          <cell r="D1592" t="str">
            <v>сельские населенные пункты с численностью населения менее 1 000 человек.</v>
          </cell>
        </row>
        <row r="1593">
          <cell r="A1593" t="str">
            <v>66:004:2:5:6</v>
          </cell>
          <cell r="B1593" t="str">
            <v>Сосьвинский городской округ</v>
          </cell>
          <cell r="C1593">
            <v>6</v>
          </cell>
          <cell r="D1593" t="str">
            <v>сельские населенные пункты с численностью населения менее 1 000 человек.</v>
          </cell>
        </row>
        <row r="1594">
          <cell r="A1594" t="str">
            <v>66:003:2:3:6</v>
          </cell>
          <cell r="B1594" t="str">
            <v>Сосьвинский городской округ</v>
          </cell>
          <cell r="C1594">
            <v>6</v>
          </cell>
          <cell r="D1594" t="str">
            <v>сельские населенные пункты с численностью населения менее 1 000 человек.</v>
          </cell>
        </row>
        <row r="1595">
          <cell r="A1595" t="str">
            <v>66:009:2:5:6</v>
          </cell>
          <cell r="B1595" t="str">
            <v>Сосьвинский городской округ</v>
          </cell>
          <cell r="C1595">
            <v>6</v>
          </cell>
          <cell r="D1595" t="str">
            <v>сельские населенные пункты с численностью населения менее 1 000 человек.</v>
          </cell>
        </row>
        <row r="1596">
          <cell r="A1596" t="str">
            <v>66:016:2:3:6</v>
          </cell>
          <cell r="B1596" t="str">
            <v>Сосьвинский городской округ</v>
          </cell>
          <cell r="C1596">
            <v>6</v>
          </cell>
          <cell r="D1596" t="str">
            <v>сельские населенные пункты с численностью населения менее 1 000 человек.</v>
          </cell>
        </row>
        <row r="1597">
          <cell r="A1597" t="str">
            <v>66:017:2:4:6</v>
          </cell>
          <cell r="B1597" t="str">
            <v>Сосьвинский городской округ</v>
          </cell>
          <cell r="C1597">
            <v>6</v>
          </cell>
          <cell r="D1597" t="str">
            <v>сельские населенные пункты с численностью населения менее 1 000 человек.</v>
          </cell>
        </row>
        <row r="1598">
          <cell r="A1598" t="str">
            <v>66:019:2:3:6</v>
          </cell>
          <cell r="B1598" t="str">
            <v>Сосьвинский городской округ</v>
          </cell>
          <cell r="C1598">
            <v>6</v>
          </cell>
          <cell r="D1598" t="str">
            <v>сельские населенные пункты с численностью населения менее 1 000 человек.</v>
          </cell>
        </row>
        <row r="1599">
          <cell r="A1599" t="str">
            <v>66:006:2:4:6</v>
          </cell>
          <cell r="B1599" t="str">
            <v>Сосьвинский городской округ</v>
          </cell>
          <cell r="C1599">
            <v>6</v>
          </cell>
          <cell r="D1599" t="str">
            <v>сельские населенные пункты с численностью населения менее 1 000 человек.</v>
          </cell>
        </row>
        <row r="1600">
          <cell r="A1600" t="str">
            <v>66:010:2:5:6</v>
          </cell>
          <cell r="B1600" t="str">
            <v>Сосьвинский городской округ</v>
          </cell>
          <cell r="C1600">
            <v>6</v>
          </cell>
          <cell r="D1600" t="str">
            <v>сельские населенные пункты с численностью населения менее 1 000 человек.</v>
          </cell>
        </row>
        <row r="1601">
          <cell r="A1601" t="str">
            <v>66:007:2:5:6</v>
          </cell>
          <cell r="B1601" t="str">
            <v>Сосьвинский городской округ</v>
          </cell>
          <cell r="C1601">
            <v>6</v>
          </cell>
          <cell r="D1601" t="str">
            <v>сельские населенные пункты с численностью населения менее 1 000 человек.</v>
          </cell>
        </row>
        <row r="1602">
          <cell r="A1602" t="str">
            <v>66:002:2:5:6</v>
          </cell>
          <cell r="B1602" t="str">
            <v>Сосьвинский городской округ</v>
          </cell>
          <cell r="C1602">
            <v>6</v>
          </cell>
          <cell r="D1602" t="str">
            <v>сельские населенные пункты с численностью населения менее 1 000 человек.</v>
          </cell>
        </row>
        <row r="1603">
          <cell r="A1603" t="str">
            <v>66:008:2:5:6</v>
          </cell>
          <cell r="B1603" t="str">
            <v>Сосьвинский городской округ</v>
          </cell>
          <cell r="C1603">
            <v>6</v>
          </cell>
          <cell r="D1603" t="str">
            <v>сельские населенные пункты с численностью населения менее 1 000 человек.</v>
          </cell>
        </row>
        <row r="1604">
          <cell r="A1604" t="str">
            <v>66:021:2:5:6</v>
          </cell>
          <cell r="B1604" t="str">
            <v>Сосьвинский городской округ</v>
          </cell>
          <cell r="C1604">
            <v>6</v>
          </cell>
          <cell r="D1604" t="str">
            <v>сельские населенные пункты с численностью населения менее 1 000 человек.</v>
          </cell>
        </row>
        <row r="1605">
          <cell r="A1605" t="str">
            <v>66:022:2:5:6</v>
          </cell>
          <cell r="B1605" t="str">
            <v>Сосьвинский городской округ</v>
          </cell>
          <cell r="C1605">
            <v>6</v>
          </cell>
          <cell r="D1605" t="str">
            <v>сельские населенные пункты с численностью населения менее 1 000 человек.</v>
          </cell>
        </row>
        <row r="1606">
          <cell r="A1606" t="str">
            <v>66:012:2:5:6</v>
          </cell>
          <cell r="B1606" t="str">
            <v>Сосьвинский городской округ</v>
          </cell>
          <cell r="C1606">
            <v>6</v>
          </cell>
          <cell r="D1606" t="str">
            <v>сельские населенные пункты с численностью населения менее 1 000 человек.</v>
          </cell>
        </row>
        <row r="1607">
          <cell r="A1607" t="str">
            <v>66:023:2:5:6</v>
          </cell>
          <cell r="B1607" t="str">
            <v>Сосьвинский городской округ</v>
          </cell>
          <cell r="C1607">
            <v>6</v>
          </cell>
          <cell r="D1607" t="str">
            <v>сельские населенные пункты с численностью населения менее 1 000 человек.</v>
          </cell>
        </row>
        <row r="1608">
          <cell r="A1608" t="str">
            <v>66:018:1:2:4</v>
          </cell>
          <cell r="B1608" t="str">
            <v>Сосьвинский городской округ</v>
          </cell>
          <cell r="C1608">
            <v>4</v>
          </cell>
          <cell r="D1608" t="str">
            <v>городские населенные пункты с численностью населения менее 50 000 человек;</v>
          </cell>
        </row>
        <row r="1609">
          <cell r="A1609" t="str">
            <v>66:001:2:3:5</v>
          </cell>
          <cell r="B1609" t="str">
            <v>Сосьвинский городской округ</v>
          </cell>
          <cell r="C1609">
            <v>5</v>
          </cell>
          <cell r="D1609" t="str">
            <v>сельские населенные пункты с численностью населения более 1 000 человек;</v>
          </cell>
        </row>
        <row r="1610">
          <cell r="A1610" t="str">
            <v>66:000:0:0:0</v>
          </cell>
          <cell r="B1610" t="str">
            <v>Сосьвинский городской округ</v>
          </cell>
          <cell r="C1610">
            <v>0</v>
          </cell>
          <cell r="D1610" t="str">
            <v>межселенная территория</v>
          </cell>
        </row>
        <row r="1611">
          <cell r="A1611" t="str">
            <v>00:038:0:0:0</v>
          </cell>
          <cell r="B1611" t="str">
            <v>Сысертский городской округ</v>
          </cell>
          <cell r="C1611">
            <v>0</v>
          </cell>
          <cell r="D1611" t="str">
            <v>межселенная территория</v>
          </cell>
        </row>
        <row r="1612">
          <cell r="A1612" t="str">
            <v>67:029:2:3:6</v>
          </cell>
          <cell r="B1612" t="str">
            <v>Сысертский городской округ</v>
          </cell>
          <cell r="C1612">
            <v>6</v>
          </cell>
          <cell r="D1612" t="str">
            <v>сельские населенные пункты с численностью населения менее 1 000 человек.</v>
          </cell>
        </row>
        <row r="1613">
          <cell r="A1613" t="str">
            <v>67:026:2:5:6</v>
          </cell>
          <cell r="B1613" t="str">
            <v>Сысертский городской округ</v>
          </cell>
          <cell r="C1613">
            <v>6</v>
          </cell>
          <cell r="D1613" t="str">
            <v>сельские населенные пункты с численностью населения менее 1 000 человек.</v>
          </cell>
        </row>
        <row r="1614">
          <cell r="A1614" t="str">
            <v>67:018:2:3:6</v>
          </cell>
          <cell r="B1614" t="str">
            <v>Сысертский городской округ</v>
          </cell>
          <cell r="C1614">
            <v>6</v>
          </cell>
          <cell r="D1614" t="str">
            <v>сельские населенные пункты с численностью населения менее 1 000 человек.</v>
          </cell>
        </row>
        <row r="1615">
          <cell r="A1615" t="str">
            <v>67:033:2:3:6</v>
          </cell>
          <cell r="B1615" t="str">
            <v>Сысертский городской округ</v>
          </cell>
          <cell r="C1615">
            <v>6</v>
          </cell>
          <cell r="D1615" t="str">
            <v>сельские населенные пункты с численностью населения менее 1 000 человек.</v>
          </cell>
        </row>
        <row r="1616">
          <cell r="A1616" t="str">
            <v>67:020:2:3:6</v>
          </cell>
          <cell r="B1616" t="str">
            <v>Сысертский городской округ</v>
          </cell>
          <cell r="C1616">
            <v>6</v>
          </cell>
          <cell r="D1616" t="str">
            <v>сельские населенные пункты с численностью населения менее 1 000 человек.</v>
          </cell>
        </row>
        <row r="1617">
          <cell r="A1617" t="str">
            <v>67:003:2:5:6</v>
          </cell>
          <cell r="B1617" t="str">
            <v>Сысертский городской округ</v>
          </cell>
          <cell r="C1617">
            <v>6</v>
          </cell>
          <cell r="D1617" t="str">
            <v>сельские населенные пункты с численностью населения менее 1 000 человек.</v>
          </cell>
        </row>
        <row r="1618">
          <cell r="A1618" t="str">
            <v>67:007:2:3:5</v>
          </cell>
          <cell r="B1618" t="str">
            <v>Сысертский городской округ</v>
          </cell>
          <cell r="C1618">
            <v>5</v>
          </cell>
          <cell r="D1618" t="str">
            <v>сельские населенные пункты с численностью населения более 1 000 человек;</v>
          </cell>
        </row>
        <row r="1619">
          <cell r="A1619" t="str">
            <v>67:027:2:4:5</v>
          </cell>
          <cell r="B1619" t="str">
            <v>Сысертский городской округ</v>
          </cell>
          <cell r="C1619">
            <v>5</v>
          </cell>
          <cell r="D1619" t="str">
            <v>сельские населенные пункты с численностью населения более 1 000 человек;</v>
          </cell>
        </row>
        <row r="1620">
          <cell r="A1620" t="str">
            <v>67:008:2:4:5</v>
          </cell>
          <cell r="B1620" t="str">
            <v>Сысертский городской округ</v>
          </cell>
          <cell r="C1620">
            <v>5</v>
          </cell>
          <cell r="D1620" t="str">
            <v>сельские населенные пункты с численностью населения более 1 000 человек;</v>
          </cell>
        </row>
        <row r="1621">
          <cell r="A1621" t="str">
            <v>67:006:2:5:5</v>
          </cell>
          <cell r="B1621" t="str">
            <v>Сысертский городской округ</v>
          </cell>
          <cell r="C1621">
            <v>5</v>
          </cell>
          <cell r="D1621" t="str">
            <v>сельские населенные пункты с численностью населения более 1 000 человек;</v>
          </cell>
        </row>
        <row r="1622">
          <cell r="A1622" t="str">
            <v>67:022:2:5:6</v>
          </cell>
          <cell r="B1622" t="str">
            <v>Сысертский городской округ</v>
          </cell>
          <cell r="C1622">
            <v>6</v>
          </cell>
          <cell r="D1622" t="str">
            <v>сельские населенные пункты с численностью населения менее 1 000 человек.</v>
          </cell>
        </row>
        <row r="1623">
          <cell r="A1623" t="str">
            <v>67:025:2:3:5</v>
          </cell>
          <cell r="B1623" t="str">
            <v>Сысертский городской округ</v>
          </cell>
          <cell r="C1623">
            <v>5</v>
          </cell>
          <cell r="D1623" t="str">
            <v>сельские населенные пункты с численностью населения более 1 000 человек;</v>
          </cell>
        </row>
        <row r="1624">
          <cell r="A1624" t="str">
            <v>67:034:2:4:6</v>
          </cell>
          <cell r="B1624" t="str">
            <v>Сысертский городской округ</v>
          </cell>
          <cell r="C1624">
            <v>6</v>
          </cell>
          <cell r="D1624" t="str">
            <v>сельские населенные пункты с численностью населения менее 1 000 человек.</v>
          </cell>
        </row>
        <row r="1625">
          <cell r="A1625" t="str">
            <v>67:013:2:3:5</v>
          </cell>
          <cell r="B1625" t="str">
            <v>Сысертский городской округ</v>
          </cell>
          <cell r="C1625">
            <v>5</v>
          </cell>
          <cell r="D1625" t="str">
            <v>сельские населенные пункты с численностью населения более 1 000 человек;</v>
          </cell>
        </row>
        <row r="1626">
          <cell r="A1626" t="str">
            <v>67:014:2:4:6</v>
          </cell>
          <cell r="B1626" t="str">
            <v>Сысертский городской округ</v>
          </cell>
          <cell r="C1626">
            <v>6</v>
          </cell>
          <cell r="D1626" t="str">
            <v>сельские населенные пункты с численностью населения менее 1 000 человек.</v>
          </cell>
        </row>
        <row r="1627">
          <cell r="A1627" t="str">
            <v>67:016:2:4:5</v>
          </cell>
          <cell r="B1627" t="str">
            <v>Сысертский городской округ</v>
          </cell>
          <cell r="C1627">
            <v>5</v>
          </cell>
          <cell r="D1627" t="str">
            <v>сельские населенные пункты с численностью населения более 1 000 человек;</v>
          </cell>
        </row>
        <row r="1628">
          <cell r="A1628" t="str">
            <v>67:015:2:3:6</v>
          </cell>
          <cell r="B1628" t="str">
            <v>Сысертский городской округ</v>
          </cell>
          <cell r="C1628">
            <v>6</v>
          </cell>
          <cell r="D1628" t="str">
            <v>сельские населенные пункты с численностью населения менее 1 000 человек.</v>
          </cell>
        </row>
        <row r="1629">
          <cell r="A1629" t="str">
            <v>67:004:2:3:6</v>
          </cell>
          <cell r="B1629" t="str">
            <v>Сысертский городской округ</v>
          </cell>
          <cell r="C1629">
            <v>6</v>
          </cell>
          <cell r="D1629" t="str">
            <v>сельские населенные пункты с численностью населения менее 1 000 человек.</v>
          </cell>
        </row>
        <row r="1630">
          <cell r="A1630" t="str">
            <v>67:010:2:3:5</v>
          </cell>
          <cell r="B1630" t="str">
            <v>Сысертский городской округ</v>
          </cell>
          <cell r="C1630">
            <v>5</v>
          </cell>
          <cell r="D1630" t="str">
            <v>сельские населенные пункты с численностью населения более 1 000 человек;</v>
          </cell>
        </row>
        <row r="1631">
          <cell r="A1631" t="str">
            <v>67:030:2:3:6</v>
          </cell>
          <cell r="B1631" t="str">
            <v>Сысертский городской округ</v>
          </cell>
          <cell r="C1631">
            <v>6</v>
          </cell>
          <cell r="D1631" t="str">
            <v>сельские населенные пункты с численностью населения менее 1 000 человек.</v>
          </cell>
        </row>
        <row r="1632">
          <cell r="A1632" t="str">
            <v>67:001:2:4:6</v>
          </cell>
          <cell r="B1632" t="str">
            <v>Сысертский городской округ</v>
          </cell>
          <cell r="C1632">
            <v>6</v>
          </cell>
          <cell r="D1632" t="str">
            <v>сельские населенные пункты с численностью населения менее 1 000 человек.</v>
          </cell>
        </row>
        <row r="1633">
          <cell r="A1633" t="str">
            <v>67:002:2:4:6</v>
          </cell>
          <cell r="B1633" t="str">
            <v>Сысертский городской округ</v>
          </cell>
          <cell r="C1633">
            <v>6</v>
          </cell>
          <cell r="D1633" t="str">
            <v>сельские населенные пункты с численностью населения менее 1 000 человек.</v>
          </cell>
        </row>
        <row r="1634">
          <cell r="A1634" t="str">
            <v>67:038:2:4:6</v>
          </cell>
          <cell r="B1634" t="str">
            <v>Сысертский городской округ</v>
          </cell>
          <cell r="C1634">
            <v>6</v>
          </cell>
          <cell r="D1634" t="str">
            <v>сельские населенные пункты с численностью населения менее 1 000 человек.</v>
          </cell>
        </row>
        <row r="1635">
          <cell r="A1635" t="str">
            <v>67:023:2:4:5</v>
          </cell>
          <cell r="B1635" t="str">
            <v>Сысертский городской округ</v>
          </cell>
          <cell r="C1635">
            <v>5</v>
          </cell>
          <cell r="D1635" t="str">
            <v>сельские населенные пункты с численностью населения более 1 000 человек;</v>
          </cell>
        </row>
        <row r="1636">
          <cell r="A1636" t="str">
            <v>67:009:2:5:6</v>
          </cell>
          <cell r="B1636" t="str">
            <v>Сысертский городской округ</v>
          </cell>
          <cell r="C1636">
            <v>6</v>
          </cell>
          <cell r="D1636" t="str">
            <v>сельские населенные пункты с численностью населения менее 1 000 человек.</v>
          </cell>
        </row>
        <row r="1637">
          <cell r="A1637" t="str">
            <v>67:024:2:4:6</v>
          </cell>
          <cell r="B1637" t="str">
            <v>Сысертский городской округ</v>
          </cell>
          <cell r="C1637">
            <v>6</v>
          </cell>
          <cell r="D1637" t="str">
            <v>сельские населенные пункты с численностью населения менее 1 000 человек.</v>
          </cell>
        </row>
        <row r="1638">
          <cell r="A1638" t="str">
            <v>67:011:2:3:6</v>
          </cell>
          <cell r="B1638" t="str">
            <v>Сысертский городской округ</v>
          </cell>
          <cell r="C1638">
            <v>6</v>
          </cell>
          <cell r="D1638" t="str">
            <v>сельские населенные пункты с численностью населения менее 1 000 человек.</v>
          </cell>
        </row>
        <row r="1639">
          <cell r="A1639" t="str">
            <v>67:037:2:3:6</v>
          </cell>
          <cell r="B1639" t="str">
            <v>Сысертский городской округ</v>
          </cell>
          <cell r="C1639">
            <v>6</v>
          </cell>
          <cell r="D1639" t="str">
            <v>сельские населенные пункты с численностью населения менее 1 000 человек.</v>
          </cell>
        </row>
        <row r="1640">
          <cell r="A1640" t="str">
            <v>67:012:2:3:6</v>
          </cell>
          <cell r="B1640" t="str">
            <v>Сысертский городской округ</v>
          </cell>
          <cell r="C1640">
            <v>6</v>
          </cell>
          <cell r="D1640" t="str">
            <v>сельские населенные пункты с численностью населения менее 1 000 человек.</v>
          </cell>
        </row>
        <row r="1641">
          <cell r="A1641" t="str">
            <v>00:039:0:0:0</v>
          </cell>
          <cell r="B1641" t="str">
            <v>Сысертский городской округ</v>
          </cell>
          <cell r="C1641">
            <v>0</v>
          </cell>
          <cell r="D1641" t="str">
            <v>межселенная территория</v>
          </cell>
        </row>
        <row r="1642">
          <cell r="A1642" t="str">
            <v>67:028:2:3:5</v>
          </cell>
          <cell r="B1642" t="str">
            <v>Сысертский городской округ</v>
          </cell>
          <cell r="C1642">
            <v>5</v>
          </cell>
          <cell r="D1642" t="str">
            <v>сельские населенные пункты с численностью населения более 1 000 человек;</v>
          </cell>
        </row>
        <row r="1643">
          <cell r="A1643" t="str">
            <v>67:017:2:5:6</v>
          </cell>
          <cell r="B1643" t="str">
            <v>Сысертский городской округ</v>
          </cell>
          <cell r="C1643">
            <v>6</v>
          </cell>
          <cell r="D1643" t="str">
            <v>сельские населенные пункты с численностью населения менее 1 000 человек.</v>
          </cell>
        </row>
        <row r="1644">
          <cell r="A1644" t="str">
            <v>67:019:2:5:6</v>
          </cell>
          <cell r="B1644" t="str">
            <v>Сысертский городской округ</v>
          </cell>
          <cell r="C1644">
            <v>6</v>
          </cell>
          <cell r="D1644" t="str">
            <v>сельские населенные пункты с численностью населения менее 1 000 человек.</v>
          </cell>
        </row>
        <row r="1645">
          <cell r="A1645" t="str">
            <v>67:039:2:4:6</v>
          </cell>
          <cell r="B1645" t="str">
            <v>Сысертский городской округ</v>
          </cell>
          <cell r="C1645">
            <v>6</v>
          </cell>
          <cell r="D1645" t="str">
            <v>сельские населенные пункты с численностью населения менее 1 000 человек.</v>
          </cell>
        </row>
        <row r="1646">
          <cell r="A1646" t="str">
            <v>67:040:2:4:6</v>
          </cell>
          <cell r="B1646" t="str">
            <v>Сысертский городской округ</v>
          </cell>
          <cell r="C1646">
            <v>6</v>
          </cell>
          <cell r="D1646" t="str">
            <v>сельские населенные пункты с численностью населения менее 1 000 человек.</v>
          </cell>
        </row>
        <row r="1647">
          <cell r="A1647" t="str">
            <v>67:021:2:3:6</v>
          </cell>
          <cell r="B1647" t="str">
            <v>Сысертский городской округ</v>
          </cell>
          <cell r="C1647">
            <v>6</v>
          </cell>
          <cell r="D1647" t="str">
            <v>сельские населенные пункты с численностью населения менее 1 000 человек.</v>
          </cell>
        </row>
        <row r="1648">
          <cell r="A1648" t="str">
            <v>67:036:2:5:6</v>
          </cell>
          <cell r="B1648" t="str">
            <v>Сысертский городской округ</v>
          </cell>
          <cell r="C1648">
            <v>6</v>
          </cell>
          <cell r="D1648" t="str">
            <v>сельские населенные пункты с численностью населения менее 1 000 человек.</v>
          </cell>
        </row>
        <row r="1649">
          <cell r="A1649" t="str">
            <v>67:032:2:5:6</v>
          </cell>
          <cell r="B1649" t="str">
            <v>Сысертский городской округ</v>
          </cell>
          <cell r="C1649">
            <v>6</v>
          </cell>
          <cell r="D1649" t="str">
            <v>сельские населенные пункты с численностью населения менее 1 000 человек.</v>
          </cell>
        </row>
        <row r="1650">
          <cell r="A1650" t="str">
            <v>67:035:2:4:6</v>
          </cell>
          <cell r="B1650" t="str">
            <v>Сысертский городской округ</v>
          </cell>
          <cell r="C1650">
            <v>6</v>
          </cell>
          <cell r="D1650" t="str">
            <v>сельские населенные пункты с численностью населения менее 1 000 человек.</v>
          </cell>
        </row>
        <row r="1651">
          <cell r="A1651" t="str">
            <v>67:005:2:3:5</v>
          </cell>
          <cell r="B1651" t="str">
            <v>Сысертский городской округ</v>
          </cell>
          <cell r="C1651">
            <v>5</v>
          </cell>
          <cell r="D1651" t="str">
            <v>сельские населенные пункты с численностью населения более 1 000 человек;</v>
          </cell>
        </row>
        <row r="1652">
          <cell r="A1652" t="str">
            <v>67:031:1:1:4</v>
          </cell>
          <cell r="B1652" t="str">
            <v>Сысертский городской округ</v>
          </cell>
          <cell r="C1652">
            <v>4</v>
          </cell>
          <cell r="D1652" t="str">
            <v>городские населенные пункты с численностью населения менее 50 000 человек;</v>
          </cell>
        </row>
        <row r="1653">
          <cell r="A1653" t="str">
            <v>67:000:0:0:0</v>
          </cell>
          <cell r="B1653" t="str">
            <v>Сысертский городской округ</v>
          </cell>
          <cell r="C1653">
            <v>0</v>
          </cell>
          <cell r="D1653" t="str">
            <v>межселенная территория</v>
          </cell>
        </row>
        <row r="1654">
          <cell r="A1654" t="str">
            <v>00:006:0:0:0</v>
          </cell>
          <cell r="B1654" t="str">
            <v>Таборинский муниципальный район</v>
          </cell>
          <cell r="C1654">
            <v>0</v>
          </cell>
          <cell r="D1654" t="str">
            <v>межселенная территория</v>
          </cell>
        </row>
        <row r="1655">
          <cell r="A1655" t="str">
            <v>00:007:0:0:0</v>
          </cell>
          <cell r="B1655" t="str">
            <v>Таборинский муниципальный район</v>
          </cell>
          <cell r="C1655">
            <v>0</v>
          </cell>
          <cell r="D1655" t="str">
            <v>межселенная территория</v>
          </cell>
        </row>
        <row r="1656">
          <cell r="A1656" t="str">
            <v>68:033:2:3:6</v>
          </cell>
          <cell r="B1656" t="str">
            <v>Таборинский муниципальный район</v>
          </cell>
          <cell r="C1656">
            <v>6</v>
          </cell>
          <cell r="D1656" t="str">
            <v>сельские населенные пункты с численностью населения менее 1 000 человек.</v>
          </cell>
        </row>
        <row r="1657">
          <cell r="A1657" t="str">
            <v>68:028:2:5:6</v>
          </cell>
          <cell r="B1657" t="str">
            <v>Таборинский муниципальный район</v>
          </cell>
          <cell r="C1657">
            <v>6</v>
          </cell>
          <cell r="D1657" t="str">
            <v>сельские населенные пункты с численностью населения менее 1 000 человек.</v>
          </cell>
        </row>
        <row r="1658">
          <cell r="A1658" t="str">
            <v>00:008:0:0:0</v>
          </cell>
          <cell r="B1658" t="str">
            <v>Таборинский муниципальный район</v>
          </cell>
          <cell r="C1658">
            <v>0</v>
          </cell>
          <cell r="D1658" t="str">
            <v>межселенная территория</v>
          </cell>
        </row>
        <row r="1659">
          <cell r="A1659" t="str">
            <v>00:009:0:0:0</v>
          </cell>
          <cell r="B1659" t="str">
            <v>Таборинский муниципальный район</v>
          </cell>
          <cell r="C1659">
            <v>0</v>
          </cell>
          <cell r="D1659" t="str">
            <v>межселенная территория</v>
          </cell>
        </row>
        <row r="1660">
          <cell r="A1660" t="str">
            <v>68:032:2:5:6</v>
          </cell>
          <cell r="B1660" t="str">
            <v>Таборинский муниципальный район</v>
          </cell>
          <cell r="C1660">
            <v>6</v>
          </cell>
          <cell r="D1660" t="str">
            <v>сельские населенные пункты с численностью населения менее 1 000 человек.</v>
          </cell>
        </row>
        <row r="1661">
          <cell r="A1661" t="str">
            <v>68:018:2:5:6</v>
          </cell>
          <cell r="B1661" t="str">
            <v>Таборинский муниципальный район</v>
          </cell>
          <cell r="C1661">
            <v>6</v>
          </cell>
          <cell r="D1661" t="str">
            <v>сельские населенные пункты с численностью населения менее 1 000 человек.</v>
          </cell>
        </row>
        <row r="1662">
          <cell r="A1662" t="str">
            <v>68:016:2:5:6</v>
          </cell>
          <cell r="B1662" t="str">
            <v>Таборинский муниципальный район</v>
          </cell>
          <cell r="C1662">
            <v>6</v>
          </cell>
          <cell r="D1662" t="str">
            <v>сельские населенные пункты с численностью населения менее 1 000 человек.</v>
          </cell>
        </row>
        <row r="1663">
          <cell r="A1663" t="str">
            <v>68:027:2:5:6</v>
          </cell>
          <cell r="B1663" t="str">
            <v>Таборинский муниципальный район</v>
          </cell>
          <cell r="C1663">
            <v>6</v>
          </cell>
          <cell r="D1663" t="str">
            <v>сельские населенные пункты с численностью населения менее 1 000 человек.</v>
          </cell>
        </row>
        <row r="1664">
          <cell r="A1664" t="str">
            <v>68:030:2:5:6</v>
          </cell>
          <cell r="B1664" t="str">
            <v>Таборинский муниципальный район</v>
          </cell>
          <cell r="C1664">
            <v>6</v>
          </cell>
          <cell r="D1664" t="str">
            <v>сельские населенные пункты с численностью населения менее 1 000 человек.</v>
          </cell>
        </row>
        <row r="1665">
          <cell r="A1665" t="str">
            <v>68:004:2:5:6</v>
          </cell>
          <cell r="B1665" t="str">
            <v>Таборинский муниципальный район</v>
          </cell>
          <cell r="C1665">
            <v>6</v>
          </cell>
          <cell r="D1665" t="str">
            <v>сельские населенные пункты с численностью населения менее 1 000 человек.</v>
          </cell>
        </row>
        <row r="1666">
          <cell r="A1666" t="str">
            <v>68:022:2:3:6</v>
          </cell>
          <cell r="B1666" t="str">
            <v>Таборинский муниципальный район</v>
          </cell>
          <cell r="C1666">
            <v>6</v>
          </cell>
          <cell r="D1666" t="str">
            <v>сельские населенные пункты с численностью населения менее 1 000 человек.</v>
          </cell>
        </row>
        <row r="1667">
          <cell r="A1667" t="str">
            <v>68:025:2:5:6</v>
          </cell>
          <cell r="B1667" t="str">
            <v>Таборинский муниципальный район</v>
          </cell>
          <cell r="C1667">
            <v>6</v>
          </cell>
          <cell r="D1667" t="str">
            <v>сельские населенные пункты с численностью населения менее 1 000 человек.</v>
          </cell>
        </row>
        <row r="1668">
          <cell r="A1668" t="str">
            <v>68:019:2:5:6</v>
          </cell>
          <cell r="B1668" t="str">
            <v>Таборинский муниципальный район</v>
          </cell>
          <cell r="C1668">
            <v>6</v>
          </cell>
          <cell r="D1668" t="str">
            <v>сельские населенные пункты с численностью населения менее 1 000 человек.</v>
          </cell>
        </row>
        <row r="1669">
          <cell r="A1669" t="str">
            <v>68:010:2:5:6</v>
          </cell>
          <cell r="B1669" t="str">
            <v>Таборинский муниципальный район</v>
          </cell>
          <cell r="C1669">
            <v>6</v>
          </cell>
          <cell r="D1669" t="str">
            <v>сельские населенные пункты с численностью населения менее 1 000 человек.</v>
          </cell>
        </row>
        <row r="1670">
          <cell r="A1670" t="str">
            <v>68:011:2:5:6</v>
          </cell>
          <cell r="B1670" t="str">
            <v>Таборинский муниципальный район</v>
          </cell>
          <cell r="C1670">
            <v>6</v>
          </cell>
          <cell r="D1670" t="str">
            <v>сельские населенные пункты с численностью населения менее 1 000 человек.</v>
          </cell>
        </row>
        <row r="1671">
          <cell r="A1671" t="str">
            <v>68:008:2:5:6</v>
          </cell>
          <cell r="B1671" t="str">
            <v>Таборинский муниципальный район</v>
          </cell>
          <cell r="C1671">
            <v>6</v>
          </cell>
          <cell r="D1671" t="str">
            <v>сельские населенные пункты с численностью населения менее 1 000 человек.</v>
          </cell>
        </row>
        <row r="1672">
          <cell r="A1672" t="str">
            <v>68:014:2:5:6</v>
          </cell>
          <cell r="B1672" t="str">
            <v>Таборинский муниципальный район</v>
          </cell>
          <cell r="C1672">
            <v>6</v>
          </cell>
          <cell r="D1672" t="str">
            <v>сельские населенные пункты с численностью населения менее 1 000 человек.</v>
          </cell>
        </row>
        <row r="1673">
          <cell r="A1673" t="str">
            <v>68:007:2:5:6</v>
          </cell>
          <cell r="B1673" t="str">
            <v>Таборинский муниципальный район</v>
          </cell>
          <cell r="C1673">
            <v>6</v>
          </cell>
          <cell r="D1673" t="str">
            <v>сельские населенные пункты с численностью населения менее 1 000 человек.</v>
          </cell>
        </row>
        <row r="1674">
          <cell r="A1674" t="str">
            <v>68:023:2:5:6</v>
          </cell>
          <cell r="B1674" t="str">
            <v>Таборинский муниципальный район</v>
          </cell>
          <cell r="C1674">
            <v>6</v>
          </cell>
          <cell r="D1674" t="str">
            <v>сельские населенные пункты с численностью населения менее 1 000 человек.</v>
          </cell>
        </row>
        <row r="1675">
          <cell r="A1675" t="str">
            <v>68:026:2:5:6</v>
          </cell>
          <cell r="B1675" t="str">
            <v>Таборинский муниципальный район</v>
          </cell>
          <cell r="C1675">
            <v>6</v>
          </cell>
          <cell r="D1675" t="str">
            <v>сельские населенные пункты с численностью населения менее 1 000 человек.</v>
          </cell>
        </row>
        <row r="1676">
          <cell r="A1676" t="str">
            <v>68:003:2:5:6</v>
          </cell>
          <cell r="B1676" t="str">
            <v>Таборинский муниципальный район</v>
          </cell>
          <cell r="C1676">
            <v>6</v>
          </cell>
          <cell r="D1676" t="str">
            <v>сельские населенные пункты с численностью населения менее 1 000 человек.</v>
          </cell>
        </row>
        <row r="1677">
          <cell r="A1677" t="str">
            <v>68:006:2:5:6</v>
          </cell>
          <cell r="B1677" t="str">
            <v>Таборинский муниципальный район</v>
          </cell>
          <cell r="C1677">
            <v>6</v>
          </cell>
          <cell r="D1677" t="str">
            <v>сельские населенные пункты с численностью населения менее 1 000 человек.</v>
          </cell>
        </row>
        <row r="1678">
          <cell r="A1678" t="str">
            <v>68:013:2:5:6</v>
          </cell>
          <cell r="B1678" t="str">
            <v>Таборинский муниципальный район</v>
          </cell>
          <cell r="C1678">
            <v>6</v>
          </cell>
          <cell r="D1678" t="str">
            <v>сельские населенные пункты с численностью населения менее 1 000 человек.</v>
          </cell>
        </row>
        <row r="1679">
          <cell r="A1679" t="str">
            <v>68:017:2:5:6</v>
          </cell>
          <cell r="B1679" t="str">
            <v>Таборинский муниципальный район</v>
          </cell>
          <cell r="C1679">
            <v>6</v>
          </cell>
          <cell r="D1679" t="str">
            <v>сельские населенные пункты с численностью населения менее 1 000 человек.</v>
          </cell>
        </row>
        <row r="1680">
          <cell r="A1680" t="str">
            <v>68:015:2:3:6</v>
          </cell>
          <cell r="B1680" t="str">
            <v>Таборинский муниципальный район</v>
          </cell>
          <cell r="C1680">
            <v>6</v>
          </cell>
          <cell r="D1680" t="str">
            <v>сельские населенные пункты с численностью населения менее 1 000 человек.</v>
          </cell>
        </row>
        <row r="1681">
          <cell r="A1681" t="str">
            <v>68:021:2:4:5</v>
          </cell>
          <cell r="B1681" t="str">
            <v>Таборинский муниципальный район</v>
          </cell>
          <cell r="C1681">
            <v>5</v>
          </cell>
          <cell r="D1681" t="str">
            <v>сельские населенные пункты с численностью населения более 1 000 человек;</v>
          </cell>
        </row>
        <row r="1682">
          <cell r="A1682" t="str">
            <v>68:012:2:5:6</v>
          </cell>
          <cell r="B1682" t="str">
            <v>Таборинский муниципальный район</v>
          </cell>
          <cell r="C1682">
            <v>6</v>
          </cell>
          <cell r="D1682" t="str">
            <v>сельские населенные пункты с численностью населения менее 1 000 человек.</v>
          </cell>
        </row>
        <row r="1683">
          <cell r="A1683" t="str">
            <v>68:009:2:5:6</v>
          </cell>
          <cell r="B1683" t="str">
            <v>Таборинский муниципальный район</v>
          </cell>
          <cell r="C1683">
            <v>6</v>
          </cell>
          <cell r="D1683" t="str">
            <v>сельские населенные пункты с численностью населения менее 1 000 человек.</v>
          </cell>
        </row>
        <row r="1684">
          <cell r="A1684" t="str">
            <v>68:001:2:5:6</v>
          </cell>
          <cell r="B1684" t="str">
            <v>Таборинский муниципальный район</v>
          </cell>
          <cell r="C1684">
            <v>6</v>
          </cell>
          <cell r="D1684" t="str">
            <v>сельские населенные пункты с численностью населения менее 1 000 человек.</v>
          </cell>
        </row>
        <row r="1685">
          <cell r="A1685" t="str">
            <v>68:029:2:5:6</v>
          </cell>
          <cell r="B1685" t="str">
            <v>Таборинский муниципальный район</v>
          </cell>
          <cell r="C1685">
            <v>6</v>
          </cell>
          <cell r="D1685" t="str">
            <v>сельские населенные пункты с численностью населения менее 1 000 человек.</v>
          </cell>
        </row>
        <row r="1686">
          <cell r="A1686" t="str">
            <v>68:024:2:5:6</v>
          </cell>
          <cell r="B1686" t="str">
            <v>Таборинский муниципальный район</v>
          </cell>
          <cell r="C1686">
            <v>6</v>
          </cell>
          <cell r="D1686" t="str">
            <v>сельские населенные пункты с численностью населения менее 1 000 человек.</v>
          </cell>
        </row>
        <row r="1687">
          <cell r="A1687" t="str">
            <v>00:040:0:0:0</v>
          </cell>
          <cell r="B1687" t="str">
            <v>Таборинский муниципальный район</v>
          </cell>
          <cell r="C1687">
            <v>0</v>
          </cell>
          <cell r="D1687" t="str">
            <v>межселенная территория</v>
          </cell>
        </row>
        <row r="1688">
          <cell r="A1688" t="str">
            <v>68:002:2:5:6</v>
          </cell>
          <cell r="B1688" t="str">
            <v>Таборинский муниципальный район</v>
          </cell>
          <cell r="C1688">
            <v>6</v>
          </cell>
          <cell r="D1688" t="str">
            <v>сельские населенные пункты с численностью населения менее 1 000 человек.</v>
          </cell>
        </row>
        <row r="1689">
          <cell r="A1689" t="str">
            <v>68:031:2:3:6</v>
          </cell>
          <cell r="B1689" t="str">
            <v>Таборинский муниципальный район</v>
          </cell>
          <cell r="C1689">
            <v>6</v>
          </cell>
          <cell r="D1689" t="str">
            <v>сельские населенные пункты с численностью населения менее 1 000 человек.</v>
          </cell>
        </row>
        <row r="1690">
          <cell r="A1690" t="str">
            <v>68:020:2:3:6</v>
          </cell>
          <cell r="B1690" t="str">
            <v>Таборинский муниципальный район</v>
          </cell>
          <cell r="C1690">
            <v>6</v>
          </cell>
          <cell r="D1690" t="str">
            <v>сельские населенные пункты с численностью населения менее 1 000 человек.</v>
          </cell>
        </row>
        <row r="1691">
          <cell r="A1691" t="str">
            <v>68:005:2:5:6</v>
          </cell>
          <cell r="B1691" t="str">
            <v>Таборинский муниципальный район</v>
          </cell>
          <cell r="C1691">
            <v>6</v>
          </cell>
          <cell r="D1691" t="str">
            <v>сельские населенные пункты с численностью населения менее 1 000 человек.</v>
          </cell>
        </row>
        <row r="1692">
          <cell r="A1692" t="str">
            <v>68:000:0:0:0</v>
          </cell>
          <cell r="B1692" t="str">
            <v>Таборинский муниципальный район</v>
          </cell>
          <cell r="C1692">
            <v>0</v>
          </cell>
          <cell r="D1692" t="str">
            <v>межселенная территория</v>
          </cell>
        </row>
        <row r="1693">
          <cell r="A1693" t="str">
            <v>00:010:0:0:0</v>
          </cell>
          <cell r="B1693" t="str">
            <v>Тавдинский городской округ</v>
          </cell>
          <cell r="C1693">
            <v>0</v>
          </cell>
          <cell r="D1693" t="str">
            <v>межселенная территория</v>
          </cell>
        </row>
        <row r="1694">
          <cell r="A1694" t="str">
            <v>69:042:2:5:6</v>
          </cell>
          <cell r="B1694" t="str">
            <v>Тавдинский городской округ</v>
          </cell>
          <cell r="C1694">
            <v>6</v>
          </cell>
          <cell r="D1694" t="str">
            <v>сельские населенные пункты с численностью населения менее 1 000 человек.</v>
          </cell>
        </row>
        <row r="1695">
          <cell r="A1695" t="str">
            <v>69:008:2:5:6</v>
          </cell>
          <cell r="B1695" t="str">
            <v>Тавдинский городской округ</v>
          </cell>
          <cell r="C1695">
            <v>6</v>
          </cell>
          <cell r="D1695" t="str">
            <v>сельские населенные пункты с численностью населения менее 1 000 человек.</v>
          </cell>
        </row>
        <row r="1696">
          <cell r="A1696" t="str">
            <v>69:025:2:3:6</v>
          </cell>
          <cell r="B1696" t="str">
            <v>Тавдинский городской округ</v>
          </cell>
          <cell r="C1696">
            <v>6</v>
          </cell>
          <cell r="D1696" t="str">
            <v>сельские населенные пункты с численностью населения менее 1 000 человек.</v>
          </cell>
        </row>
        <row r="1697">
          <cell r="A1697" t="str">
            <v>69:027:2:5:6</v>
          </cell>
          <cell r="B1697" t="str">
            <v>Тавдинский городской округ</v>
          </cell>
          <cell r="C1697">
            <v>6</v>
          </cell>
          <cell r="D1697" t="str">
            <v>сельские населенные пункты с численностью населения менее 1 000 человек.</v>
          </cell>
        </row>
        <row r="1698">
          <cell r="A1698" t="str">
            <v>69:030:2:5:6</v>
          </cell>
          <cell r="B1698" t="str">
            <v>Тавдинский городской округ</v>
          </cell>
          <cell r="C1698">
            <v>6</v>
          </cell>
          <cell r="D1698" t="str">
            <v>сельские населенные пункты с численностью населения менее 1 000 человек.</v>
          </cell>
        </row>
        <row r="1699">
          <cell r="A1699" t="str">
            <v>69:003:2:5:6</v>
          </cell>
          <cell r="B1699" t="str">
            <v>Тавдинский городской округ</v>
          </cell>
          <cell r="C1699">
            <v>6</v>
          </cell>
          <cell r="D1699" t="str">
            <v>сельские населенные пункты с численностью населения менее 1 000 человек.</v>
          </cell>
        </row>
        <row r="1700">
          <cell r="A1700" t="str">
            <v>69:012:2:5:6</v>
          </cell>
          <cell r="B1700" t="str">
            <v>Тавдинский городской округ</v>
          </cell>
          <cell r="C1700">
            <v>6</v>
          </cell>
          <cell r="D1700" t="str">
            <v>сельские населенные пункты с численностью населения менее 1 000 человек.</v>
          </cell>
        </row>
        <row r="1701">
          <cell r="A1701" t="str">
            <v>69:033:2:5:6</v>
          </cell>
          <cell r="B1701" t="str">
            <v>Тавдинский городской округ</v>
          </cell>
          <cell r="C1701">
            <v>6</v>
          </cell>
          <cell r="D1701" t="str">
            <v>сельские населенные пункты с численностью населения менее 1 000 человек.</v>
          </cell>
        </row>
        <row r="1702">
          <cell r="A1702" t="str">
            <v>69:026:2:5:6</v>
          </cell>
          <cell r="B1702" t="str">
            <v>Тавдинский городской округ</v>
          </cell>
          <cell r="C1702">
            <v>6</v>
          </cell>
          <cell r="D1702" t="str">
            <v>сельские населенные пункты с численностью населения менее 1 000 человек.</v>
          </cell>
        </row>
        <row r="1703">
          <cell r="A1703" t="str">
            <v>69:006:2:5:6</v>
          </cell>
          <cell r="B1703" t="str">
            <v>Тавдинский городской округ</v>
          </cell>
          <cell r="C1703">
            <v>6</v>
          </cell>
          <cell r="D1703" t="str">
            <v>сельские населенные пункты с численностью населения менее 1 000 человек.</v>
          </cell>
        </row>
        <row r="1704">
          <cell r="A1704" t="str">
            <v>69:029:2:5:6</v>
          </cell>
          <cell r="B1704" t="str">
            <v>Тавдинский городской округ</v>
          </cell>
          <cell r="C1704">
            <v>6</v>
          </cell>
          <cell r="D1704" t="str">
            <v>сельские населенные пункты с численностью населения менее 1 000 человек.</v>
          </cell>
        </row>
        <row r="1705">
          <cell r="A1705" t="str">
            <v>69:013:2:5:6</v>
          </cell>
          <cell r="B1705" t="str">
            <v>Тавдинский городской округ</v>
          </cell>
          <cell r="C1705">
            <v>6</v>
          </cell>
          <cell r="D1705" t="str">
            <v>сельские населенные пункты с численностью населения менее 1 000 человек.</v>
          </cell>
        </row>
        <row r="1706">
          <cell r="A1706" t="str">
            <v>69:041:2:5:6</v>
          </cell>
          <cell r="B1706" t="str">
            <v>Тавдинский городской округ</v>
          </cell>
          <cell r="C1706">
            <v>6</v>
          </cell>
          <cell r="D1706" t="str">
            <v>сельские населенные пункты с численностью населения менее 1 000 человек.</v>
          </cell>
        </row>
        <row r="1707">
          <cell r="A1707" t="str">
            <v>69:004:2:5:6</v>
          </cell>
          <cell r="B1707" t="str">
            <v>Тавдинский городской округ</v>
          </cell>
          <cell r="C1707">
            <v>6</v>
          </cell>
          <cell r="D1707" t="str">
            <v>сельские населенные пункты с численностью населения менее 1 000 человек.</v>
          </cell>
        </row>
        <row r="1708">
          <cell r="A1708" t="str">
            <v>69:035:2:4:6</v>
          </cell>
          <cell r="B1708" t="str">
            <v>Тавдинский городской округ</v>
          </cell>
          <cell r="C1708">
            <v>6</v>
          </cell>
          <cell r="D1708" t="str">
            <v>сельские населенные пункты с численностью населения менее 1 000 человек.</v>
          </cell>
        </row>
        <row r="1709">
          <cell r="A1709" t="str">
            <v>69:024:2:5:6</v>
          </cell>
          <cell r="B1709" t="str">
            <v>Тавдинский городской округ</v>
          </cell>
          <cell r="C1709">
            <v>6</v>
          </cell>
          <cell r="D1709" t="str">
            <v>сельские населенные пункты с численностью населения менее 1 000 человек.</v>
          </cell>
        </row>
        <row r="1710">
          <cell r="A1710" t="str">
            <v>69:019:2:3:6</v>
          </cell>
          <cell r="B1710" t="str">
            <v>Тавдинский городской округ</v>
          </cell>
          <cell r="C1710">
            <v>6</v>
          </cell>
          <cell r="D1710" t="str">
            <v>сельские населенные пункты с численностью населения менее 1 000 человек.</v>
          </cell>
        </row>
        <row r="1711">
          <cell r="A1711" t="str">
            <v>69:014:2:3:6</v>
          </cell>
          <cell r="B1711" t="str">
            <v>Тавдинский городской округ</v>
          </cell>
          <cell r="C1711">
            <v>6</v>
          </cell>
          <cell r="D1711" t="str">
            <v>сельские населенные пункты с численностью населения менее 1 000 человек.</v>
          </cell>
        </row>
        <row r="1712">
          <cell r="A1712" t="str">
            <v>69:005:2:5:6</v>
          </cell>
          <cell r="B1712" t="str">
            <v>Тавдинский городской округ</v>
          </cell>
          <cell r="C1712">
            <v>6</v>
          </cell>
          <cell r="D1712" t="str">
            <v>сельские населенные пункты с численностью населения менее 1 000 человек.</v>
          </cell>
        </row>
        <row r="1713">
          <cell r="A1713" t="str">
            <v>69:011:2:5:6</v>
          </cell>
          <cell r="B1713" t="str">
            <v>Тавдинский городской округ</v>
          </cell>
          <cell r="C1713">
            <v>6</v>
          </cell>
          <cell r="D1713" t="str">
            <v>сельские населенные пункты с численностью населения менее 1 000 человек.</v>
          </cell>
        </row>
        <row r="1714">
          <cell r="A1714" t="str">
            <v>69:020:2:5:6</v>
          </cell>
          <cell r="B1714" t="str">
            <v>Тавдинский городской округ</v>
          </cell>
          <cell r="C1714">
            <v>6</v>
          </cell>
          <cell r="D1714" t="str">
            <v>сельские населенные пункты с численностью населения менее 1 000 человек.</v>
          </cell>
        </row>
        <row r="1715">
          <cell r="A1715" t="str">
            <v>69:037:2:5:6</v>
          </cell>
          <cell r="B1715" t="str">
            <v>Тавдинский городской округ</v>
          </cell>
          <cell r="C1715">
            <v>6</v>
          </cell>
          <cell r="D1715" t="str">
            <v>сельские населенные пункты с численностью населения менее 1 000 человек.</v>
          </cell>
        </row>
        <row r="1716">
          <cell r="A1716" t="str">
            <v>69:028:2:5:6</v>
          </cell>
          <cell r="B1716" t="str">
            <v>Тавдинский городской округ</v>
          </cell>
          <cell r="C1716">
            <v>6</v>
          </cell>
          <cell r="D1716" t="str">
            <v>сельские населенные пункты с численностью населения менее 1 000 человек.</v>
          </cell>
        </row>
        <row r="1717">
          <cell r="A1717" t="str">
            <v>69:001:2:3:5</v>
          </cell>
          <cell r="B1717" t="str">
            <v>Тавдинский городской округ</v>
          </cell>
          <cell r="C1717">
            <v>5</v>
          </cell>
          <cell r="D1717" t="str">
            <v>сельские населенные пункты с численностью населения более 1 000 человек;</v>
          </cell>
        </row>
        <row r="1718">
          <cell r="A1718" t="str">
            <v>69:009:2:5:6</v>
          </cell>
          <cell r="B1718" t="str">
            <v>Тавдинский городской округ</v>
          </cell>
          <cell r="C1718">
            <v>6</v>
          </cell>
          <cell r="D1718" t="str">
            <v>сельские населенные пункты с численностью населения менее 1 000 человек.</v>
          </cell>
        </row>
        <row r="1719">
          <cell r="A1719" t="str">
            <v>69:010:2:4:6</v>
          </cell>
          <cell r="B1719" t="str">
            <v>Тавдинский городской округ</v>
          </cell>
          <cell r="C1719">
            <v>6</v>
          </cell>
          <cell r="D1719" t="str">
            <v>сельские населенные пункты с численностью населения менее 1 000 человек.</v>
          </cell>
        </row>
        <row r="1720">
          <cell r="A1720" t="str">
            <v>69:021:2:4:6</v>
          </cell>
          <cell r="B1720" t="str">
            <v>Тавдинский городской округ</v>
          </cell>
          <cell r="C1720">
            <v>6</v>
          </cell>
          <cell r="D1720" t="str">
            <v>сельские населенные пункты с численностью населения менее 1 000 человек.</v>
          </cell>
        </row>
        <row r="1721">
          <cell r="A1721" t="str">
            <v>69:016:2:3:6</v>
          </cell>
          <cell r="B1721" t="str">
            <v>Тавдинский городской округ</v>
          </cell>
          <cell r="C1721">
            <v>6</v>
          </cell>
          <cell r="D1721" t="str">
            <v>сельские населенные пункты с численностью населения менее 1 000 человек.</v>
          </cell>
        </row>
        <row r="1722">
          <cell r="A1722" t="str">
            <v>69:036:2:5:6</v>
          </cell>
          <cell r="B1722" t="str">
            <v>Тавдинский городской округ</v>
          </cell>
          <cell r="C1722">
            <v>6</v>
          </cell>
          <cell r="D1722" t="str">
            <v>сельские населенные пункты с численностью населения менее 1 000 человек.</v>
          </cell>
        </row>
        <row r="1723">
          <cell r="A1723" t="str">
            <v>69:031:2:3:6</v>
          </cell>
          <cell r="B1723" t="str">
            <v>Тавдинский городской округ</v>
          </cell>
          <cell r="C1723">
            <v>6</v>
          </cell>
          <cell r="D1723" t="str">
            <v>сельские населенные пункты с численностью населения менее 1 000 человек.</v>
          </cell>
        </row>
        <row r="1724">
          <cell r="A1724" t="str">
            <v>69:038:2:3:6</v>
          </cell>
          <cell r="B1724" t="str">
            <v>Тавдинский городской округ</v>
          </cell>
          <cell r="C1724">
            <v>6</v>
          </cell>
          <cell r="D1724" t="str">
            <v>сельские населенные пункты с численностью населения менее 1 000 человек.</v>
          </cell>
        </row>
        <row r="1725">
          <cell r="A1725" t="str">
            <v>69:040:2:5:6</v>
          </cell>
          <cell r="B1725" t="str">
            <v>Тавдинский городской округ</v>
          </cell>
          <cell r="C1725">
            <v>6</v>
          </cell>
          <cell r="D1725" t="str">
            <v>сельские населенные пункты с численностью населения менее 1 000 человек.</v>
          </cell>
        </row>
        <row r="1726">
          <cell r="A1726" t="str">
            <v>69:043:2:3:6</v>
          </cell>
          <cell r="B1726" t="str">
            <v>Тавдинский городской округ</v>
          </cell>
          <cell r="C1726">
            <v>6</v>
          </cell>
          <cell r="D1726" t="str">
            <v>сельские населенные пункты с численностью населения менее 1 000 человек.</v>
          </cell>
        </row>
        <row r="1727">
          <cell r="A1727" t="str">
            <v>69:039:2:5:6</v>
          </cell>
          <cell r="B1727" t="str">
            <v>Тавдинский городской округ</v>
          </cell>
          <cell r="C1727">
            <v>6</v>
          </cell>
          <cell r="D1727" t="str">
            <v>сельские населенные пункты с численностью населения менее 1 000 человек.</v>
          </cell>
        </row>
        <row r="1728">
          <cell r="A1728" t="str">
            <v>69:017:2:5:6</v>
          </cell>
          <cell r="B1728" t="str">
            <v>Тавдинский городской округ</v>
          </cell>
          <cell r="C1728">
            <v>6</v>
          </cell>
          <cell r="D1728" t="str">
            <v>сельские населенные пункты с численностью населения менее 1 000 человек.</v>
          </cell>
        </row>
        <row r="1729">
          <cell r="A1729" t="str">
            <v>69:023:2:3:6</v>
          </cell>
          <cell r="B1729" t="str">
            <v>Тавдинский городской округ</v>
          </cell>
          <cell r="C1729">
            <v>6</v>
          </cell>
          <cell r="D1729" t="str">
            <v>сельские населенные пункты с численностью населения менее 1 000 человек.</v>
          </cell>
        </row>
        <row r="1730">
          <cell r="A1730" t="str">
            <v>69:022:2:4:6</v>
          </cell>
          <cell r="B1730" t="str">
            <v>Тавдинский городской округ</v>
          </cell>
          <cell r="C1730">
            <v>6</v>
          </cell>
          <cell r="D1730" t="str">
            <v>сельские населенные пункты с численностью населения менее 1 000 человек.</v>
          </cell>
        </row>
        <row r="1731">
          <cell r="A1731" t="str">
            <v>69:002:2:5:6</v>
          </cell>
          <cell r="B1731" t="str">
            <v>Тавдинский городской округ</v>
          </cell>
          <cell r="C1731">
            <v>6</v>
          </cell>
          <cell r="D1731" t="str">
            <v>сельские населенные пункты с численностью населения менее 1 000 человек.</v>
          </cell>
        </row>
        <row r="1732">
          <cell r="A1732" t="str">
            <v>69:032:2:5:6</v>
          </cell>
          <cell r="B1732" t="str">
            <v>Тавдинский городской округ</v>
          </cell>
          <cell r="C1732">
            <v>6</v>
          </cell>
          <cell r="D1732" t="str">
            <v>сельские населенные пункты с численностью населения менее 1 000 человек.</v>
          </cell>
        </row>
        <row r="1733">
          <cell r="A1733" t="str">
            <v>69:007:2:5:6</v>
          </cell>
          <cell r="B1733" t="str">
            <v>Тавдинский городской округ</v>
          </cell>
          <cell r="C1733">
            <v>6</v>
          </cell>
          <cell r="D1733" t="str">
            <v>сельские населенные пункты с численностью населения менее 1 000 человек.</v>
          </cell>
        </row>
        <row r="1734">
          <cell r="A1734" t="str">
            <v>69:018:2:3:6</v>
          </cell>
          <cell r="B1734" t="str">
            <v>Тавдинский городской округ</v>
          </cell>
          <cell r="C1734">
            <v>6</v>
          </cell>
          <cell r="D1734" t="str">
            <v>сельские населенные пункты с численностью населения менее 1 000 человек.</v>
          </cell>
        </row>
        <row r="1735">
          <cell r="A1735" t="str">
            <v>69:015:2:5:6</v>
          </cell>
          <cell r="B1735" t="str">
            <v>Тавдинский городской округ</v>
          </cell>
          <cell r="C1735">
            <v>6</v>
          </cell>
          <cell r="D1735" t="str">
            <v>сельские населенные пункты с численностью населения менее 1 000 человек.</v>
          </cell>
        </row>
        <row r="1736">
          <cell r="A1736" t="str">
            <v>69:044:2:5:6</v>
          </cell>
          <cell r="B1736" t="str">
            <v>Тавдинский городской округ</v>
          </cell>
          <cell r="C1736">
            <v>6</v>
          </cell>
          <cell r="D1736" t="str">
            <v>сельские населенные пункты с численностью населения менее 1 000 человек.</v>
          </cell>
        </row>
        <row r="1737">
          <cell r="A1737" t="str">
            <v>69:045:2:3:6</v>
          </cell>
          <cell r="B1737" t="str">
            <v>Тавдинский городской округ</v>
          </cell>
          <cell r="C1737">
            <v>6</v>
          </cell>
          <cell r="D1737" t="str">
            <v>сельские населенные пункты с численностью населения менее 1 000 человек.</v>
          </cell>
        </row>
        <row r="1738">
          <cell r="A1738" t="str">
            <v>69:034:1:1:4</v>
          </cell>
          <cell r="B1738" t="str">
            <v>Тавдинский городской округ</v>
          </cell>
          <cell r="C1738">
            <v>4</v>
          </cell>
          <cell r="D1738" t="str">
            <v>городские населенные пункты с численностью населения менее 50 000 человек;</v>
          </cell>
        </row>
        <row r="1739">
          <cell r="A1739" t="str">
            <v>69:000:0:0:0</v>
          </cell>
          <cell r="B1739" t="str">
            <v>Тавдинский городской округ</v>
          </cell>
          <cell r="C1739">
            <v>0</v>
          </cell>
          <cell r="D1739" t="str">
            <v>межселенная территория</v>
          </cell>
        </row>
        <row r="1740">
          <cell r="A1740" t="str">
            <v>70:038:2:5:6</v>
          </cell>
          <cell r="B1740" t="str">
            <v>Талицкий городской округ</v>
          </cell>
          <cell r="C1740">
            <v>6</v>
          </cell>
          <cell r="D1740" t="str">
            <v>сельские населенные пункты с численностью населения менее 1 000 человек.</v>
          </cell>
        </row>
        <row r="1741">
          <cell r="A1741" t="str">
            <v>70:077:2:5:6</v>
          </cell>
          <cell r="B1741" t="str">
            <v>Талицкий городской округ</v>
          </cell>
          <cell r="C1741">
            <v>6</v>
          </cell>
          <cell r="D1741" t="str">
            <v>сельские населенные пункты с численностью населения менее 1 000 человек.</v>
          </cell>
        </row>
        <row r="1742">
          <cell r="A1742" t="str">
            <v>70:044:2:5:6</v>
          </cell>
          <cell r="B1742" t="str">
            <v>Талицкий городской округ</v>
          </cell>
          <cell r="C1742">
            <v>6</v>
          </cell>
          <cell r="D1742" t="str">
            <v>сельские населенные пункты с численностью населения менее 1 000 человек.</v>
          </cell>
        </row>
        <row r="1743">
          <cell r="A1743" t="str">
            <v>70:013:2:5:6</v>
          </cell>
          <cell r="B1743" t="str">
            <v>Талицкий городской округ</v>
          </cell>
          <cell r="C1743">
            <v>6</v>
          </cell>
          <cell r="D1743" t="str">
            <v>сельские населенные пункты с численностью населения менее 1 000 человек.</v>
          </cell>
        </row>
        <row r="1744">
          <cell r="A1744" t="str">
            <v>70:011:2:5:6</v>
          </cell>
          <cell r="B1744" t="str">
            <v>Талицкий городской округ</v>
          </cell>
          <cell r="C1744">
            <v>6</v>
          </cell>
          <cell r="D1744" t="str">
            <v>сельские населенные пункты с численностью населения менее 1 000 человек.</v>
          </cell>
        </row>
        <row r="1745">
          <cell r="A1745" t="str">
            <v>70:054:2:4:6</v>
          </cell>
          <cell r="B1745" t="str">
            <v>Талицкий городской округ</v>
          </cell>
          <cell r="C1745">
            <v>6</v>
          </cell>
          <cell r="D1745" t="str">
            <v>сельские населенные пункты с численностью населения менее 1 000 человек.</v>
          </cell>
        </row>
        <row r="1746">
          <cell r="A1746" t="str">
            <v>70:065:2:5:6</v>
          </cell>
          <cell r="B1746" t="str">
            <v>Талицкий городской округ</v>
          </cell>
          <cell r="C1746">
            <v>6</v>
          </cell>
          <cell r="D1746" t="str">
            <v>сельские населенные пункты с численностью населения менее 1 000 человек.</v>
          </cell>
        </row>
        <row r="1747">
          <cell r="A1747" t="str">
            <v>70:041:2:5:6</v>
          </cell>
          <cell r="B1747" t="str">
            <v>Талицкий городской округ</v>
          </cell>
          <cell r="C1747">
            <v>6</v>
          </cell>
          <cell r="D1747" t="str">
            <v>сельские населенные пункты с численностью населения менее 1 000 человек.</v>
          </cell>
        </row>
        <row r="1748">
          <cell r="A1748" t="str">
            <v>70:030:2:4:6</v>
          </cell>
          <cell r="B1748" t="str">
            <v>Талицкий городской округ</v>
          </cell>
          <cell r="C1748">
            <v>6</v>
          </cell>
          <cell r="D1748" t="str">
            <v>сельские населенные пункты с численностью населения менее 1 000 человек.</v>
          </cell>
        </row>
        <row r="1749">
          <cell r="A1749" t="str">
            <v>70:023:2:4:6</v>
          </cell>
          <cell r="B1749" t="str">
            <v>Талицкий городской округ</v>
          </cell>
          <cell r="C1749">
            <v>6</v>
          </cell>
          <cell r="D1749" t="str">
            <v>сельские населенные пункты с численностью населения менее 1 000 человек.</v>
          </cell>
        </row>
        <row r="1750">
          <cell r="A1750" t="str">
            <v>70:084:2:5:6</v>
          </cell>
          <cell r="B1750" t="str">
            <v>Талицкий городской округ</v>
          </cell>
          <cell r="C1750">
            <v>6</v>
          </cell>
          <cell r="D1750" t="str">
            <v>сельские населенные пункты с численностью населения менее 1 000 человек.</v>
          </cell>
        </row>
        <row r="1751">
          <cell r="A1751" t="str">
            <v>70:009:2:5:6</v>
          </cell>
          <cell r="B1751" t="str">
            <v>Талицкий городской округ</v>
          </cell>
          <cell r="C1751">
            <v>6</v>
          </cell>
          <cell r="D1751" t="str">
            <v>сельские населенные пункты с численностью населения менее 1 000 человек.</v>
          </cell>
        </row>
        <row r="1752">
          <cell r="A1752" t="str">
            <v>70:064:2:5:6</v>
          </cell>
          <cell r="B1752" t="str">
            <v>Талицкий городской округ</v>
          </cell>
          <cell r="C1752">
            <v>6</v>
          </cell>
          <cell r="D1752" t="str">
            <v>сельские населенные пункты с численностью населения менее 1 000 человек.</v>
          </cell>
        </row>
        <row r="1753">
          <cell r="A1753" t="str">
            <v>70:048:2:4:6</v>
          </cell>
          <cell r="B1753" t="str">
            <v>Талицкий городской округ</v>
          </cell>
          <cell r="C1753">
            <v>6</v>
          </cell>
          <cell r="D1753" t="str">
            <v>сельские населенные пункты с численностью населения менее 1 000 человек.</v>
          </cell>
        </row>
        <row r="1754">
          <cell r="A1754" t="str">
            <v>70:090:2:5:6</v>
          </cell>
          <cell r="B1754" t="str">
            <v>Талицкий городской округ</v>
          </cell>
          <cell r="C1754">
            <v>6</v>
          </cell>
          <cell r="D1754" t="str">
            <v>сельские населенные пункты с численностью населения менее 1 000 человек.</v>
          </cell>
        </row>
        <row r="1755">
          <cell r="A1755" t="str">
            <v>70:049:2:5:6</v>
          </cell>
          <cell r="B1755" t="str">
            <v>Талицкий городской округ</v>
          </cell>
          <cell r="C1755">
            <v>6</v>
          </cell>
          <cell r="D1755" t="str">
            <v>сельские населенные пункты с численностью населения менее 1 000 человек.</v>
          </cell>
        </row>
        <row r="1756">
          <cell r="A1756" t="str">
            <v>70:081:2:5:6</v>
          </cell>
          <cell r="B1756" t="str">
            <v>Талицкий городской округ</v>
          </cell>
          <cell r="C1756">
            <v>6</v>
          </cell>
          <cell r="D1756" t="str">
            <v>сельские населенные пункты с численностью населения менее 1 000 человек.</v>
          </cell>
        </row>
        <row r="1757">
          <cell r="A1757" t="str">
            <v>70:092:2:5:6</v>
          </cell>
          <cell r="B1757" t="str">
            <v>Талицкий городской округ</v>
          </cell>
          <cell r="C1757">
            <v>6</v>
          </cell>
          <cell r="D1757" t="str">
            <v>сельские населенные пункты с численностью населения менее 1 000 человек.</v>
          </cell>
        </row>
        <row r="1758">
          <cell r="A1758" t="str">
            <v>70:035:2:5:6</v>
          </cell>
          <cell r="B1758" t="str">
            <v>Талицкий городской округ</v>
          </cell>
          <cell r="C1758">
            <v>6</v>
          </cell>
          <cell r="D1758" t="str">
            <v>сельские населенные пункты с численностью населения менее 1 000 человек.</v>
          </cell>
        </row>
        <row r="1759">
          <cell r="A1759" t="str">
            <v>70:037:2:5:6</v>
          </cell>
          <cell r="B1759" t="str">
            <v>Талицкий городской округ</v>
          </cell>
          <cell r="C1759">
            <v>6</v>
          </cell>
          <cell r="D1759" t="str">
            <v>сельские населенные пункты с численностью населения менее 1 000 человек.</v>
          </cell>
        </row>
        <row r="1760">
          <cell r="A1760" t="str">
            <v>70:002:2:4:6</v>
          </cell>
          <cell r="B1760" t="str">
            <v>Талицкий городской округ</v>
          </cell>
          <cell r="C1760">
            <v>6</v>
          </cell>
          <cell r="D1760" t="str">
            <v>сельские населенные пункты с численностью населения менее 1 000 человек.</v>
          </cell>
        </row>
        <row r="1761">
          <cell r="A1761" t="str">
            <v>70:018:2:5:6</v>
          </cell>
          <cell r="B1761" t="str">
            <v>Талицкий городской округ</v>
          </cell>
          <cell r="C1761">
            <v>6</v>
          </cell>
          <cell r="D1761" t="str">
            <v>сельские населенные пункты с численностью населения менее 1 000 человек.</v>
          </cell>
        </row>
        <row r="1762">
          <cell r="A1762" t="str">
            <v>70:010:2:5:6</v>
          </cell>
          <cell r="B1762" t="str">
            <v>Талицкий городской округ</v>
          </cell>
          <cell r="C1762">
            <v>6</v>
          </cell>
          <cell r="D1762" t="str">
            <v>сельские населенные пункты с численностью населения менее 1 000 человек.</v>
          </cell>
        </row>
        <row r="1763">
          <cell r="A1763" t="str">
            <v>70:068:2:5:6</v>
          </cell>
          <cell r="B1763" t="str">
            <v>Талицкий городской округ</v>
          </cell>
          <cell r="C1763">
            <v>6</v>
          </cell>
          <cell r="D1763" t="str">
            <v>сельские населенные пункты с численностью населения менее 1 000 человек.</v>
          </cell>
        </row>
        <row r="1764">
          <cell r="A1764" t="str">
            <v>70:069:2:5:6</v>
          </cell>
          <cell r="B1764" t="str">
            <v>Талицкий городской округ</v>
          </cell>
          <cell r="C1764">
            <v>6</v>
          </cell>
          <cell r="D1764" t="str">
            <v>сельские населенные пункты с численностью населения менее 1 000 человек.</v>
          </cell>
        </row>
        <row r="1765">
          <cell r="A1765" t="str">
            <v>70:004:2:5:6</v>
          </cell>
          <cell r="B1765" t="str">
            <v>Талицкий городской округ</v>
          </cell>
          <cell r="C1765">
            <v>6</v>
          </cell>
          <cell r="D1765" t="str">
            <v>сельские населенные пункты с численностью населения менее 1 000 человек.</v>
          </cell>
        </row>
        <row r="1766">
          <cell r="A1766" t="str">
            <v>70:007:2:5:6</v>
          </cell>
          <cell r="B1766" t="str">
            <v>Талицкий городской округ</v>
          </cell>
          <cell r="C1766">
            <v>6</v>
          </cell>
          <cell r="D1766" t="str">
            <v>сельские населенные пункты с численностью населения менее 1 000 человек.</v>
          </cell>
        </row>
        <row r="1767">
          <cell r="A1767" t="str">
            <v>70:056:2:5:6</v>
          </cell>
          <cell r="B1767" t="str">
            <v>Талицкий городской округ</v>
          </cell>
          <cell r="C1767">
            <v>6</v>
          </cell>
          <cell r="D1767" t="str">
            <v>сельские населенные пункты с численностью населения менее 1 000 человек.</v>
          </cell>
        </row>
        <row r="1768">
          <cell r="A1768" t="str">
            <v>70:042:2:5:6</v>
          </cell>
          <cell r="B1768" t="str">
            <v>Талицкий городской округ</v>
          </cell>
          <cell r="C1768">
            <v>6</v>
          </cell>
          <cell r="D1768" t="str">
            <v>сельские населенные пункты с численностью населения менее 1 000 человек.</v>
          </cell>
        </row>
        <row r="1769">
          <cell r="A1769" t="str">
            <v>70:085:2:5:6</v>
          </cell>
          <cell r="B1769" t="str">
            <v>Талицкий городской округ</v>
          </cell>
          <cell r="C1769">
            <v>6</v>
          </cell>
          <cell r="D1769" t="str">
            <v>сельские населенные пункты с численностью населения менее 1 000 человек.</v>
          </cell>
        </row>
        <row r="1770">
          <cell r="A1770" t="str">
            <v>70:059:2:5:6</v>
          </cell>
          <cell r="B1770" t="str">
            <v>Талицкий городской округ</v>
          </cell>
          <cell r="C1770">
            <v>6</v>
          </cell>
          <cell r="D1770" t="str">
            <v>сельские населенные пункты с численностью населения менее 1 000 человек.</v>
          </cell>
        </row>
        <row r="1771">
          <cell r="A1771" t="str">
            <v>70:024:2:4:6</v>
          </cell>
          <cell r="B1771" t="str">
            <v>Талицкий городской округ</v>
          </cell>
          <cell r="C1771">
            <v>6</v>
          </cell>
          <cell r="D1771" t="str">
            <v>сельские населенные пункты с численностью населения менее 1 000 человек.</v>
          </cell>
        </row>
        <row r="1772">
          <cell r="A1772" t="str">
            <v>70:029:2:3:6</v>
          </cell>
          <cell r="B1772" t="str">
            <v>Талицкий городской округ</v>
          </cell>
          <cell r="C1772">
            <v>6</v>
          </cell>
          <cell r="D1772" t="str">
            <v>сельские населенные пункты с численностью населения менее 1 000 человек.</v>
          </cell>
        </row>
        <row r="1773">
          <cell r="A1773" t="str">
            <v>70:075:2:5:6</v>
          </cell>
          <cell r="B1773" t="str">
            <v>Талицкий городской округ</v>
          </cell>
          <cell r="C1773">
            <v>6</v>
          </cell>
          <cell r="D1773" t="str">
            <v>сельские населенные пункты с численностью населения менее 1 000 человек.</v>
          </cell>
        </row>
        <row r="1774">
          <cell r="A1774" t="str">
            <v>70:055:2:5:6</v>
          </cell>
          <cell r="B1774" t="str">
            <v>Талицкий городской округ</v>
          </cell>
          <cell r="C1774">
            <v>6</v>
          </cell>
          <cell r="D1774" t="str">
            <v>сельские населенные пункты с численностью населения менее 1 000 человек.</v>
          </cell>
        </row>
        <row r="1775">
          <cell r="A1775" t="str">
            <v>70:083:2:5:6</v>
          </cell>
          <cell r="B1775" t="str">
            <v>Талицкий городской округ</v>
          </cell>
          <cell r="C1775">
            <v>6</v>
          </cell>
          <cell r="D1775" t="str">
            <v>сельские населенные пункты с численностью населения менее 1 000 человек.</v>
          </cell>
        </row>
        <row r="1776">
          <cell r="A1776" t="str">
            <v>70:006:2:4:6</v>
          </cell>
          <cell r="B1776" t="str">
            <v>Талицкий городской округ</v>
          </cell>
          <cell r="C1776">
            <v>6</v>
          </cell>
          <cell r="D1776" t="str">
            <v>сельские населенные пункты с численностью населения менее 1 000 человек.</v>
          </cell>
        </row>
        <row r="1777">
          <cell r="A1777" t="str">
            <v>70:025:2:5:6</v>
          </cell>
          <cell r="B1777" t="str">
            <v>Талицкий городской округ</v>
          </cell>
          <cell r="C1777">
            <v>6</v>
          </cell>
          <cell r="D1777" t="str">
            <v>сельские населенные пункты с численностью населения менее 1 000 человек.</v>
          </cell>
        </row>
        <row r="1778">
          <cell r="A1778" t="str">
            <v>70:039:2:5:6</v>
          </cell>
          <cell r="B1778" t="str">
            <v>Талицкий городской округ</v>
          </cell>
          <cell r="C1778">
            <v>6</v>
          </cell>
          <cell r="D1778" t="str">
            <v>сельские населенные пункты с численностью населения менее 1 000 человек.</v>
          </cell>
        </row>
        <row r="1779">
          <cell r="A1779" t="str">
            <v>70:057:2:5:6</v>
          </cell>
          <cell r="B1779" t="str">
            <v>Талицкий городской округ</v>
          </cell>
          <cell r="C1779">
            <v>6</v>
          </cell>
          <cell r="D1779" t="str">
            <v>сельские населенные пункты с численностью населения менее 1 000 человек.</v>
          </cell>
        </row>
        <row r="1780">
          <cell r="A1780" t="str">
            <v>70:027:2:5:6</v>
          </cell>
          <cell r="B1780" t="str">
            <v>Талицкий городской округ</v>
          </cell>
          <cell r="C1780">
            <v>6</v>
          </cell>
          <cell r="D1780" t="str">
            <v>сельские населенные пункты с численностью населения менее 1 000 человек.</v>
          </cell>
        </row>
        <row r="1781">
          <cell r="A1781" t="str">
            <v>70:001:2:5:6</v>
          </cell>
          <cell r="B1781" t="str">
            <v>Талицкий городской округ</v>
          </cell>
          <cell r="C1781">
            <v>6</v>
          </cell>
          <cell r="D1781" t="str">
            <v>сельские населенные пункты с численностью населения менее 1 000 человек.</v>
          </cell>
        </row>
        <row r="1782">
          <cell r="A1782" t="str">
            <v>70:012:2:3:6</v>
          </cell>
          <cell r="B1782" t="str">
            <v>Талицкий городской округ</v>
          </cell>
          <cell r="C1782">
            <v>6</v>
          </cell>
          <cell r="D1782" t="str">
            <v>сельские населенные пункты с численностью населения менее 1 000 человек.</v>
          </cell>
        </row>
        <row r="1783">
          <cell r="A1783" t="str">
            <v>70:072:2:5:6</v>
          </cell>
          <cell r="B1783" t="str">
            <v>Талицкий городской округ</v>
          </cell>
          <cell r="C1783">
            <v>6</v>
          </cell>
          <cell r="D1783" t="str">
            <v>сельские населенные пункты с численностью населения менее 1 000 человек.</v>
          </cell>
        </row>
        <row r="1784">
          <cell r="A1784" t="str">
            <v>70:060:2:5:6</v>
          </cell>
          <cell r="B1784" t="str">
            <v>Талицкий городской округ</v>
          </cell>
          <cell r="C1784">
            <v>6</v>
          </cell>
          <cell r="D1784" t="str">
            <v>сельские населенные пункты с численностью населения менее 1 000 человек.</v>
          </cell>
        </row>
        <row r="1785">
          <cell r="A1785" t="str">
            <v>70:091:2:5:6</v>
          </cell>
          <cell r="B1785" t="str">
            <v>Талицкий городской округ</v>
          </cell>
          <cell r="C1785">
            <v>6</v>
          </cell>
          <cell r="D1785" t="str">
            <v>сельские населенные пункты с численностью населения менее 1 000 человек.</v>
          </cell>
        </row>
        <row r="1786">
          <cell r="A1786" t="str">
            <v>70:066:2:4:6</v>
          </cell>
          <cell r="B1786" t="str">
            <v>Талицкий городской округ</v>
          </cell>
          <cell r="C1786">
            <v>6</v>
          </cell>
          <cell r="D1786" t="str">
            <v>сельские населенные пункты с численностью населения менее 1 000 человек.</v>
          </cell>
        </row>
        <row r="1787">
          <cell r="A1787" t="str">
            <v>70:058:2:5:6</v>
          </cell>
          <cell r="B1787" t="str">
            <v>Талицкий городской округ</v>
          </cell>
          <cell r="C1787">
            <v>6</v>
          </cell>
          <cell r="D1787" t="str">
            <v>сельские населенные пункты с численностью населения менее 1 000 человек.</v>
          </cell>
        </row>
        <row r="1788">
          <cell r="A1788" t="str">
            <v>70:080:2:5:6</v>
          </cell>
          <cell r="B1788" t="str">
            <v>Талицкий городской округ</v>
          </cell>
          <cell r="C1788">
            <v>6</v>
          </cell>
          <cell r="D1788" t="str">
            <v>сельские населенные пункты с численностью населения менее 1 000 человек.</v>
          </cell>
        </row>
        <row r="1789">
          <cell r="A1789" t="str">
            <v>70:043:2:4:6</v>
          </cell>
          <cell r="B1789" t="str">
            <v>Талицкий городской округ</v>
          </cell>
          <cell r="C1789">
            <v>6</v>
          </cell>
          <cell r="D1789" t="str">
            <v>сельские населенные пункты с численностью населения менее 1 000 человек.</v>
          </cell>
        </row>
        <row r="1790">
          <cell r="A1790" t="str">
            <v>70:088:2:5:6</v>
          </cell>
          <cell r="B1790" t="str">
            <v>Талицкий городской округ</v>
          </cell>
          <cell r="C1790">
            <v>6</v>
          </cell>
          <cell r="D1790" t="str">
            <v>сельские населенные пункты с численностью населения менее 1 000 человек.</v>
          </cell>
        </row>
        <row r="1791">
          <cell r="A1791" t="str">
            <v>70:046:2:5:6</v>
          </cell>
          <cell r="B1791" t="str">
            <v>Талицкий городской округ</v>
          </cell>
          <cell r="C1791">
            <v>6</v>
          </cell>
          <cell r="D1791" t="str">
            <v>сельские населенные пункты с численностью населения менее 1 000 человек.</v>
          </cell>
        </row>
        <row r="1792">
          <cell r="A1792" t="str">
            <v>70:033:2:5:6</v>
          </cell>
          <cell r="B1792" t="str">
            <v>Талицкий городской округ</v>
          </cell>
          <cell r="C1792">
            <v>6</v>
          </cell>
          <cell r="D1792" t="str">
            <v>сельские населенные пункты с численностью населения менее 1 000 человек.</v>
          </cell>
        </row>
        <row r="1793">
          <cell r="A1793" t="str">
            <v>70:015:2:5:6</v>
          </cell>
          <cell r="B1793" t="str">
            <v>Талицкий городской округ</v>
          </cell>
          <cell r="C1793">
            <v>6</v>
          </cell>
          <cell r="D1793" t="str">
            <v>сельские населенные пункты с численностью населения менее 1 000 человек.</v>
          </cell>
        </row>
        <row r="1794">
          <cell r="A1794" t="str">
            <v>70:070:2:3:5</v>
          </cell>
          <cell r="B1794" t="str">
            <v>Талицкий городской округ</v>
          </cell>
          <cell r="C1794">
            <v>5</v>
          </cell>
          <cell r="D1794" t="str">
            <v>сельские населенные пункты с численностью населения более 1 000 человек;</v>
          </cell>
        </row>
        <row r="1795">
          <cell r="A1795" t="str">
            <v>70:086:2:3:5</v>
          </cell>
          <cell r="B1795" t="str">
            <v>Талицкий городской округ</v>
          </cell>
          <cell r="C1795">
            <v>5</v>
          </cell>
          <cell r="D1795" t="str">
            <v>сельские населенные пункты с численностью населения более 1 000 человек;</v>
          </cell>
        </row>
        <row r="1796">
          <cell r="A1796" t="str">
            <v>70:082:1:1:4</v>
          </cell>
          <cell r="B1796" t="str">
            <v>Талицкий городской округ</v>
          </cell>
          <cell r="C1796">
            <v>4</v>
          </cell>
          <cell r="D1796" t="str">
            <v>городские населенные пункты с численностью населения менее 50 000 человек;</v>
          </cell>
        </row>
        <row r="1797">
          <cell r="A1797" t="str">
            <v>70:045:2:3:6</v>
          </cell>
          <cell r="B1797" t="str">
            <v>Талицкий городской округ</v>
          </cell>
          <cell r="C1797">
            <v>6</v>
          </cell>
          <cell r="D1797" t="str">
            <v>сельские населенные пункты с численностью населения менее 1 000 человек.</v>
          </cell>
        </row>
        <row r="1798">
          <cell r="A1798" t="str">
            <v>70:047:2:3:6</v>
          </cell>
          <cell r="B1798" t="str">
            <v>Талицкий городской округ</v>
          </cell>
          <cell r="C1798">
            <v>6</v>
          </cell>
          <cell r="D1798" t="str">
            <v>сельские населенные пункты с численностью населения менее 1 000 человек.</v>
          </cell>
        </row>
        <row r="1799">
          <cell r="A1799" t="str">
            <v>70:014:2:4:5</v>
          </cell>
          <cell r="B1799" t="str">
            <v>Талицкий городской округ</v>
          </cell>
          <cell r="C1799">
            <v>5</v>
          </cell>
          <cell r="D1799" t="str">
            <v>сельские населенные пункты с численностью населения более 1 000 человек;</v>
          </cell>
        </row>
        <row r="1800">
          <cell r="A1800" t="str">
            <v>70:040:2:4:6</v>
          </cell>
          <cell r="B1800" t="str">
            <v>Талицкий городской округ</v>
          </cell>
          <cell r="C1800">
            <v>6</v>
          </cell>
          <cell r="D1800" t="str">
            <v>сельские населенные пункты с численностью населения менее 1 000 человек.</v>
          </cell>
        </row>
        <row r="1801">
          <cell r="A1801" t="str">
            <v>70:026:2:4:6</v>
          </cell>
          <cell r="B1801" t="str">
            <v>Талицкий городской округ</v>
          </cell>
          <cell r="C1801">
            <v>6</v>
          </cell>
          <cell r="D1801" t="str">
            <v>сельские населенные пункты с численностью населения менее 1 000 человек.</v>
          </cell>
        </row>
        <row r="1802">
          <cell r="A1802" t="str">
            <v>70:020:2:5:6</v>
          </cell>
          <cell r="B1802" t="str">
            <v>Талицкий городской округ</v>
          </cell>
          <cell r="C1802">
            <v>6</v>
          </cell>
          <cell r="D1802" t="str">
            <v>сельские населенные пункты с численностью населения менее 1 000 человек.</v>
          </cell>
        </row>
        <row r="1803">
          <cell r="A1803" t="str">
            <v>70:003:2:4:6</v>
          </cell>
          <cell r="B1803" t="str">
            <v>Талицкий городской округ</v>
          </cell>
          <cell r="C1803">
            <v>6</v>
          </cell>
          <cell r="D1803" t="str">
            <v>сельские населенные пункты с численностью населения менее 1 000 человек.</v>
          </cell>
        </row>
        <row r="1804">
          <cell r="A1804" t="str">
            <v>70:078:2:4:6</v>
          </cell>
          <cell r="B1804" t="str">
            <v>Талицкий городской округ</v>
          </cell>
          <cell r="C1804">
            <v>6</v>
          </cell>
          <cell r="D1804" t="str">
            <v>сельские населенные пункты с численностью населения менее 1 000 человек.</v>
          </cell>
        </row>
        <row r="1805">
          <cell r="A1805" t="str">
            <v>70:021:2:4:6</v>
          </cell>
          <cell r="B1805" t="str">
            <v>Талицкий городской округ</v>
          </cell>
          <cell r="C1805">
            <v>6</v>
          </cell>
          <cell r="D1805" t="str">
            <v>сельские населенные пункты с численностью населения менее 1 000 человек.</v>
          </cell>
        </row>
        <row r="1806">
          <cell r="A1806" t="str">
            <v>70:095:2:4:6</v>
          </cell>
          <cell r="B1806" t="str">
            <v>Талицкий городской округ</v>
          </cell>
          <cell r="C1806">
            <v>6</v>
          </cell>
          <cell r="D1806" t="str">
            <v>сельские населенные пункты с численностью населения менее 1 000 человек.</v>
          </cell>
        </row>
        <row r="1807">
          <cell r="A1807" t="str">
            <v>70:051:2:5:6</v>
          </cell>
          <cell r="B1807" t="str">
            <v>Талицкий городской округ</v>
          </cell>
          <cell r="C1807">
            <v>6</v>
          </cell>
          <cell r="D1807" t="str">
            <v>сельские населенные пункты с численностью населения менее 1 000 человек.</v>
          </cell>
        </row>
        <row r="1808">
          <cell r="A1808" t="str">
            <v>70:094:2:5:6</v>
          </cell>
          <cell r="B1808" t="str">
            <v>Талицкий городской округ</v>
          </cell>
          <cell r="C1808">
            <v>6</v>
          </cell>
          <cell r="D1808" t="str">
            <v>сельские населенные пункты с численностью населения менее 1 000 человек.</v>
          </cell>
        </row>
        <row r="1809">
          <cell r="A1809" t="str">
            <v>70:017:2:5:6</v>
          </cell>
          <cell r="B1809" t="str">
            <v>Талицкий городской округ</v>
          </cell>
          <cell r="C1809">
            <v>6</v>
          </cell>
          <cell r="D1809" t="str">
            <v>сельские населенные пункты с численностью населения менее 1 000 человек.</v>
          </cell>
        </row>
        <row r="1810">
          <cell r="A1810" t="str">
            <v>70:032:2:5:6</v>
          </cell>
          <cell r="B1810" t="str">
            <v>Талицкий городской округ</v>
          </cell>
          <cell r="C1810">
            <v>6</v>
          </cell>
          <cell r="D1810" t="str">
            <v>сельские населенные пункты с численностью населения менее 1 000 человек.</v>
          </cell>
        </row>
        <row r="1811">
          <cell r="A1811" t="str">
            <v>70:008:2:5:6</v>
          </cell>
          <cell r="B1811" t="str">
            <v>Талицкий городской округ</v>
          </cell>
          <cell r="C1811">
            <v>6</v>
          </cell>
          <cell r="D1811" t="str">
            <v>сельские населенные пункты с численностью населения менее 1 000 человек.</v>
          </cell>
        </row>
        <row r="1812">
          <cell r="A1812" t="str">
            <v>70:089:2:5:6</v>
          </cell>
          <cell r="B1812" t="str">
            <v>Талицкий городской округ</v>
          </cell>
          <cell r="C1812">
            <v>6</v>
          </cell>
          <cell r="D1812" t="str">
            <v>сельские населенные пункты с численностью населения менее 1 000 человек.</v>
          </cell>
        </row>
        <row r="1813">
          <cell r="A1813" t="str">
            <v>70:067:2:5:6</v>
          </cell>
          <cell r="B1813" t="str">
            <v>Талицкий городской округ</v>
          </cell>
          <cell r="C1813">
            <v>6</v>
          </cell>
          <cell r="D1813" t="str">
            <v>сельские населенные пункты с численностью населения менее 1 000 человек.</v>
          </cell>
        </row>
        <row r="1814">
          <cell r="A1814" t="str">
            <v>70:053:2:5:6</v>
          </cell>
          <cell r="B1814" t="str">
            <v>Талицкий городской округ</v>
          </cell>
          <cell r="C1814">
            <v>6</v>
          </cell>
          <cell r="D1814" t="str">
            <v>сельские населенные пункты с численностью населения менее 1 000 человек.</v>
          </cell>
        </row>
        <row r="1815">
          <cell r="A1815" t="str">
            <v>70:005:2:5:6</v>
          </cell>
          <cell r="B1815" t="str">
            <v>Талицкий городской округ</v>
          </cell>
          <cell r="C1815">
            <v>6</v>
          </cell>
          <cell r="D1815" t="str">
            <v>сельские населенные пункты с численностью населения менее 1 000 человек.</v>
          </cell>
        </row>
        <row r="1816">
          <cell r="A1816" t="str">
            <v>70:062:2:5:6</v>
          </cell>
          <cell r="B1816" t="str">
            <v>Талицкий городской округ</v>
          </cell>
          <cell r="C1816">
            <v>6</v>
          </cell>
          <cell r="D1816" t="str">
            <v>сельские населенные пункты с численностью населения менее 1 000 человек.</v>
          </cell>
        </row>
        <row r="1817">
          <cell r="A1817" t="str">
            <v>70:087:2:4:6</v>
          </cell>
          <cell r="B1817" t="str">
            <v>Талицкий городской округ</v>
          </cell>
          <cell r="C1817">
            <v>6</v>
          </cell>
          <cell r="D1817" t="str">
            <v>сельские населенные пункты с численностью населения менее 1 000 человек.</v>
          </cell>
        </row>
        <row r="1818">
          <cell r="A1818" t="str">
            <v>70:019:2:5:6</v>
          </cell>
          <cell r="B1818" t="str">
            <v>Талицкий городской округ</v>
          </cell>
          <cell r="C1818">
            <v>6</v>
          </cell>
          <cell r="D1818" t="str">
            <v>сельские населенные пункты с численностью населения менее 1 000 человек.</v>
          </cell>
        </row>
        <row r="1819">
          <cell r="A1819" t="str">
            <v>70:093:2:3:6</v>
          </cell>
          <cell r="B1819" t="str">
            <v>Талицкий городской округ</v>
          </cell>
          <cell r="C1819">
            <v>6</v>
          </cell>
          <cell r="D1819" t="str">
            <v>сельские населенные пункты с численностью населения менее 1 000 человек.</v>
          </cell>
        </row>
        <row r="1820">
          <cell r="A1820" t="str">
            <v>70:063:2:3:6</v>
          </cell>
          <cell r="B1820" t="str">
            <v>Талицкий городской округ</v>
          </cell>
          <cell r="C1820">
            <v>6</v>
          </cell>
          <cell r="D1820" t="str">
            <v>сельские населенные пункты с численностью населения менее 1 000 человек.</v>
          </cell>
        </row>
        <row r="1821">
          <cell r="A1821" t="str">
            <v>70:073:2:5:6</v>
          </cell>
          <cell r="B1821" t="str">
            <v>Талицкий городской округ</v>
          </cell>
          <cell r="C1821">
            <v>6</v>
          </cell>
          <cell r="D1821" t="str">
            <v>сельские населенные пункты с численностью населения менее 1 000 человек.</v>
          </cell>
        </row>
        <row r="1822">
          <cell r="A1822" t="str">
            <v>70:071:2:5:6</v>
          </cell>
          <cell r="B1822" t="str">
            <v>Талицкий городской округ</v>
          </cell>
          <cell r="C1822">
            <v>6</v>
          </cell>
          <cell r="D1822" t="str">
            <v>сельские населенные пункты с численностью населения менее 1 000 человек.</v>
          </cell>
        </row>
        <row r="1823">
          <cell r="A1823" t="str">
            <v>70:028:2:5:6</v>
          </cell>
          <cell r="B1823" t="str">
            <v>Талицкий городской округ</v>
          </cell>
          <cell r="C1823">
            <v>6</v>
          </cell>
          <cell r="D1823" t="str">
            <v>сельские населенные пункты с численностью населения менее 1 000 человек.</v>
          </cell>
        </row>
        <row r="1824">
          <cell r="A1824" t="str">
            <v>70:016:2:5:6</v>
          </cell>
          <cell r="B1824" t="str">
            <v>Талицкий городской округ</v>
          </cell>
          <cell r="C1824">
            <v>6</v>
          </cell>
          <cell r="D1824" t="str">
            <v>сельские населенные пункты с численностью населения менее 1 000 человек.</v>
          </cell>
        </row>
        <row r="1825">
          <cell r="A1825" t="str">
            <v>70:079:2:3:6</v>
          </cell>
          <cell r="B1825" t="str">
            <v>Талицкий городской округ</v>
          </cell>
          <cell r="C1825">
            <v>6</v>
          </cell>
          <cell r="D1825" t="str">
            <v>сельские населенные пункты с численностью населения менее 1 000 человек.</v>
          </cell>
        </row>
        <row r="1826">
          <cell r="A1826" t="str">
            <v>70:052:2:5:6</v>
          </cell>
          <cell r="B1826" t="str">
            <v>Талицкий городской округ</v>
          </cell>
          <cell r="C1826">
            <v>6</v>
          </cell>
          <cell r="D1826" t="str">
            <v>сельские населенные пункты с численностью населения менее 1 000 человек.</v>
          </cell>
        </row>
        <row r="1827">
          <cell r="A1827" t="str">
            <v>70:034:2:5:6</v>
          </cell>
          <cell r="B1827" t="str">
            <v>Талицкий городской округ</v>
          </cell>
          <cell r="C1827">
            <v>6</v>
          </cell>
          <cell r="D1827" t="str">
            <v>сельские населенные пункты с численностью населения менее 1 000 человек.</v>
          </cell>
        </row>
        <row r="1828">
          <cell r="A1828" t="str">
            <v>70:036:2:5:6</v>
          </cell>
          <cell r="B1828" t="str">
            <v>Талицкий городской округ</v>
          </cell>
          <cell r="C1828">
            <v>6</v>
          </cell>
          <cell r="D1828" t="str">
            <v>сельские населенные пункты с численностью населения менее 1 000 человек.</v>
          </cell>
        </row>
        <row r="1829">
          <cell r="A1829" t="str">
            <v>70:031:2:4:6</v>
          </cell>
          <cell r="B1829" t="str">
            <v>Талицкий городской округ</v>
          </cell>
          <cell r="C1829">
            <v>6</v>
          </cell>
          <cell r="D1829" t="str">
            <v>сельские населенные пункты с численностью населения менее 1 000 человек.</v>
          </cell>
        </row>
        <row r="1830">
          <cell r="A1830" t="str">
            <v>70:061:2:3:6</v>
          </cell>
          <cell r="B1830" t="str">
            <v>Талицкий городской округ</v>
          </cell>
          <cell r="C1830">
            <v>6</v>
          </cell>
          <cell r="D1830" t="str">
            <v>сельские населенные пункты с численностью населения менее 1 000 человек.</v>
          </cell>
        </row>
        <row r="1831">
          <cell r="A1831" t="str">
            <v>70:076:2:5:6</v>
          </cell>
          <cell r="B1831" t="str">
            <v>Талицкий городской округ</v>
          </cell>
          <cell r="C1831">
            <v>6</v>
          </cell>
          <cell r="D1831" t="str">
            <v>сельские населенные пункты с численностью населения менее 1 000 человек.</v>
          </cell>
        </row>
        <row r="1832">
          <cell r="A1832" t="str">
            <v>70:050:2:3:6</v>
          </cell>
          <cell r="B1832" t="str">
            <v>Талицкий городской округ</v>
          </cell>
          <cell r="C1832">
            <v>6</v>
          </cell>
          <cell r="D1832" t="str">
            <v>сельские населенные пункты с численностью населения менее 1 000 человек.</v>
          </cell>
        </row>
        <row r="1833">
          <cell r="A1833" t="str">
            <v>70:022:2:5:6</v>
          </cell>
          <cell r="B1833" t="str">
            <v>Талицкий городской округ</v>
          </cell>
          <cell r="C1833">
            <v>6</v>
          </cell>
          <cell r="D1833" t="str">
            <v>сельские населенные пункты с численностью населения менее 1 000 человек.</v>
          </cell>
        </row>
        <row r="1834">
          <cell r="A1834" t="str">
            <v>70:074:2:3:6</v>
          </cell>
          <cell r="B1834" t="str">
            <v>Талицкий городской округ</v>
          </cell>
          <cell r="C1834">
            <v>6</v>
          </cell>
          <cell r="D1834" t="str">
            <v>сельские населенные пункты с численностью населения менее 1 000 человек.</v>
          </cell>
        </row>
        <row r="1835">
          <cell r="A1835" t="str">
            <v>70:000:0:0:0</v>
          </cell>
          <cell r="B1835" t="str">
            <v>Талицкий городской округ</v>
          </cell>
          <cell r="C1835">
            <v>0</v>
          </cell>
          <cell r="D1835" t="str">
            <v>межселенная территория</v>
          </cell>
        </row>
        <row r="1836">
          <cell r="A1836" t="str">
            <v>71:009:2:5:6</v>
          </cell>
          <cell r="B1836" t="str">
            <v>Тугулымский городской округ</v>
          </cell>
          <cell r="C1836">
            <v>6</v>
          </cell>
          <cell r="D1836" t="str">
            <v>сельские населенные пункты с численностью населения менее 1 000 человек.</v>
          </cell>
        </row>
        <row r="1837">
          <cell r="A1837" t="str">
            <v>71:006:2:5:6</v>
          </cell>
          <cell r="B1837" t="str">
            <v>Тугулымский городской округ</v>
          </cell>
          <cell r="C1837">
            <v>6</v>
          </cell>
          <cell r="D1837" t="str">
            <v>сельские населенные пункты с численностью населения менее 1 000 человек.</v>
          </cell>
        </row>
        <row r="1838">
          <cell r="A1838" t="str">
            <v>71:017:2:4:6</v>
          </cell>
          <cell r="B1838" t="str">
            <v>Тугулымский городской округ</v>
          </cell>
          <cell r="C1838">
            <v>6</v>
          </cell>
          <cell r="D1838" t="str">
            <v>сельские населенные пункты с численностью населения менее 1 000 человек.</v>
          </cell>
        </row>
        <row r="1839">
          <cell r="A1839" t="str">
            <v>71:011:2:5:6</v>
          </cell>
          <cell r="B1839" t="str">
            <v>Тугулымский городской округ</v>
          </cell>
          <cell r="C1839">
            <v>6</v>
          </cell>
          <cell r="D1839" t="str">
            <v>сельские населенные пункты с численностью населения менее 1 000 человек.</v>
          </cell>
        </row>
        <row r="1840">
          <cell r="A1840" t="str">
            <v>71:047:2:5:6</v>
          </cell>
          <cell r="B1840" t="str">
            <v>Тугулымский городской округ</v>
          </cell>
          <cell r="C1840">
            <v>6</v>
          </cell>
          <cell r="D1840" t="str">
            <v>сельские населенные пункты с численностью населения менее 1 000 человек.</v>
          </cell>
        </row>
        <row r="1841">
          <cell r="A1841" t="str">
            <v>71:036:2:5:6</v>
          </cell>
          <cell r="B1841" t="str">
            <v>Тугулымский городской округ</v>
          </cell>
          <cell r="C1841">
            <v>6</v>
          </cell>
          <cell r="D1841" t="str">
            <v>сельские населенные пункты с численностью населения менее 1 000 человек.</v>
          </cell>
        </row>
        <row r="1842">
          <cell r="A1842" t="str">
            <v>71:013:2:5:6</v>
          </cell>
          <cell r="B1842" t="str">
            <v>Тугулымский городской округ</v>
          </cell>
          <cell r="C1842">
            <v>6</v>
          </cell>
          <cell r="D1842" t="str">
            <v>сельские населенные пункты с численностью населения менее 1 000 человек.</v>
          </cell>
        </row>
        <row r="1843">
          <cell r="A1843" t="str">
            <v>71:020:2:5:6</v>
          </cell>
          <cell r="B1843" t="str">
            <v>Тугулымский городской округ</v>
          </cell>
          <cell r="C1843">
            <v>6</v>
          </cell>
          <cell r="D1843" t="str">
            <v>сельские населенные пункты с численностью населения менее 1 000 человек.</v>
          </cell>
        </row>
        <row r="1844">
          <cell r="A1844" t="str">
            <v>71:027:2:4:6</v>
          </cell>
          <cell r="B1844" t="str">
            <v>Тугулымский городской округ</v>
          </cell>
          <cell r="C1844">
            <v>6</v>
          </cell>
          <cell r="D1844" t="str">
            <v>сельские населенные пункты с численностью населения менее 1 000 человек.</v>
          </cell>
        </row>
        <row r="1845">
          <cell r="A1845" t="str">
            <v>71:031:2:5:6</v>
          </cell>
          <cell r="B1845" t="str">
            <v>Тугулымский городской округ</v>
          </cell>
          <cell r="C1845">
            <v>6</v>
          </cell>
          <cell r="D1845" t="str">
            <v>сельские населенные пункты с численностью населения менее 1 000 человек.</v>
          </cell>
        </row>
        <row r="1846">
          <cell r="A1846" t="str">
            <v>71:025:2:5:6</v>
          </cell>
          <cell r="B1846" t="str">
            <v>Тугулымский городской округ</v>
          </cell>
          <cell r="C1846">
            <v>6</v>
          </cell>
          <cell r="D1846" t="str">
            <v>сельские населенные пункты с численностью населения менее 1 000 человек.</v>
          </cell>
        </row>
        <row r="1847">
          <cell r="A1847" t="str">
            <v>71:010:2:4:6</v>
          </cell>
          <cell r="B1847" t="str">
            <v>Тугулымский городской округ</v>
          </cell>
          <cell r="C1847">
            <v>6</v>
          </cell>
          <cell r="D1847" t="str">
            <v>сельские населенные пункты с численностью населения менее 1 000 человек.</v>
          </cell>
        </row>
        <row r="1848">
          <cell r="A1848" t="str">
            <v>71:034:2:5:6</v>
          </cell>
          <cell r="B1848" t="str">
            <v>Тугулымский городской округ</v>
          </cell>
          <cell r="C1848">
            <v>6</v>
          </cell>
          <cell r="D1848" t="str">
            <v>сельские населенные пункты с численностью населения менее 1 000 человек.</v>
          </cell>
        </row>
        <row r="1849">
          <cell r="A1849" t="str">
            <v>71:026:2:5:6</v>
          </cell>
          <cell r="B1849" t="str">
            <v>Тугулымский городской округ</v>
          </cell>
          <cell r="C1849">
            <v>6</v>
          </cell>
          <cell r="D1849" t="str">
            <v>сельские населенные пункты с численностью населения менее 1 000 человек.</v>
          </cell>
        </row>
        <row r="1850">
          <cell r="A1850" t="str">
            <v>71:021:2:5:6</v>
          </cell>
          <cell r="B1850" t="str">
            <v>Тугулымский городской округ</v>
          </cell>
          <cell r="C1850">
            <v>6</v>
          </cell>
          <cell r="D1850" t="str">
            <v>сельские населенные пункты с численностью населения менее 1 000 человек.</v>
          </cell>
        </row>
        <row r="1851">
          <cell r="A1851" t="str">
            <v>71:018:2:5:6</v>
          </cell>
          <cell r="B1851" t="str">
            <v>Тугулымский городской округ</v>
          </cell>
          <cell r="C1851">
            <v>6</v>
          </cell>
          <cell r="D1851" t="str">
            <v>сельские населенные пункты с численностью населения менее 1 000 человек.</v>
          </cell>
        </row>
        <row r="1852">
          <cell r="A1852" t="str">
            <v>71:045:2:5:6</v>
          </cell>
          <cell r="B1852" t="str">
            <v>Тугулымский городской округ</v>
          </cell>
          <cell r="C1852">
            <v>6</v>
          </cell>
          <cell r="D1852" t="str">
            <v>сельские населенные пункты с численностью населения менее 1 000 человек.</v>
          </cell>
        </row>
        <row r="1853">
          <cell r="A1853" t="str">
            <v>71:016:2:4:6</v>
          </cell>
          <cell r="B1853" t="str">
            <v>Тугулымский городской округ</v>
          </cell>
          <cell r="C1853">
            <v>6</v>
          </cell>
          <cell r="D1853" t="str">
            <v>сельские населенные пункты с численностью населения менее 1 000 человек.</v>
          </cell>
        </row>
        <row r="1854">
          <cell r="A1854" t="str">
            <v>71:039:2:4:6</v>
          </cell>
          <cell r="B1854" t="str">
            <v>Тугулымский городской округ</v>
          </cell>
          <cell r="C1854">
            <v>6</v>
          </cell>
          <cell r="D1854" t="str">
            <v>сельские населенные пункты с численностью населения менее 1 000 человек.</v>
          </cell>
        </row>
        <row r="1855">
          <cell r="A1855" t="str">
            <v>71:051:2:5:6</v>
          </cell>
          <cell r="B1855" t="str">
            <v>Тугулымский городской округ</v>
          </cell>
          <cell r="C1855">
            <v>6</v>
          </cell>
          <cell r="D1855" t="str">
            <v>сельские населенные пункты с численностью населения менее 1 000 человек.</v>
          </cell>
        </row>
        <row r="1856">
          <cell r="A1856" t="str">
            <v>71:050:2:5:6</v>
          </cell>
          <cell r="B1856" t="str">
            <v>Тугулымский городской округ</v>
          </cell>
          <cell r="C1856">
            <v>6</v>
          </cell>
          <cell r="D1856" t="str">
            <v>сельские населенные пункты с численностью населения менее 1 000 человек.</v>
          </cell>
        </row>
        <row r="1857">
          <cell r="A1857" t="str">
            <v>71:005:2:4:5</v>
          </cell>
          <cell r="B1857" t="str">
            <v>Тугулымский городской округ</v>
          </cell>
          <cell r="C1857">
            <v>5</v>
          </cell>
          <cell r="D1857" t="str">
            <v>сельские населенные пункты с численностью населения более 1 000 человек;</v>
          </cell>
        </row>
        <row r="1858">
          <cell r="A1858" t="str">
            <v>71:049:2:3:5</v>
          </cell>
          <cell r="B1858" t="str">
            <v>Тугулымский городской округ</v>
          </cell>
          <cell r="C1858">
            <v>5</v>
          </cell>
          <cell r="D1858" t="str">
            <v>сельские населенные пункты с численностью населения более 1 000 человек;</v>
          </cell>
        </row>
        <row r="1859">
          <cell r="A1859" t="str">
            <v>71:033:2:4:6</v>
          </cell>
          <cell r="B1859" t="str">
            <v>Тугулымский городской округ</v>
          </cell>
          <cell r="C1859">
            <v>6</v>
          </cell>
          <cell r="D1859" t="str">
            <v>сельские населенные пункты с численностью населения менее 1 000 человек.</v>
          </cell>
        </row>
        <row r="1860">
          <cell r="A1860" t="str">
            <v>71:019:2:3:6</v>
          </cell>
          <cell r="B1860" t="str">
            <v>Тугулымский городской округ</v>
          </cell>
          <cell r="C1860">
            <v>6</v>
          </cell>
          <cell r="D1860" t="str">
            <v>сельские населенные пункты с численностью населения менее 1 000 человек.</v>
          </cell>
        </row>
        <row r="1861">
          <cell r="A1861" t="str">
            <v>71:007:2:5:6</v>
          </cell>
          <cell r="B1861" t="str">
            <v>Тугулымский городской округ</v>
          </cell>
          <cell r="C1861">
            <v>6</v>
          </cell>
          <cell r="D1861" t="str">
            <v>сельские населенные пункты с численностью населения менее 1 000 человек.</v>
          </cell>
        </row>
        <row r="1862">
          <cell r="A1862" t="str">
            <v>71:041:2:3:6</v>
          </cell>
          <cell r="B1862" t="str">
            <v>Тугулымский городской округ</v>
          </cell>
          <cell r="C1862">
            <v>6</v>
          </cell>
          <cell r="D1862" t="str">
            <v>сельские населенные пункты с численностью населения менее 1 000 человек.</v>
          </cell>
        </row>
        <row r="1863">
          <cell r="A1863" t="str">
            <v>71:040:1:2:4</v>
          </cell>
          <cell r="B1863" t="str">
            <v>Тугулымский городской округ</v>
          </cell>
          <cell r="C1863">
            <v>4</v>
          </cell>
          <cell r="D1863" t="str">
            <v>городские населенные пункты с численностью населения менее 50 000 человек;</v>
          </cell>
        </row>
        <row r="1864">
          <cell r="A1864" t="str">
            <v>71:052:2:4:6</v>
          </cell>
          <cell r="B1864" t="str">
            <v>Тугулымский городской округ</v>
          </cell>
          <cell r="C1864">
            <v>6</v>
          </cell>
          <cell r="D1864" t="str">
            <v>сельские населенные пункты с численностью населения менее 1 000 человек.</v>
          </cell>
        </row>
        <row r="1865">
          <cell r="A1865" t="str">
            <v>71:023:2:3:5</v>
          </cell>
          <cell r="B1865" t="str">
            <v>Тугулымский городской округ</v>
          </cell>
          <cell r="C1865">
            <v>5</v>
          </cell>
          <cell r="D1865" t="str">
            <v>сельские населенные пункты с численностью населения более 1 000 человек;</v>
          </cell>
        </row>
        <row r="1866">
          <cell r="A1866" t="str">
            <v>71:022:2:5:6</v>
          </cell>
          <cell r="B1866" t="str">
            <v>Тугулымский городской округ</v>
          </cell>
          <cell r="C1866">
            <v>6</v>
          </cell>
          <cell r="D1866" t="str">
            <v>сельские населенные пункты с численностью населения менее 1 000 человек.</v>
          </cell>
        </row>
        <row r="1867">
          <cell r="A1867" t="str">
            <v>71:014:2:3:5</v>
          </cell>
          <cell r="B1867" t="str">
            <v>Тугулымский городской округ</v>
          </cell>
          <cell r="C1867">
            <v>5</v>
          </cell>
          <cell r="D1867" t="str">
            <v>сельские населенные пункты с численностью населения более 1 000 человек;</v>
          </cell>
        </row>
        <row r="1868">
          <cell r="A1868" t="str">
            <v>71:012:2:3:5</v>
          </cell>
          <cell r="B1868" t="str">
            <v>Тугулымский городской округ</v>
          </cell>
          <cell r="C1868">
            <v>5</v>
          </cell>
          <cell r="D1868" t="str">
            <v>сельские населенные пункты с численностью населения более 1 000 человек;</v>
          </cell>
        </row>
        <row r="1869">
          <cell r="A1869" t="str">
            <v>71:037:2:5:6</v>
          </cell>
          <cell r="B1869" t="str">
            <v>Тугулымский городской округ</v>
          </cell>
          <cell r="C1869">
            <v>6</v>
          </cell>
          <cell r="D1869" t="str">
            <v>сельские населенные пункты с численностью населения менее 1 000 человек.</v>
          </cell>
        </row>
        <row r="1870">
          <cell r="A1870" t="str">
            <v>71:003:2:5:6</v>
          </cell>
          <cell r="B1870" t="str">
            <v>Тугулымский городской округ</v>
          </cell>
          <cell r="C1870">
            <v>6</v>
          </cell>
          <cell r="D1870" t="str">
            <v>сельские населенные пункты с численностью населения менее 1 000 человек.</v>
          </cell>
        </row>
        <row r="1871">
          <cell r="A1871" t="str">
            <v>71:044:2:4:6</v>
          </cell>
          <cell r="B1871" t="str">
            <v>Тугулымский городской округ</v>
          </cell>
          <cell r="C1871">
            <v>6</v>
          </cell>
          <cell r="D1871" t="str">
            <v>сельские населенные пункты с численностью населения менее 1 000 человек.</v>
          </cell>
        </row>
        <row r="1872">
          <cell r="A1872" t="str">
            <v>71:035:2:5:6</v>
          </cell>
          <cell r="B1872" t="str">
            <v>Тугулымский городской округ</v>
          </cell>
          <cell r="C1872">
            <v>6</v>
          </cell>
          <cell r="D1872" t="str">
            <v>сельские населенные пункты с численностью населения менее 1 000 человек.</v>
          </cell>
        </row>
        <row r="1873">
          <cell r="A1873" t="str">
            <v>71:002:2:3:6</v>
          </cell>
          <cell r="B1873" t="str">
            <v>Тугулымский городской округ</v>
          </cell>
          <cell r="C1873">
            <v>6</v>
          </cell>
          <cell r="D1873" t="str">
            <v>сельские населенные пункты с численностью населения менее 1 000 человек.</v>
          </cell>
        </row>
        <row r="1874">
          <cell r="A1874" t="str">
            <v>71:008:2:5:6</v>
          </cell>
          <cell r="B1874" t="str">
            <v>Тугулымский городской округ</v>
          </cell>
          <cell r="C1874">
            <v>6</v>
          </cell>
          <cell r="D1874" t="str">
            <v>сельские населенные пункты с численностью населения менее 1 000 человек.</v>
          </cell>
        </row>
        <row r="1875">
          <cell r="A1875" t="str">
            <v>71:046:2:5:6</v>
          </cell>
          <cell r="B1875" t="str">
            <v>Тугулымский городской округ</v>
          </cell>
          <cell r="C1875">
            <v>6</v>
          </cell>
          <cell r="D1875" t="str">
            <v>сельские населенные пункты с численностью населения менее 1 000 человек.</v>
          </cell>
        </row>
        <row r="1876">
          <cell r="A1876" t="str">
            <v>71:038:2:5:6</v>
          </cell>
          <cell r="B1876" t="str">
            <v>Тугулымский городской округ</v>
          </cell>
          <cell r="C1876">
            <v>6</v>
          </cell>
          <cell r="D1876" t="str">
            <v>сельские населенные пункты с численностью населения менее 1 000 человек.</v>
          </cell>
        </row>
        <row r="1877">
          <cell r="A1877" t="str">
            <v>71:024:2:4:6</v>
          </cell>
          <cell r="B1877" t="str">
            <v>Тугулымский городской округ</v>
          </cell>
          <cell r="C1877">
            <v>6</v>
          </cell>
          <cell r="D1877" t="str">
            <v>сельские населенные пункты с численностью населения менее 1 000 человек.</v>
          </cell>
        </row>
        <row r="1878">
          <cell r="A1878" t="str">
            <v>71:028:2:5:6</v>
          </cell>
          <cell r="B1878" t="str">
            <v>Тугулымский городской округ</v>
          </cell>
          <cell r="C1878">
            <v>6</v>
          </cell>
          <cell r="D1878" t="str">
            <v>сельские населенные пункты с численностью населения менее 1 000 человек.</v>
          </cell>
        </row>
        <row r="1879">
          <cell r="A1879" t="str">
            <v>71:030:2:5:6</v>
          </cell>
          <cell r="B1879" t="str">
            <v>Тугулымский городской округ</v>
          </cell>
          <cell r="C1879">
            <v>6</v>
          </cell>
          <cell r="D1879" t="str">
            <v>сельские населенные пункты с численностью населения менее 1 000 человек.</v>
          </cell>
        </row>
        <row r="1880">
          <cell r="A1880" t="str">
            <v>71:048:2:3:6</v>
          </cell>
          <cell r="B1880" t="str">
            <v>Тугулымский городской округ</v>
          </cell>
          <cell r="C1880">
            <v>6</v>
          </cell>
          <cell r="D1880" t="str">
            <v>сельские населенные пункты с численностью населения менее 1 000 человек.</v>
          </cell>
        </row>
        <row r="1881">
          <cell r="A1881" t="str">
            <v>71:042:2:5:6</v>
          </cell>
          <cell r="B1881" t="str">
            <v>Тугулымский городской округ</v>
          </cell>
          <cell r="C1881">
            <v>6</v>
          </cell>
          <cell r="D1881" t="str">
            <v>сельские населенные пункты с численностью населения менее 1 000 человек.</v>
          </cell>
        </row>
        <row r="1882">
          <cell r="A1882" t="str">
            <v>71:043:2:5:6</v>
          </cell>
          <cell r="B1882" t="str">
            <v>Тугулымский городской округ</v>
          </cell>
          <cell r="C1882">
            <v>6</v>
          </cell>
          <cell r="D1882" t="str">
            <v>сельские населенные пункты с численностью населения менее 1 000 человек.</v>
          </cell>
        </row>
        <row r="1883">
          <cell r="A1883" t="str">
            <v>71:001:2:5:6</v>
          </cell>
          <cell r="B1883" t="str">
            <v>Тугулымский городской округ</v>
          </cell>
          <cell r="C1883">
            <v>6</v>
          </cell>
          <cell r="D1883" t="str">
            <v>сельские населенные пункты с численностью населения менее 1 000 человек.</v>
          </cell>
        </row>
        <row r="1884">
          <cell r="A1884" t="str">
            <v>71:004:2:5:6</v>
          </cell>
          <cell r="B1884" t="str">
            <v>Тугулымский городской округ</v>
          </cell>
          <cell r="C1884">
            <v>6</v>
          </cell>
          <cell r="D1884" t="str">
            <v>сельские населенные пункты с численностью населения менее 1 000 человек.</v>
          </cell>
        </row>
        <row r="1885">
          <cell r="A1885" t="str">
            <v>71:032:2:5:6</v>
          </cell>
          <cell r="B1885" t="str">
            <v>Тугулымский городской округ</v>
          </cell>
          <cell r="C1885">
            <v>6</v>
          </cell>
          <cell r="D1885" t="str">
            <v>сельские населенные пункты с численностью населения менее 1 000 человек.</v>
          </cell>
        </row>
        <row r="1886">
          <cell r="A1886" t="str">
            <v>71:029:2:3:6</v>
          </cell>
          <cell r="B1886" t="str">
            <v>Тугулымский городской округ</v>
          </cell>
          <cell r="C1886">
            <v>6</v>
          </cell>
          <cell r="D1886" t="str">
            <v>сельские населенные пункты с численностью населения менее 1 000 человек.</v>
          </cell>
        </row>
        <row r="1887">
          <cell r="A1887" t="str">
            <v>71:015:2:5:6</v>
          </cell>
          <cell r="B1887" t="str">
            <v>Тугулымский городской округ</v>
          </cell>
          <cell r="C1887">
            <v>6</v>
          </cell>
          <cell r="D1887" t="str">
            <v>сельские населенные пункты с численностью населения менее 1 000 человек.</v>
          </cell>
        </row>
        <row r="1888">
          <cell r="A1888" t="str">
            <v>71:000:0:0:0</v>
          </cell>
          <cell r="B1888" t="str">
            <v>Тугулымский городской округ</v>
          </cell>
          <cell r="C1888">
            <v>0</v>
          </cell>
          <cell r="D1888" t="str">
            <v>межселенная территория</v>
          </cell>
        </row>
        <row r="1889">
          <cell r="A1889" t="str">
            <v>72:002:2:5:6</v>
          </cell>
          <cell r="B1889" t="str">
            <v>Туринский городской округ</v>
          </cell>
          <cell r="C1889">
            <v>6</v>
          </cell>
          <cell r="D1889" t="str">
            <v>сельские населенные пункты с численностью населения менее 1 000 человек.</v>
          </cell>
        </row>
        <row r="1890">
          <cell r="A1890" t="str">
            <v>72:024:2:4:6</v>
          </cell>
          <cell r="B1890" t="str">
            <v>Туринский городской округ</v>
          </cell>
          <cell r="C1890">
            <v>6</v>
          </cell>
          <cell r="D1890" t="str">
            <v>сельские населенные пункты с численностью населения менее 1 000 человек.</v>
          </cell>
        </row>
        <row r="1891">
          <cell r="A1891" t="str">
            <v>72:006:2:3:6</v>
          </cell>
          <cell r="B1891" t="str">
            <v>Туринский городской округ</v>
          </cell>
          <cell r="C1891">
            <v>6</v>
          </cell>
          <cell r="D1891" t="str">
            <v>сельские населенные пункты с численностью населения менее 1 000 человек.</v>
          </cell>
        </row>
        <row r="1892">
          <cell r="A1892" t="str">
            <v>72:001:2:5:6</v>
          </cell>
          <cell r="B1892" t="str">
            <v>Туринский городской округ</v>
          </cell>
          <cell r="C1892">
            <v>6</v>
          </cell>
          <cell r="D1892" t="str">
            <v>сельские населенные пункты с численностью населения менее 1 000 человек.</v>
          </cell>
        </row>
        <row r="1893">
          <cell r="A1893" t="str">
            <v>72:011:2:3:6</v>
          </cell>
          <cell r="B1893" t="str">
            <v>Туринский городской округ</v>
          </cell>
          <cell r="C1893">
            <v>6</v>
          </cell>
          <cell r="D1893" t="str">
            <v>сельские населенные пункты с численностью населения менее 1 000 человек.</v>
          </cell>
        </row>
        <row r="1894">
          <cell r="A1894" t="str">
            <v>72:045:2:5:6</v>
          </cell>
          <cell r="B1894" t="str">
            <v>Туринский городской округ</v>
          </cell>
          <cell r="C1894">
            <v>6</v>
          </cell>
          <cell r="D1894" t="str">
            <v>сельские населенные пункты с численностью населения менее 1 000 человек.</v>
          </cell>
        </row>
        <row r="1895">
          <cell r="A1895" t="str">
            <v>72:037:2:3:6</v>
          </cell>
          <cell r="B1895" t="str">
            <v>Туринский городской округ</v>
          </cell>
          <cell r="C1895">
            <v>6</v>
          </cell>
          <cell r="D1895" t="str">
            <v>сельские населенные пункты с численностью населения менее 1 000 человек.</v>
          </cell>
        </row>
        <row r="1896">
          <cell r="A1896" t="str">
            <v>72:057:2:5:6</v>
          </cell>
          <cell r="B1896" t="str">
            <v>Туринский городской округ</v>
          </cell>
          <cell r="C1896">
            <v>6</v>
          </cell>
          <cell r="D1896" t="str">
            <v>сельские населенные пункты с численностью населения менее 1 000 человек.</v>
          </cell>
        </row>
        <row r="1897">
          <cell r="A1897" t="str">
            <v>72:033:2:5:6</v>
          </cell>
          <cell r="B1897" t="str">
            <v>Туринский городской округ</v>
          </cell>
          <cell r="C1897">
            <v>6</v>
          </cell>
          <cell r="D1897" t="str">
            <v>сельские населенные пункты с численностью населения менее 1 000 человек.</v>
          </cell>
        </row>
        <row r="1898">
          <cell r="A1898" t="str">
            <v>72:034:2:5:6</v>
          </cell>
          <cell r="B1898" t="str">
            <v>Туринский городской округ</v>
          </cell>
          <cell r="C1898">
            <v>6</v>
          </cell>
          <cell r="D1898" t="str">
            <v>сельские населенные пункты с численностью населения менее 1 000 человек.</v>
          </cell>
        </row>
        <row r="1899">
          <cell r="A1899" t="str">
            <v>72:023:2:5:6</v>
          </cell>
          <cell r="B1899" t="str">
            <v>Туринский городской округ</v>
          </cell>
          <cell r="C1899">
            <v>6</v>
          </cell>
          <cell r="D1899" t="str">
            <v>сельские населенные пункты с численностью населения менее 1 000 человек.</v>
          </cell>
        </row>
        <row r="1900">
          <cell r="A1900" t="str">
            <v>72:046:2:5:6</v>
          </cell>
          <cell r="B1900" t="str">
            <v>Туринский городской округ</v>
          </cell>
          <cell r="C1900">
            <v>6</v>
          </cell>
          <cell r="D1900" t="str">
            <v>сельские населенные пункты с численностью населения менее 1 000 человек.</v>
          </cell>
        </row>
        <row r="1901">
          <cell r="A1901" t="str">
            <v>72:059:2:5:6</v>
          </cell>
          <cell r="B1901" t="str">
            <v>Туринский городской округ</v>
          </cell>
          <cell r="C1901">
            <v>6</v>
          </cell>
          <cell r="D1901" t="str">
            <v>сельские населенные пункты с численностью населения менее 1 000 человек.</v>
          </cell>
        </row>
        <row r="1902">
          <cell r="A1902" t="str">
            <v>72:014:2:4:6</v>
          </cell>
          <cell r="B1902" t="str">
            <v>Туринский городской округ</v>
          </cell>
          <cell r="C1902">
            <v>6</v>
          </cell>
          <cell r="D1902" t="str">
            <v>сельские населенные пункты с численностью населения менее 1 000 человек.</v>
          </cell>
        </row>
        <row r="1903">
          <cell r="A1903" t="str">
            <v>72:020:2:5:6</v>
          </cell>
          <cell r="B1903" t="str">
            <v>Туринский городской округ</v>
          </cell>
          <cell r="C1903">
            <v>6</v>
          </cell>
          <cell r="D1903" t="str">
            <v>сельские населенные пункты с численностью населения менее 1 000 человек.</v>
          </cell>
        </row>
        <row r="1904">
          <cell r="A1904" t="str">
            <v>72:032:2:5:6</v>
          </cell>
          <cell r="B1904" t="str">
            <v>Туринский городской округ</v>
          </cell>
          <cell r="C1904">
            <v>6</v>
          </cell>
          <cell r="D1904" t="str">
            <v>сельские населенные пункты с численностью населения менее 1 000 человек.</v>
          </cell>
        </row>
        <row r="1905">
          <cell r="A1905" t="str">
            <v>72:031:2:5:6</v>
          </cell>
          <cell r="B1905" t="str">
            <v>Туринский городской округ</v>
          </cell>
          <cell r="C1905">
            <v>6</v>
          </cell>
          <cell r="D1905" t="str">
            <v>сельские населенные пункты с численностью населения менее 1 000 человек.</v>
          </cell>
        </row>
        <row r="1906">
          <cell r="A1906" t="str">
            <v>72:052:2:5:6</v>
          </cell>
          <cell r="B1906" t="str">
            <v>Туринский городской округ</v>
          </cell>
          <cell r="C1906">
            <v>6</v>
          </cell>
          <cell r="D1906" t="str">
            <v>сельские населенные пункты с численностью населения менее 1 000 человек.</v>
          </cell>
        </row>
        <row r="1907">
          <cell r="A1907" t="str">
            <v>72:005:2:5:6</v>
          </cell>
          <cell r="B1907" t="str">
            <v>Туринский городской округ</v>
          </cell>
          <cell r="C1907">
            <v>6</v>
          </cell>
          <cell r="D1907" t="str">
            <v>сельские населенные пункты с численностью населения менее 1 000 человек.</v>
          </cell>
        </row>
        <row r="1908">
          <cell r="A1908" t="str">
            <v>72:047:2:5:6</v>
          </cell>
          <cell r="B1908" t="str">
            <v>Туринский городской округ</v>
          </cell>
          <cell r="C1908">
            <v>6</v>
          </cell>
          <cell r="D1908" t="str">
            <v>сельские населенные пункты с численностью населения менее 1 000 человек.</v>
          </cell>
        </row>
        <row r="1909">
          <cell r="A1909" t="str">
            <v>72:019:2:5:6</v>
          </cell>
          <cell r="B1909" t="str">
            <v>Туринский городской округ</v>
          </cell>
          <cell r="C1909">
            <v>6</v>
          </cell>
          <cell r="D1909" t="str">
            <v>сельские населенные пункты с численностью населения менее 1 000 человек.</v>
          </cell>
        </row>
        <row r="1910">
          <cell r="A1910" t="str">
            <v>72:016:2:5:6</v>
          </cell>
          <cell r="B1910" t="str">
            <v>Туринский городской округ</v>
          </cell>
          <cell r="C1910">
            <v>6</v>
          </cell>
          <cell r="D1910" t="str">
            <v>сельские населенные пункты с численностью населения менее 1 000 человек.</v>
          </cell>
        </row>
        <row r="1911">
          <cell r="A1911" t="str">
            <v>72:039:2:3:6</v>
          </cell>
          <cell r="B1911" t="str">
            <v>Туринский городской округ</v>
          </cell>
          <cell r="C1911">
            <v>6</v>
          </cell>
          <cell r="D1911" t="str">
            <v>сельские населенные пункты с численностью населения менее 1 000 человек.</v>
          </cell>
        </row>
        <row r="1912">
          <cell r="A1912" t="str">
            <v>72:038:2:3:6</v>
          </cell>
          <cell r="B1912" t="str">
            <v>Туринский городской округ</v>
          </cell>
          <cell r="C1912">
            <v>6</v>
          </cell>
          <cell r="D1912" t="str">
            <v>сельские населенные пункты с численностью населения менее 1 000 человек.</v>
          </cell>
        </row>
        <row r="1913">
          <cell r="A1913" t="str">
            <v>72:041:2:5:6</v>
          </cell>
          <cell r="B1913" t="str">
            <v>Туринский городской округ</v>
          </cell>
          <cell r="C1913">
            <v>6</v>
          </cell>
          <cell r="D1913" t="str">
            <v>сельские населенные пункты с численностью населения менее 1 000 человек.</v>
          </cell>
        </row>
        <row r="1914">
          <cell r="A1914" t="str">
            <v>72:051:2:5:6</v>
          </cell>
          <cell r="B1914" t="str">
            <v>Туринский городской округ</v>
          </cell>
          <cell r="C1914">
            <v>6</v>
          </cell>
          <cell r="D1914" t="str">
            <v>сельские населенные пункты с численностью населения менее 1 000 человек.</v>
          </cell>
        </row>
        <row r="1915">
          <cell r="A1915" t="str">
            <v>72:028:2:5:6</v>
          </cell>
          <cell r="B1915" t="str">
            <v>Туринский городской округ</v>
          </cell>
          <cell r="C1915">
            <v>6</v>
          </cell>
          <cell r="D1915" t="str">
            <v>сельские населенные пункты с численностью населения менее 1 000 человек.</v>
          </cell>
        </row>
        <row r="1916">
          <cell r="A1916" t="str">
            <v>72:004:2:5:6</v>
          </cell>
          <cell r="B1916" t="str">
            <v>Туринский городской округ</v>
          </cell>
          <cell r="C1916">
            <v>6</v>
          </cell>
          <cell r="D1916" t="str">
            <v>сельские населенные пункты с численностью населения менее 1 000 человек.</v>
          </cell>
        </row>
        <row r="1917">
          <cell r="A1917" t="str">
            <v>72:062:2:3:6</v>
          </cell>
          <cell r="B1917" t="str">
            <v>Туринский городской округ</v>
          </cell>
          <cell r="C1917">
            <v>6</v>
          </cell>
          <cell r="D1917" t="str">
            <v>сельские населенные пункты с численностью населения менее 1 000 человек.</v>
          </cell>
        </row>
        <row r="1918">
          <cell r="A1918" t="str">
            <v>72:029:2:5:6</v>
          </cell>
          <cell r="B1918" t="str">
            <v>Туринский городской округ</v>
          </cell>
          <cell r="C1918">
            <v>6</v>
          </cell>
          <cell r="D1918" t="str">
            <v>сельские населенные пункты с численностью населения менее 1 000 человек.</v>
          </cell>
        </row>
        <row r="1919">
          <cell r="A1919" t="str">
            <v>72:050:2:3:6</v>
          </cell>
          <cell r="B1919" t="str">
            <v>Туринский городской округ</v>
          </cell>
          <cell r="C1919">
            <v>6</v>
          </cell>
          <cell r="D1919" t="str">
            <v>сельские населенные пункты с численностью населения менее 1 000 человек.</v>
          </cell>
        </row>
        <row r="1920">
          <cell r="A1920" t="str">
            <v>72:056:2:5:6</v>
          </cell>
          <cell r="B1920" t="str">
            <v>Туринский городской округ</v>
          </cell>
          <cell r="C1920">
            <v>6</v>
          </cell>
          <cell r="D1920" t="str">
            <v>сельские населенные пункты с численностью населения менее 1 000 человек.</v>
          </cell>
        </row>
        <row r="1921">
          <cell r="A1921" t="str">
            <v>72:058:2:4:6</v>
          </cell>
          <cell r="B1921" t="str">
            <v>Туринский городской округ</v>
          </cell>
          <cell r="C1921">
            <v>6</v>
          </cell>
          <cell r="D1921" t="str">
            <v>сельские населенные пункты с численностью населения менее 1 000 человек.</v>
          </cell>
        </row>
        <row r="1922">
          <cell r="A1922" t="str">
            <v>72:060:2:4:6</v>
          </cell>
          <cell r="B1922" t="str">
            <v>Туринский городской округ</v>
          </cell>
          <cell r="C1922">
            <v>6</v>
          </cell>
          <cell r="D1922" t="str">
            <v>сельские населенные пункты с численностью населения менее 1 000 человек.</v>
          </cell>
        </row>
        <row r="1923">
          <cell r="A1923" t="str">
            <v>72:043:2:3:6</v>
          </cell>
          <cell r="B1923" t="str">
            <v>Туринский городской округ</v>
          </cell>
          <cell r="C1923">
            <v>6</v>
          </cell>
          <cell r="D1923" t="str">
            <v>сельские населенные пункты с численностью населения менее 1 000 человек.</v>
          </cell>
        </row>
        <row r="1924">
          <cell r="A1924" t="str">
            <v>72:017:2:5:6</v>
          </cell>
          <cell r="B1924" t="str">
            <v>Туринский городской округ</v>
          </cell>
          <cell r="C1924">
            <v>6</v>
          </cell>
          <cell r="D1924" t="str">
            <v>сельские населенные пункты с численностью населения менее 1 000 человек.</v>
          </cell>
        </row>
        <row r="1925">
          <cell r="A1925" t="str">
            <v>72:040:2:3:6</v>
          </cell>
          <cell r="B1925" t="str">
            <v>Туринский городской округ</v>
          </cell>
          <cell r="C1925">
            <v>6</v>
          </cell>
          <cell r="D1925" t="str">
            <v>сельские населенные пункты с численностью населения менее 1 000 человек.</v>
          </cell>
        </row>
        <row r="1926">
          <cell r="A1926" t="str">
            <v>72:013:2:4:6</v>
          </cell>
          <cell r="B1926" t="str">
            <v>Туринский городской округ</v>
          </cell>
          <cell r="C1926">
            <v>6</v>
          </cell>
          <cell r="D1926" t="str">
            <v>сельские населенные пункты с численностью населения менее 1 000 человек.</v>
          </cell>
        </row>
        <row r="1927">
          <cell r="A1927" t="str">
            <v>72:018:2:5:6</v>
          </cell>
          <cell r="B1927" t="str">
            <v>Туринский городской округ</v>
          </cell>
          <cell r="C1927">
            <v>6</v>
          </cell>
          <cell r="D1927" t="str">
            <v>сельские населенные пункты с численностью населения менее 1 000 человек.</v>
          </cell>
        </row>
        <row r="1928">
          <cell r="A1928" t="str">
            <v>72:007:2:5:6</v>
          </cell>
          <cell r="B1928" t="str">
            <v>Туринский городской округ</v>
          </cell>
          <cell r="C1928">
            <v>6</v>
          </cell>
          <cell r="D1928" t="str">
            <v>сельские населенные пункты с численностью населения менее 1 000 человек.</v>
          </cell>
        </row>
        <row r="1929">
          <cell r="A1929" t="str">
            <v>72:030:2:4:6</v>
          </cell>
          <cell r="B1929" t="str">
            <v>Туринский городской округ</v>
          </cell>
          <cell r="C1929">
            <v>6</v>
          </cell>
          <cell r="D1929" t="str">
            <v>сельские населенные пункты с численностью населения менее 1 000 человек.</v>
          </cell>
        </row>
        <row r="1930">
          <cell r="A1930" t="str">
            <v>72:036:2:5:6</v>
          </cell>
          <cell r="B1930" t="str">
            <v>Туринский городской округ</v>
          </cell>
          <cell r="C1930">
            <v>6</v>
          </cell>
          <cell r="D1930" t="str">
            <v>сельские населенные пункты с численностью населения менее 1 000 человек.</v>
          </cell>
        </row>
        <row r="1931">
          <cell r="A1931" t="str">
            <v>72:025:2:4:6</v>
          </cell>
          <cell r="B1931" t="str">
            <v>Туринский городской округ</v>
          </cell>
          <cell r="C1931">
            <v>6</v>
          </cell>
          <cell r="D1931" t="str">
            <v>сельские населенные пункты с численностью населения менее 1 000 человек.</v>
          </cell>
        </row>
        <row r="1932">
          <cell r="A1932" t="str">
            <v>72:003:2:4:6</v>
          </cell>
          <cell r="B1932" t="str">
            <v>Туринский городской округ</v>
          </cell>
          <cell r="C1932">
            <v>6</v>
          </cell>
          <cell r="D1932" t="str">
            <v>сельские населенные пункты с численностью населения менее 1 000 человек.</v>
          </cell>
        </row>
        <row r="1933">
          <cell r="A1933" t="str">
            <v>72:055:2:3:6</v>
          </cell>
          <cell r="B1933" t="str">
            <v>Туринский городской округ</v>
          </cell>
          <cell r="C1933">
            <v>6</v>
          </cell>
          <cell r="D1933" t="str">
            <v>сельские населенные пункты с численностью населения менее 1 000 человек.</v>
          </cell>
        </row>
        <row r="1934">
          <cell r="A1934" t="str">
            <v>72:063:2:4:6</v>
          </cell>
          <cell r="B1934" t="str">
            <v>Туринский городской округ</v>
          </cell>
          <cell r="C1934">
            <v>6</v>
          </cell>
          <cell r="D1934" t="str">
            <v>сельские населенные пункты с численностью населения менее 1 000 человек.</v>
          </cell>
        </row>
        <row r="1935">
          <cell r="A1935" t="str">
            <v>72:053:2:4:6</v>
          </cell>
          <cell r="B1935" t="str">
            <v>Туринский городской округ</v>
          </cell>
          <cell r="C1935">
            <v>6</v>
          </cell>
          <cell r="D1935" t="str">
            <v>сельские населенные пункты с численностью населения менее 1 000 человек.</v>
          </cell>
        </row>
        <row r="1936">
          <cell r="A1936" t="str">
            <v>72:012:2:4:6</v>
          </cell>
          <cell r="B1936" t="str">
            <v>Туринский городской округ</v>
          </cell>
          <cell r="C1936">
            <v>6</v>
          </cell>
          <cell r="D1936" t="str">
            <v>сельские населенные пункты с численностью населения менее 1 000 человек.</v>
          </cell>
        </row>
        <row r="1937">
          <cell r="A1937" t="str">
            <v>72:049:1:1:4</v>
          </cell>
          <cell r="B1937" t="str">
            <v>Туринский городской округ</v>
          </cell>
          <cell r="C1937">
            <v>4</v>
          </cell>
          <cell r="D1937" t="str">
            <v>городские населенные пункты с численностью населения менее 50 000 человек;</v>
          </cell>
        </row>
        <row r="1938">
          <cell r="A1938" t="str">
            <v>72:026:2:4:6</v>
          </cell>
          <cell r="B1938" t="str">
            <v>Туринский городской округ</v>
          </cell>
          <cell r="C1938">
            <v>6</v>
          </cell>
          <cell r="D1938" t="str">
            <v>сельские населенные пункты с численностью населения менее 1 000 человек.</v>
          </cell>
        </row>
        <row r="1939">
          <cell r="A1939" t="str">
            <v>72:021:2:4:6</v>
          </cell>
          <cell r="B1939" t="str">
            <v>Туринский городской округ</v>
          </cell>
          <cell r="C1939">
            <v>6</v>
          </cell>
          <cell r="D1939" t="str">
            <v>сельские населенные пункты с численностью населения менее 1 000 человек.</v>
          </cell>
        </row>
        <row r="1940">
          <cell r="A1940" t="str">
            <v>72:009:2:4:6</v>
          </cell>
          <cell r="B1940" t="str">
            <v>Туринский городской округ</v>
          </cell>
          <cell r="C1940">
            <v>6</v>
          </cell>
          <cell r="D1940" t="str">
            <v>сельские населенные пункты с численностью населения менее 1 000 человек.</v>
          </cell>
        </row>
        <row r="1941">
          <cell r="A1941" t="str">
            <v>72:027:2:4:6</v>
          </cell>
          <cell r="B1941" t="str">
            <v>Туринский городской округ</v>
          </cell>
          <cell r="C1941">
            <v>6</v>
          </cell>
          <cell r="D1941" t="str">
            <v>сельские населенные пункты с численностью населения менее 1 000 человек.</v>
          </cell>
        </row>
        <row r="1942">
          <cell r="A1942" t="str">
            <v>72:010:2:5:6</v>
          </cell>
          <cell r="B1942" t="str">
            <v>Туринский городской округ</v>
          </cell>
          <cell r="C1942">
            <v>6</v>
          </cell>
          <cell r="D1942" t="str">
            <v>сельские населенные пункты с численностью населения менее 1 000 человек.</v>
          </cell>
        </row>
        <row r="1943">
          <cell r="A1943" t="str">
            <v>72:035:2:5:6</v>
          </cell>
          <cell r="B1943" t="str">
            <v>Туринский городской округ</v>
          </cell>
          <cell r="C1943">
            <v>6</v>
          </cell>
          <cell r="D1943" t="str">
            <v>сельские населенные пункты с численностью населения менее 1 000 человек.</v>
          </cell>
        </row>
        <row r="1944">
          <cell r="A1944" t="str">
            <v>72:044:2:5:6</v>
          </cell>
          <cell r="B1944" t="str">
            <v>Туринский городской округ</v>
          </cell>
          <cell r="C1944">
            <v>6</v>
          </cell>
          <cell r="D1944" t="str">
            <v>сельские населенные пункты с численностью населения менее 1 000 человек.</v>
          </cell>
        </row>
        <row r="1945">
          <cell r="A1945" t="str">
            <v>72:008:2:5:6</v>
          </cell>
          <cell r="B1945" t="str">
            <v>Туринский городской округ</v>
          </cell>
          <cell r="C1945">
            <v>6</v>
          </cell>
          <cell r="D1945" t="str">
            <v>сельские населенные пункты с численностью населения менее 1 000 человек.</v>
          </cell>
        </row>
        <row r="1946">
          <cell r="A1946" t="str">
            <v>72:048:2:5:6</v>
          </cell>
          <cell r="B1946" t="str">
            <v>Туринский городской округ</v>
          </cell>
          <cell r="C1946">
            <v>6</v>
          </cell>
          <cell r="D1946" t="str">
            <v>сельские населенные пункты с численностью населения менее 1 000 человек.</v>
          </cell>
        </row>
        <row r="1947">
          <cell r="A1947" t="str">
            <v>72:015:2:4:6</v>
          </cell>
          <cell r="B1947" t="str">
            <v>Туринский городской округ</v>
          </cell>
          <cell r="C1947">
            <v>6</v>
          </cell>
          <cell r="D1947" t="str">
            <v>сельские населенные пункты с численностью населения менее 1 000 человек.</v>
          </cell>
        </row>
        <row r="1948">
          <cell r="A1948" t="str">
            <v>72:022:2:5:6</v>
          </cell>
          <cell r="B1948" t="str">
            <v>Туринский городской округ</v>
          </cell>
          <cell r="C1948">
            <v>6</v>
          </cell>
          <cell r="D1948" t="str">
            <v>сельские населенные пункты с численностью населения менее 1 000 человек.</v>
          </cell>
        </row>
        <row r="1949">
          <cell r="A1949" t="str">
            <v>72:042:2:5:6</v>
          </cell>
          <cell r="B1949" t="str">
            <v>Туринский городской округ</v>
          </cell>
          <cell r="C1949">
            <v>6</v>
          </cell>
          <cell r="D1949" t="str">
            <v>сельские населенные пункты с численностью населения менее 1 000 человек.</v>
          </cell>
        </row>
        <row r="1950">
          <cell r="A1950" t="str">
            <v>72:054:2:5:6</v>
          </cell>
          <cell r="B1950" t="str">
            <v>Туринский городской округ</v>
          </cell>
          <cell r="C1950">
            <v>6</v>
          </cell>
          <cell r="D1950" t="str">
            <v>сельские населенные пункты с численностью населения менее 1 000 человек.</v>
          </cell>
        </row>
        <row r="1951">
          <cell r="A1951" t="str">
            <v>72:061:2:5:6</v>
          </cell>
          <cell r="B1951" t="str">
            <v>Туринский городской округ</v>
          </cell>
          <cell r="C1951">
            <v>6</v>
          </cell>
          <cell r="D1951" t="str">
            <v>сельские населенные пункты с численностью населения менее 1 000 человек.</v>
          </cell>
        </row>
        <row r="1952">
          <cell r="A1952" t="str">
            <v>72:000:0:0:0</v>
          </cell>
          <cell r="B1952" t="str">
            <v>Туринский городской округ</v>
          </cell>
          <cell r="C1952">
            <v>0</v>
          </cell>
          <cell r="D1952" t="str">
            <v>межселенная территория</v>
          </cell>
        </row>
        <row r="1953">
          <cell r="A1953" t="str">
            <v>73:005:2:3:6</v>
          </cell>
          <cell r="B1953" t="str">
            <v>Шалинский городской округ</v>
          </cell>
          <cell r="C1953">
            <v>6</v>
          </cell>
          <cell r="D1953" t="str">
            <v>сельские населенные пункты с численностью населения менее 1 000 человек.</v>
          </cell>
        </row>
        <row r="1954">
          <cell r="A1954" t="str">
            <v>73:017:2:5:6</v>
          </cell>
          <cell r="B1954" t="str">
            <v>Шалинский городской округ</v>
          </cell>
          <cell r="C1954">
            <v>6</v>
          </cell>
          <cell r="D1954" t="str">
            <v>сельские населенные пункты с численностью населения менее 1 000 человек.</v>
          </cell>
        </row>
        <row r="1955">
          <cell r="A1955" t="str">
            <v>73:010:2:5:6</v>
          </cell>
          <cell r="B1955" t="str">
            <v>Шалинский городской округ</v>
          </cell>
          <cell r="C1955">
            <v>6</v>
          </cell>
          <cell r="D1955" t="str">
            <v>сельские населенные пункты с численностью населения менее 1 000 человек.</v>
          </cell>
        </row>
        <row r="1956">
          <cell r="A1956" t="str">
            <v>73:009:2:5:6</v>
          </cell>
          <cell r="B1956" t="str">
            <v>Шалинский городской округ</v>
          </cell>
          <cell r="C1956">
            <v>6</v>
          </cell>
          <cell r="D1956" t="str">
            <v>сельские населенные пункты с численностью населения менее 1 000 человек.</v>
          </cell>
        </row>
        <row r="1957">
          <cell r="A1957" t="str">
            <v>73:032:2:5:6</v>
          </cell>
          <cell r="B1957" t="str">
            <v>Шалинский городской округ</v>
          </cell>
          <cell r="C1957">
            <v>6</v>
          </cell>
          <cell r="D1957" t="str">
            <v>сельские населенные пункты с численностью населения менее 1 000 человек.</v>
          </cell>
        </row>
        <row r="1958">
          <cell r="A1958" t="str">
            <v>73:037:2:5:6</v>
          </cell>
          <cell r="B1958" t="str">
            <v>Шалинский городской округ</v>
          </cell>
          <cell r="C1958">
            <v>6</v>
          </cell>
          <cell r="D1958" t="str">
            <v>сельские населенные пункты с численностью населения менее 1 000 человек.</v>
          </cell>
        </row>
        <row r="1959">
          <cell r="A1959" t="str">
            <v>73:024:2:5:6</v>
          </cell>
          <cell r="B1959" t="str">
            <v>Шалинский городской округ</v>
          </cell>
          <cell r="C1959">
            <v>6</v>
          </cell>
          <cell r="D1959" t="str">
            <v>сельские населенные пункты с численностью населения менее 1 000 человек.</v>
          </cell>
        </row>
        <row r="1960">
          <cell r="A1960" t="str">
            <v>73:022:2:5:6</v>
          </cell>
          <cell r="B1960" t="str">
            <v>Шалинский городской округ</v>
          </cell>
          <cell r="C1960">
            <v>6</v>
          </cell>
          <cell r="D1960" t="str">
            <v>сельские населенные пункты с численностью населения менее 1 000 человек.</v>
          </cell>
        </row>
        <row r="1961">
          <cell r="A1961" t="str">
            <v>73:019:2:5:6</v>
          </cell>
          <cell r="B1961" t="str">
            <v>Шалинский городской округ</v>
          </cell>
          <cell r="C1961">
            <v>6</v>
          </cell>
          <cell r="D1961" t="str">
            <v>сельские населенные пункты с численностью населения менее 1 000 человек.</v>
          </cell>
        </row>
        <row r="1962">
          <cell r="A1962" t="str">
            <v>73:039:2:5:6</v>
          </cell>
          <cell r="B1962" t="str">
            <v>Шалинский городской округ</v>
          </cell>
          <cell r="C1962">
            <v>6</v>
          </cell>
          <cell r="D1962" t="str">
            <v>сельские населенные пункты с численностью населения менее 1 000 человек.</v>
          </cell>
        </row>
        <row r="1963">
          <cell r="A1963" t="str">
            <v>73:026:2:4:6</v>
          </cell>
          <cell r="B1963" t="str">
            <v>Шалинский городской округ</v>
          </cell>
          <cell r="C1963">
            <v>6</v>
          </cell>
          <cell r="D1963" t="str">
            <v>сельские населенные пункты с численностью населения менее 1 000 человек.</v>
          </cell>
        </row>
        <row r="1964">
          <cell r="A1964" t="str">
            <v>73:035:1:2:4</v>
          </cell>
          <cell r="B1964" t="str">
            <v>Шалинский городской округ</v>
          </cell>
          <cell r="C1964">
            <v>4</v>
          </cell>
          <cell r="D1964" t="str">
            <v>городские населенные пункты с численностью населения менее 50 000 человек;</v>
          </cell>
        </row>
        <row r="1965">
          <cell r="A1965" t="str">
            <v>73:023:2:3:6</v>
          </cell>
          <cell r="B1965" t="str">
            <v>Шалинский городской округ</v>
          </cell>
          <cell r="C1965">
            <v>6</v>
          </cell>
          <cell r="D1965" t="str">
            <v>сельские населенные пункты с численностью населения менее 1 000 человек.</v>
          </cell>
        </row>
        <row r="1966">
          <cell r="A1966" t="str">
            <v>73:028:2:3:5</v>
          </cell>
          <cell r="B1966" t="str">
            <v>Шалинский городской округ</v>
          </cell>
          <cell r="C1966">
            <v>5</v>
          </cell>
          <cell r="D1966" t="str">
            <v>сельские населенные пункты с численностью населения более 1 000 человек;</v>
          </cell>
        </row>
        <row r="1967">
          <cell r="A1967" t="str">
            <v>73:027:2:3:6</v>
          </cell>
          <cell r="B1967" t="str">
            <v>Шалинский городской округ</v>
          </cell>
          <cell r="C1967">
            <v>6</v>
          </cell>
          <cell r="D1967" t="str">
            <v>сельские населенные пункты с численностью населения менее 1 000 человек.</v>
          </cell>
        </row>
        <row r="1968">
          <cell r="A1968" t="str">
            <v>73:001:2:3:6</v>
          </cell>
          <cell r="B1968" t="str">
            <v>Шалинский городской округ</v>
          </cell>
          <cell r="C1968">
            <v>6</v>
          </cell>
          <cell r="D1968" t="str">
            <v>сельские населенные пункты с численностью населения менее 1 000 человек.</v>
          </cell>
        </row>
        <row r="1969">
          <cell r="A1969" t="str">
            <v>73:006:2:5:5</v>
          </cell>
          <cell r="B1969" t="str">
            <v>Шалинский городской округ</v>
          </cell>
          <cell r="C1969">
            <v>5</v>
          </cell>
          <cell r="D1969" t="str">
            <v>сельские населенные пункты с численностью населения более 1 000 человек;</v>
          </cell>
        </row>
        <row r="1970">
          <cell r="A1970" t="str">
            <v>73:036:2:3:5</v>
          </cell>
          <cell r="B1970" t="str">
            <v>Шалинский городской округ</v>
          </cell>
          <cell r="C1970">
            <v>5</v>
          </cell>
          <cell r="D1970" t="str">
            <v>сельские населенные пункты с численностью населения более 1 000 человек;</v>
          </cell>
        </row>
        <row r="1971">
          <cell r="A1971" t="str">
            <v>73:008:2:3:6</v>
          </cell>
          <cell r="B1971" t="str">
            <v>Шалинский городской округ</v>
          </cell>
          <cell r="C1971">
            <v>6</v>
          </cell>
          <cell r="D1971" t="str">
            <v>сельские населенные пункты с численностью населения менее 1 000 человек.</v>
          </cell>
        </row>
        <row r="1972">
          <cell r="A1972" t="str">
            <v>73:012:2:3:5</v>
          </cell>
          <cell r="B1972" t="str">
            <v>Шалинский городской округ</v>
          </cell>
          <cell r="C1972">
            <v>5</v>
          </cell>
          <cell r="D1972" t="str">
            <v>сельские населенные пункты с численностью населения более 1 000 человек;</v>
          </cell>
        </row>
        <row r="1973">
          <cell r="A1973" t="str">
            <v>73:013:2:5:6</v>
          </cell>
          <cell r="B1973" t="str">
            <v>Шалинский городской округ</v>
          </cell>
          <cell r="C1973">
            <v>6</v>
          </cell>
          <cell r="D1973" t="str">
            <v>сельские населенные пункты с численностью населения менее 1 000 человек.</v>
          </cell>
        </row>
        <row r="1974">
          <cell r="A1974" t="str">
            <v>73:014:2:5:6</v>
          </cell>
          <cell r="B1974" t="str">
            <v>Шалинский городской округ</v>
          </cell>
          <cell r="C1974">
            <v>6</v>
          </cell>
          <cell r="D1974" t="str">
            <v>сельские населенные пункты с численностью населения менее 1 000 человек.</v>
          </cell>
        </row>
        <row r="1975">
          <cell r="A1975" t="str">
            <v>73:016:2:4:6</v>
          </cell>
          <cell r="B1975" t="str">
            <v>Шалинский городской округ</v>
          </cell>
          <cell r="C1975">
            <v>6</v>
          </cell>
          <cell r="D1975" t="str">
            <v>сельские населенные пункты с численностью населения менее 1 000 человек.</v>
          </cell>
        </row>
        <row r="1976">
          <cell r="A1976" t="str">
            <v>73:018:2:5:6</v>
          </cell>
          <cell r="B1976" t="str">
            <v>Шалинский городской округ</v>
          </cell>
          <cell r="C1976">
            <v>6</v>
          </cell>
          <cell r="D1976" t="str">
            <v>сельские населенные пункты с численностью населения менее 1 000 человек.</v>
          </cell>
        </row>
        <row r="1977">
          <cell r="A1977" t="str">
            <v>73:025:2:4:6</v>
          </cell>
          <cell r="B1977" t="str">
            <v>Шалинский городской округ</v>
          </cell>
          <cell r="C1977">
            <v>6</v>
          </cell>
          <cell r="D1977" t="str">
            <v>сельские населенные пункты с численностью населения менее 1 000 человек.</v>
          </cell>
        </row>
        <row r="1978">
          <cell r="A1978" t="str">
            <v>73:003:2:3:5</v>
          </cell>
          <cell r="B1978" t="str">
            <v>Шалинский городской округ</v>
          </cell>
          <cell r="C1978">
            <v>5</v>
          </cell>
          <cell r="D1978" t="str">
            <v>сельские населенные пункты с численностью населения более 1 000 человек;</v>
          </cell>
        </row>
        <row r="1979">
          <cell r="A1979" t="str">
            <v>73:029:2:5:6</v>
          </cell>
          <cell r="B1979" t="str">
            <v>Шалинский городской округ</v>
          </cell>
          <cell r="C1979">
            <v>6</v>
          </cell>
          <cell r="D1979" t="str">
            <v>сельские населенные пункты с численностью населения менее 1 000 человек.</v>
          </cell>
        </row>
        <row r="1980">
          <cell r="A1980" t="str">
            <v>73:031:2:4:5</v>
          </cell>
          <cell r="B1980" t="str">
            <v>Шалинский городской округ</v>
          </cell>
          <cell r="C1980">
            <v>5</v>
          </cell>
          <cell r="D1980" t="str">
            <v>сельские населенные пункты с численностью населения более 1 000 человек;</v>
          </cell>
        </row>
        <row r="1981">
          <cell r="A1981" t="str">
            <v>73:034:2:4:6</v>
          </cell>
          <cell r="B1981" t="str">
            <v>Шалинский городской округ</v>
          </cell>
          <cell r="C1981">
            <v>6</v>
          </cell>
          <cell r="D1981" t="str">
            <v>сельские населенные пункты с численностью населения менее 1 000 человек.</v>
          </cell>
        </row>
        <row r="1982">
          <cell r="A1982" t="str">
            <v>73:038:2:3:6</v>
          </cell>
          <cell r="B1982" t="str">
            <v>Шалинский городской округ</v>
          </cell>
          <cell r="C1982">
            <v>6</v>
          </cell>
          <cell r="D1982" t="str">
            <v>сельские населенные пункты с численностью населения менее 1 000 человек.</v>
          </cell>
        </row>
        <row r="1983">
          <cell r="A1983" t="str">
            <v>73:007:2:5:6</v>
          </cell>
          <cell r="B1983" t="str">
            <v>Шалинский городской округ</v>
          </cell>
          <cell r="C1983">
            <v>6</v>
          </cell>
          <cell r="D1983" t="str">
            <v>сельские населенные пункты с численностью населения менее 1 000 человек.</v>
          </cell>
        </row>
        <row r="1984">
          <cell r="A1984" t="str">
            <v>73:020:2:5:6</v>
          </cell>
          <cell r="B1984" t="str">
            <v>Шалинский городской округ</v>
          </cell>
          <cell r="C1984">
            <v>6</v>
          </cell>
          <cell r="D1984" t="str">
            <v>сельские населенные пункты с численностью населения менее 1 000 человек.</v>
          </cell>
        </row>
        <row r="1985">
          <cell r="A1985" t="str">
            <v>73:002:2:5:6</v>
          </cell>
          <cell r="B1985" t="str">
            <v>Шалинский городской округ</v>
          </cell>
          <cell r="C1985">
            <v>6</v>
          </cell>
          <cell r="D1985" t="str">
            <v>сельские населенные пункты с численностью населения менее 1 000 человек.</v>
          </cell>
        </row>
        <row r="1986">
          <cell r="A1986" t="str">
            <v>73:004:2:3:6</v>
          </cell>
          <cell r="B1986" t="str">
            <v>Шалинский городской округ</v>
          </cell>
          <cell r="C1986">
            <v>6</v>
          </cell>
          <cell r="D1986" t="str">
            <v>сельские населенные пункты с численностью населения менее 1 000 человек.</v>
          </cell>
        </row>
        <row r="1987">
          <cell r="A1987" t="str">
            <v>73:033:2:3:6</v>
          </cell>
          <cell r="B1987" t="str">
            <v>Шалинский городской округ</v>
          </cell>
          <cell r="C1987">
            <v>6</v>
          </cell>
          <cell r="D1987" t="str">
            <v>сельские населенные пункты с численностью населения менее 1 000 человек.</v>
          </cell>
        </row>
        <row r="1988">
          <cell r="A1988" t="str">
            <v>73:011:2:3:6</v>
          </cell>
          <cell r="B1988" t="str">
            <v>Шалинский городской округ</v>
          </cell>
          <cell r="C1988">
            <v>6</v>
          </cell>
          <cell r="D1988" t="str">
            <v>сельские населенные пункты с численностью населения менее 1 000 человек.</v>
          </cell>
        </row>
        <row r="1989">
          <cell r="A1989" t="str">
            <v>73:015:2:5:6</v>
          </cell>
          <cell r="B1989" t="str">
            <v>Шалинский городской округ</v>
          </cell>
          <cell r="C1989">
            <v>6</v>
          </cell>
          <cell r="D1989" t="str">
            <v>сельские населенные пункты с численностью населения менее 1 000 человек.</v>
          </cell>
        </row>
        <row r="1990">
          <cell r="A1990" t="str">
            <v>73:030:2:3:6</v>
          </cell>
          <cell r="B1990" t="str">
            <v>Шалинский городской округ</v>
          </cell>
          <cell r="C1990">
            <v>6</v>
          </cell>
          <cell r="D1990" t="str">
            <v>сельские населенные пункты с численностью населения менее 1 000 человек.</v>
          </cell>
        </row>
        <row r="1991">
          <cell r="A1991" t="str">
            <v>73:021:2:5:6</v>
          </cell>
          <cell r="B1991" t="str">
            <v>Шалинский городской округ</v>
          </cell>
          <cell r="C1991">
            <v>6</v>
          </cell>
          <cell r="D1991" t="str">
            <v>сельские населенные пункты с численностью населения менее 1 000 человек.</v>
          </cell>
        </row>
        <row r="1992">
          <cell r="A1992" t="str">
            <v>73:000:0:0:0</v>
          </cell>
          <cell r="B1992" t="str">
            <v>Шалинский городской округ</v>
          </cell>
          <cell r="C1992">
            <v>0</v>
          </cell>
          <cell r="D1992" t="str">
            <v>межселенная территория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CEBF4-33E4-492E-A656-FF2C5AB6AEF0}">
  <dimension ref="A1:BT5"/>
  <sheetViews>
    <sheetView tabSelected="1" topLeftCell="AA1" workbookViewId="0">
      <selection activeCell="AH6" sqref="AH6"/>
    </sheetView>
  </sheetViews>
  <sheetFormatPr defaultRowHeight="15" x14ac:dyDescent="0.25"/>
  <cols>
    <col min="1" max="1" width="18.5703125" customWidth="1"/>
    <col min="2" max="2" width="27.140625" customWidth="1"/>
    <col min="3" max="3" width="19.28515625" customWidth="1"/>
    <col min="6" max="6" width="9.140625" style="10"/>
    <col min="13" max="13" width="9.42578125" style="20" customWidth="1"/>
    <col min="14" max="14" width="9.140625" style="20"/>
    <col min="15" max="17" width="9.140625" style="12"/>
    <col min="18" max="18" width="7.28515625" customWidth="1"/>
    <col min="19" max="19" width="7.42578125" customWidth="1"/>
    <col min="26" max="26" width="16.140625" customWidth="1"/>
    <col min="27" max="27" width="9.140625" customWidth="1"/>
    <col min="28" max="28" width="16.42578125" customWidth="1"/>
    <col min="29" max="29" width="8.85546875" style="10" customWidth="1"/>
    <col min="30" max="30" width="22.28515625" style="23" customWidth="1"/>
    <col min="31" max="32" width="22.28515625" style="10" customWidth="1"/>
    <col min="33" max="33" width="22.28515625" style="33" customWidth="1"/>
    <col min="34" max="34" width="22.28515625" style="20" customWidth="1"/>
    <col min="35" max="35" width="22.28515625" style="45" customWidth="1"/>
    <col min="36" max="36" width="16.28515625" customWidth="1"/>
    <col min="37" max="37" width="10.28515625" customWidth="1"/>
    <col min="41" max="41" width="18.28515625" style="10" customWidth="1"/>
    <col min="42" max="42" width="13.7109375" style="10" customWidth="1"/>
    <col min="43" max="43" width="11.140625" style="10" customWidth="1"/>
    <col min="44" max="44" width="12.7109375" style="10" customWidth="1"/>
    <col min="45" max="45" width="13.140625" style="10" customWidth="1"/>
    <col min="46" max="46" width="23.42578125" style="10" customWidth="1"/>
    <col min="47" max="47" width="23.28515625" style="10" customWidth="1"/>
    <col min="48" max="48" width="8.42578125" style="10" customWidth="1"/>
    <col min="49" max="49" width="9.85546875" style="10" customWidth="1"/>
    <col min="50" max="50" width="9.85546875" style="33" customWidth="1"/>
    <col min="51" max="51" width="14.5703125" style="33" customWidth="1"/>
    <col min="52" max="52" width="14.5703125" style="41" customWidth="1"/>
    <col min="53" max="55" width="12.5703125" style="33" customWidth="1"/>
    <col min="56" max="56" width="40.7109375" style="33" customWidth="1"/>
    <col min="57" max="57" width="33.28515625" style="41" customWidth="1"/>
    <col min="58" max="58" width="40.7109375" style="33" customWidth="1"/>
    <col min="59" max="62" width="40.7109375" style="41" customWidth="1"/>
    <col min="63" max="63" width="26.5703125" style="41" customWidth="1"/>
    <col min="65" max="65" width="22.140625" customWidth="1"/>
    <col min="66" max="66" width="25.5703125" customWidth="1"/>
    <col min="67" max="67" width="25" customWidth="1"/>
    <col min="69" max="69" width="22.28515625" customWidth="1"/>
    <col min="70" max="70" width="38.28515625" customWidth="1"/>
    <col min="71" max="71" width="27.7109375" customWidth="1"/>
    <col min="72" max="72" width="25.85546875" customWidth="1"/>
  </cols>
  <sheetData>
    <row r="1" spans="1:72" ht="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9"/>
      <c r="N1" s="19"/>
      <c r="O1" s="11"/>
      <c r="P1" s="11"/>
      <c r="Q1" s="11"/>
      <c r="R1" s="1"/>
      <c r="S1" s="1"/>
      <c r="T1" s="1"/>
      <c r="U1" s="1"/>
      <c r="V1" s="11"/>
      <c r="W1" s="1"/>
      <c r="X1" s="1"/>
      <c r="Y1" s="1"/>
      <c r="Z1" s="1"/>
      <c r="AA1" s="1"/>
      <c r="AB1" s="1"/>
      <c r="AC1" s="1"/>
      <c r="AD1" s="11"/>
      <c r="AE1" s="1"/>
      <c r="AF1" s="1"/>
      <c r="AG1" s="1"/>
      <c r="AH1" s="19"/>
      <c r="AI1" s="11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 t="s">
        <v>859</v>
      </c>
      <c r="AX1" s="34"/>
      <c r="AY1" s="34"/>
      <c r="AZ1" s="42"/>
      <c r="BA1" s="34"/>
      <c r="BB1" s="34"/>
      <c r="BC1" s="34"/>
      <c r="BD1" s="34"/>
      <c r="BE1" s="42"/>
      <c r="BF1" s="34"/>
      <c r="BG1" s="42"/>
      <c r="BH1" s="42"/>
      <c r="BI1" s="42"/>
      <c r="BJ1" s="42"/>
      <c r="BK1" s="42"/>
      <c r="BL1" s="3" t="s">
        <v>1</v>
      </c>
      <c r="BM1" s="3"/>
      <c r="BN1" s="3"/>
      <c r="BO1" s="3"/>
      <c r="BP1" s="3"/>
      <c r="BQ1" s="3"/>
      <c r="BR1" s="21"/>
      <c r="BS1" s="21"/>
      <c r="BT1" s="24"/>
    </row>
    <row r="2" spans="1:72" ht="1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1357</v>
      </c>
      <c r="G2" s="1" t="s">
        <v>7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9</v>
      </c>
      <c r="M2" s="19" t="s">
        <v>9</v>
      </c>
      <c r="N2" s="19" t="s">
        <v>9</v>
      </c>
      <c r="O2" s="11" t="s">
        <v>9</v>
      </c>
      <c r="P2" s="11" t="s">
        <v>10</v>
      </c>
      <c r="Q2" s="11" t="s">
        <v>10</v>
      </c>
      <c r="R2" s="1" t="s">
        <v>11</v>
      </c>
      <c r="S2" s="1" t="s">
        <v>11</v>
      </c>
      <c r="T2" s="1" t="s">
        <v>11</v>
      </c>
      <c r="U2" s="1" t="s">
        <v>12</v>
      </c>
      <c r="V2" s="11" t="s">
        <v>13</v>
      </c>
      <c r="W2" s="1" t="s">
        <v>14</v>
      </c>
      <c r="X2" s="1" t="s">
        <v>15</v>
      </c>
      <c r="Y2" s="1" t="s">
        <v>16</v>
      </c>
      <c r="Z2" s="1" t="s">
        <v>17</v>
      </c>
      <c r="AA2" s="1" t="s">
        <v>18</v>
      </c>
      <c r="AB2" s="1" t="s">
        <v>19</v>
      </c>
      <c r="AC2" s="1" t="s">
        <v>1287</v>
      </c>
      <c r="AD2" s="11" t="s">
        <v>1288</v>
      </c>
      <c r="AE2" s="1" t="s">
        <v>1354</v>
      </c>
      <c r="AF2" s="1" t="s">
        <v>1360</v>
      </c>
      <c r="AG2" s="1" t="s">
        <v>7040</v>
      </c>
      <c r="AH2" s="19"/>
      <c r="AI2" s="11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34"/>
      <c r="AY2" s="34"/>
      <c r="AZ2" s="42"/>
      <c r="BA2" s="34"/>
      <c r="BB2" s="34"/>
      <c r="BC2" s="34"/>
      <c r="BD2" s="34"/>
      <c r="BE2" s="42"/>
      <c r="BF2" s="34"/>
      <c r="BG2" s="42"/>
      <c r="BH2" s="42"/>
      <c r="BI2" s="42"/>
      <c r="BJ2" s="42"/>
      <c r="BK2" s="42"/>
      <c r="BL2" s="3" t="s">
        <v>2</v>
      </c>
      <c r="BM2" s="3" t="s">
        <v>3</v>
      </c>
      <c r="BN2" s="3" t="s">
        <v>13</v>
      </c>
      <c r="BO2" s="3" t="s">
        <v>12</v>
      </c>
      <c r="BP2" s="3" t="s">
        <v>14</v>
      </c>
      <c r="BQ2" s="3" t="s">
        <v>15</v>
      </c>
      <c r="BR2" s="21" t="s">
        <v>1374</v>
      </c>
      <c r="BS2" s="21" t="s">
        <v>1360</v>
      </c>
      <c r="BT2" s="24" t="s">
        <v>10</v>
      </c>
    </row>
    <row r="3" spans="1:72" ht="15" customHeight="1" x14ac:dyDescent="0.25">
      <c r="A3" s="1" t="s">
        <v>2</v>
      </c>
      <c r="B3" s="1"/>
      <c r="C3" s="1"/>
      <c r="D3" s="1" t="s">
        <v>20</v>
      </c>
      <c r="E3" s="1"/>
      <c r="F3" s="1" t="s">
        <v>1358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9" t="s">
        <v>27</v>
      </c>
      <c r="N3" s="19" t="s">
        <v>28</v>
      </c>
      <c r="O3" s="11" t="s">
        <v>29</v>
      </c>
      <c r="P3" s="11" t="s">
        <v>30</v>
      </c>
      <c r="Q3" s="11" t="s">
        <v>31</v>
      </c>
      <c r="R3" s="1" t="s">
        <v>32</v>
      </c>
      <c r="S3" s="1" t="s">
        <v>33</v>
      </c>
      <c r="T3" s="1" t="s">
        <v>34</v>
      </c>
      <c r="U3" s="1"/>
      <c r="V3" s="11"/>
      <c r="W3" s="1"/>
      <c r="X3" s="1"/>
      <c r="Y3" s="1"/>
      <c r="Z3" s="1"/>
      <c r="AA3" s="1"/>
      <c r="AB3" s="1"/>
      <c r="AC3" s="1"/>
      <c r="AD3" s="11"/>
      <c r="AE3" s="1"/>
      <c r="AF3" s="1"/>
      <c r="AG3" s="1"/>
      <c r="AH3" s="19"/>
      <c r="AI3" s="11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34"/>
      <c r="AY3" s="34"/>
      <c r="AZ3" s="42"/>
      <c r="BA3" s="34"/>
      <c r="BB3" s="34"/>
      <c r="BC3" s="34"/>
      <c r="BD3" s="34"/>
      <c r="BE3" s="42"/>
      <c r="BF3" s="34"/>
      <c r="BG3" s="42"/>
      <c r="BH3" s="42"/>
      <c r="BI3" s="42"/>
      <c r="BJ3" s="42"/>
      <c r="BK3" s="42"/>
      <c r="BL3" s="3" t="s">
        <v>2</v>
      </c>
      <c r="BM3" s="3"/>
      <c r="BN3" s="3"/>
      <c r="BO3" s="3"/>
      <c r="BP3" s="3"/>
      <c r="BQ3" s="3"/>
      <c r="BR3" s="21"/>
      <c r="BS3" s="21"/>
      <c r="BT3" s="24" t="s">
        <v>31</v>
      </c>
    </row>
    <row r="4" spans="1:72" s="36" customFormat="1" ht="54" customHeight="1" x14ac:dyDescent="0.25">
      <c r="A4" s="30" t="s">
        <v>35</v>
      </c>
      <c r="B4" s="30" t="s">
        <v>36</v>
      </c>
      <c r="C4" s="30" t="s">
        <v>37</v>
      </c>
      <c r="D4" s="30" t="s">
        <v>38</v>
      </c>
      <c r="E4" s="30" t="s">
        <v>39</v>
      </c>
      <c r="F4" s="30" t="s">
        <v>1359</v>
      </c>
      <c r="G4" s="30" t="s">
        <v>40</v>
      </c>
      <c r="H4" s="30" t="s">
        <v>41</v>
      </c>
      <c r="I4" s="30" t="s">
        <v>42</v>
      </c>
      <c r="J4" s="30" t="s">
        <v>43</v>
      </c>
      <c r="K4" s="30" t="s">
        <v>44</v>
      </c>
      <c r="L4" s="30" t="s">
        <v>45</v>
      </c>
      <c r="M4" s="29" t="s">
        <v>46</v>
      </c>
      <c r="N4" s="29" t="s">
        <v>47</v>
      </c>
      <c r="O4" s="32" t="s">
        <v>48</v>
      </c>
      <c r="P4" s="32" t="s">
        <v>49</v>
      </c>
      <c r="Q4" s="32" t="s">
        <v>50</v>
      </c>
      <c r="R4" s="30" t="s">
        <v>51</v>
      </c>
      <c r="S4" s="30" t="s">
        <v>52</v>
      </c>
      <c r="T4" s="30" t="s">
        <v>53</v>
      </c>
      <c r="U4" s="30" t="s">
        <v>54</v>
      </c>
      <c r="V4" s="32" t="s">
        <v>55</v>
      </c>
      <c r="W4" s="30" t="s">
        <v>56</v>
      </c>
      <c r="X4" s="30" t="s">
        <v>57</v>
      </c>
      <c r="Y4" s="30" t="s">
        <v>58</v>
      </c>
      <c r="Z4" s="30" t="s">
        <v>59</v>
      </c>
      <c r="AA4" s="30" t="s">
        <v>60</v>
      </c>
      <c r="AB4" s="30" t="s">
        <v>61</v>
      </c>
      <c r="AC4" s="30" t="s">
        <v>1289</v>
      </c>
      <c r="AD4" s="32" t="s">
        <v>1290</v>
      </c>
      <c r="AE4" s="30" t="s">
        <v>1355</v>
      </c>
      <c r="AF4" s="30" t="s">
        <v>1361</v>
      </c>
      <c r="AG4" s="1" t="s">
        <v>7041</v>
      </c>
      <c r="AH4" s="29" t="s">
        <v>8453</v>
      </c>
      <c r="AI4" s="32" t="s">
        <v>8454</v>
      </c>
      <c r="AJ4" s="31" t="s">
        <v>7022</v>
      </c>
      <c r="AK4" s="31" t="s">
        <v>7026</v>
      </c>
      <c r="AL4" s="31" t="s">
        <v>7025</v>
      </c>
      <c r="AM4" s="31" t="s">
        <v>7023</v>
      </c>
      <c r="AN4" s="31" t="s">
        <v>7024</v>
      </c>
      <c r="AO4" s="31" t="s">
        <v>7027</v>
      </c>
      <c r="AP4" s="31" t="s">
        <v>1344</v>
      </c>
      <c r="AQ4" s="31" t="s">
        <v>7028</v>
      </c>
      <c r="AR4" s="31" t="s">
        <v>7029</v>
      </c>
      <c r="AS4" s="31" t="s">
        <v>7030</v>
      </c>
      <c r="AT4" s="31" t="s">
        <v>1378</v>
      </c>
      <c r="AU4" s="31" t="s">
        <v>7031</v>
      </c>
      <c r="AV4" s="31" t="s">
        <v>7032</v>
      </c>
      <c r="AW4" s="31" t="s">
        <v>7033</v>
      </c>
      <c r="AX4" s="31" t="s">
        <v>7043</v>
      </c>
      <c r="AY4" s="31" t="s">
        <v>7034</v>
      </c>
      <c r="AZ4" s="44" t="s">
        <v>7480</v>
      </c>
      <c r="BA4" s="31" t="s">
        <v>7035</v>
      </c>
      <c r="BB4" s="31" t="s">
        <v>7036</v>
      </c>
      <c r="BC4" s="31" t="s">
        <v>7479</v>
      </c>
      <c r="BD4" s="31" t="s">
        <v>7037</v>
      </c>
      <c r="BE4" s="44" t="s">
        <v>7477</v>
      </c>
      <c r="BF4" s="31" t="s">
        <v>7415</v>
      </c>
      <c r="BG4" s="44" t="s">
        <v>7481</v>
      </c>
      <c r="BH4" s="44" t="s">
        <v>7482</v>
      </c>
      <c r="BI4" s="44" t="s">
        <v>8451</v>
      </c>
      <c r="BJ4" s="44" t="s">
        <v>7478</v>
      </c>
      <c r="BK4" s="44" t="s">
        <v>8450</v>
      </c>
      <c r="BL4" s="37" t="s">
        <v>35</v>
      </c>
      <c r="BM4" s="38" t="s">
        <v>36</v>
      </c>
      <c r="BN4" s="38" t="s">
        <v>55</v>
      </c>
      <c r="BO4" s="38" t="s">
        <v>54</v>
      </c>
      <c r="BP4" s="38" t="s">
        <v>56</v>
      </c>
      <c r="BQ4" s="38" t="s">
        <v>57</v>
      </c>
      <c r="BR4" s="39" t="s">
        <v>1289</v>
      </c>
      <c r="BS4" s="39" t="s">
        <v>1361</v>
      </c>
      <c r="BT4" s="40" t="s">
        <v>50</v>
      </c>
    </row>
    <row r="5" spans="1:72" x14ac:dyDescent="0.25">
      <c r="A5" s="4">
        <v>91607663</v>
      </c>
      <c r="B5" s="10" t="s">
        <v>62</v>
      </c>
      <c r="C5" s="10" t="s">
        <v>63</v>
      </c>
      <c r="D5" s="10" t="s">
        <v>64</v>
      </c>
      <c r="E5" s="10"/>
      <c r="G5" s="10">
        <v>27.2</v>
      </c>
      <c r="H5" s="10"/>
      <c r="I5" s="10"/>
      <c r="J5" s="10">
        <v>1999</v>
      </c>
      <c r="K5" s="10" t="s">
        <v>65</v>
      </c>
      <c r="L5" s="10"/>
      <c r="N5" s="20">
        <v>1</v>
      </c>
      <c r="O5" s="12" t="s">
        <v>66</v>
      </c>
      <c r="P5" s="12" t="s">
        <v>1356</v>
      </c>
      <c r="Q5" s="12" t="s">
        <v>67</v>
      </c>
      <c r="R5" s="10"/>
      <c r="S5" s="10"/>
      <c r="T5" s="5"/>
      <c r="U5" s="10" t="s">
        <v>64</v>
      </c>
      <c r="V5" s="12">
        <v>1</v>
      </c>
      <c r="W5" s="10">
        <v>1999</v>
      </c>
      <c r="X5" s="10" t="s">
        <v>68</v>
      </c>
      <c r="Y5" s="10"/>
      <c r="Z5" s="10" t="s">
        <v>69</v>
      </c>
      <c r="AA5" s="10"/>
      <c r="AB5" s="5"/>
      <c r="AC5" s="5"/>
      <c r="AD5" s="23" t="s">
        <v>6996</v>
      </c>
      <c r="AE5" s="5"/>
      <c r="AF5" s="20"/>
      <c r="AG5" s="33" t="s">
        <v>7042</v>
      </c>
      <c r="AJ5" s="10" t="str">
        <f>VLOOKUP(B5,'Промежуточный параметр'!A$2:D$100000,2,FALSE)</f>
        <v>Шлакобетонные</v>
      </c>
      <c r="AK5" s="10">
        <f>IFERROR(SEARCH(",",AJ5),0)</f>
        <v>0</v>
      </c>
      <c r="AL5" s="10">
        <f>YEAR(AB5)</f>
        <v>1900</v>
      </c>
      <c r="AM5" s="10">
        <f>IF(H5="",0,H5)</f>
        <v>0</v>
      </c>
      <c r="AN5" s="10">
        <f>IF(J5="",0,J5)</f>
        <v>1999</v>
      </c>
      <c r="AO5" s="10" t="str">
        <f>VLOOKUP(BN5,'Тип этажности'!A$2:B$101,2,FALSE)</f>
        <v>Малоэтажное</v>
      </c>
      <c r="AP5" s="10" t="str">
        <f>IFERROR(VLOOKUP(BT5,ТипФГ!A$2:C$30,3,FALSE),IF(BT5="","не сгруппирован","Прочие"))</f>
        <v>Прочие</v>
      </c>
      <c r="AQ5" s="10" t="str">
        <f>VLOOKUP(B5,'Промежуточный параметр'!A$2:D$100000,3,FALSE)</f>
        <v>3</v>
      </c>
      <c r="AR5" s="10" t="str">
        <f>VLOOKUP(B5,'Промежуточный параметр'!A$2:D$100000,4,FALSE)</f>
        <v>3</v>
      </c>
      <c r="AS5" s="10" t="str">
        <f>IF(AQ5=AR5,AQ5,IF(VALUE(AQ5)&gt;2,AQ5,IF(VALUE(AR5)=1,"1","2")))</f>
        <v>3</v>
      </c>
      <c r="AT5" s="10" t="str">
        <f>VLOOKUP(AD5,'Спр ОКТМО'!A$2:G$1940,7,FALSE)</f>
        <v>1002_М6_Квартиры области до 50</v>
      </c>
      <c r="AU5" s="10" t="str">
        <f>CONCATENATE(AP5,AO5,AS5)</f>
        <v>ПрочиеМалоэтажное3</v>
      </c>
      <c r="AV5" s="10">
        <f>IFERROR(VLOOKUP(B5,'Промежуточная табл 4'!A$2:C$30000,3,FALSE),0)</f>
        <v>0</v>
      </c>
      <c r="AW5" s="10">
        <f>IFERROR(VLOOKUP(B5,'[1]Промежуточная табл 2'!A$2:C$30000,3,FALSE),0)</f>
        <v>0</v>
      </c>
      <c r="AX5" s="33" t="b">
        <f>AND(OR(MID(E5,1,4)="жило",IFERROR(SEARCH("Дом блокирова",E5),0)&gt;0,IFERROR(SEARCH("Садовый дом",E5),0)&gt;0,IFERROR(SEARCH("жилой дом",E5),0)&gt;0,IFERROR(SEARCH("Объект индивидуального жилищного строительства",E5),0)&gt;0),IFERROR(SEARCH("нежило",E5),0)=0,IFERROR(SEARCH("многокв",E5),0)=0)</f>
        <v>0</v>
      </c>
      <c r="AY5" s="33" t="b">
        <f>OR(LEN(E5)=0,E5="дом",E5="Здание",MID(E5,1,4)="жило",IFERROR(SEARCH("жило",E5),0)&gt;0,IFERROR(SEARCH("Объект индивидуального жилищного строительства",E5),0)&gt;0)</f>
        <v>1</v>
      </c>
      <c r="AZ5" s="41" t="b">
        <f>AND(OR(IFERROR(SEARCH("Дом блокирова",E5),0)&gt;0,IFERROR(SEARCH("Садовый дом",E5),0)&gt;0,IFERROR(SEARCH("жилой дом",E5),0)&gt;0,IFERROR(SEARCH("Объект индивидуального жилищного строительства",E5),0)&gt;0),IFERROR(SEARCH("нежило",E5),0)=0,IFERROR(SEARCH("многокв",E5),0)=0)</f>
        <v>0</v>
      </c>
      <c r="BA5" s="33" t="b">
        <f>AND(G5&gt;10,G5&lt;500)</f>
        <v>1</v>
      </c>
      <c r="BB5" s="33" t="b">
        <f>BN5&lt;4</f>
        <v>1</v>
      </c>
      <c r="BC5" s="33">
        <f>IFERROR(VLOOKUP(E5,'СПР Наименований'!#REF!,2,FALSE),-1)</f>
        <v>-1</v>
      </c>
      <c r="BD5" s="33" t="str">
        <f>IF(C5="Жилое",IF(AND(BB5,AY5,BA5,AV5+AW5&lt;5),IF(LEN(AD5)=8,VLOOKUP(AG5,'Тип территории'!A$2:C$10,2,FALSE),VLOOKUP(AG5,'Тип территории'!A$2:D$10,4,FALSE)),"Не выполнены условия ИЖС по жилым"),IF(OR(C5="Нежилое",C5="Жилое строение",C5="Садовый дом"),IF(OR(AND(VLOOKUP(AG5,'Тип территории'!A$2:C$10,1,FALSE)="Отсутствует информация",BB5,AZ5,BA5,AV5+AW5&lt;5),AND(VLOOKUP(AG5,'Тип территории'!A$2:C$10,1,FALSE)&lt;&gt;"Отсутствует информация",BB5,OR(AY5,AX5),BA5,AV5+AW5&lt;5)),VLOOKUP(AG5,'Тип территории'!A$2:C$10,3,FALSE),"Не выполнены условия ИЖС по нежилым"),"Несоответствие типа здания"))</f>
        <v>Не выполнены условия ИЖС по нежилым</v>
      </c>
      <c r="BE5" s="41" t="str">
        <f>IF(C5="Многоквартирный дом",IF(AND(VLOOKUP(AD5,'Спр ОКТМО'!A$2:J$1940,10,FALSE)="0104",Объекты!BP5&gt;2014,Объекты!BR5&gt;2000),"0104","0101"),"Не МКД")</f>
        <v>Не МКД</v>
      </c>
      <c r="BF5" s="33" t="str">
        <f>IFERROR(IF(G5&lt;VLOOKUP(E5,'СПР Наименований'!A$2:E$50000,3,FALSE),VLOOKUP(E5,'СПР Наименований'!A$2:E$50000,4,FALSE),VLOOKUP(E5,'СПР Наименований'!A$2:E$50000,5,FALSE)),"нет в справочнике наименований")</f>
        <v>нет в справочнике наименований</v>
      </c>
      <c r="BG5" s="41" t="str">
        <f>IF(AND(C5="Нежилое",OR(IFERROR(SEARCH("гараж",F5),0)&gt;0,IFERROR(SEARCH("СПГК",F5),0)&gt;0,IFERROR(SEARCH("ПГК",F5),0)&gt;0,OR(MID(F5,1,3)="гск",IFERROR(SEARCH(" гск",F5),0)&gt;0))),IF(G5&gt;90,"0303","0302"),"")</f>
        <v/>
      </c>
      <c r="BH5" s="41" t="str">
        <f>IF(AND(C5="Нежилое",OR(IFERROR(SEARCH("Коллективный сад",F5),0)&gt;0,IFERROR(SEARCH("к/с",F5),0)&gt;0,IFERROR(SEARCH("снт",F5),0)&gt;0)),"СНТ","")</f>
        <v/>
      </c>
      <c r="BI5" s="41" t="str">
        <f>IF(AND(C5="Нежилое",OR(IFERROR(SEARCH("склад",E5),0)&gt;0,IFERROR(SEARCH("ангар",E5),0)&gt;0,)),"склады, ангары","")</f>
        <v/>
      </c>
      <c r="BJ5" s="41" t="str">
        <f>IF(AND(C5="Нежилое",LEN(BG5)=0,LEN(BH5)=0,G5&lt;1000,OR(LEN(E5)=0,E5="Здание",E5="Отдельно-стоящее здание с пристроями",E5="Часть здания",E5="Здание нежилого назначения",E5="Отдельно-стоящее здание с пристроем",E5="Нежилое здание",E5="Отдельно-стоящее здание")),"0907","")</f>
        <v>0907</v>
      </c>
      <c r="BK5" s="41" t="str">
        <f>IFERROR(VLOOKUP(BD5,'СПР ФГ'!B$2:C$374,1,FALSE),IFERROR(VLOOKUP(BE5,'СПР ФГ'!B$2:C$374,1,FALSE),IFERROR(VLOOKUP(BF5,'СПР ФГ'!B$2:C$374,1,FALSE),"")))</f>
        <v/>
      </c>
      <c r="BL5" s="10"/>
      <c r="BM5" s="10" t="str">
        <f>B5</f>
        <v>66:00:0000000:60518</v>
      </c>
      <c r="BN5" s="10">
        <f>IF(O5="",1,VALUE(VLOOKUP(O5,'Соответствие этажей'!A$2:B$5000,2,FALSE)))</f>
        <v>1</v>
      </c>
      <c r="BO5" s="10" t="str">
        <f>IF(AK5=0,AJ5,IF(Q5="0100","","Смешанные"))</f>
        <v>Шлакобетонные</v>
      </c>
      <c r="BP5" s="10">
        <f>IF(AND(AM5=0,AN5=0),AL5,MAX(AM5,AN5))</f>
        <v>1999</v>
      </c>
      <c r="BQ5" t="str">
        <f>VLOOKUP(AU5,ОпределениеГК!A$2:F$61,6,FALSE)</f>
        <v>III</v>
      </c>
      <c r="BR5">
        <f>G5</f>
        <v>27.2</v>
      </c>
      <c r="BS5">
        <f>Константы0!$A$1</f>
        <v>0</v>
      </c>
      <c r="BT5" s="20" t="str">
        <f>IF(LEN(P5)=0,BK5,P5)</f>
        <v>0300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E3800-7856-468D-8DF2-198440464A10}">
  <dimension ref="A1:N1940"/>
  <sheetViews>
    <sheetView topLeftCell="E152" workbookViewId="0">
      <selection activeCell="E191" sqref="E191"/>
    </sheetView>
  </sheetViews>
  <sheetFormatPr defaultRowHeight="15" x14ac:dyDescent="0.25"/>
  <cols>
    <col min="1" max="1" width="20" style="23" customWidth="1"/>
    <col min="2" max="2" width="20" style="10" customWidth="1"/>
    <col min="3" max="3" width="61.5703125" style="23" customWidth="1"/>
    <col min="4" max="4" width="24.28515625" style="28" customWidth="1"/>
    <col min="5" max="5" width="23" style="25" customWidth="1"/>
    <col min="6" max="6" width="74.85546875" style="23" customWidth="1"/>
    <col min="7" max="7" width="31.5703125" style="23" customWidth="1"/>
    <col min="8" max="8" width="44" style="10" customWidth="1"/>
    <col min="9" max="9" width="9.140625" style="35"/>
    <col min="10" max="10" width="17.140625" customWidth="1"/>
    <col min="11" max="11" width="14.5703125" style="43" customWidth="1"/>
    <col min="14" max="14" width="13.42578125" customWidth="1"/>
  </cols>
  <sheetData>
    <row r="1" spans="1:14" x14ac:dyDescent="0.25">
      <c r="A1" s="23" t="s">
        <v>1290</v>
      </c>
      <c r="B1" s="10" t="s">
        <v>1375</v>
      </c>
      <c r="C1" s="23" t="s">
        <v>1376</v>
      </c>
      <c r="D1" s="28" t="s">
        <v>1377</v>
      </c>
      <c r="E1" s="25" t="s">
        <v>1378</v>
      </c>
      <c r="F1" s="23" t="s">
        <v>1379</v>
      </c>
      <c r="G1" s="23" t="s">
        <v>1380</v>
      </c>
      <c r="H1" s="10" t="s">
        <v>7021</v>
      </c>
    </row>
    <row r="2" spans="1:14" x14ac:dyDescent="0.25">
      <c r="A2" s="23" t="s">
        <v>6293</v>
      </c>
      <c r="B2" s="10" t="s">
        <v>6294</v>
      </c>
      <c r="C2" s="23" t="s">
        <v>6295</v>
      </c>
      <c r="D2" s="28" t="s">
        <v>6296</v>
      </c>
      <c r="E2" s="25">
        <v>106</v>
      </c>
      <c r="F2" s="23" t="str">
        <f>VLOOKUP(B2,'[2]справочник кодов нп'!$A:$D,4,0)</f>
        <v>сельские населенные пункты с численностью населения более 1 000 человек;</v>
      </c>
      <c r="G2" s="23" t="s">
        <v>1385</v>
      </c>
      <c r="H2" s="10" t="s">
        <v>6295</v>
      </c>
      <c r="I2" s="35" t="s">
        <v>7017</v>
      </c>
      <c r="J2" t="s">
        <v>1337</v>
      </c>
      <c r="N2" s="41"/>
    </row>
    <row r="3" spans="1:14" x14ac:dyDescent="0.25">
      <c r="A3" s="23" t="s">
        <v>6484</v>
      </c>
      <c r="B3" s="10" t="s">
        <v>6485</v>
      </c>
      <c r="C3" s="23" t="s">
        <v>6295</v>
      </c>
      <c r="D3" s="28" t="s">
        <v>6486</v>
      </c>
      <c r="E3" s="25">
        <v>106</v>
      </c>
      <c r="F3" s="23" t="str">
        <f>VLOOKUP(B3,'[2]справочник кодов нп'!$A:$D,4,0)</f>
        <v>сельские населенные пункты с численностью населения более 1 000 человек;</v>
      </c>
      <c r="G3" s="23" t="s">
        <v>1385</v>
      </c>
      <c r="H3" s="10" t="s">
        <v>6295</v>
      </c>
      <c r="I3" s="35" t="s">
        <v>7017</v>
      </c>
      <c r="J3" s="33" t="s">
        <v>1337</v>
      </c>
      <c r="N3" s="41"/>
    </row>
    <row r="4" spans="1:14" x14ac:dyDescent="0.25">
      <c r="A4" s="23" t="s">
        <v>6793</v>
      </c>
      <c r="B4" s="10" t="s">
        <v>6794</v>
      </c>
      <c r="C4" s="23" t="s">
        <v>6295</v>
      </c>
      <c r="D4" s="28" t="s">
        <v>6795</v>
      </c>
      <c r="E4" s="25">
        <v>106</v>
      </c>
      <c r="F4" s="23" t="str">
        <f>VLOOKUP(B4,'[2]справочник кодов нп'!$A:$D,4,0)</f>
        <v>городские населенные пункты с численностью населения менее 50 000 человек;</v>
      </c>
      <c r="G4" s="23" t="s">
        <v>1385</v>
      </c>
      <c r="H4" s="10" t="s">
        <v>6295</v>
      </c>
      <c r="I4" s="35" t="s">
        <v>7017</v>
      </c>
      <c r="J4" s="45" t="s">
        <v>1341</v>
      </c>
      <c r="N4" s="41"/>
    </row>
    <row r="5" spans="1:14" x14ac:dyDescent="0.25">
      <c r="A5" s="23" t="s">
        <v>6844</v>
      </c>
      <c r="B5" s="10" t="s">
        <v>6845</v>
      </c>
      <c r="C5" s="23" t="s">
        <v>6295</v>
      </c>
      <c r="D5" s="28" t="s">
        <v>6846</v>
      </c>
      <c r="E5" s="25">
        <v>106</v>
      </c>
      <c r="F5" s="23" t="str">
        <f>VLOOKUP(B5,'[2]справочник кодов нп'!$A:$D,4,0)</f>
        <v>межселенная территория</v>
      </c>
      <c r="G5" s="23" t="s">
        <v>1385</v>
      </c>
      <c r="H5" s="10" t="s">
        <v>6295</v>
      </c>
      <c r="I5" s="35" t="s">
        <v>7019</v>
      </c>
      <c r="J5" s="33" t="s">
        <v>1337</v>
      </c>
      <c r="N5" s="41"/>
    </row>
    <row r="6" spans="1:14" x14ac:dyDescent="0.25">
      <c r="A6" s="23" t="s">
        <v>1824</v>
      </c>
      <c r="B6" s="10" t="s">
        <v>1825</v>
      </c>
      <c r="C6" s="23" t="s">
        <v>1826</v>
      </c>
      <c r="D6" s="28" t="s">
        <v>1827</v>
      </c>
      <c r="E6" s="25">
        <v>106</v>
      </c>
      <c r="F6" s="23" t="str">
        <f>VLOOKUP(B6,'[2]справочник кодов нп'!$A:$D,4,0)</f>
        <v>сельские населенные пункты с численностью населения менее 1 000 человек.</v>
      </c>
      <c r="G6" s="23" t="s">
        <v>1385</v>
      </c>
      <c r="H6" s="10" t="s">
        <v>1826</v>
      </c>
      <c r="I6" s="35" t="s">
        <v>7017</v>
      </c>
      <c r="J6" s="33" t="s">
        <v>1337</v>
      </c>
      <c r="N6" s="41"/>
    </row>
    <row r="7" spans="1:14" x14ac:dyDescent="0.25">
      <c r="A7" s="23" t="s">
        <v>1828</v>
      </c>
      <c r="B7" s="10" t="s">
        <v>1829</v>
      </c>
      <c r="C7" s="23" t="s">
        <v>1826</v>
      </c>
      <c r="D7" s="28" t="s">
        <v>1830</v>
      </c>
      <c r="E7" s="25">
        <v>106</v>
      </c>
      <c r="F7" s="23" t="str">
        <f>VLOOKUP(B7,'[2]справочник кодов нп'!$A:$D,4,0)</f>
        <v>сельские населенные пункты с численностью населения менее 1 000 человек.</v>
      </c>
      <c r="G7" s="23" t="s">
        <v>1385</v>
      </c>
      <c r="H7" s="10" t="s">
        <v>1826</v>
      </c>
      <c r="I7" s="35" t="s">
        <v>7017</v>
      </c>
      <c r="J7" s="33" t="s">
        <v>1337</v>
      </c>
      <c r="N7" s="41"/>
    </row>
    <row r="8" spans="1:14" x14ac:dyDescent="0.25">
      <c r="A8" s="23" t="s">
        <v>1831</v>
      </c>
      <c r="B8" s="10" t="s">
        <v>1832</v>
      </c>
      <c r="C8" s="23" t="s">
        <v>1826</v>
      </c>
      <c r="D8" s="28" t="s">
        <v>1833</v>
      </c>
      <c r="E8" s="25">
        <v>106</v>
      </c>
      <c r="F8" s="23" t="str">
        <f>VLOOKUP(B8,'[2]справочник кодов нп'!$A:$D,4,0)</f>
        <v>сельские населенные пункты с численностью населения менее 1 000 человек.</v>
      </c>
      <c r="G8" s="23" t="s">
        <v>1385</v>
      </c>
      <c r="H8" s="10" t="s">
        <v>1826</v>
      </c>
      <c r="I8" s="35" t="s">
        <v>7017</v>
      </c>
      <c r="J8" s="33" t="s">
        <v>1337</v>
      </c>
      <c r="N8" s="41"/>
    </row>
    <row r="9" spans="1:14" x14ac:dyDescent="0.25">
      <c r="A9" s="23" t="s">
        <v>1834</v>
      </c>
      <c r="B9" s="10" t="s">
        <v>1835</v>
      </c>
      <c r="C9" s="23" t="s">
        <v>1826</v>
      </c>
      <c r="D9" s="28" t="s">
        <v>1836</v>
      </c>
      <c r="E9" s="25">
        <v>106</v>
      </c>
      <c r="F9" s="23" t="str">
        <f>VLOOKUP(B9,'[2]справочник кодов нп'!$A:$D,4,0)</f>
        <v>сельские населенные пункты с численностью населения менее 1 000 человек.</v>
      </c>
      <c r="G9" s="23" t="s">
        <v>1385</v>
      </c>
      <c r="H9" s="10" t="s">
        <v>1826</v>
      </c>
      <c r="I9" s="35" t="s">
        <v>7017</v>
      </c>
      <c r="J9" s="33" t="s">
        <v>1337</v>
      </c>
      <c r="N9" s="41"/>
    </row>
    <row r="10" spans="1:14" x14ac:dyDescent="0.25">
      <c r="A10" s="23" t="s">
        <v>1837</v>
      </c>
      <c r="B10" s="10" t="s">
        <v>1838</v>
      </c>
      <c r="C10" s="23" t="s">
        <v>1826</v>
      </c>
      <c r="D10" s="28" t="s">
        <v>1839</v>
      </c>
      <c r="E10" s="25">
        <v>106</v>
      </c>
      <c r="F10" s="23" t="str">
        <f>VLOOKUP(B10,'[2]справочник кодов нп'!$A:$D,4,0)</f>
        <v>сельские населенные пункты с численностью населения менее 1 000 человек.</v>
      </c>
      <c r="G10" s="23" t="s">
        <v>1385</v>
      </c>
      <c r="H10" s="10" t="s">
        <v>1826</v>
      </c>
      <c r="I10" s="35" t="s">
        <v>7017</v>
      </c>
      <c r="J10" s="33" t="s">
        <v>1337</v>
      </c>
      <c r="N10" s="41"/>
    </row>
    <row r="11" spans="1:14" x14ac:dyDescent="0.25">
      <c r="A11" s="23" t="s">
        <v>1840</v>
      </c>
      <c r="B11" s="10" t="s">
        <v>1841</v>
      </c>
      <c r="C11" s="23" t="s">
        <v>1826</v>
      </c>
      <c r="D11" s="28" t="s">
        <v>1842</v>
      </c>
      <c r="E11" s="25">
        <v>106</v>
      </c>
      <c r="F11" s="23" t="str">
        <f>VLOOKUP(B11,'[2]справочник кодов нп'!$A:$D,4,0)</f>
        <v>сельские населенные пункты с численностью населения менее 1 000 человек.</v>
      </c>
      <c r="G11" s="23" t="s">
        <v>1385</v>
      </c>
      <c r="H11" s="10" t="s">
        <v>1826</v>
      </c>
      <c r="I11" s="35" t="s">
        <v>7017</v>
      </c>
      <c r="J11" s="33" t="s">
        <v>1337</v>
      </c>
      <c r="N11" s="41"/>
    </row>
    <row r="12" spans="1:14" x14ac:dyDescent="0.25">
      <c r="A12" s="23" t="s">
        <v>1843</v>
      </c>
      <c r="B12" s="10" t="s">
        <v>1844</v>
      </c>
      <c r="C12" s="23" t="s">
        <v>1826</v>
      </c>
      <c r="D12" s="28" t="s">
        <v>1845</v>
      </c>
      <c r="E12" s="25">
        <v>106</v>
      </c>
      <c r="F12" s="23" t="str">
        <f>VLOOKUP(B12,'[2]справочник кодов нп'!$A:$D,4,0)</f>
        <v>сельские населенные пункты с численностью населения менее 1 000 человек.</v>
      </c>
      <c r="G12" s="23" t="s">
        <v>1385</v>
      </c>
      <c r="H12" s="10" t="s">
        <v>1826</v>
      </c>
      <c r="I12" s="35" t="s">
        <v>7017</v>
      </c>
      <c r="J12" s="33" t="s">
        <v>1337</v>
      </c>
    </row>
    <row r="13" spans="1:14" x14ac:dyDescent="0.25">
      <c r="A13" s="23" t="s">
        <v>1846</v>
      </c>
      <c r="B13" s="10" t="s">
        <v>1847</v>
      </c>
      <c r="C13" s="23" t="s">
        <v>1826</v>
      </c>
      <c r="D13" s="28" t="s">
        <v>1848</v>
      </c>
      <c r="E13" s="25">
        <v>106</v>
      </c>
      <c r="F13" s="23" t="str">
        <f>VLOOKUP(B13,'[2]справочник кодов нп'!$A:$D,4,0)</f>
        <v>сельские населенные пункты с численностью населения менее 1 000 человек.</v>
      </c>
      <c r="G13" s="23" t="s">
        <v>1385</v>
      </c>
      <c r="H13" s="10" t="s">
        <v>1826</v>
      </c>
      <c r="I13" s="35" t="s">
        <v>7017</v>
      </c>
      <c r="J13" s="33" t="s">
        <v>1337</v>
      </c>
    </row>
    <row r="14" spans="1:14" x14ac:dyDescent="0.25">
      <c r="A14" s="23" t="s">
        <v>1849</v>
      </c>
      <c r="B14" s="10" t="s">
        <v>1850</v>
      </c>
      <c r="C14" s="23" t="s">
        <v>1826</v>
      </c>
      <c r="D14" s="28" t="s">
        <v>1851</v>
      </c>
      <c r="E14" s="25">
        <v>106</v>
      </c>
      <c r="F14" s="23" t="str">
        <f>VLOOKUP(B14,'[2]справочник кодов нп'!$A:$D,4,0)</f>
        <v>сельские населенные пункты с численностью населения менее 1 000 человек.</v>
      </c>
      <c r="G14" s="23" t="s">
        <v>1385</v>
      </c>
      <c r="H14" s="10" t="s">
        <v>1826</v>
      </c>
      <c r="I14" s="35" t="s">
        <v>7017</v>
      </c>
      <c r="J14" s="33" t="s">
        <v>1337</v>
      </c>
    </row>
    <row r="15" spans="1:14" x14ac:dyDescent="0.25">
      <c r="A15" s="23" t="s">
        <v>1852</v>
      </c>
      <c r="B15" s="10" t="s">
        <v>1853</v>
      </c>
      <c r="C15" s="23" t="s">
        <v>1826</v>
      </c>
      <c r="D15" s="28" t="s">
        <v>1854</v>
      </c>
      <c r="E15" s="25">
        <v>106</v>
      </c>
      <c r="F15" s="23" t="str">
        <f>VLOOKUP(B15,'[2]справочник кодов нп'!$A:$D,4,0)</f>
        <v>сельские населенные пункты с численностью населения менее 1 000 человек.</v>
      </c>
      <c r="G15" s="23" t="s">
        <v>1385</v>
      </c>
      <c r="H15" s="10" t="s">
        <v>1826</v>
      </c>
      <c r="I15" s="35" t="s">
        <v>7017</v>
      </c>
      <c r="J15" s="33" t="s">
        <v>1337</v>
      </c>
    </row>
    <row r="16" spans="1:14" x14ac:dyDescent="0.25">
      <c r="A16" s="23" t="s">
        <v>4981</v>
      </c>
      <c r="B16" s="10" t="s">
        <v>4982</v>
      </c>
      <c r="C16" s="23" t="s">
        <v>1826</v>
      </c>
      <c r="D16" s="28" t="s">
        <v>4471</v>
      </c>
      <c r="E16" s="25">
        <v>106</v>
      </c>
      <c r="F16" s="23" t="str">
        <f>VLOOKUP(B16,'[2]справочник кодов нп'!$A:$D,4,0)</f>
        <v>сельские населенные пункты с численностью населения менее 1 000 человек.</v>
      </c>
      <c r="G16" s="23" t="s">
        <v>1385</v>
      </c>
      <c r="H16" s="10" t="s">
        <v>1826</v>
      </c>
      <c r="I16" s="35" t="s">
        <v>7017</v>
      </c>
      <c r="J16" s="33" t="s">
        <v>1337</v>
      </c>
    </row>
    <row r="17" spans="1:10" x14ac:dyDescent="0.25">
      <c r="A17" s="23" t="s">
        <v>4983</v>
      </c>
      <c r="B17" s="10" t="s">
        <v>4984</v>
      </c>
      <c r="C17" s="23" t="s">
        <v>1826</v>
      </c>
      <c r="D17" s="28" t="s">
        <v>4985</v>
      </c>
      <c r="E17" s="25">
        <v>106</v>
      </c>
      <c r="F17" s="23" t="str">
        <f>VLOOKUP(B17,'[2]справочник кодов нп'!$A:$D,4,0)</f>
        <v>сельские населенные пункты с численностью населения менее 1 000 человек.</v>
      </c>
      <c r="G17" s="23" t="s">
        <v>1385</v>
      </c>
      <c r="H17" s="10" t="s">
        <v>1826</v>
      </c>
      <c r="I17" s="35" t="s">
        <v>7017</v>
      </c>
      <c r="J17" s="33" t="s">
        <v>1337</v>
      </c>
    </row>
    <row r="18" spans="1:10" x14ac:dyDescent="0.25">
      <c r="A18" s="23" t="s">
        <v>4986</v>
      </c>
      <c r="B18" s="10" t="s">
        <v>4987</v>
      </c>
      <c r="C18" s="23" t="s">
        <v>1826</v>
      </c>
      <c r="D18" s="28" t="s">
        <v>4988</v>
      </c>
      <c r="E18" s="25">
        <v>106</v>
      </c>
      <c r="F18" s="23" t="str">
        <f>VLOOKUP(B18,'[2]справочник кодов нп'!$A:$D,4,0)</f>
        <v>сельские населенные пункты с численностью населения менее 1 000 человек.</v>
      </c>
      <c r="G18" s="45" t="s">
        <v>1385</v>
      </c>
      <c r="H18" s="10" t="s">
        <v>1826</v>
      </c>
      <c r="I18" s="35" t="s">
        <v>7017</v>
      </c>
      <c r="J18" s="33" t="s">
        <v>1337</v>
      </c>
    </row>
    <row r="19" spans="1:10" x14ac:dyDescent="0.25">
      <c r="A19" s="23" t="s">
        <v>4989</v>
      </c>
      <c r="B19" s="10" t="s">
        <v>4990</v>
      </c>
      <c r="C19" s="23" t="s">
        <v>1826</v>
      </c>
      <c r="D19" s="28" t="s">
        <v>4991</v>
      </c>
      <c r="E19" s="25">
        <v>106</v>
      </c>
      <c r="F19" s="23" t="str">
        <f>VLOOKUP(B19,'[2]справочник кодов нп'!$A:$D,4,0)</f>
        <v>сельские населенные пункты с численностью населения менее 1 000 человек.</v>
      </c>
      <c r="G19" s="23" t="s">
        <v>1385</v>
      </c>
      <c r="H19" s="10" t="s">
        <v>1826</v>
      </c>
      <c r="I19" s="35" t="s">
        <v>7017</v>
      </c>
      <c r="J19" s="33" t="s">
        <v>1337</v>
      </c>
    </row>
    <row r="20" spans="1:10" x14ac:dyDescent="0.25">
      <c r="A20" s="23" t="s">
        <v>4992</v>
      </c>
      <c r="B20" s="10" t="s">
        <v>4993</v>
      </c>
      <c r="C20" s="23" t="s">
        <v>1826</v>
      </c>
      <c r="D20" s="28" t="s">
        <v>4994</v>
      </c>
      <c r="E20" s="25">
        <v>106</v>
      </c>
      <c r="F20" s="23" t="str">
        <f>VLOOKUP(B20,'[2]справочник кодов нп'!$A:$D,4,0)</f>
        <v>сельские населенные пункты с численностью населения менее 1 000 человек.</v>
      </c>
      <c r="G20" s="23" t="s">
        <v>1385</v>
      </c>
      <c r="H20" s="10" t="s">
        <v>1826</v>
      </c>
      <c r="I20" s="35" t="s">
        <v>7017</v>
      </c>
      <c r="J20" s="33" t="s">
        <v>1337</v>
      </c>
    </row>
    <row r="21" spans="1:10" x14ac:dyDescent="0.25">
      <c r="A21" s="23" t="s">
        <v>5166</v>
      </c>
      <c r="B21" s="10" t="s">
        <v>5167</v>
      </c>
      <c r="C21" s="23" t="s">
        <v>1826</v>
      </c>
      <c r="D21" s="28" t="s">
        <v>2806</v>
      </c>
      <c r="E21" s="25">
        <v>106</v>
      </c>
      <c r="F21" s="23" t="str">
        <f>VLOOKUP(B21,'[2]справочник кодов нп'!$A:$D,4,0)</f>
        <v>сельские населенные пункты с численностью населения менее 1 000 человек.</v>
      </c>
      <c r="G21" s="23" t="s">
        <v>1385</v>
      </c>
      <c r="H21" s="10" t="s">
        <v>1826</v>
      </c>
      <c r="I21" s="35" t="s">
        <v>7017</v>
      </c>
      <c r="J21" s="33" t="s">
        <v>1337</v>
      </c>
    </row>
    <row r="22" spans="1:10" x14ac:dyDescent="0.25">
      <c r="A22" s="23" t="s">
        <v>5168</v>
      </c>
      <c r="B22" s="10" t="s">
        <v>5169</v>
      </c>
      <c r="C22" s="23" t="s">
        <v>1826</v>
      </c>
      <c r="D22" s="28" t="s">
        <v>5170</v>
      </c>
      <c r="E22" s="25">
        <v>106</v>
      </c>
      <c r="F22" s="23" t="str">
        <f>VLOOKUP(B22,'[2]справочник кодов нп'!$A:$D,4,0)</f>
        <v>сельские населенные пункты с численностью населения менее 1 000 человек.</v>
      </c>
      <c r="G22" s="23" t="s">
        <v>1385</v>
      </c>
      <c r="H22" s="10" t="s">
        <v>1826</v>
      </c>
      <c r="I22" s="35" t="s">
        <v>7017</v>
      </c>
      <c r="J22" s="33" t="s">
        <v>1337</v>
      </c>
    </row>
    <row r="23" spans="1:10" x14ac:dyDescent="0.25">
      <c r="A23" s="23" t="s">
        <v>5486</v>
      </c>
      <c r="B23" s="10" t="s">
        <v>5487</v>
      </c>
      <c r="C23" s="23" t="s">
        <v>1826</v>
      </c>
      <c r="D23" s="28" t="s">
        <v>1507</v>
      </c>
      <c r="E23" s="25">
        <v>106</v>
      </c>
      <c r="F23" s="23" t="str">
        <f>VLOOKUP(B23,'[2]справочник кодов нп'!$A:$D,4,0)</f>
        <v>сельские населенные пункты с численностью населения менее 1 000 человек.</v>
      </c>
      <c r="G23" s="23" t="s">
        <v>1385</v>
      </c>
      <c r="H23" s="10" t="s">
        <v>1826</v>
      </c>
      <c r="I23" s="35" t="s">
        <v>7017</v>
      </c>
      <c r="J23" s="33" t="s">
        <v>1337</v>
      </c>
    </row>
    <row r="24" spans="1:10" x14ac:dyDescent="0.25">
      <c r="A24" s="23" t="s">
        <v>5599</v>
      </c>
      <c r="B24" s="10" t="s">
        <v>5600</v>
      </c>
      <c r="C24" s="23" t="s">
        <v>1826</v>
      </c>
      <c r="D24" s="28" t="s">
        <v>5601</v>
      </c>
      <c r="E24" s="25">
        <v>106</v>
      </c>
      <c r="F24" s="23" t="str">
        <f>VLOOKUP(B24,'[2]справочник кодов нп'!$A:$D,4,0)</f>
        <v>сельские населенные пункты с численностью населения менее 1 000 человек.</v>
      </c>
      <c r="G24" s="23" t="s">
        <v>1385</v>
      </c>
      <c r="H24" s="10" t="s">
        <v>1826</v>
      </c>
      <c r="I24" s="35" t="s">
        <v>7017</v>
      </c>
      <c r="J24" s="33" t="s">
        <v>1337</v>
      </c>
    </row>
    <row r="25" spans="1:10" x14ac:dyDescent="0.25">
      <c r="A25" s="23" t="s">
        <v>5602</v>
      </c>
      <c r="B25" s="10" t="s">
        <v>5603</v>
      </c>
      <c r="C25" s="23" t="s">
        <v>1826</v>
      </c>
      <c r="D25" s="28" t="s">
        <v>5604</v>
      </c>
      <c r="E25" s="25">
        <v>106</v>
      </c>
      <c r="F25" s="23" t="str">
        <f>VLOOKUP(B25,'[2]справочник кодов нп'!$A:$D,4,0)</f>
        <v>сельские населенные пункты с численностью населения менее 1 000 человек.</v>
      </c>
      <c r="G25" s="23" t="s">
        <v>1385</v>
      </c>
      <c r="H25" s="10" t="s">
        <v>1826</v>
      </c>
      <c r="I25" s="35" t="s">
        <v>7017</v>
      </c>
      <c r="J25" s="33" t="s">
        <v>1337</v>
      </c>
    </row>
    <row r="26" spans="1:10" x14ac:dyDescent="0.25">
      <c r="A26" s="23" t="s">
        <v>5605</v>
      </c>
      <c r="B26" s="10" t="s">
        <v>5606</v>
      </c>
      <c r="C26" s="23" t="s">
        <v>1826</v>
      </c>
      <c r="D26" s="28" t="s">
        <v>5133</v>
      </c>
      <c r="E26" s="25">
        <v>106</v>
      </c>
      <c r="F26" s="23" t="str">
        <f>VLOOKUP(B26,'[2]справочник кодов нп'!$A:$D,4,0)</f>
        <v>сельские населенные пункты с численностью населения менее 1 000 человек.</v>
      </c>
      <c r="G26" s="23" t="s">
        <v>1385</v>
      </c>
      <c r="H26" s="10" t="s">
        <v>1826</v>
      </c>
      <c r="I26" s="35" t="s">
        <v>7017</v>
      </c>
      <c r="J26" s="33" t="s">
        <v>1337</v>
      </c>
    </row>
    <row r="27" spans="1:10" x14ac:dyDescent="0.25">
      <c r="A27" s="23" t="s">
        <v>5607</v>
      </c>
      <c r="B27" s="10" t="s">
        <v>5608</v>
      </c>
      <c r="C27" s="23" t="s">
        <v>1826</v>
      </c>
      <c r="D27" s="28" t="s">
        <v>5609</v>
      </c>
      <c r="E27" s="25">
        <v>106</v>
      </c>
      <c r="F27" s="23" t="str">
        <f>VLOOKUP(B27,'[2]справочник кодов нп'!$A:$D,4,0)</f>
        <v>сельские населенные пункты с численностью населения менее 1 000 человек.</v>
      </c>
      <c r="G27" s="23" t="s">
        <v>1385</v>
      </c>
      <c r="H27" s="10" t="s">
        <v>1826</v>
      </c>
      <c r="I27" s="35" t="s">
        <v>7017</v>
      </c>
      <c r="J27" s="33" t="s">
        <v>1337</v>
      </c>
    </row>
    <row r="28" spans="1:10" x14ac:dyDescent="0.25">
      <c r="A28" s="23" t="s">
        <v>5610</v>
      </c>
      <c r="B28" s="10" t="s">
        <v>5611</v>
      </c>
      <c r="C28" s="23" t="s">
        <v>1826</v>
      </c>
      <c r="D28" s="28" t="s">
        <v>5612</v>
      </c>
      <c r="E28" s="25">
        <v>106</v>
      </c>
      <c r="F28" s="23" t="str">
        <f>VLOOKUP(B28,'[2]справочник кодов нп'!$A:$D,4,0)</f>
        <v>сельские населенные пункты с численностью населения менее 1 000 человек.</v>
      </c>
      <c r="G28" s="23" t="s">
        <v>1385</v>
      </c>
      <c r="H28" s="10" t="s">
        <v>1826</v>
      </c>
      <c r="I28" s="35" t="s">
        <v>7017</v>
      </c>
      <c r="J28" s="33" t="s">
        <v>1337</v>
      </c>
    </row>
    <row r="29" spans="1:10" x14ac:dyDescent="0.25">
      <c r="A29" s="23" t="s">
        <v>5613</v>
      </c>
      <c r="B29" s="10" t="s">
        <v>5614</v>
      </c>
      <c r="C29" s="23" t="s">
        <v>1826</v>
      </c>
      <c r="D29" s="28" t="s">
        <v>5615</v>
      </c>
      <c r="E29" s="25">
        <v>106</v>
      </c>
      <c r="F29" s="23" t="str">
        <f>VLOOKUP(B29,'[2]справочник кодов нп'!$A:$D,4,0)</f>
        <v>сельские населенные пункты с численностью населения менее 1 000 человек.</v>
      </c>
      <c r="G29" s="23" t="s">
        <v>1385</v>
      </c>
      <c r="H29" s="10" t="s">
        <v>1826</v>
      </c>
      <c r="I29" s="35" t="s">
        <v>7017</v>
      </c>
      <c r="J29" s="33" t="s">
        <v>1337</v>
      </c>
    </row>
    <row r="30" spans="1:10" x14ac:dyDescent="0.25">
      <c r="A30" s="23" t="s">
        <v>5616</v>
      </c>
      <c r="B30" s="10" t="s">
        <v>5617</v>
      </c>
      <c r="C30" s="23" t="s">
        <v>1826</v>
      </c>
      <c r="D30" s="28" t="s">
        <v>5618</v>
      </c>
      <c r="E30" s="25">
        <v>106</v>
      </c>
      <c r="F30" s="23" t="str">
        <f>VLOOKUP(B30,'[2]справочник кодов нп'!$A:$D,4,0)</f>
        <v>сельские населенные пункты с численностью населения менее 1 000 человек.</v>
      </c>
      <c r="G30" s="23" t="s">
        <v>1385</v>
      </c>
      <c r="H30" s="10" t="s">
        <v>1826</v>
      </c>
      <c r="I30" s="35" t="s">
        <v>7017</v>
      </c>
      <c r="J30" s="33" t="s">
        <v>1337</v>
      </c>
    </row>
    <row r="31" spans="1:10" x14ac:dyDescent="0.25">
      <c r="A31" s="23" t="s">
        <v>6770</v>
      </c>
      <c r="B31" s="10" t="s">
        <v>6771</v>
      </c>
      <c r="C31" s="23" t="s">
        <v>1826</v>
      </c>
      <c r="D31" s="28" t="s">
        <v>6772</v>
      </c>
      <c r="E31" s="25">
        <v>106</v>
      </c>
      <c r="F31" s="23" t="str">
        <f>VLOOKUP(B31,'[2]справочник кодов нп'!$A:$D,4,0)</f>
        <v>сельские населенные пункты с численностью населения менее 1 000 человек.</v>
      </c>
      <c r="G31" s="23" t="s">
        <v>1385</v>
      </c>
      <c r="H31" s="10" t="s">
        <v>1826</v>
      </c>
      <c r="I31" s="35" t="s">
        <v>7017</v>
      </c>
      <c r="J31" s="33" t="s">
        <v>1337</v>
      </c>
    </row>
    <row r="32" spans="1:10" x14ac:dyDescent="0.25">
      <c r="A32" s="23" t="s">
        <v>6773</v>
      </c>
      <c r="B32" s="10" t="s">
        <v>6774</v>
      </c>
      <c r="C32" s="23" t="s">
        <v>1826</v>
      </c>
      <c r="D32" s="28" t="s">
        <v>6775</v>
      </c>
      <c r="E32" s="25">
        <v>106</v>
      </c>
      <c r="F32" s="23" t="str">
        <f>VLOOKUP(B32,'[2]справочник кодов нп'!$A:$D,4,0)</f>
        <v>городские населенные пункты с численностью населения менее 50 000 человек;</v>
      </c>
      <c r="G32" s="23" t="s">
        <v>1385</v>
      </c>
      <c r="H32" s="10" t="s">
        <v>1826</v>
      </c>
      <c r="I32" s="35" t="s">
        <v>7017</v>
      </c>
      <c r="J32" s="33" t="s">
        <v>1337</v>
      </c>
    </row>
    <row r="33" spans="1:10" x14ac:dyDescent="0.25">
      <c r="A33" s="23" t="s">
        <v>6847</v>
      </c>
      <c r="B33" s="10" t="s">
        <v>6848</v>
      </c>
      <c r="C33" s="23" t="s">
        <v>1826</v>
      </c>
      <c r="D33" s="28" t="s">
        <v>6846</v>
      </c>
      <c r="E33" s="25">
        <v>106</v>
      </c>
      <c r="F33" s="23" t="str">
        <f>VLOOKUP(B33,'[2]справочник кодов нп'!$A:$D,4,0)</f>
        <v>межселенная территория</v>
      </c>
      <c r="G33" s="23" t="s">
        <v>1385</v>
      </c>
      <c r="H33" s="10" t="s">
        <v>1826</v>
      </c>
      <c r="I33" s="35" t="s">
        <v>7019</v>
      </c>
      <c r="J33" s="33" t="s">
        <v>1337</v>
      </c>
    </row>
    <row r="34" spans="1:10" x14ac:dyDescent="0.25">
      <c r="A34" s="23" t="s">
        <v>1457</v>
      </c>
      <c r="B34" s="10" t="s">
        <v>1458</v>
      </c>
      <c r="C34" s="23" t="s">
        <v>1459</v>
      </c>
      <c r="D34" s="28" t="s">
        <v>1460</v>
      </c>
      <c r="E34" s="25">
        <v>106</v>
      </c>
      <c r="F34" s="23" t="str">
        <f>VLOOKUP(B34,'[2]справочник кодов нп'!$A:$D,4,0)</f>
        <v>сельские населенные пункты с численностью населения менее 1 000 человек.</v>
      </c>
      <c r="G34" s="45" t="s">
        <v>1385</v>
      </c>
      <c r="H34" s="10" t="s">
        <v>1459</v>
      </c>
      <c r="I34" s="35" t="s">
        <v>7017</v>
      </c>
      <c r="J34" s="33" t="s">
        <v>1337</v>
      </c>
    </row>
    <row r="35" spans="1:10" x14ac:dyDescent="0.25">
      <c r="A35" s="23" t="s">
        <v>1555</v>
      </c>
      <c r="B35" s="10" t="s">
        <v>1556</v>
      </c>
      <c r="C35" s="23" t="s">
        <v>1459</v>
      </c>
      <c r="D35" s="28" t="s">
        <v>1557</v>
      </c>
      <c r="E35" s="25">
        <v>106</v>
      </c>
      <c r="F35" s="23" t="str">
        <f>VLOOKUP(B35,'[2]справочник кодов нп'!$A:$D,4,0)</f>
        <v>сельские населенные пункты с численностью населения менее 1 000 человек.</v>
      </c>
      <c r="G35" s="45" t="s">
        <v>1385</v>
      </c>
      <c r="H35" s="10" t="s">
        <v>1459</v>
      </c>
      <c r="I35" s="35" t="s">
        <v>7017</v>
      </c>
      <c r="J35" s="33" t="s">
        <v>1337</v>
      </c>
    </row>
    <row r="36" spans="1:10" x14ac:dyDescent="0.25">
      <c r="A36" s="23" t="s">
        <v>1855</v>
      </c>
      <c r="B36" s="10" t="s">
        <v>1856</v>
      </c>
      <c r="C36" s="23" t="s">
        <v>1459</v>
      </c>
      <c r="D36" s="28" t="s">
        <v>1857</v>
      </c>
      <c r="E36" s="25">
        <v>106</v>
      </c>
      <c r="F36" s="23" t="str">
        <f>VLOOKUP(B36,'[2]справочник кодов нп'!$A:$D,4,0)</f>
        <v>сельские населенные пункты с численностью населения менее 1 000 человек.</v>
      </c>
      <c r="G36" s="23" t="s">
        <v>1385</v>
      </c>
      <c r="H36" s="10" t="s">
        <v>1459</v>
      </c>
      <c r="I36" s="35" t="s">
        <v>7017</v>
      </c>
      <c r="J36" s="33" t="s">
        <v>1337</v>
      </c>
    </row>
    <row r="37" spans="1:10" x14ac:dyDescent="0.25">
      <c r="A37" s="23" t="s">
        <v>1858</v>
      </c>
      <c r="B37" s="10" t="s">
        <v>1859</v>
      </c>
      <c r="C37" s="23" t="s">
        <v>1459</v>
      </c>
      <c r="D37" s="28" t="s">
        <v>1860</v>
      </c>
      <c r="E37" s="25">
        <v>106</v>
      </c>
      <c r="F37" s="23" t="str">
        <f>VLOOKUP(B37,'[2]справочник кодов нп'!$A:$D,4,0)</f>
        <v>сельские населенные пункты с численностью населения менее 1 000 человек.</v>
      </c>
      <c r="G37" s="23" t="s">
        <v>1385</v>
      </c>
      <c r="H37" s="10" t="s">
        <v>1459</v>
      </c>
      <c r="I37" s="35" t="s">
        <v>7017</v>
      </c>
      <c r="J37" s="33" t="s">
        <v>1337</v>
      </c>
    </row>
    <row r="38" spans="1:10" x14ac:dyDescent="0.25">
      <c r="A38" s="23" t="s">
        <v>1861</v>
      </c>
      <c r="B38" s="10" t="s">
        <v>1862</v>
      </c>
      <c r="C38" s="23" t="s">
        <v>1459</v>
      </c>
      <c r="D38" s="28" t="s">
        <v>1863</v>
      </c>
      <c r="E38" s="25">
        <v>106</v>
      </c>
      <c r="F38" s="23" t="str">
        <f>VLOOKUP(B38,'[2]справочник кодов нп'!$A:$D,4,0)</f>
        <v>сельские населенные пункты с численностью населения менее 1 000 человек.</v>
      </c>
      <c r="G38" s="23" t="s">
        <v>1385</v>
      </c>
      <c r="H38" s="10" t="s">
        <v>1459</v>
      </c>
      <c r="I38" s="35" t="s">
        <v>7017</v>
      </c>
      <c r="J38" s="33" t="s">
        <v>1337</v>
      </c>
    </row>
    <row r="39" spans="1:10" x14ac:dyDescent="0.25">
      <c r="A39" s="23" t="s">
        <v>1864</v>
      </c>
      <c r="B39" s="10" t="s">
        <v>1865</v>
      </c>
      <c r="C39" s="23" t="s">
        <v>1459</v>
      </c>
      <c r="D39" s="28" t="s">
        <v>1866</v>
      </c>
      <c r="E39" s="25">
        <v>106</v>
      </c>
      <c r="F39" s="23" t="str">
        <f>VLOOKUP(B39,'[2]справочник кодов нп'!$A:$D,4,0)</f>
        <v>сельские населенные пункты с численностью населения менее 1 000 человек.</v>
      </c>
      <c r="G39" s="23" t="s">
        <v>1385</v>
      </c>
      <c r="H39" s="10" t="s">
        <v>1459</v>
      </c>
      <c r="I39" s="35" t="s">
        <v>7017</v>
      </c>
      <c r="J39" s="33" t="s">
        <v>1337</v>
      </c>
    </row>
    <row r="40" spans="1:10" x14ac:dyDescent="0.25">
      <c r="A40" s="23" t="s">
        <v>1867</v>
      </c>
      <c r="B40" s="10" t="s">
        <v>1868</v>
      </c>
      <c r="C40" s="23" t="s">
        <v>1459</v>
      </c>
      <c r="D40" s="28" t="s">
        <v>1869</v>
      </c>
      <c r="E40" s="25">
        <v>106</v>
      </c>
      <c r="F40" s="23" t="str">
        <f>VLOOKUP(B40,'[2]справочник кодов нп'!$A:$D,4,0)</f>
        <v>сельские населенные пункты с численностью населения менее 1 000 человек.</v>
      </c>
      <c r="G40" s="23" t="s">
        <v>1385</v>
      </c>
      <c r="H40" s="10" t="s">
        <v>1459</v>
      </c>
      <c r="I40" s="35" t="s">
        <v>7017</v>
      </c>
      <c r="J40" s="33" t="s">
        <v>1337</v>
      </c>
    </row>
    <row r="41" spans="1:10" x14ac:dyDescent="0.25">
      <c r="A41" s="23" t="s">
        <v>1870</v>
      </c>
      <c r="B41" s="10" t="s">
        <v>1871</v>
      </c>
      <c r="C41" s="23" t="s">
        <v>1459</v>
      </c>
      <c r="D41" s="28" t="s">
        <v>1872</v>
      </c>
      <c r="E41" s="25">
        <v>106</v>
      </c>
      <c r="F41" s="23" t="str">
        <f>VLOOKUP(B41,'[2]справочник кодов нп'!$A:$D,4,0)</f>
        <v>сельские населенные пункты с численностью населения менее 1 000 человек.</v>
      </c>
      <c r="G41" s="23" t="s">
        <v>1385</v>
      </c>
      <c r="H41" s="10" t="s">
        <v>1459</v>
      </c>
      <c r="I41" s="35" t="s">
        <v>7017</v>
      </c>
      <c r="J41" s="33" t="s">
        <v>1337</v>
      </c>
    </row>
    <row r="42" spans="1:10" x14ac:dyDescent="0.25">
      <c r="A42" s="23" t="s">
        <v>1873</v>
      </c>
      <c r="B42" s="10" t="s">
        <v>1874</v>
      </c>
      <c r="C42" s="23" t="s">
        <v>1459</v>
      </c>
      <c r="D42" s="28" t="s">
        <v>1875</v>
      </c>
      <c r="E42" s="25">
        <v>106</v>
      </c>
      <c r="F42" s="23" t="str">
        <f>VLOOKUP(B42,'[2]справочник кодов нп'!$A:$D,4,0)</f>
        <v>сельские населенные пункты с численностью населения менее 1 000 человек.</v>
      </c>
      <c r="G42" s="23" t="s">
        <v>1385</v>
      </c>
      <c r="H42" s="10" t="s">
        <v>1459</v>
      </c>
      <c r="I42" s="35" t="s">
        <v>7017</v>
      </c>
      <c r="J42" s="33" t="s">
        <v>1337</v>
      </c>
    </row>
    <row r="43" spans="1:10" x14ac:dyDescent="0.25">
      <c r="A43" s="23" t="s">
        <v>1876</v>
      </c>
      <c r="B43" s="10" t="s">
        <v>1877</v>
      </c>
      <c r="C43" s="23" t="s">
        <v>1459</v>
      </c>
      <c r="D43" s="28" t="s">
        <v>1878</v>
      </c>
      <c r="E43" s="25">
        <v>106</v>
      </c>
      <c r="F43" s="23" t="str">
        <f>VLOOKUP(B43,'[2]справочник кодов нп'!$A:$D,4,0)</f>
        <v>сельские населенные пункты с численностью населения менее 1 000 человек.</v>
      </c>
      <c r="G43" s="23" t="s">
        <v>1385</v>
      </c>
      <c r="H43" s="10" t="s">
        <v>1459</v>
      </c>
      <c r="I43" s="35" t="s">
        <v>7017</v>
      </c>
      <c r="J43" s="33" t="s">
        <v>1337</v>
      </c>
    </row>
    <row r="44" spans="1:10" x14ac:dyDescent="0.25">
      <c r="A44" s="23" t="s">
        <v>1879</v>
      </c>
      <c r="B44" s="10" t="s">
        <v>1880</v>
      </c>
      <c r="C44" s="23" t="s">
        <v>1459</v>
      </c>
      <c r="D44" s="28" t="s">
        <v>1881</v>
      </c>
      <c r="E44" s="25">
        <v>106</v>
      </c>
      <c r="F44" s="23" t="str">
        <f>VLOOKUP(B44,'[2]справочник кодов нп'!$A:$D,4,0)</f>
        <v>сельские населенные пункты с численностью населения менее 1 000 человек.</v>
      </c>
      <c r="G44" s="23" t="s">
        <v>1385</v>
      </c>
      <c r="H44" s="10" t="s">
        <v>1459</v>
      </c>
      <c r="I44" s="35" t="s">
        <v>7017</v>
      </c>
      <c r="J44" s="33" t="s">
        <v>1337</v>
      </c>
    </row>
    <row r="45" spans="1:10" x14ac:dyDescent="0.25">
      <c r="A45" s="23" t="s">
        <v>1882</v>
      </c>
      <c r="B45" s="10" t="s">
        <v>1883</v>
      </c>
      <c r="C45" s="23" t="s">
        <v>1459</v>
      </c>
      <c r="D45" s="28" t="s">
        <v>1884</v>
      </c>
      <c r="E45" s="25">
        <v>106</v>
      </c>
      <c r="F45" s="23" t="str">
        <f>VLOOKUP(B45,'[2]справочник кодов нп'!$A:$D,4,0)</f>
        <v>сельские населенные пункты с численностью населения менее 1 000 человек.</v>
      </c>
      <c r="G45" s="23" t="s">
        <v>1385</v>
      </c>
      <c r="H45" s="10" t="s">
        <v>1459</v>
      </c>
      <c r="I45" s="35" t="s">
        <v>7017</v>
      </c>
      <c r="J45" s="33" t="s">
        <v>1337</v>
      </c>
    </row>
    <row r="46" spans="1:10" x14ac:dyDescent="0.25">
      <c r="A46" s="23" t="s">
        <v>1885</v>
      </c>
      <c r="B46" s="10" t="s">
        <v>1886</v>
      </c>
      <c r="C46" s="23" t="s">
        <v>1459</v>
      </c>
      <c r="D46" s="28" t="s">
        <v>1887</v>
      </c>
      <c r="E46" s="25">
        <v>106</v>
      </c>
      <c r="F46" s="23" t="str">
        <f>VLOOKUP(B46,'[2]справочник кодов нп'!$A:$D,4,0)</f>
        <v>сельские населенные пункты с численностью населения менее 1 000 человек.</v>
      </c>
      <c r="G46" s="23" t="s">
        <v>1385</v>
      </c>
      <c r="H46" s="10" t="s">
        <v>1459</v>
      </c>
      <c r="I46" s="35" t="s">
        <v>7017</v>
      </c>
      <c r="J46" s="33" t="s">
        <v>1337</v>
      </c>
    </row>
    <row r="47" spans="1:10" x14ac:dyDescent="0.25">
      <c r="A47" s="23" t="s">
        <v>1888</v>
      </c>
      <c r="B47" s="10" t="s">
        <v>1889</v>
      </c>
      <c r="C47" s="23" t="s">
        <v>1459</v>
      </c>
      <c r="D47" s="28" t="s">
        <v>1890</v>
      </c>
      <c r="E47" s="25">
        <v>106</v>
      </c>
      <c r="F47" s="23" t="str">
        <f>VLOOKUP(B47,'[2]справочник кодов нп'!$A:$D,4,0)</f>
        <v>сельские населенные пункты с численностью населения менее 1 000 человек.</v>
      </c>
      <c r="G47" s="23" t="s">
        <v>1385</v>
      </c>
      <c r="H47" s="10" t="s">
        <v>1459</v>
      </c>
      <c r="I47" s="35" t="s">
        <v>7017</v>
      </c>
      <c r="J47" s="33" t="s">
        <v>1337</v>
      </c>
    </row>
    <row r="48" spans="1:10" x14ac:dyDescent="0.25">
      <c r="A48" s="23" t="s">
        <v>1891</v>
      </c>
      <c r="B48" s="10" t="s">
        <v>1892</v>
      </c>
      <c r="C48" s="23" t="s">
        <v>1459</v>
      </c>
      <c r="D48" s="28" t="s">
        <v>1893</v>
      </c>
      <c r="E48" s="25">
        <v>106</v>
      </c>
      <c r="F48" s="23" t="str">
        <f>VLOOKUP(B48,'[2]справочник кодов нп'!$A:$D,4,0)</f>
        <v>сельские населенные пункты с численностью населения менее 1 000 человек.</v>
      </c>
      <c r="G48" s="23" t="s">
        <v>1385</v>
      </c>
      <c r="H48" s="10" t="s">
        <v>1459</v>
      </c>
      <c r="I48" s="35" t="s">
        <v>7017</v>
      </c>
      <c r="J48" s="33" t="s">
        <v>1337</v>
      </c>
    </row>
    <row r="49" spans="1:10" x14ac:dyDescent="0.25">
      <c r="A49" s="23" t="s">
        <v>1894</v>
      </c>
      <c r="B49" s="10" t="s">
        <v>1895</v>
      </c>
      <c r="C49" s="23" t="s">
        <v>1459</v>
      </c>
      <c r="D49" s="28" t="s">
        <v>1896</v>
      </c>
      <c r="E49" s="25">
        <v>106</v>
      </c>
      <c r="F49" s="23" t="str">
        <f>VLOOKUP(B49,'[2]справочник кодов нп'!$A:$D,4,0)</f>
        <v>сельские населенные пункты с численностью населения менее 1 000 человек.</v>
      </c>
      <c r="G49" s="23" t="s">
        <v>1385</v>
      </c>
      <c r="H49" s="10" t="s">
        <v>1459</v>
      </c>
      <c r="I49" s="35" t="s">
        <v>7017</v>
      </c>
      <c r="J49" s="33" t="s">
        <v>1337</v>
      </c>
    </row>
    <row r="50" spans="1:10" x14ac:dyDescent="0.25">
      <c r="A50" s="23" t="s">
        <v>1897</v>
      </c>
      <c r="B50" s="10" t="s">
        <v>1898</v>
      </c>
      <c r="C50" s="23" t="s">
        <v>1459</v>
      </c>
      <c r="D50" s="28" t="s">
        <v>1899</v>
      </c>
      <c r="E50" s="25">
        <v>106</v>
      </c>
      <c r="F50" s="23" t="str">
        <f>VLOOKUP(B50,'[2]справочник кодов нп'!$A:$D,4,0)</f>
        <v>сельские населенные пункты с численностью населения более 1 000 человек;</v>
      </c>
      <c r="G50" s="45" t="s">
        <v>1385</v>
      </c>
      <c r="H50" s="10" t="s">
        <v>1459</v>
      </c>
      <c r="I50" s="35" t="s">
        <v>7017</v>
      </c>
      <c r="J50" s="33" t="s">
        <v>1337</v>
      </c>
    </row>
    <row r="51" spans="1:10" x14ac:dyDescent="0.25">
      <c r="A51" s="23" t="s">
        <v>1900</v>
      </c>
      <c r="B51" s="10" t="s">
        <v>1901</v>
      </c>
      <c r="C51" s="23" t="s">
        <v>1459</v>
      </c>
      <c r="D51" s="28" t="s">
        <v>1902</v>
      </c>
      <c r="E51" s="25">
        <v>106</v>
      </c>
      <c r="F51" s="23" t="str">
        <f>VLOOKUP(B51,'[2]справочник кодов нп'!$A:$D,4,0)</f>
        <v>сельские населенные пункты с численностью населения менее 1 000 человек.</v>
      </c>
      <c r="G51" s="23" t="s">
        <v>1385</v>
      </c>
      <c r="H51" s="10" t="s">
        <v>1459</v>
      </c>
      <c r="I51" s="35" t="s">
        <v>7017</v>
      </c>
      <c r="J51" s="33" t="s">
        <v>1337</v>
      </c>
    </row>
    <row r="52" spans="1:10" x14ac:dyDescent="0.25">
      <c r="A52" s="23" t="s">
        <v>1903</v>
      </c>
      <c r="B52" s="10" t="s">
        <v>1904</v>
      </c>
      <c r="C52" s="23" t="s">
        <v>1459</v>
      </c>
      <c r="D52" s="28" t="s">
        <v>1905</v>
      </c>
      <c r="E52" s="25">
        <v>106</v>
      </c>
      <c r="F52" s="23" t="str">
        <f>VLOOKUP(B52,'[2]справочник кодов нп'!$A:$D,4,0)</f>
        <v>сельские населенные пункты с численностью населения менее 1 000 человек.</v>
      </c>
      <c r="G52" s="23" t="s">
        <v>1385</v>
      </c>
      <c r="H52" s="10" t="s">
        <v>1459</v>
      </c>
      <c r="I52" s="35" t="s">
        <v>7017</v>
      </c>
      <c r="J52" s="33" t="s">
        <v>1337</v>
      </c>
    </row>
    <row r="53" spans="1:10" x14ac:dyDescent="0.25">
      <c r="A53" s="23" t="s">
        <v>1906</v>
      </c>
      <c r="B53" s="10" t="s">
        <v>1907</v>
      </c>
      <c r="C53" s="23" t="s">
        <v>1459</v>
      </c>
      <c r="D53" s="28" t="s">
        <v>1908</v>
      </c>
      <c r="E53" s="25">
        <v>106</v>
      </c>
      <c r="F53" s="23" t="str">
        <f>VLOOKUP(B53,'[2]справочник кодов нп'!$A:$D,4,0)</f>
        <v>сельские населенные пункты с численностью населения менее 1 000 человек.</v>
      </c>
      <c r="G53" s="23" t="s">
        <v>1385</v>
      </c>
      <c r="H53" s="10" t="s">
        <v>1459</v>
      </c>
      <c r="I53" s="35" t="s">
        <v>7017</v>
      </c>
      <c r="J53" s="33" t="s">
        <v>1337</v>
      </c>
    </row>
    <row r="54" spans="1:10" x14ac:dyDescent="0.25">
      <c r="A54" s="23" t="s">
        <v>1909</v>
      </c>
      <c r="B54" s="10" t="s">
        <v>1910</v>
      </c>
      <c r="C54" s="23" t="s">
        <v>1459</v>
      </c>
      <c r="D54" s="28" t="s">
        <v>1911</v>
      </c>
      <c r="E54" s="25">
        <v>106</v>
      </c>
      <c r="F54" s="23" t="str">
        <f>VLOOKUP(B54,'[2]справочник кодов нп'!$A:$D,4,0)</f>
        <v>сельские населенные пункты с численностью населения менее 1 000 человек.</v>
      </c>
      <c r="G54" s="23" t="s">
        <v>1385</v>
      </c>
      <c r="H54" s="10" t="s">
        <v>1459</v>
      </c>
      <c r="I54" s="35" t="s">
        <v>7017</v>
      </c>
      <c r="J54" s="33" t="s">
        <v>1337</v>
      </c>
    </row>
    <row r="55" spans="1:10" x14ac:dyDescent="0.25">
      <c r="A55" s="23" t="s">
        <v>1912</v>
      </c>
      <c r="B55" s="10" t="s">
        <v>1913</v>
      </c>
      <c r="C55" s="23" t="s">
        <v>1459</v>
      </c>
      <c r="D55" s="28" t="s">
        <v>1914</v>
      </c>
      <c r="E55" s="25">
        <v>106</v>
      </c>
      <c r="F55" s="23" t="str">
        <f>VLOOKUP(B55,'[2]справочник кодов нп'!$A:$D,4,0)</f>
        <v>сельские населенные пункты с численностью населения менее 1 000 человек.</v>
      </c>
      <c r="G55" s="23" t="s">
        <v>1385</v>
      </c>
      <c r="H55" s="10" t="s">
        <v>1459</v>
      </c>
      <c r="I55" s="35" t="s">
        <v>7017</v>
      </c>
      <c r="J55" s="33" t="s">
        <v>1337</v>
      </c>
    </row>
    <row r="56" spans="1:10" x14ac:dyDescent="0.25">
      <c r="A56" s="23" t="s">
        <v>1915</v>
      </c>
      <c r="B56" s="10" t="s">
        <v>1916</v>
      </c>
      <c r="C56" s="23" t="s">
        <v>1459</v>
      </c>
      <c r="D56" s="28" t="s">
        <v>1917</v>
      </c>
      <c r="E56" s="25">
        <v>106</v>
      </c>
      <c r="F56" s="23" t="str">
        <f>VLOOKUP(B56,'[2]справочник кодов нп'!$A:$D,4,0)</f>
        <v>сельские населенные пункты с численностью населения менее 1 000 человек.</v>
      </c>
      <c r="G56" s="23" t="s">
        <v>1385</v>
      </c>
      <c r="H56" s="10" t="s">
        <v>1459</v>
      </c>
      <c r="I56" s="35" t="s">
        <v>7017</v>
      </c>
      <c r="J56" s="33" t="s">
        <v>1337</v>
      </c>
    </row>
    <row r="57" spans="1:10" x14ac:dyDescent="0.25">
      <c r="A57" s="23" t="s">
        <v>1918</v>
      </c>
      <c r="B57" s="10" t="s">
        <v>1919</v>
      </c>
      <c r="C57" s="23" t="s">
        <v>1459</v>
      </c>
      <c r="D57" s="28" t="s">
        <v>1920</v>
      </c>
      <c r="E57" s="25">
        <v>106</v>
      </c>
      <c r="F57" s="23" t="str">
        <f>VLOOKUP(B57,'[2]справочник кодов нп'!$A:$D,4,0)</f>
        <v>сельские населенные пункты с численностью населения менее 1 000 человек.</v>
      </c>
      <c r="G57" s="23" t="s">
        <v>1385</v>
      </c>
      <c r="H57" s="10" t="s">
        <v>1459</v>
      </c>
      <c r="I57" s="35" t="s">
        <v>7017</v>
      </c>
      <c r="J57" s="33" t="s">
        <v>1337</v>
      </c>
    </row>
    <row r="58" spans="1:10" x14ac:dyDescent="0.25">
      <c r="A58" s="23" t="s">
        <v>1921</v>
      </c>
      <c r="B58" s="10" t="s">
        <v>1922</v>
      </c>
      <c r="C58" s="23" t="s">
        <v>1459</v>
      </c>
      <c r="D58" s="28" t="s">
        <v>1923</v>
      </c>
      <c r="E58" s="25">
        <v>106</v>
      </c>
      <c r="F58" s="23" t="str">
        <f>VLOOKUP(B58,'[2]справочник кодов нп'!$A:$D,4,0)</f>
        <v>сельские населенные пункты с численностью населения менее 1 000 человек.</v>
      </c>
      <c r="G58" s="23" t="s">
        <v>1385</v>
      </c>
      <c r="H58" s="10" t="s">
        <v>1459</v>
      </c>
      <c r="I58" s="35" t="s">
        <v>7017</v>
      </c>
      <c r="J58" s="33" t="s">
        <v>1337</v>
      </c>
    </row>
    <row r="59" spans="1:10" x14ac:dyDescent="0.25">
      <c r="A59" s="23" t="s">
        <v>1924</v>
      </c>
      <c r="B59" s="10" t="s">
        <v>1925</v>
      </c>
      <c r="C59" s="23" t="s">
        <v>1459</v>
      </c>
      <c r="D59" s="28" t="s">
        <v>1926</v>
      </c>
      <c r="E59" s="25">
        <v>106</v>
      </c>
      <c r="F59" s="23" t="str">
        <f>VLOOKUP(B59,'[2]справочник кодов нп'!$A:$D,4,0)</f>
        <v>сельские населенные пункты с численностью населения менее 1 000 человек.</v>
      </c>
      <c r="G59" s="23" t="s">
        <v>1385</v>
      </c>
      <c r="H59" s="10" t="s">
        <v>1459</v>
      </c>
      <c r="I59" s="35" t="s">
        <v>7017</v>
      </c>
      <c r="J59" s="33" t="s">
        <v>1337</v>
      </c>
    </row>
    <row r="60" spans="1:10" x14ac:dyDescent="0.25">
      <c r="A60" s="23" t="s">
        <v>1927</v>
      </c>
      <c r="B60" s="10" t="s">
        <v>1928</v>
      </c>
      <c r="C60" s="23" t="s">
        <v>1459</v>
      </c>
      <c r="D60" s="28" t="s">
        <v>1929</v>
      </c>
      <c r="E60" s="25">
        <v>106</v>
      </c>
      <c r="F60" s="23" t="str">
        <f>VLOOKUP(B60,'[2]справочник кодов нп'!$A:$D,4,0)</f>
        <v>сельские населенные пункты с численностью населения менее 1 000 человек.</v>
      </c>
      <c r="G60" s="23" t="s">
        <v>1385</v>
      </c>
      <c r="H60" s="10" t="s">
        <v>1459</v>
      </c>
      <c r="I60" s="35" t="s">
        <v>7017</v>
      </c>
      <c r="J60" s="33" t="s">
        <v>1337</v>
      </c>
    </row>
    <row r="61" spans="1:10" x14ac:dyDescent="0.25">
      <c r="A61" s="23" t="s">
        <v>1930</v>
      </c>
      <c r="B61" s="10" t="s">
        <v>1931</v>
      </c>
      <c r="C61" s="23" t="s">
        <v>1459</v>
      </c>
      <c r="D61" s="28" t="s">
        <v>1932</v>
      </c>
      <c r="E61" s="25">
        <v>106</v>
      </c>
      <c r="F61" s="23" t="str">
        <f>VLOOKUP(B61,'[2]справочник кодов нп'!$A:$D,4,0)</f>
        <v>сельские населенные пункты с численностью населения менее 1 000 человек.</v>
      </c>
      <c r="G61" s="23" t="s">
        <v>1385</v>
      </c>
      <c r="H61" s="10" t="s">
        <v>1459</v>
      </c>
      <c r="I61" s="35" t="s">
        <v>7017</v>
      </c>
      <c r="J61" s="33" t="s">
        <v>1337</v>
      </c>
    </row>
    <row r="62" spans="1:10" x14ac:dyDescent="0.25">
      <c r="A62" s="23" t="s">
        <v>1933</v>
      </c>
      <c r="B62" s="10" t="s">
        <v>1934</v>
      </c>
      <c r="C62" s="23" t="s">
        <v>1459</v>
      </c>
      <c r="D62" s="28" t="s">
        <v>1935</v>
      </c>
      <c r="E62" s="25">
        <v>106</v>
      </c>
      <c r="F62" s="23" t="str">
        <f>VLOOKUP(B62,'[2]справочник кодов нп'!$A:$D,4,0)</f>
        <v>сельские населенные пункты с численностью населения менее 1 000 человек.</v>
      </c>
      <c r="G62" s="23" t="s">
        <v>1385</v>
      </c>
      <c r="H62" s="10" t="s">
        <v>1459</v>
      </c>
      <c r="I62" s="35" t="s">
        <v>7017</v>
      </c>
      <c r="J62" s="33" t="s">
        <v>1337</v>
      </c>
    </row>
    <row r="63" spans="1:10" x14ac:dyDescent="0.25">
      <c r="A63" s="23" t="s">
        <v>1936</v>
      </c>
      <c r="B63" s="10" t="s">
        <v>1937</v>
      </c>
      <c r="C63" s="23" t="s">
        <v>1459</v>
      </c>
      <c r="D63" s="28" t="s">
        <v>1938</v>
      </c>
      <c r="E63" s="25">
        <v>106</v>
      </c>
      <c r="F63" s="23" t="str">
        <f>VLOOKUP(B63,'[2]справочник кодов нп'!$A:$D,4,0)</f>
        <v>сельские населенные пункты с численностью населения менее 1 000 человек.</v>
      </c>
      <c r="G63" s="23" t="s">
        <v>1385</v>
      </c>
      <c r="H63" s="10" t="s">
        <v>1459</v>
      </c>
      <c r="I63" s="35" t="s">
        <v>7017</v>
      </c>
      <c r="J63" s="33" t="s">
        <v>1337</v>
      </c>
    </row>
    <row r="64" spans="1:10" x14ac:dyDescent="0.25">
      <c r="A64" s="23" t="s">
        <v>1939</v>
      </c>
      <c r="B64" s="10" t="s">
        <v>1940</v>
      </c>
      <c r="C64" s="23" t="s">
        <v>1459</v>
      </c>
      <c r="D64" s="28" t="s">
        <v>1941</v>
      </c>
      <c r="E64" s="25">
        <v>106</v>
      </c>
      <c r="F64" s="23" t="str">
        <f>VLOOKUP(B64,'[2]справочник кодов нп'!$A:$D,4,0)</f>
        <v>сельские населенные пункты с численностью населения менее 1 000 человек.</v>
      </c>
      <c r="G64" s="23" t="s">
        <v>1385</v>
      </c>
      <c r="H64" s="10" t="s">
        <v>1459</v>
      </c>
      <c r="I64" s="35" t="s">
        <v>7017</v>
      </c>
      <c r="J64" s="33" t="s">
        <v>1337</v>
      </c>
    </row>
    <row r="65" spans="1:10" x14ac:dyDescent="0.25">
      <c r="A65" s="23" t="s">
        <v>1942</v>
      </c>
      <c r="B65" s="10" t="s">
        <v>1943</v>
      </c>
      <c r="C65" s="23" t="s">
        <v>1459</v>
      </c>
      <c r="D65" s="28" t="s">
        <v>1944</v>
      </c>
      <c r="E65" s="25">
        <v>106</v>
      </c>
      <c r="F65" s="23" t="str">
        <f>VLOOKUP(B65,'[2]справочник кодов нп'!$A:$D,4,0)</f>
        <v>сельские населенные пункты с численностью населения менее 1 000 человек.</v>
      </c>
      <c r="G65" s="23" t="s">
        <v>1385</v>
      </c>
      <c r="H65" s="10" t="s">
        <v>1459</v>
      </c>
      <c r="I65" s="35" t="s">
        <v>7017</v>
      </c>
      <c r="J65" s="33" t="s">
        <v>1337</v>
      </c>
    </row>
    <row r="66" spans="1:10" x14ac:dyDescent="0.25">
      <c r="A66" s="23" t="s">
        <v>1945</v>
      </c>
      <c r="B66" s="10" t="s">
        <v>1946</v>
      </c>
      <c r="C66" s="23" t="s">
        <v>1459</v>
      </c>
      <c r="D66" s="28" t="s">
        <v>1947</v>
      </c>
      <c r="E66" s="25">
        <v>106</v>
      </c>
      <c r="F66" s="23" t="str">
        <f>VLOOKUP(B66,'[2]справочник кодов нп'!$A:$D,4,0)</f>
        <v>сельские населенные пункты с численностью населения менее 1 000 человек.</v>
      </c>
      <c r="G66" s="23" t="s">
        <v>1385</v>
      </c>
      <c r="H66" s="10" t="s">
        <v>1459</v>
      </c>
      <c r="I66" s="35" t="s">
        <v>7017</v>
      </c>
      <c r="J66" s="33" t="s">
        <v>1337</v>
      </c>
    </row>
    <row r="67" spans="1:10" x14ac:dyDescent="0.25">
      <c r="A67" s="23" t="s">
        <v>1948</v>
      </c>
      <c r="B67" s="10" t="s">
        <v>1949</v>
      </c>
      <c r="C67" s="23" t="s">
        <v>1459</v>
      </c>
      <c r="D67" s="28" t="s">
        <v>1950</v>
      </c>
      <c r="E67" s="25">
        <v>106</v>
      </c>
      <c r="F67" s="23" t="str">
        <f>VLOOKUP(B67,'[2]справочник кодов нп'!$A:$D,4,0)</f>
        <v>сельские населенные пункты с численностью населения менее 1 000 человек.</v>
      </c>
      <c r="G67" s="23" t="s">
        <v>1385</v>
      </c>
      <c r="H67" s="10" t="s">
        <v>1459</v>
      </c>
      <c r="I67" s="35" t="s">
        <v>7017</v>
      </c>
      <c r="J67" s="33" t="s">
        <v>1337</v>
      </c>
    </row>
    <row r="68" spans="1:10" x14ac:dyDescent="0.25">
      <c r="A68" s="23" t="s">
        <v>1951</v>
      </c>
      <c r="B68" s="10" t="s">
        <v>1952</v>
      </c>
      <c r="C68" s="23" t="s">
        <v>1459</v>
      </c>
      <c r="D68" s="28" t="s">
        <v>1953</v>
      </c>
      <c r="E68" s="25">
        <v>106</v>
      </c>
      <c r="F68" s="23" t="str">
        <f>VLOOKUP(B68,'[2]справочник кодов нп'!$A:$D,4,0)</f>
        <v>сельские населенные пункты с численностью населения менее 1 000 человек.</v>
      </c>
      <c r="G68" s="23" t="s">
        <v>1385</v>
      </c>
      <c r="H68" s="10" t="s">
        <v>1459</v>
      </c>
      <c r="I68" s="35" t="s">
        <v>7017</v>
      </c>
      <c r="J68" s="33" t="s">
        <v>1337</v>
      </c>
    </row>
    <row r="69" spans="1:10" x14ac:dyDescent="0.25">
      <c r="A69" s="23" t="s">
        <v>1954</v>
      </c>
      <c r="B69" s="10" t="s">
        <v>1955</v>
      </c>
      <c r="C69" s="23" t="s">
        <v>1459</v>
      </c>
      <c r="D69" s="28" t="s">
        <v>1956</v>
      </c>
      <c r="E69" s="25">
        <v>106</v>
      </c>
      <c r="F69" s="23" t="str">
        <f>VLOOKUP(B69,'[2]справочник кодов нп'!$A:$D,4,0)</f>
        <v>сельские населенные пункты с численностью населения менее 1 000 человек.</v>
      </c>
      <c r="G69" s="23" t="s">
        <v>1385</v>
      </c>
      <c r="H69" s="10" t="s">
        <v>1459</v>
      </c>
      <c r="I69" s="35" t="s">
        <v>7017</v>
      </c>
      <c r="J69" s="33" t="s">
        <v>1337</v>
      </c>
    </row>
    <row r="70" spans="1:10" x14ac:dyDescent="0.25">
      <c r="A70" s="23" t="s">
        <v>1957</v>
      </c>
      <c r="B70" s="10" t="s">
        <v>1958</v>
      </c>
      <c r="C70" s="23" t="s">
        <v>1459</v>
      </c>
      <c r="D70" s="28" t="s">
        <v>1959</v>
      </c>
      <c r="E70" s="25">
        <v>106</v>
      </c>
      <c r="F70" s="23" t="str">
        <f>VLOOKUP(B70,'[2]справочник кодов нп'!$A:$D,4,0)</f>
        <v>сельские населенные пункты с численностью населения менее 1 000 человек.</v>
      </c>
      <c r="G70" s="23" t="s">
        <v>1385</v>
      </c>
      <c r="H70" s="10" t="s">
        <v>1459</v>
      </c>
      <c r="I70" s="35" t="s">
        <v>7017</v>
      </c>
      <c r="J70" s="33" t="s">
        <v>1337</v>
      </c>
    </row>
    <row r="71" spans="1:10" x14ac:dyDescent="0.25">
      <c r="A71" s="23" t="s">
        <v>1960</v>
      </c>
      <c r="B71" s="10" t="s">
        <v>1961</v>
      </c>
      <c r="C71" s="23" t="s">
        <v>1459</v>
      </c>
      <c r="D71" s="28" t="s">
        <v>1962</v>
      </c>
      <c r="E71" s="25">
        <v>106</v>
      </c>
      <c r="F71" s="23" t="str">
        <f>VLOOKUP(B71,'[2]справочник кодов нп'!$A:$D,4,0)</f>
        <v>сельские населенные пункты с численностью населения менее 1 000 человек.</v>
      </c>
      <c r="G71" s="23" t="s">
        <v>1385</v>
      </c>
      <c r="H71" s="10" t="s">
        <v>1459</v>
      </c>
      <c r="I71" s="35" t="s">
        <v>7017</v>
      </c>
      <c r="J71" s="33" t="s">
        <v>1337</v>
      </c>
    </row>
    <row r="72" spans="1:10" x14ac:dyDescent="0.25">
      <c r="A72" s="23" t="s">
        <v>1963</v>
      </c>
      <c r="B72" s="10" t="s">
        <v>1964</v>
      </c>
      <c r="C72" s="23" t="s">
        <v>1459</v>
      </c>
      <c r="D72" s="28" t="s">
        <v>1965</v>
      </c>
      <c r="E72" s="25">
        <v>106</v>
      </c>
      <c r="F72" s="23" t="str">
        <f>VLOOKUP(B72,'[2]справочник кодов нп'!$A:$D,4,0)</f>
        <v>сельские населенные пункты с численностью населения менее 1 000 человек.</v>
      </c>
      <c r="G72" s="23" t="s">
        <v>1385</v>
      </c>
      <c r="H72" s="10" t="s">
        <v>1459</v>
      </c>
      <c r="I72" s="35" t="s">
        <v>7017</v>
      </c>
      <c r="J72" s="33" t="s">
        <v>1337</v>
      </c>
    </row>
    <row r="73" spans="1:10" x14ac:dyDescent="0.25">
      <c r="A73" s="23" t="s">
        <v>1966</v>
      </c>
      <c r="B73" s="10" t="s">
        <v>1967</v>
      </c>
      <c r="C73" s="23" t="s">
        <v>1459</v>
      </c>
      <c r="D73" s="28" t="s">
        <v>1968</v>
      </c>
      <c r="E73" s="25">
        <v>106</v>
      </c>
      <c r="F73" s="23" t="str">
        <f>VLOOKUP(B73,'[2]справочник кодов нп'!$A:$D,4,0)</f>
        <v>сельские населенные пункты с численностью населения менее 1 000 человек.</v>
      </c>
      <c r="G73" s="23" t="s">
        <v>1385</v>
      </c>
      <c r="H73" s="10" t="s">
        <v>1459</v>
      </c>
      <c r="I73" s="35" t="s">
        <v>7017</v>
      </c>
      <c r="J73" s="33" t="s">
        <v>1337</v>
      </c>
    </row>
    <row r="74" spans="1:10" x14ac:dyDescent="0.25">
      <c r="A74" s="23" t="s">
        <v>1969</v>
      </c>
      <c r="B74" s="10" t="s">
        <v>1970</v>
      </c>
      <c r="C74" s="23" t="s">
        <v>1459</v>
      </c>
      <c r="D74" s="28" t="s">
        <v>1971</v>
      </c>
      <c r="E74" s="25">
        <v>106</v>
      </c>
      <c r="F74" s="23" t="str">
        <f>VLOOKUP(B74,'[2]справочник кодов нп'!$A:$D,4,0)</f>
        <v>сельские населенные пункты с численностью населения более 1 000 человек;</v>
      </c>
      <c r="G74" s="23" t="s">
        <v>1385</v>
      </c>
      <c r="H74" s="10" t="s">
        <v>1459</v>
      </c>
      <c r="I74" s="35" t="s">
        <v>7017</v>
      </c>
      <c r="J74" s="33" t="s">
        <v>1337</v>
      </c>
    </row>
    <row r="75" spans="1:10" x14ac:dyDescent="0.25">
      <c r="A75" s="23" t="s">
        <v>1972</v>
      </c>
      <c r="B75" s="10" t="s">
        <v>1973</v>
      </c>
      <c r="C75" s="23" t="s">
        <v>1459</v>
      </c>
      <c r="D75" s="28" t="s">
        <v>1974</v>
      </c>
      <c r="E75" s="25">
        <v>106</v>
      </c>
      <c r="F75" s="23" t="str">
        <f>VLOOKUP(B75,'[2]справочник кодов нп'!$A:$D,4,0)</f>
        <v>сельские населенные пункты с численностью населения менее 1 000 человек.</v>
      </c>
      <c r="G75" s="23" t="s">
        <v>1385</v>
      </c>
      <c r="H75" s="10" t="s">
        <v>1459</v>
      </c>
      <c r="I75" s="35" t="s">
        <v>7017</v>
      </c>
      <c r="J75" s="33" t="s">
        <v>1337</v>
      </c>
    </row>
    <row r="76" spans="1:10" x14ac:dyDescent="0.25">
      <c r="A76" s="23" t="s">
        <v>1975</v>
      </c>
      <c r="B76" s="10" t="s">
        <v>1976</v>
      </c>
      <c r="C76" s="23" t="s">
        <v>1459</v>
      </c>
      <c r="D76" s="28" t="s">
        <v>1977</v>
      </c>
      <c r="E76" s="25">
        <v>106</v>
      </c>
      <c r="F76" s="23" t="str">
        <f>VLOOKUP(B76,'[2]справочник кодов нп'!$A:$D,4,0)</f>
        <v>сельские населенные пункты с численностью населения более 1 000 человек;</v>
      </c>
      <c r="G76" s="23" t="s">
        <v>1385</v>
      </c>
      <c r="H76" s="10" t="s">
        <v>1459</v>
      </c>
      <c r="I76" s="35" t="s">
        <v>7017</v>
      </c>
      <c r="J76" s="33" t="s">
        <v>1337</v>
      </c>
    </row>
    <row r="77" spans="1:10" x14ac:dyDescent="0.25">
      <c r="A77" s="23" t="s">
        <v>1978</v>
      </c>
      <c r="B77" s="10" t="s">
        <v>1979</v>
      </c>
      <c r="C77" s="23" t="s">
        <v>1459</v>
      </c>
      <c r="D77" s="28" t="s">
        <v>1980</v>
      </c>
      <c r="E77" s="25">
        <v>106</v>
      </c>
      <c r="F77" s="23" t="str">
        <f>VLOOKUP(B77,'[2]справочник кодов нп'!$A:$D,4,0)</f>
        <v>сельские населенные пункты с численностью населения менее 1 000 человек.</v>
      </c>
      <c r="G77" s="23" t="s">
        <v>1385</v>
      </c>
      <c r="H77" s="10" t="s">
        <v>1459</v>
      </c>
      <c r="I77" s="35" t="s">
        <v>7017</v>
      </c>
      <c r="J77" s="33" t="s">
        <v>1337</v>
      </c>
    </row>
    <row r="78" spans="1:10" x14ac:dyDescent="0.25">
      <c r="A78" s="23" t="s">
        <v>1981</v>
      </c>
      <c r="B78" s="10" t="s">
        <v>1982</v>
      </c>
      <c r="C78" s="23" t="s">
        <v>1459</v>
      </c>
      <c r="D78" s="28" t="s">
        <v>1983</v>
      </c>
      <c r="E78" s="25">
        <v>106</v>
      </c>
      <c r="F78" s="23" t="str">
        <f>VLOOKUP(B78,'[2]справочник кодов нп'!$A:$D,4,0)</f>
        <v>сельские населенные пункты с численностью населения менее 1 000 человек.</v>
      </c>
      <c r="G78" s="23" t="s">
        <v>1385</v>
      </c>
      <c r="H78" s="10" t="s">
        <v>1459</v>
      </c>
      <c r="I78" s="35" t="s">
        <v>7017</v>
      </c>
      <c r="J78" s="33" t="s">
        <v>1337</v>
      </c>
    </row>
    <row r="79" spans="1:10" x14ac:dyDescent="0.25">
      <c r="A79" s="23" t="s">
        <v>1984</v>
      </c>
      <c r="B79" s="10" t="s">
        <v>1985</v>
      </c>
      <c r="C79" s="23" t="s">
        <v>1459</v>
      </c>
      <c r="D79" s="28" t="s">
        <v>1986</v>
      </c>
      <c r="E79" s="25">
        <v>106</v>
      </c>
      <c r="F79" s="23" t="str">
        <f>VLOOKUP(B79,'[2]справочник кодов нп'!$A:$D,4,0)</f>
        <v>сельские населенные пункты с численностью населения менее 1 000 человек.</v>
      </c>
      <c r="G79" s="23" t="s">
        <v>1385</v>
      </c>
      <c r="H79" s="10" t="s">
        <v>1459</v>
      </c>
      <c r="I79" s="35" t="s">
        <v>7017</v>
      </c>
      <c r="J79" s="33" t="s">
        <v>1337</v>
      </c>
    </row>
    <row r="80" spans="1:10" x14ac:dyDescent="0.25">
      <c r="A80" s="23" t="s">
        <v>1987</v>
      </c>
      <c r="B80" s="10" t="s">
        <v>1988</v>
      </c>
      <c r="C80" s="23" t="s">
        <v>1459</v>
      </c>
      <c r="D80" s="28" t="s">
        <v>1989</v>
      </c>
      <c r="E80" s="25">
        <v>106</v>
      </c>
      <c r="F80" s="23" t="str">
        <f>VLOOKUP(B80,'[2]справочник кодов нп'!$A:$D,4,0)</f>
        <v>сельские населенные пункты с численностью населения менее 1 000 человек.</v>
      </c>
      <c r="G80" s="23" t="s">
        <v>1385</v>
      </c>
      <c r="H80" s="10" t="s">
        <v>1459</v>
      </c>
      <c r="I80" s="35" t="s">
        <v>7017</v>
      </c>
      <c r="J80" s="33" t="s">
        <v>1337</v>
      </c>
    </row>
    <row r="81" spans="1:10" x14ac:dyDescent="0.25">
      <c r="A81" s="23" t="s">
        <v>1990</v>
      </c>
      <c r="B81" s="10" t="s">
        <v>1991</v>
      </c>
      <c r="C81" s="23" t="s">
        <v>1459</v>
      </c>
      <c r="D81" s="28" t="s">
        <v>1992</v>
      </c>
      <c r="E81" s="25">
        <v>106</v>
      </c>
      <c r="F81" s="23" t="str">
        <f>VLOOKUP(B81,'[2]справочник кодов нп'!$A:$D,4,0)</f>
        <v>сельские населенные пункты с численностью населения менее 1 000 человек.</v>
      </c>
      <c r="G81" s="23" t="s">
        <v>1385</v>
      </c>
      <c r="H81" s="10" t="s">
        <v>1459</v>
      </c>
      <c r="I81" s="35" t="s">
        <v>7017</v>
      </c>
      <c r="J81" s="33" t="s">
        <v>1337</v>
      </c>
    </row>
    <row r="82" spans="1:10" x14ac:dyDescent="0.25">
      <c r="A82" s="23" t="s">
        <v>1993</v>
      </c>
      <c r="B82" s="10" t="s">
        <v>1994</v>
      </c>
      <c r="C82" s="23" t="s">
        <v>1459</v>
      </c>
      <c r="D82" s="28" t="s">
        <v>1995</v>
      </c>
      <c r="E82" s="25">
        <v>106</v>
      </c>
      <c r="F82" s="23" t="str">
        <f>VLOOKUP(B82,'[2]справочник кодов нп'!$A:$D,4,0)</f>
        <v>сельские населенные пункты с численностью населения менее 1 000 человек.</v>
      </c>
      <c r="G82" s="23" t="s">
        <v>1385</v>
      </c>
      <c r="H82" s="10" t="s">
        <v>1459</v>
      </c>
      <c r="I82" s="35" t="s">
        <v>7017</v>
      </c>
      <c r="J82" s="33" t="s">
        <v>1337</v>
      </c>
    </row>
    <row r="83" spans="1:10" x14ac:dyDescent="0.25">
      <c r="A83" s="23" t="s">
        <v>1996</v>
      </c>
      <c r="B83" s="10" t="s">
        <v>1997</v>
      </c>
      <c r="C83" s="23" t="s">
        <v>1459</v>
      </c>
      <c r="D83" s="28" t="s">
        <v>1998</v>
      </c>
      <c r="E83" s="25">
        <v>106</v>
      </c>
      <c r="F83" s="23" t="str">
        <f>VLOOKUP(B83,'[2]справочник кодов нп'!$A:$D,4,0)</f>
        <v>сельские населенные пункты с численностью населения менее 1 000 человек.</v>
      </c>
      <c r="G83" s="23" t="s">
        <v>1385</v>
      </c>
      <c r="H83" s="10" t="s">
        <v>1459</v>
      </c>
      <c r="I83" s="35" t="s">
        <v>7017</v>
      </c>
      <c r="J83" s="33" t="s">
        <v>1337</v>
      </c>
    </row>
    <row r="84" spans="1:10" x14ac:dyDescent="0.25">
      <c r="A84" s="23" t="s">
        <v>1999</v>
      </c>
      <c r="B84" s="10" t="s">
        <v>2000</v>
      </c>
      <c r="C84" s="23" t="s">
        <v>1459</v>
      </c>
      <c r="D84" s="28" t="s">
        <v>2001</v>
      </c>
      <c r="E84" s="25">
        <v>106</v>
      </c>
      <c r="F84" s="23" t="str">
        <f>VLOOKUP(B84,'[2]справочник кодов нп'!$A:$D,4,0)</f>
        <v>сельские населенные пункты с численностью населения менее 1 000 человек.</v>
      </c>
      <c r="G84" s="23" t="s">
        <v>1385</v>
      </c>
      <c r="H84" s="10" t="s">
        <v>1459</v>
      </c>
      <c r="I84" s="35" t="s">
        <v>7017</v>
      </c>
      <c r="J84" s="33" t="s">
        <v>1337</v>
      </c>
    </row>
    <row r="85" spans="1:10" x14ac:dyDescent="0.25">
      <c r="A85" s="23" t="s">
        <v>2002</v>
      </c>
      <c r="B85" s="10" t="s">
        <v>2003</v>
      </c>
      <c r="C85" s="23" t="s">
        <v>1459</v>
      </c>
      <c r="D85" s="28" t="s">
        <v>2004</v>
      </c>
      <c r="E85" s="25">
        <v>106</v>
      </c>
      <c r="F85" s="23" t="str">
        <f>VLOOKUP(B85,'[2]справочник кодов нп'!$A:$D,4,0)</f>
        <v>сельские населенные пункты с численностью населения менее 1 000 человек.</v>
      </c>
      <c r="G85" s="23" t="s">
        <v>1385</v>
      </c>
      <c r="H85" s="10" t="s">
        <v>1459</v>
      </c>
      <c r="I85" s="35" t="s">
        <v>7017</v>
      </c>
      <c r="J85" s="33" t="s">
        <v>1337</v>
      </c>
    </row>
    <row r="86" spans="1:10" x14ac:dyDescent="0.25">
      <c r="A86" s="23" t="s">
        <v>2005</v>
      </c>
      <c r="B86" s="10" t="s">
        <v>2006</v>
      </c>
      <c r="C86" s="23" t="s">
        <v>1459</v>
      </c>
      <c r="D86" s="28" t="s">
        <v>2007</v>
      </c>
      <c r="E86" s="25">
        <v>106</v>
      </c>
      <c r="F86" s="23" t="str">
        <f>VLOOKUP(B86,'[2]справочник кодов нп'!$A:$D,4,0)</f>
        <v>сельские населенные пункты с численностью населения менее 1 000 человек.</v>
      </c>
      <c r="G86" s="23" t="s">
        <v>1385</v>
      </c>
      <c r="H86" s="10" t="s">
        <v>1459</v>
      </c>
      <c r="I86" s="35" t="s">
        <v>7017</v>
      </c>
      <c r="J86" s="33" t="s">
        <v>1337</v>
      </c>
    </row>
    <row r="87" spans="1:10" x14ac:dyDescent="0.25">
      <c r="A87" s="23" t="s">
        <v>2008</v>
      </c>
      <c r="B87" s="10" t="s">
        <v>2009</v>
      </c>
      <c r="C87" s="23" t="s">
        <v>1459</v>
      </c>
      <c r="D87" s="28" t="s">
        <v>2010</v>
      </c>
      <c r="E87" s="25">
        <v>106</v>
      </c>
      <c r="F87" s="23" t="str">
        <f>VLOOKUP(B87,'[2]справочник кодов нп'!$A:$D,4,0)</f>
        <v>сельские населенные пункты с численностью населения менее 1 000 человек.</v>
      </c>
      <c r="G87" s="23" t="s">
        <v>1385</v>
      </c>
      <c r="H87" s="10" t="s">
        <v>1459</v>
      </c>
      <c r="I87" s="35" t="s">
        <v>7017</v>
      </c>
      <c r="J87" s="33" t="s">
        <v>1337</v>
      </c>
    </row>
    <row r="88" spans="1:10" x14ac:dyDescent="0.25">
      <c r="A88" s="23" t="s">
        <v>2011</v>
      </c>
      <c r="B88" s="10" t="s">
        <v>2012</v>
      </c>
      <c r="C88" s="23" t="s">
        <v>1459</v>
      </c>
      <c r="D88" s="28" t="s">
        <v>2013</v>
      </c>
      <c r="E88" s="25">
        <v>106</v>
      </c>
      <c r="F88" s="23" t="str">
        <f>VLOOKUP(B88,'[2]справочник кодов нп'!$A:$D,4,0)</f>
        <v>сельские населенные пункты с численностью населения менее 1 000 человек.</v>
      </c>
      <c r="G88" s="23" t="s">
        <v>1385</v>
      </c>
      <c r="H88" s="10" t="s">
        <v>1459</v>
      </c>
      <c r="I88" s="35" t="s">
        <v>7017</v>
      </c>
      <c r="J88" s="33" t="s">
        <v>1337</v>
      </c>
    </row>
    <row r="89" spans="1:10" x14ac:dyDescent="0.25">
      <c r="A89" s="23" t="s">
        <v>2014</v>
      </c>
      <c r="B89" s="10" t="s">
        <v>2015</v>
      </c>
      <c r="C89" s="23" t="s">
        <v>1459</v>
      </c>
      <c r="D89" s="28" t="s">
        <v>2016</v>
      </c>
      <c r="E89" s="25">
        <v>106</v>
      </c>
      <c r="F89" s="23" t="str">
        <f>VLOOKUP(B89,'[2]справочник кодов нп'!$A:$D,4,0)</f>
        <v>сельские населенные пункты с численностью населения менее 1 000 человек.</v>
      </c>
      <c r="G89" s="23" t="s">
        <v>1385</v>
      </c>
      <c r="H89" s="10" t="s">
        <v>1459</v>
      </c>
      <c r="I89" s="35" t="s">
        <v>7017</v>
      </c>
      <c r="J89" s="33" t="s">
        <v>1337</v>
      </c>
    </row>
    <row r="90" spans="1:10" x14ac:dyDescent="0.25">
      <c r="A90" s="23" t="s">
        <v>5365</v>
      </c>
      <c r="B90" s="10" t="s">
        <v>5366</v>
      </c>
      <c r="C90" s="23" t="s">
        <v>1459</v>
      </c>
      <c r="D90" s="28" t="s">
        <v>5367</v>
      </c>
      <c r="E90" s="25">
        <v>106</v>
      </c>
      <c r="F90" s="23" t="str">
        <f>VLOOKUP(B90,'[2]справочник кодов нп'!$A:$D,4,0)</f>
        <v>сельские населенные пункты с численностью населения менее 1 000 человек.</v>
      </c>
      <c r="G90" s="23" t="s">
        <v>1385</v>
      </c>
      <c r="H90" s="10" t="s">
        <v>1459</v>
      </c>
      <c r="I90" s="35" t="s">
        <v>7017</v>
      </c>
      <c r="J90" s="33" t="s">
        <v>1337</v>
      </c>
    </row>
    <row r="91" spans="1:10" x14ac:dyDescent="0.25">
      <c r="A91" s="23" t="s">
        <v>5368</v>
      </c>
      <c r="B91" s="10" t="s">
        <v>5369</v>
      </c>
      <c r="C91" s="23" t="s">
        <v>1459</v>
      </c>
      <c r="D91" s="28" t="s">
        <v>5370</v>
      </c>
      <c r="E91" s="25">
        <v>106</v>
      </c>
      <c r="F91" s="23" t="str">
        <f>VLOOKUP(B91,'[2]справочник кодов нп'!$A:$D,4,0)</f>
        <v>городские населенные пункты с численностью населения менее 50 000 человек;</v>
      </c>
      <c r="G91" s="23" t="s">
        <v>1385</v>
      </c>
      <c r="H91" s="10" t="s">
        <v>1459</v>
      </c>
      <c r="I91" s="35" t="s">
        <v>7017</v>
      </c>
      <c r="J91" s="33" t="s">
        <v>1337</v>
      </c>
    </row>
    <row r="92" spans="1:10" x14ac:dyDescent="0.25">
      <c r="A92" s="23" t="s">
        <v>6695</v>
      </c>
      <c r="B92" s="10" t="s">
        <v>6696</v>
      </c>
      <c r="C92" s="23" t="s">
        <v>1459</v>
      </c>
      <c r="D92" s="28" t="s">
        <v>6697</v>
      </c>
      <c r="E92" s="25">
        <v>106</v>
      </c>
      <c r="F92" s="23" t="str">
        <f>VLOOKUP(B92,'[2]справочник кодов нп'!$A:$D,4,0)</f>
        <v>сельские населенные пункты с численностью населения менее 1 000 человек.</v>
      </c>
      <c r="G92" s="23" t="s">
        <v>1385</v>
      </c>
      <c r="H92" s="10" t="s">
        <v>1459</v>
      </c>
      <c r="I92" s="35" t="s">
        <v>7017</v>
      </c>
      <c r="J92" s="33" t="s">
        <v>1337</v>
      </c>
    </row>
    <row r="93" spans="1:10" x14ac:dyDescent="0.25">
      <c r="A93" s="23" t="s">
        <v>6849</v>
      </c>
      <c r="B93" s="10" t="s">
        <v>6850</v>
      </c>
      <c r="C93" s="23" t="s">
        <v>1459</v>
      </c>
      <c r="D93" s="28" t="s">
        <v>6846</v>
      </c>
      <c r="E93" s="25">
        <v>106</v>
      </c>
      <c r="F93" s="23" t="str">
        <f>VLOOKUP(B93,'[2]справочник кодов нп'!$A:$D,4,0)</f>
        <v>межселенная территория</v>
      </c>
      <c r="G93" s="23" t="s">
        <v>1385</v>
      </c>
      <c r="H93" s="10" t="s">
        <v>1459</v>
      </c>
      <c r="I93" s="35" t="s">
        <v>7019</v>
      </c>
      <c r="J93" s="33" t="s">
        <v>1337</v>
      </c>
    </row>
    <row r="94" spans="1:10" x14ac:dyDescent="0.25">
      <c r="A94" s="23" t="s">
        <v>3724</v>
      </c>
      <c r="B94" s="10" t="s">
        <v>3725</v>
      </c>
      <c r="C94" s="23" t="s">
        <v>3726</v>
      </c>
      <c r="D94" s="28" t="s">
        <v>3727</v>
      </c>
      <c r="E94" s="25">
        <v>105</v>
      </c>
      <c r="F94" s="23" t="str">
        <f>VLOOKUP(B94,'[2]справочник кодов нп'!$A:$D,4,0)</f>
        <v>сельские населенные пункты с численностью населения менее 1 000 человек.</v>
      </c>
      <c r="G94" s="27" t="s">
        <v>1448</v>
      </c>
      <c r="H94" s="10" t="s">
        <v>3726</v>
      </c>
      <c r="I94" s="35" t="s">
        <v>7017</v>
      </c>
      <c r="J94" s="33" t="s">
        <v>1337</v>
      </c>
    </row>
    <row r="95" spans="1:10" x14ac:dyDescent="0.25">
      <c r="A95" s="23" t="s">
        <v>5386</v>
      </c>
      <c r="B95" s="10" t="s">
        <v>5387</v>
      </c>
      <c r="C95" s="23" t="s">
        <v>3726</v>
      </c>
      <c r="D95" s="28" t="s">
        <v>5388</v>
      </c>
      <c r="E95" s="25">
        <v>105</v>
      </c>
      <c r="F95" s="23" t="s">
        <v>1447</v>
      </c>
      <c r="G95" s="27" t="s">
        <v>1448</v>
      </c>
      <c r="H95" s="10" t="s">
        <v>3726</v>
      </c>
      <c r="I95" s="35" t="s">
        <v>7017</v>
      </c>
      <c r="J95" s="33" t="s">
        <v>1337</v>
      </c>
    </row>
    <row r="96" spans="1:10" x14ac:dyDescent="0.25">
      <c r="A96" s="23" t="s">
        <v>6502</v>
      </c>
      <c r="B96" s="10" t="s">
        <v>6503</v>
      </c>
      <c r="C96" s="23" t="s">
        <v>3726</v>
      </c>
      <c r="D96" s="28" t="s">
        <v>6504</v>
      </c>
      <c r="E96" s="25">
        <v>105</v>
      </c>
      <c r="F96" s="23" t="str">
        <f>VLOOKUP(B96,'[2]справочник кодов нп'!$A:$D,4,0)</f>
        <v>сельские населенные пункты с численностью населения более 1 000 человек;</v>
      </c>
      <c r="G96" s="27" t="s">
        <v>1448</v>
      </c>
      <c r="H96" s="10" t="s">
        <v>3726</v>
      </c>
      <c r="I96" s="35" t="s">
        <v>7017</v>
      </c>
      <c r="J96" s="33" t="s">
        <v>1337</v>
      </c>
    </row>
    <row r="97" spans="1:10" x14ac:dyDescent="0.25">
      <c r="A97" s="23" t="s">
        <v>6851</v>
      </c>
      <c r="B97" s="10" t="s">
        <v>6852</v>
      </c>
      <c r="C97" s="23" t="s">
        <v>3726</v>
      </c>
      <c r="D97" s="28" t="s">
        <v>6846</v>
      </c>
      <c r="E97" s="25">
        <v>105</v>
      </c>
      <c r="F97" s="23" t="str">
        <f>VLOOKUP(B97,'[2]справочник кодов нп'!$A:$D,4,0)</f>
        <v>межселенная территория</v>
      </c>
      <c r="G97" s="27" t="s">
        <v>1448</v>
      </c>
      <c r="H97" s="10" t="s">
        <v>3726</v>
      </c>
      <c r="I97" s="35" t="s">
        <v>7019</v>
      </c>
      <c r="J97" s="33" t="s">
        <v>1337</v>
      </c>
    </row>
    <row r="98" spans="1:10" x14ac:dyDescent="0.25">
      <c r="A98" s="23" t="s">
        <v>1522</v>
      </c>
      <c r="B98" s="10" t="s">
        <v>1523</v>
      </c>
      <c r="C98" s="23" t="s">
        <v>1524</v>
      </c>
      <c r="D98" s="28" t="s">
        <v>1525</v>
      </c>
      <c r="E98" s="25">
        <v>106</v>
      </c>
      <c r="F98" s="23" t="str">
        <f>VLOOKUP(B98,'[2]справочник кодов нп'!$A:$D,4,0)</f>
        <v>сельские населенные пункты с численностью населения более 1 000 человек;</v>
      </c>
      <c r="G98" s="23" t="s">
        <v>1385</v>
      </c>
      <c r="H98" s="10" t="s">
        <v>1524</v>
      </c>
      <c r="I98" s="35" t="s">
        <v>7017</v>
      </c>
      <c r="J98" s="33" t="s">
        <v>1337</v>
      </c>
    </row>
    <row r="99" spans="1:10" x14ac:dyDescent="0.25">
      <c r="A99" s="23" t="s">
        <v>1538</v>
      </c>
      <c r="B99" s="10" t="s">
        <v>1539</v>
      </c>
      <c r="C99" s="23" t="s">
        <v>1524</v>
      </c>
      <c r="D99" s="28" t="s">
        <v>1540</v>
      </c>
      <c r="E99" s="25">
        <v>106</v>
      </c>
      <c r="F99" s="23" t="str">
        <f>VLOOKUP(B99,'[2]справочник кодов нп'!$A:$D,4,0)</f>
        <v>сельские населенные пункты с численностью населения менее 1 000 человек.</v>
      </c>
      <c r="G99" s="23" t="s">
        <v>1385</v>
      </c>
      <c r="H99" s="10" t="s">
        <v>1524</v>
      </c>
      <c r="I99" s="35" t="s">
        <v>7017</v>
      </c>
      <c r="J99" s="33" t="s">
        <v>1337</v>
      </c>
    </row>
    <row r="100" spans="1:10" x14ac:dyDescent="0.25">
      <c r="A100" s="23" t="s">
        <v>2017</v>
      </c>
      <c r="B100" s="10" t="s">
        <v>2018</v>
      </c>
      <c r="C100" s="23" t="s">
        <v>1524</v>
      </c>
      <c r="D100" s="28" t="s">
        <v>2019</v>
      </c>
      <c r="E100" s="25">
        <v>106</v>
      </c>
      <c r="F100" s="23" t="str">
        <f>VLOOKUP(B100,'[2]справочник кодов нп'!$A:$D,4,0)</f>
        <v>сельские населенные пункты с численностью населения менее 1 000 человек.</v>
      </c>
      <c r="G100" s="23" t="s">
        <v>1385</v>
      </c>
      <c r="H100" s="10" t="s">
        <v>1524</v>
      </c>
      <c r="I100" s="35" t="s">
        <v>7017</v>
      </c>
      <c r="J100" s="33" t="s">
        <v>1337</v>
      </c>
    </row>
    <row r="101" spans="1:10" x14ac:dyDescent="0.25">
      <c r="A101" s="23" t="s">
        <v>2020</v>
      </c>
      <c r="B101" s="10" t="s">
        <v>2021</v>
      </c>
      <c r="C101" s="23" t="s">
        <v>1524</v>
      </c>
      <c r="D101" s="28" t="s">
        <v>2022</v>
      </c>
      <c r="E101" s="25">
        <v>106</v>
      </c>
      <c r="F101" s="23" t="str">
        <f>VLOOKUP(B101,'[2]справочник кодов нп'!$A:$D,4,0)</f>
        <v>сельские населенные пункты с численностью населения менее 1 000 человек.</v>
      </c>
      <c r="G101" s="23" t="s">
        <v>1385</v>
      </c>
      <c r="H101" s="10" t="s">
        <v>1524</v>
      </c>
      <c r="I101" s="35" t="s">
        <v>7017</v>
      </c>
      <c r="J101" s="33" t="s">
        <v>1337</v>
      </c>
    </row>
    <row r="102" spans="1:10" x14ac:dyDescent="0.25">
      <c r="A102" s="23" t="s">
        <v>2023</v>
      </c>
      <c r="B102" s="10" t="s">
        <v>2024</v>
      </c>
      <c r="C102" s="23" t="s">
        <v>1524</v>
      </c>
      <c r="D102" s="28" t="s">
        <v>2025</v>
      </c>
      <c r="E102" s="25">
        <v>106</v>
      </c>
      <c r="F102" s="23" t="str">
        <f>VLOOKUP(B102,'[2]справочник кодов нп'!$A:$D,4,0)</f>
        <v>сельские населенные пункты с численностью населения менее 1 000 человек.</v>
      </c>
      <c r="G102" s="23" t="s">
        <v>1385</v>
      </c>
      <c r="H102" s="10" t="s">
        <v>1524</v>
      </c>
      <c r="I102" s="35" t="s">
        <v>7017</v>
      </c>
      <c r="J102" s="33" t="s">
        <v>1337</v>
      </c>
    </row>
    <row r="103" spans="1:10" x14ac:dyDescent="0.25">
      <c r="A103" s="23" t="s">
        <v>2026</v>
      </c>
      <c r="B103" s="10" t="s">
        <v>2027</v>
      </c>
      <c r="C103" s="23" t="s">
        <v>1524</v>
      </c>
      <c r="D103" s="28" t="s">
        <v>2028</v>
      </c>
      <c r="E103" s="25">
        <v>106</v>
      </c>
      <c r="F103" s="23" t="str">
        <f>VLOOKUP(B103,'[2]справочник кодов нп'!$A:$D,4,0)</f>
        <v>сельские населенные пункты с численностью населения менее 1 000 человек.</v>
      </c>
      <c r="G103" s="23" t="s">
        <v>1385</v>
      </c>
      <c r="H103" s="10" t="s">
        <v>1524</v>
      </c>
      <c r="I103" s="35" t="s">
        <v>7017</v>
      </c>
      <c r="J103" s="33" t="s">
        <v>1337</v>
      </c>
    </row>
    <row r="104" spans="1:10" x14ac:dyDescent="0.25">
      <c r="A104" s="23" t="s">
        <v>2029</v>
      </c>
      <c r="B104" s="10" t="s">
        <v>2030</v>
      </c>
      <c r="C104" s="23" t="s">
        <v>1524</v>
      </c>
      <c r="D104" s="28" t="s">
        <v>2031</v>
      </c>
      <c r="E104" s="25">
        <v>106</v>
      </c>
      <c r="F104" s="23" t="str">
        <f>VLOOKUP(B104,'[2]справочник кодов нп'!$A:$D,4,0)</f>
        <v>сельские населенные пункты с численностью населения менее 1 000 человек.</v>
      </c>
      <c r="G104" s="23" t="s">
        <v>1385</v>
      </c>
      <c r="H104" s="10" t="s">
        <v>1524</v>
      </c>
      <c r="I104" s="35" t="s">
        <v>7017</v>
      </c>
      <c r="J104" s="33" t="s">
        <v>1337</v>
      </c>
    </row>
    <row r="105" spans="1:10" x14ac:dyDescent="0.25">
      <c r="A105" s="23" t="s">
        <v>2032</v>
      </c>
      <c r="B105" s="10" t="s">
        <v>2033</v>
      </c>
      <c r="C105" s="23" t="s">
        <v>1524</v>
      </c>
      <c r="D105" s="28" t="s">
        <v>2034</v>
      </c>
      <c r="E105" s="25">
        <v>106</v>
      </c>
      <c r="F105" s="23" t="str">
        <f>VLOOKUP(B105,'[2]справочник кодов нп'!$A:$D,4,0)</f>
        <v>сельские населенные пункты с численностью населения менее 1 000 человек.</v>
      </c>
      <c r="G105" s="23" t="s">
        <v>1385</v>
      </c>
      <c r="H105" s="10" t="s">
        <v>1524</v>
      </c>
      <c r="I105" s="35" t="s">
        <v>7017</v>
      </c>
      <c r="J105" s="33" t="s">
        <v>1337</v>
      </c>
    </row>
    <row r="106" spans="1:10" x14ac:dyDescent="0.25">
      <c r="A106" s="23" t="s">
        <v>2035</v>
      </c>
      <c r="B106" s="10" t="s">
        <v>2036</v>
      </c>
      <c r="C106" s="23" t="s">
        <v>1524</v>
      </c>
      <c r="D106" s="28" t="s">
        <v>2037</v>
      </c>
      <c r="E106" s="25">
        <v>106</v>
      </c>
      <c r="F106" s="23" t="str">
        <f>VLOOKUP(B106,'[2]справочник кодов нп'!$A:$D,4,0)</f>
        <v>сельские населенные пункты с численностью населения менее 1 000 человек.</v>
      </c>
      <c r="G106" s="23" t="s">
        <v>1385</v>
      </c>
      <c r="H106" s="10" t="s">
        <v>1524</v>
      </c>
      <c r="I106" s="35" t="s">
        <v>7017</v>
      </c>
      <c r="J106" s="33" t="s">
        <v>1337</v>
      </c>
    </row>
    <row r="107" spans="1:10" x14ac:dyDescent="0.25">
      <c r="A107" s="23" t="s">
        <v>2038</v>
      </c>
      <c r="B107" s="10" t="s">
        <v>2039</v>
      </c>
      <c r="C107" s="23" t="s">
        <v>1524</v>
      </c>
      <c r="D107" s="28" t="s">
        <v>2040</v>
      </c>
      <c r="E107" s="25">
        <v>106</v>
      </c>
      <c r="F107" s="23" t="str">
        <f>VLOOKUP(B107,'[2]справочник кодов нп'!$A:$D,4,0)</f>
        <v>сельские населенные пункты с численностью населения менее 1 000 человек.</v>
      </c>
      <c r="G107" s="23" t="s">
        <v>1385</v>
      </c>
      <c r="H107" s="10" t="s">
        <v>1524</v>
      </c>
      <c r="I107" s="35" t="s">
        <v>7017</v>
      </c>
      <c r="J107" s="33" t="s">
        <v>1337</v>
      </c>
    </row>
    <row r="108" spans="1:10" x14ac:dyDescent="0.25">
      <c r="A108" s="23" t="s">
        <v>2041</v>
      </c>
      <c r="B108" s="10" t="s">
        <v>2042</v>
      </c>
      <c r="C108" s="23" t="s">
        <v>1524</v>
      </c>
      <c r="D108" s="28" t="s">
        <v>2043</v>
      </c>
      <c r="E108" s="25">
        <v>106</v>
      </c>
      <c r="F108" s="23" t="str">
        <f>VLOOKUP(B108,'[2]справочник кодов нп'!$A:$D,4,0)</f>
        <v>сельские населенные пункты с численностью населения менее 1 000 человек.</v>
      </c>
      <c r="G108" s="23" t="s">
        <v>1385</v>
      </c>
      <c r="H108" s="10" t="s">
        <v>1524</v>
      </c>
      <c r="I108" s="35" t="s">
        <v>7017</v>
      </c>
      <c r="J108" s="33" t="s">
        <v>1337</v>
      </c>
    </row>
    <row r="109" spans="1:10" x14ac:dyDescent="0.25">
      <c r="A109" s="23" t="s">
        <v>2044</v>
      </c>
      <c r="B109" s="10" t="s">
        <v>2045</v>
      </c>
      <c r="C109" s="23" t="s">
        <v>1524</v>
      </c>
      <c r="D109" s="28" t="s">
        <v>2046</v>
      </c>
      <c r="E109" s="25">
        <v>106</v>
      </c>
      <c r="F109" s="23" t="str">
        <f>VLOOKUP(B109,'[2]справочник кодов нп'!$A:$D,4,0)</f>
        <v>сельские населенные пункты с численностью населения менее 1 000 человек.</v>
      </c>
      <c r="G109" s="23" t="s">
        <v>1385</v>
      </c>
      <c r="H109" s="10" t="s">
        <v>1524</v>
      </c>
      <c r="I109" s="35" t="s">
        <v>7017</v>
      </c>
      <c r="J109" s="33" t="s">
        <v>1337</v>
      </c>
    </row>
    <row r="110" spans="1:10" x14ac:dyDescent="0.25">
      <c r="A110" s="23" t="s">
        <v>2047</v>
      </c>
      <c r="B110" s="10" t="s">
        <v>2048</v>
      </c>
      <c r="C110" s="23" t="s">
        <v>1524</v>
      </c>
      <c r="D110" s="28" t="s">
        <v>2049</v>
      </c>
      <c r="E110" s="25">
        <v>106</v>
      </c>
      <c r="F110" s="23" t="str">
        <f>VLOOKUP(B110,'[2]справочник кодов нп'!$A:$D,4,0)</f>
        <v>сельские населенные пункты с численностью населения менее 1 000 человек.</v>
      </c>
      <c r="G110" s="23" t="s">
        <v>1385</v>
      </c>
      <c r="H110" s="10" t="s">
        <v>1524</v>
      </c>
      <c r="I110" s="35" t="s">
        <v>7017</v>
      </c>
      <c r="J110" s="33" t="s">
        <v>1337</v>
      </c>
    </row>
    <row r="111" spans="1:10" x14ac:dyDescent="0.25">
      <c r="A111" s="23" t="s">
        <v>2050</v>
      </c>
      <c r="B111" s="10" t="s">
        <v>2051</v>
      </c>
      <c r="C111" s="23" t="s">
        <v>1524</v>
      </c>
      <c r="D111" s="28" t="s">
        <v>2052</v>
      </c>
      <c r="E111" s="25">
        <v>106</v>
      </c>
      <c r="F111" s="23" t="str">
        <f>VLOOKUP(B111,'[2]справочник кодов нп'!$A:$D,4,0)</f>
        <v>сельские населенные пункты с численностью населения менее 1 000 человек.</v>
      </c>
      <c r="G111" s="23" t="s">
        <v>1385</v>
      </c>
      <c r="H111" s="10" t="s">
        <v>1524</v>
      </c>
      <c r="I111" s="35" t="s">
        <v>7017</v>
      </c>
      <c r="J111" s="33" t="s">
        <v>1337</v>
      </c>
    </row>
    <row r="112" spans="1:10" x14ac:dyDescent="0.25">
      <c r="A112" s="23" t="s">
        <v>2053</v>
      </c>
      <c r="B112" s="10" t="s">
        <v>2054</v>
      </c>
      <c r="C112" s="23" t="s">
        <v>1524</v>
      </c>
      <c r="D112" s="28" t="s">
        <v>2055</v>
      </c>
      <c r="E112" s="25">
        <v>106</v>
      </c>
      <c r="F112" s="23" t="str">
        <f>VLOOKUP(B112,'[2]справочник кодов нп'!$A:$D,4,0)</f>
        <v>сельские населенные пункты с численностью населения менее 1 000 человек.</v>
      </c>
      <c r="G112" s="23" t="s">
        <v>1385</v>
      </c>
      <c r="H112" s="10" t="s">
        <v>1524</v>
      </c>
      <c r="I112" s="35" t="s">
        <v>7017</v>
      </c>
      <c r="J112" s="33" t="s">
        <v>1337</v>
      </c>
    </row>
    <row r="113" spans="1:10" x14ac:dyDescent="0.25">
      <c r="A113" s="23" t="s">
        <v>2056</v>
      </c>
      <c r="B113" s="10" t="s">
        <v>2057</v>
      </c>
      <c r="C113" s="23" t="s">
        <v>1524</v>
      </c>
      <c r="D113" s="28" t="s">
        <v>2058</v>
      </c>
      <c r="E113" s="25">
        <v>106</v>
      </c>
      <c r="F113" s="23" t="str">
        <f>VLOOKUP(B113,'[2]справочник кодов нп'!$A:$D,4,0)</f>
        <v>сельские населенные пункты с численностью населения менее 1 000 человек.</v>
      </c>
      <c r="G113" s="23" t="s">
        <v>1385</v>
      </c>
      <c r="H113" s="10" t="s">
        <v>1524</v>
      </c>
      <c r="I113" s="35" t="s">
        <v>7017</v>
      </c>
      <c r="J113" s="33" t="s">
        <v>1337</v>
      </c>
    </row>
    <row r="114" spans="1:10" x14ac:dyDescent="0.25">
      <c r="A114" s="23" t="s">
        <v>2059</v>
      </c>
      <c r="B114" s="10" t="s">
        <v>2060</v>
      </c>
      <c r="C114" s="23" t="s">
        <v>1524</v>
      </c>
      <c r="D114" s="28" t="s">
        <v>2061</v>
      </c>
      <c r="E114" s="25">
        <v>106</v>
      </c>
      <c r="F114" s="23" t="str">
        <f>VLOOKUP(B114,'[2]справочник кодов нп'!$A:$D,4,0)</f>
        <v>сельские населенные пункты с численностью населения менее 1 000 человек.</v>
      </c>
      <c r="G114" s="23" t="s">
        <v>1385</v>
      </c>
      <c r="H114" s="10" t="s">
        <v>1524</v>
      </c>
      <c r="I114" s="35" t="s">
        <v>7017</v>
      </c>
      <c r="J114" s="33" t="s">
        <v>1337</v>
      </c>
    </row>
    <row r="115" spans="1:10" x14ac:dyDescent="0.25">
      <c r="A115" s="23" t="s">
        <v>2062</v>
      </c>
      <c r="B115" s="10" t="s">
        <v>2063</v>
      </c>
      <c r="C115" s="23" t="s">
        <v>1524</v>
      </c>
      <c r="D115" s="28" t="s">
        <v>2064</v>
      </c>
      <c r="E115" s="25">
        <v>106</v>
      </c>
      <c r="F115" s="23" t="str">
        <f>VLOOKUP(B115,'[2]справочник кодов нп'!$A:$D,4,0)</f>
        <v>сельские населенные пункты с численностью населения менее 1 000 человек.</v>
      </c>
      <c r="G115" s="23" t="s">
        <v>1385</v>
      </c>
      <c r="H115" s="10" t="s">
        <v>1524</v>
      </c>
      <c r="I115" s="35" t="s">
        <v>7017</v>
      </c>
      <c r="J115" s="33" t="s">
        <v>1337</v>
      </c>
    </row>
    <row r="116" spans="1:10" x14ac:dyDescent="0.25">
      <c r="A116" s="23" t="s">
        <v>2065</v>
      </c>
      <c r="B116" s="10" t="s">
        <v>2066</v>
      </c>
      <c r="C116" s="23" t="s">
        <v>1524</v>
      </c>
      <c r="D116" s="28" t="s">
        <v>2067</v>
      </c>
      <c r="E116" s="25">
        <v>106</v>
      </c>
      <c r="F116" s="23" t="str">
        <f>VLOOKUP(B116,'[2]справочник кодов нп'!$A:$D,4,0)</f>
        <v>сельские населенные пункты с численностью населения менее 1 000 человек.</v>
      </c>
      <c r="G116" s="23" t="s">
        <v>1385</v>
      </c>
      <c r="H116" s="10" t="s">
        <v>1524</v>
      </c>
      <c r="I116" s="35" t="s">
        <v>7017</v>
      </c>
      <c r="J116" s="33" t="s">
        <v>1337</v>
      </c>
    </row>
    <row r="117" spans="1:10" x14ac:dyDescent="0.25">
      <c r="A117" s="23" t="s">
        <v>2068</v>
      </c>
      <c r="B117" s="10" t="s">
        <v>2069</v>
      </c>
      <c r="C117" s="23" t="s">
        <v>1524</v>
      </c>
      <c r="D117" s="28" t="s">
        <v>2070</v>
      </c>
      <c r="E117" s="25">
        <v>106</v>
      </c>
      <c r="F117" s="23" t="str">
        <f>VLOOKUP(B117,'[2]справочник кодов нп'!$A:$D,4,0)</f>
        <v>сельские населенные пункты с численностью населения менее 1 000 человек.</v>
      </c>
      <c r="G117" s="23" t="s">
        <v>1385</v>
      </c>
      <c r="H117" s="10" t="s">
        <v>1524</v>
      </c>
      <c r="I117" s="35" t="s">
        <v>7017</v>
      </c>
      <c r="J117" s="33" t="s">
        <v>1337</v>
      </c>
    </row>
    <row r="118" spans="1:10" x14ac:dyDescent="0.25">
      <c r="A118" s="23" t="s">
        <v>2071</v>
      </c>
      <c r="B118" s="10" t="s">
        <v>2072</v>
      </c>
      <c r="C118" s="23" t="s">
        <v>1524</v>
      </c>
      <c r="D118" s="28" t="s">
        <v>2073</v>
      </c>
      <c r="E118" s="25">
        <v>106</v>
      </c>
      <c r="F118" s="23" t="str">
        <f>VLOOKUP(B118,'[2]справочник кодов нп'!$A:$D,4,0)</f>
        <v>сельские населенные пункты с численностью населения менее 1 000 человек.</v>
      </c>
      <c r="G118" s="23" t="s">
        <v>1385</v>
      </c>
      <c r="H118" s="10" t="s">
        <v>1524</v>
      </c>
      <c r="I118" s="35" t="s">
        <v>7017</v>
      </c>
      <c r="J118" s="33" t="s">
        <v>1337</v>
      </c>
    </row>
    <row r="119" spans="1:10" x14ac:dyDescent="0.25">
      <c r="A119" s="23" t="s">
        <v>2074</v>
      </c>
      <c r="B119" s="10" t="s">
        <v>2075</v>
      </c>
      <c r="C119" s="23" t="s">
        <v>1524</v>
      </c>
      <c r="D119" s="28" t="s">
        <v>2076</v>
      </c>
      <c r="E119" s="25">
        <v>106</v>
      </c>
      <c r="F119" s="23" t="str">
        <f>VLOOKUP(B119,'[2]справочник кодов нп'!$A:$D,4,0)</f>
        <v>сельские населенные пункты с численностью населения менее 1 000 человек.</v>
      </c>
      <c r="G119" s="23" t="s">
        <v>1385</v>
      </c>
      <c r="H119" s="10" t="s">
        <v>1524</v>
      </c>
      <c r="I119" s="35" t="s">
        <v>7017</v>
      </c>
      <c r="J119" s="33" t="s">
        <v>1337</v>
      </c>
    </row>
    <row r="120" spans="1:10" x14ac:dyDescent="0.25">
      <c r="A120" s="23" t="s">
        <v>2077</v>
      </c>
      <c r="B120" s="10" t="s">
        <v>2078</v>
      </c>
      <c r="C120" s="23" t="s">
        <v>1524</v>
      </c>
      <c r="D120" s="28" t="s">
        <v>2079</v>
      </c>
      <c r="E120" s="25">
        <v>106</v>
      </c>
      <c r="F120" s="23" t="str">
        <f>VLOOKUP(B120,'[2]справочник кодов нп'!$A:$D,4,0)</f>
        <v>сельские населенные пункты с численностью населения менее 1 000 человек.</v>
      </c>
      <c r="G120" s="23" t="s">
        <v>1385</v>
      </c>
      <c r="H120" s="10" t="s">
        <v>1524</v>
      </c>
      <c r="I120" s="35" t="s">
        <v>7017</v>
      </c>
      <c r="J120" s="33" t="s">
        <v>1337</v>
      </c>
    </row>
    <row r="121" spans="1:10" x14ac:dyDescent="0.25">
      <c r="A121" s="23" t="s">
        <v>2080</v>
      </c>
      <c r="B121" s="10" t="s">
        <v>2081</v>
      </c>
      <c r="C121" s="23" t="s">
        <v>1524</v>
      </c>
      <c r="D121" s="28" t="s">
        <v>2082</v>
      </c>
      <c r="E121" s="25">
        <v>106</v>
      </c>
      <c r="F121" s="23" t="str">
        <f>VLOOKUP(B121,'[2]справочник кодов нп'!$A:$D,4,0)</f>
        <v>сельские населенные пункты с численностью населения менее 1 000 человек.</v>
      </c>
      <c r="G121" s="23" t="s">
        <v>1385</v>
      </c>
      <c r="H121" s="10" t="s">
        <v>1524</v>
      </c>
      <c r="I121" s="35" t="s">
        <v>7017</v>
      </c>
      <c r="J121" s="33" t="s">
        <v>1337</v>
      </c>
    </row>
    <row r="122" spans="1:10" x14ac:dyDescent="0.25">
      <c r="A122" s="23" t="s">
        <v>2083</v>
      </c>
      <c r="B122" s="10" t="s">
        <v>2084</v>
      </c>
      <c r="C122" s="23" t="s">
        <v>1524</v>
      </c>
      <c r="D122" s="28" t="s">
        <v>1544</v>
      </c>
      <c r="E122" s="25">
        <v>106</v>
      </c>
      <c r="F122" s="23" t="str">
        <f>VLOOKUP(B122,'[2]справочник кодов нп'!$A:$D,4,0)</f>
        <v>сельские населенные пункты с численностью населения менее 1 000 человек.</v>
      </c>
      <c r="G122" s="23" t="s">
        <v>1385</v>
      </c>
      <c r="H122" s="10" t="s">
        <v>1524</v>
      </c>
      <c r="I122" s="35" t="s">
        <v>7017</v>
      </c>
      <c r="J122" s="33" t="s">
        <v>1337</v>
      </c>
    </row>
    <row r="123" spans="1:10" x14ac:dyDescent="0.25">
      <c r="A123" s="23" t="s">
        <v>2085</v>
      </c>
      <c r="B123" s="10" t="s">
        <v>2086</v>
      </c>
      <c r="C123" s="23" t="s">
        <v>1524</v>
      </c>
      <c r="D123" s="28" t="s">
        <v>2087</v>
      </c>
      <c r="E123" s="25">
        <v>106</v>
      </c>
      <c r="F123" s="23" t="str">
        <f>VLOOKUP(B123,'[2]справочник кодов нп'!$A:$D,4,0)</f>
        <v>сельские населенные пункты с численностью населения менее 1 000 человек.</v>
      </c>
      <c r="G123" s="23" t="s">
        <v>1385</v>
      </c>
      <c r="H123" s="10" t="s">
        <v>1524</v>
      </c>
      <c r="I123" s="35" t="s">
        <v>7017</v>
      </c>
      <c r="J123" s="33" t="s">
        <v>1337</v>
      </c>
    </row>
    <row r="124" spans="1:10" x14ac:dyDescent="0.25">
      <c r="A124" s="23" t="s">
        <v>2088</v>
      </c>
      <c r="B124" s="10" t="s">
        <v>2089</v>
      </c>
      <c r="C124" s="23" t="s">
        <v>1524</v>
      </c>
      <c r="D124" s="28" t="s">
        <v>2090</v>
      </c>
      <c r="E124" s="25">
        <v>106</v>
      </c>
      <c r="F124" s="23" t="str">
        <f>VLOOKUP(B124,'[2]справочник кодов нп'!$A:$D,4,0)</f>
        <v>сельские населенные пункты с численностью населения менее 1 000 человек.</v>
      </c>
      <c r="G124" s="23" t="s">
        <v>1385</v>
      </c>
      <c r="H124" s="10" t="s">
        <v>1524</v>
      </c>
      <c r="I124" s="35" t="s">
        <v>7017</v>
      </c>
      <c r="J124" s="33" t="s">
        <v>1337</v>
      </c>
    </row>
    <row r="125" spans="1:10" x14ac:dyDescent="0.25">
      <c r="A125" s="23" t="s">
        <v>2091</v>
      </c>
      <c r="B125" s="10" t="s">
        <v>2092</v>
      </c>
      <c r="C125" s="23" t="s">
        <v>1524</v>
      </c>
      <c r="D125" s="28" t="s">
        <v>2093</v>
      </c>
      <c r="E125" s="25">
        <v>106</v>
      </c>
      <c r="F125" s="23" t="str">
        <f>VLOOKUP(B125,'[2]справочник кодов нп'!$A:$D,4,0)</f>
        <v>сельские населенные пункты с численностью населения менее 1 000 человек.</v>
      </c>
      <c r="G125" s="23" t="s">
        <v>1385</v>
      </c>
      <c r="H125" s="10" t="s">
        <v>1524</v>
      </c>
      <c r="I125" s="35" t="s">
        <v>7017</v>
      </c>
      <c r="J125" s="33" t="s">
        <v>1337</v>
      </c>
    </row>
    <row r="126" spans="1:10" x14ac:dyDescent="0.25">
      <c r="A126" s="23" t="s">
        <v>2094</v>
      </c>
      <c r="B126" s="10" t="s">
        <v>2095</v>
      </c>
      <c r="C126" s="23" t="s">
        <v>1524</v>
      </c>
      <c r="D126" s="28" t="s">
        <v>2096</v>
      </c>
      <c r="E126" s="25">
        <v>106</v>
      </c>
      <c r="F126" s="23" t="str">
        <f>VLOOKUP(B126,'[2]справочник кодов нп'!$A:$D,4,0)</f>
        <v>сельские населенные пункты с численностью населения менее 1 000 человек.</v>
      </c>
      <c r="G126" s="23" t="s">
        <v>1385</v>
      </c>
      <c r="H126" s="10" t="s">
        <v>1524</v>
      </c>
      <c r="I126" s="35" t="s">
        <v>7017</v>
      </c>
      <c r="J126" s="33" t="s">
        <v>1337</v>
      </c>
    </row>
    <row r="127" spans="1:10" x14ac:dyDescent="0.25">
      <c r="A127" s="23" t="s">
        <v>2097</v>
      </c>
      <c r="B127" s="10" t="s">
        <v>2098</v>
      </c>
      <c r="C127" s="23" t="s">
        <v>1524</v>
      </c>
      <c r="D127" s="28" t="s">
        <v>2099</v>
      </c>
      <c r="E127" s="25">
        <v>106</v>
      </c>
      <c r="F127" s="23" t="str">
        <f>VLOOKUP(B127,'[2]справочник кодов нп'!$A:$D,4,0)</f>
        <v>сельские населенные пункты с численностью населения менее 1 000 человек.</v>
      </c>
      <c r="G127" s="23" t="s">
        <v>1385</v>
      </c>
      <c r="H127" s="10" t="s">
        <v>1524</v>
      </c>
      <c r="I127" s="35" t="s">
        <v>7017</v>
      </c>
      <c r="J127" s="33" t="s">
        <v>1337</v>
      </c>
    </row>
    <row r="128" spans="1:10" x14ac:dyDescent="0.25">
      <c r="A128" s="23" t="s">
        <v>2100</v>
      </c>
      <c r="B128" s="10" t="s">
        <v>2101</v>
      </c>
      <c r="C128" s="23" t="s">
        <v>1524</v>
      </c>
      <c r="D128" s="28" t="s">
        <v>2102</v>
      </c>
      <c r="E128" s="25">
        <v>106</v>
      </c>
      <c r="F128" s="23" t="str">
        <f>VLOOKUP(B128,'[2]справочник кодов нп'!$A:$D,4,0)</f>
        <v>сельские населенные пункты с численностью населения менее 1 000 человек.</v>
      </c>
      <c r="G128" s="23" t="s">
        <v>1385</v>
      </c>
      <c r="H128" s="10" t="s">
        <v>1524</v>
      </c>
      <c r="I128" s="35" t="s">
        <v>7017</v>
      </c>
      <c r="J128" s="33" t="s">
        <v>1337</v>
      </c>
    </row>
    <row r="129" spans="1:10" x14ac:dyDescent="0.25">
      <c r="A129" s="23" t="s">
        <v>2103</v>
      </c>
      <c r="B129" s="10" t="s">
        <v>2104</v>
      </c>
      <c r="C129" s="23" t="s">
        <v>1524</v>
      </c>
      <c r="D129" s="28" t="s">
        <v>2105</v>
      </c>
      <c r="E129" s="25">
        <v>106</v>
      </c>
      <c r="F129" s="23" t="str">
        <f>VLOOKUP(B129,'[2]справочник кодов нп'!$A:$D,4,0)</f>
        <v>сельские населенные пункты с численностью населения менее 1 000 человек.</v>
      </c>
      <c r="G129" s="23" t="s">
        <v>1385</v>
      </c>
      <c r="H129" s="10" t="s">
        <v>1524</v>
      </c>
      <c r="I129" s="35" t="s">
        <v>7017</v>
      </c>
      <c r="J129" s="33" t="s">
        <v>1337</v>
      </c>
    </row>
    <row r="130" spans="1:10" x14ac:dyDescent="0.25">
      <c r="A130" s="23" t="s">
        <v>2106</v>
      </c>
      <c r="B130" s="10" t="s">
        <v>2107</v>
      </c>
      <c r="C130" s="23" t="s">
        <v>1524</v>
      </c>
      <c r="D130" s="28" t="s">
        <v>2108</v>
      </c>
      <c r="E130" s="25">
        <v>106</v>
      </c>
      <c r="F130" s="23" t="str">
        <f>VLOOKUP(B130,'[2]справочник кодов нп'!$A:$D,4,0)</f>
        <v>сельские населенные пункты с численностью населения менее 1 000 человек.</v>
      </c>
      <c r="G130" s="23" t="s">
        <v>1385</v>
      </c>
      <c r="H130" s="10" t="s">
        <v>1524</v>
      </c>
      <c r="I130" s="35" t="s">
        <v>7017</v>
      </c>
      <c r="J130" s="33" t="s">
        <v>1337</v>
      </c>
    </row>
    <row r="131" spans="1:10" x14ac:dyDescent="0.25">
      <c r="A131" s="23" t="s">
        <v>2109</v>
      </c>
      <c r="B131" s="10" t="s">
        <v>2110</v>
      </c>
      <c r="C131" s="23" t="s">
        <v>1524</v>
      </c>
      <c r="D131" s="28" t="s">
        <v>2111</v>
      </c>
      <c r="E131" s="25">
        <v>106</v>
      </c>
      <c r="F131" s="23" t="str">
        <f>VLOOKUP(B131,'[2]справочник кодов нп'!$A:$D,4,0)</f>
        <v>сельские населенные пункты с численностью населения менее 1 000 человек.</v>
      </c>
      <c r="G131" s="23" t="s">
        <v>1385</v>
      </c>
      <c r="H131" s="10" t="s">
        <v>1524</v>
      </c>
      <c r="I131" s="35" t="s">
        <v>7017</v>
      </c>
      <c r="J131" s="33" t="s">
        <v>1337</v>
      </c>
    </row>
    <row r="132" spans="1:10" x14ac:dyDescent="0.25">
      <c r="A132" s="23" t="s">
        <v>2112</v>
      </c>
      <c r="B132" s="10" t="s">
        <v>2113</v>
      </c>
      <c r="C132" s="23" t="s">
        <v>1524</v>
      </c>
      <c r="D132" s="28" t="s">
        <v>2114</v>
      </c>
      <c r="E132" s="25">
        <v>106</v>
      </c>
      <c r="F132" s="23" t="str">
        <f>VLOOKUP(B132,'[2]справочник кодов нп'!$A:$D,4,0)</f>
        <v>сельские населенные пункты с численностью населения менее 1 000 человек.</v>
      </c>
      <c r="G132" s="23" t="s">
        <v>1385</v>
      </c>
      <c r="H132" s="10" t="s">
        <v>1524</v>
      </c>
      <c r="I132" s="35" t="s">
        <v>7017</v>
      </c>
      <c r="J132" s="33" t="s">
        <v>1337</v>
      </c>
    </row>
    <row r="133" spans="1:10" x14ac:dyDescent="0.25">
      <c r="A133" s="23" t="s">
        <v>2115</v>
      </c>
      <c r="B133" s="10" t="s">
        <v>2116</v>
      </c>
      <c r="C133" s="23" t="s">
        <v>1524</v>
      </c>
      <c r="D133" s="28" t="s">
        <v>2117</v>
      </c>
      <c r="E133" s="25">
        <v>106</v>
      </c>
      <c r="F133" s="23" t="str">
        <f>VLOOKUP(B133,'[2]справочник кодов нп'!$A:$D,4,0)</f>
        <v>сельские населенные пункты с численностью населения менее 1 000 человек.</v>
      </c>
      <c r="G133" s="23" t="s">
        <v>1385</v>
      </c>
      <c r="H133" s="10" t="s">
        <v>1524</v>
      </c>
      <c r="I133" s="35" t="s">
        <v>7017</v>
      </c>
      <c r="J133" s="33" t="s">
        <v>1337</v>
      </c>
    </row>
    <row r="134" spans="1:10" x14ac:dyDescent="0.25">
      <c r="A134" s="23" t="s">
        <v>2118</v>
      </c>
      <c r="B134" s="10" t="s">
        <v>2119</v>
      </c>
      <c r="C134" s="23" t="s">
        <v>1524</v>
      </c>
      <c r="D134" s="28" t="s">
        <v>2120</v>
      </c>
      <c r="E134" s="25">
        <v>106</v>
      </c>
      <c r="F134" s="23" t="str">
        <f>VLOOKUP(B134,'[2]справочник кодов нп'!$A:$D,4,0)</f>
        <v>сельские населенные пункты с численностью населения менее 1 000 человек.</v>
      </c>
      <c r="G134" s="23" t="s">
        <v>1385</v>
      </c>
      <c r="H134" s="10" t="s">
        <v>1524</v>
      </c>
      <c r="I134" s="35" t="s">
        <v>7017</v>
      </c>
      <c r="J134" s="33" t="s">
        <v>1337</v>
      </c>
    </row>
    <row r="135" spans="1:10" x14ac:dyDescent="0.25">
      <c r="A135" s="23" t="s">
        <v>4995</v>
      </c>
      <c r="B135" s="10" t="s">
        <v>4996</v>
      </c>
      <c r="C135" s="23" t="s">
        <v>1524</v>
      </c>
      <c r="D135" s="28" t="s">
        <v>4997</v>
      </c>
      <c r="E135" s="25">
        <v>106</v>
      </c>
      <c r="F135" s="23" t="str">
        <f>VLOOKUP(B135,'[2]справочник кодов нп'!$A:$D,4,0)</f>
        <v>сельские населенные пункты с численностью населения менее 1 000 человек.</v>
      </c>
      <c r="G135" s="23" t="s">
        <v>1385</v>
      </c>
      <c r="H135" s="10" t="s">
        <v>1524</v>
      </c>
      <c r="I135" s="35" t="s">
        <v>7017</v>
      </c>
      <c r="J135" s="33" t="s">
        <v>1337</v>
      </c>
    </row>
    <row r="136" spans="1:10" x14ac:dyDescent="0.25">
      <c r="A136" s="23" t="s">
        <v>4998</v>
      </c>
      <c r="B136" s="10" t="s">
        <v>4999</v>
      </c>
      <c r="C136" s="23" t="s">
        <v>1524</v>
      </c>
      <c r="D136" s="28" t="s">
        <v>5000</v>
      </c>
      <c r="E136" s="25">
        <v>106</v>
      </c>
      <c r="F136" s="23" t="str">
        <f>VLOOKUP(B136,'[2]справочник кодов нп'!$A:$D,4,0)</f>
        <v>сельские населенные пункты с численностью населения менее 1 000 человек.</v>
      </c>
      <c r="G136" s="23" t="s">
        <v>1385</v>
      </c>
      <c r="H136" s="10" t="s">
        <v>1524</v>
      </c>
      <c r="I136" s="35" t="s">
        <v>7017</v>
      </c>
      <c r="J136" s="33" t="s">
        <v>1337</v>
      </c>
    </row>
    <row r="137" spans="1:10" x14ac:dyDescent="0.25">
      <c r="A137" s="23" t="s">
        <v>5171</v>
      </c>
      <c r="B137" s="10" t="s">
        <v>5172</v>
      </c>
      <c r="C137" s="23" t="s">
        <v>1524</v>
      </c>
      <c r="D137" s="28" t="s">
        <v>5173</v>
      </c>
      <c r="E137" s="25">
        <v>106</v>
      </c>
      <c r="F137" s="23" t="str">
        <f>VLOOKUP(B137,'[2]справочник кодов нп'!$A:$D,4,0)</f>
        <v>сельские населенные пункты с численностью населения менее 1 000 человек.</v>
      </c>
      <c r="G137" s="23" t="s">
        <v>1385</v>
      </c>
      <c r="H137" s="10" t="s">
        <v>1524</v>
      </c>
      <c r="I137" s="35" t="s">
        <v>7017</v>
      </c>
      <c r="J137" s="33" t="s">
        <v>1337</v>
      </c>
    </row>
    <row r="138" spans="1:10" x14ac:dyDescent="0.25">
      <c r="A138" s="23" t="s">
        <v>5359</v>
      </c>
      <c r="B138" s="10" t="s">
        <v>5360</v>
      </c>
      <c r="C138" s="23" t="s">
        <v>1524</v>
      </c>
      <c r="D138" s="28" t="s">
        <v>5361</v>
      </c>
      <c r="E138" s="25">
        <v>106</v>
      </c>
      <c r="F138" s="23" t="str">
        <f>VLOOKUP(B138,'[2]справочник кодов нп'!$A:$D,4,0)</f>
        <v>сельские населенные пункты с численностью населения менее 1 000 человек.</v>
      </c>
      <c r="G138" s="23" t="s">
        <v>1385</v>
      </c>
      <c r="H138" s="10" t="s">
        <v>1524</v>
      </c>
      <c r="I138" s="35" t="s">
        <v>7017</v>
      </c>
      <c r="J138" s="33" t="s">
        <v>1337</v>
      </c>
    </row>
    <row r="139" spans="1:10" x14ac:dyDescent="0.25">
      <c r="A139" s="23" t="s">
        <v>5619</v>
      </c>
      <c r="B139" s="10" t="s">
        <v>5620</v>
      </c>
      <c r="C139" s="23" t="s">
        <v>1524</v>
      </c>
      <c r="D139" s="28" t="s">
        <v>5621</v>
      </c>
      <c r="E139" s="25">
        <v>106</v>
      </c>
      <c r="F139" s="23" t="str">
        <f>VLOOKUP(B139,'[2]справочник кодов нп'!$A:$D,4,0)</f>
        <v>сельские населенные пункты с численностью населения менее 1 000 человек.</v>
      </c>
      <c r="G139" s="23" t="s">
        <v>1385</v>
      </c>
      <c r="H139" s="10" t="s">
        <v>1524</v>
      </c>
      <c r="I139" s="35" t="s">
        <v>7017</v>
      </c>
      <c r="J139" s="33" t="s">
        <v>1337</v>
      </c>
    </row>
    <row r="140" spans="1:10" x14ac:dyDescent="0.25">
      <c r="A140" s="23" t="s">
        <v>5622</v>
      </c>
      <c r="B140" s="10" t="s">
        <v>5623</v>
      </c>
      <c r="C140" s="23" t="s">
        <v>1524</v>
      </c>
      <c r="D140" s="28" t="s">
        <v>5624</v>
      </c>
      <c r="E140" s="25">
        <v>106</v>
      </c>
      <c r="F140" s="23" t="str">
        <f>VLOOKUP(B140,'[2]справочник кодов нп'!$A:$D,4,0)</f>
        <v>сельские населенные пункты с численностью населения менее 1 000 человек.</v>
      </c>
      <c r="G140" s="23" t="s">
        <v>1385</v>
      </c>
      <c r="H140" s="10" t="s">
        <v>1524</v>
      </c>
      <c r="I140" s="35" t="s">
        <v>7017</v>
      </c>
      <c r="J140" s="33" t="s">
        <v>1337</v>
      </c>
    </row>
    <row r="141" spans="1:10" x14ac:dyDescent="0.25">
      <c r="A141" s="23" t="s">
        <v>5625</v>
      </c>
      <c r="B141" s="10" t="s">
        <v>5626</v>
      </c>
      <c r="C141" s="23" t="s">
        <v>1524</v>
      </c>
      <c r="D141" s="28" t="s">
        <v>5627</v>
      </c>
      <c r="E141" s="25">
        <v>106</v>
      </c>
      <c r="F141" s="23" t="str">
        <f>VLOOKUP(B141,'[2]справочник кодов нп'!$A:$D,4,0)</f>
        <v>сельские населенные пункты с численностью населения менее 1 000 человек.</v>
      </c>
      <c r="G141" s="23" t="s">
        <v>1385</v>
      </c>
      <c r="H141" s="10" t="s">
        <v>1524</v>
      </c>
      <c r="I141" s="35" t="s">
        <v>7017</v>
      </c>
      <c r="J141" s="33" t="s">
        <v>1337</v>
      </c>
    </row>
    <row r="142" spans="1:10" x14ac:dyDescent="0.25">
      <c r="A142" s="23" t="s">
        <v>5628</v>
      </c>
      <c r="B142" s="10" t="s">
        <v>5629</v>
      </c>
      <c r="C142" s="23" t="s">
        <v>1524</v>
      </c>
      <c r="D142" s="28" t="s">
        <v>5630</v>
      </c>
      <c r="E142" s="25">
        <v>106</v>
      </c>
      <c r="F142" s="23" t="str">
        <f>VLOOKUP(B142,'[2]справочник кодов нп'!$A:$D,4,0)</f>
        <v>сельские населенные пункты с численностью населения менее 1 000 человек.</v>
      </c>
      <c r="G142" s="23" t="s">
        <v>1385</v>
      </c>
      <c r="H142" s="10" t="s">
        <v>1524</v>
      </c>
      <c r="I142" s="35" t="s">
        <v>7017</v>
      </c>
      <c r="J142" s="33" t="s">
        <v>1337</v>
      </c>
    </row>
    <row r="143" spans="1:10" x14ac:dyDescent="0.25">
      <c r="A143" s="23" t="s">
        <v>5631</v>
      </c>
      <c r="B143" s="10" t="s">
        <v>5632</v>
      </c>
      <c r="C143" s="23" t="s">
        <v>1524</v>
      </c>
      <c r="D143" s="28" t="s">
        <v>5633</v>
      </c>
      <c r="E143" s="25">
        <v>106</v>
      </c>
      <c r="F143" s="23" t="str">
        <f>VLOOKUP(B143,'[2]справочник кодов нп'!$A:$D,4,0)</f>
        <v>сельские населенные пункты с численностью населения менее 1 000 человек.</v>
      </c>
      <c r="G143" s="23" t="s">
        <v>1385</v>
      </c>
      <c r="H143" s="10" t="s">
        <v>1524</v>
      </c>
      <c r="I143" s="35" t="s">
        <v>7017</v>
      </c>
      <c r="J143" s="33" t="s">
        <v>1337</v>
      </c>
    </row>
    <row r="144" spans="1:10" x14ac:dyDescent="0.25">
      <c r="A144" s="23" t="s">
        <v>5634</v>
      </c>
      <c r="B144" s="10" t="s">
        <v>5635</v>
      </c>
      <c r="C144" s="23" t="s">
        <v>1524</v>
      </c>
      <c r="D144" s="28" t="s">
        <v>5636</v>
      </c>
      <c r="E144" s="25">
        <v>106</v>
      </c>
      <c r="F144" s="23" t="str">
        <f>VLOOKUP(B144,'[2]справочник кодов нп'!$A:$D,4,0)</f>
        <v>сельские населенные пункты с численностью населения менее 1 000 человек.</v>
      </c>
      <c r="G144" s="23" t="s">
        <v>1385</v>
      </c>
      <c r="H144" s="10" t="s">
        <v>1524</v>
      </c>
      <c r="I144" s="35" t="s">
        <v>7017</v>
      </c>
      <c r="J144" s="33" t="s">
        <v>1337</v>
      </c>
    </row>
    <row r="145" spans="1:10" x14ac:dyDescent="0.25">
      <c r="A145" s="23" t="s">
        <v>6390</v>
      </c>
      <c r="B145" s="10" t="s">
        <v>6391</v>
      </c>
      <c r="C145" s="23" t="s">
        <v>1524</v>
      </c>
      <c r="D145" s="28" t="s">
        <v>6392</v>
      </c>
      <c r="E145" s="25">
        <v>106</v>
      </c>
      <c r="F145" s="23" t="str">
        <f>VLOOKUP(B145,'[2]справочник кодов нп'!$A:$D,4,0)</f>
        <v>городские населенные пункты с численностью населения менее 50 000 человек;</v>
      </c>
      <c r="G145" s="23" t="s">
        <v>1385</v>
      </c>
      <c r="H145" s="10" t="s">
        <v>1524</v>
      </c>
      <c r="I145" s="35" t="s">
        <v>7017</v>
      </c>
      <c r="J145" s="33" t="s">
        <v>1337</v>
      </c>
    </row>
    <row r="146" spans="1:10" x14ac:dyDescent="0.25">
      <c r="A146" s="23" t="s">
        <v>6496</v>
      </c>
      <c r="B146" s="10" t="s">
        <v>6497</v>
      </c>
      <c r="C146" s="23" t="s">
        <v>1524</v>
      </c>
      <c r="D146" s="28" t="s">
        <v>6498</v>
      </c>
      <c r="E146" s="25">
        <v>106</v>
      </c>
      <c r="F146" s="23" t="str">
        <f>VLOOKUP(B146,'[2]справочник кодов нп'!$A:$D,4,0)</f>
        <v>сельские населенные пункты с численностью населения менее 1 000 человек.</v>
      </c>
      <c r="G146" s="23" t="s">
        <v>1385</v>
      </c>
      <c r="H146" s="10" t="s">
        <v>1524</v>
      </c>
      <c r="I146" s="35" t="s">
        <v>7017</v>
      </c>
      <c r="J146" s="33" t="s">
        <v>1337</v>
      </c>
    </row>
    <row r="147" spans="1:10" x14ac:dyDescent="0.25">
      <c r="A147" s="23" t="s">
        <v>6505</v>
      </c>
      <c r="B147" s="10" t="s">
        <v>6506</v>
      </c>
      <c r="C147" s="23" t="s">
        <v>1524</v>
      </c>
      <c r="D147" s="28" t="s">
        <v>6507</v>
      </c>
      <c r="E147" s="25">
        <v>106</v>
      </c>
      <c r="F147" s="23" t="str">
        <f>VLOOKUP(B147,'[2]справочник кодов нп'!$A:$D,4,0)</f>
        <v>сельские населенные пункты с численностью населения менее 1 000 человек.</v>
      </c>
      <c r="G147" s="23" t="s">
        <v>1385</v>
      </c>
      <c r="H147" s="10" t="s">
        <v>1524</v>
      </c>
      <c r="I147" s="35" t="s">
        <v>7017</v>
      </c>
      <c r="J147" s="33" t="s">
        <v>1337</v>
      </c>
    </row>
    <row r="148" spans="1:10" x14ac:dyDescent="0.25">
      <c r="A148" s="23" t="s">
        <v>6698</v>
      </c>
      <c r="B148" s="10" t="s">
        <v>6699</v>
      </c>
      <c r="C148" s="23" t="s">
        <v>1524</v>
      </c>
      <c r="D148" s="28" t="s">
        <v>1563</v>
      </c>
      <c r="E148" s="25">
        <v>106</v>
      </c>
      <c r="F148" s="23" t="str">
        <f>VLOOKUP(B148,'[2]справочник кодов нп'!$A:$D,4,0)</f>
        <v>сельские населенные пункты с численностью населения менее 1 000 человек.</v>
      </c>
      <c r="G148" s="23" t="s">
        <v>1385</v>
      </c>
      <c r="H148" s="10" t="s">
        <v>1524</v>
      </c>
      <c r="I148" s="35" t="s">
        <v>7017</v>
      </c>
      <c r="J148" s="33" t="s">
        <v>1337</v>
      </c>
    </row>
    <row r="149" spans="1:10" x14ac:dyDescent="0.25">
      <c r="A149" s="23" t="s">
        <v>6829</v>
      </c>
      <c r="B149" s="10" t="s">
        <v>6830</v>
      </c>
      <c r="C149" s="23" t="s">
        <v>1524</v>
      </c>
      <c r="D149" s="28" t="s">
        <v>6831</v>
      </c>
      <c r="E149" s="25">
        <v>106</v>
      </c>
      <c r="F149" s="23" t="str">
        <f>VLOOKUP(B149,'[2]справочник кодов нп'!$A:$D,4,0)</f>
        <v>сельские населенные пункты с численностью населения менее 1 000 человек.</v>
      </c>
      <c r="G149" s="23" t="s">
        <v>1385</v>
      </c>
      <c r="H149" s="10" t="s">
        <v>1524</v>
      </c>
      <c r="I149" s="35" t="s">
        <v>7017</v>
      </c>
      <c r="J149" s="33" t="s">
        <v>1337</v>
      </c>
    </row>
    <row r="150" spans="1:10" x14ac:dyDescent="0.25">
      <c r="A150" s="23" t="s">
        <v>6832</v>
      </c>
      <c r="B150" s="10" t="s">
        <v>6833</v>
      </c>
      <c r="C150" s="23" t="s">
        <v>1524</v>
      </c>
      <c r="D150" s="28" t="s">
        <v>6834</v>
      </c>
      <c r="E150" s="25">
        <v>106</v>
      </c>
      <c r="F150" s="23" t="str">
        <f>VLOOKUP(B150,'[2]справочник кодов нп'!$A:$D,4,0)</f>
        <v>сельские населенные пункты с численностью населения менее 1 000 человек.</v>
      </c>
      <c r="G150" s="23" t="s">
        <v>1385</v>
      </c>
      <c r="H150" s="10" t="s">
        <v>1524</v>
      </c>
      <c r="I150" s="35" t="s">
        <v>7017</v>
      </c>
      <c r="J150" s="33" t="s">
        <v>1337</v>
      </c>
    </row>
    <row r="151" spans="1:10" x14ac:dyDescent="0.25">
      <c r="A151" s="23" t="s">
        <v>6853</v>
      </c>
      <c r="B151" s="10" t="s">
        <v>6854</v>
      </c>
      <c r="C151" s="23" t="s">
        <v>1524</v>
      </c>
      <c r="D151" s="28" t="s">
        <v>6846</v>
      </c>
      <c r="E151" s="25">
        <v>106</v>
      </c>
      <c r="F151" s="23" t="str">
        <f>VLOOKUP(B151,'[2]справочник кодов нп'!$A:$D,4,0)</f>
        <v>межселенная территория</v>
      </c>
      <c r="G151" s="23" t="s">
        <v>1385</v>
      </c>
      <c r="H151" s="10" t="s">
        <v>1524</v>
      </c>
      <c r="I151" s="35" t="s">
        <v>7019</v>
      </c>
      <c r="J151" s="33" t="s">
        <v>1337</v>
      </c>
    </row>
    <row r="152" spans="1:10" x14ac:dyDescent="0.25">
      <c r="A152" s="23" t="s">
        <v>1421</v>
      </c>
      <c r="B152" s="10" t="s">
        <v>1422</v>
      </c>
      <c r="C152" s="23" t="s">
        <v>1423</v>
      </c>
      <c r="D152" s="28" t="s">
        <v>1424</v>
      </c>
      <c r="E152" s="25">
        <v>106</v>
      </c>
      <c r="F152" s="23" t="str">
        <f>VLOOKUP(B152,'[2]справочник кодов нп'!$A:$D,4,0)</f>
        <v>сельские населенные пункты с численностью населения менее 1 000 человек.</v>
      </c>
      <c r="G152" s="23" t="s">
        <v>1385</v>
      </c>
      <c r="H152" s="10" t="s">
        <v>1423</v>
      </c>
      <c r="I152" s="35" t="s">
        <v>7017</v>
      </c>
      <c r="J152" s="33" t="s">
        <v>1337</v>
      </c>
    </row>
    <row r="153" spans="1:10" x14ac:dyDescent="0.25">
      <c r="A153" s="23" t="s">
        <v>1440</v>
      </c>
      <c r="B153" s="10" t="s">
        <v>1441</v>
      </c>
      <c r="C153" s="23" t="s">
        <v>1423</v>
      </c>
      <c r="D153" s="28" t="s">
        <v>1442</v>
      </c>
      <c r="E153" s="25">
        <v>106</v>
      </c>
      <c r="F153" s="23" t="str">
        <f>VLOOKUP(B153,'[2]справочник кодов нп'!$A:$D,4,0)</f>
        <v>сельские населенные пункты с численностью населения менее 1 000 человек.</v>
      </c>
      <c r="G153" s="23" t="s">
        <v>1385</v>
      </c>
      <c r="H153" s="10" t="s">
        <v>1423</v>
      </c>
      <c r="I153" s="35" t="s">
        <v>7017</v>
      </c>
      <c r="J153" s="33" t="s">
        <v>1337</v>
      </c>
    </row>
    <row r="154" spans="1:10" x14ac:dyDescent="0.25">
      <c r="A154" s="23" t="s">
        <v>2121</v>
      </c>
      <c r="B154" s="10" t="s">
        <v>2122</v>
      </c>
      <c r="C154" s="23" t="s">
        <v>1423</v>
      </c>
      <c r="D154" s="28" t="s">
        <v>2123</v>
      </c>
      <c r="E154" s="25">
        <v>106</v>
      </c>
      <c r="F154" s="23" t="str">
        <f>VLOOKUP(B154,'[2]справочник кодов нп'!$A:$D,4,0)</f>
        <v>сельские населенные пункты с численностью населения менее 1 000 человек.</v>
      </c>
      <c r="G154" s="23" t="s">
        <v>1385</v>
      </c>
      <c r="H154" s="10" t="s">
        <v>1423</v>
      </c>
      <c r="I154" s="35" t="s">
        <v>7017</v>
      </c>
      <c r="J154" s="33" t="s">
        <v>1337</v>
      </c>
    </row>
    <row r="155" spans="1:10" x14ac:dyDescent="0.25">
      <c r="A155" s="23" t="s">
        <v>2124</v>
      </c>
      <c r="B155" s="10" t="s">
        <v>2125</v>
      </c>
      <c r="C155" s="23" t="s">
        <v>1423</v>
      </c>
      <c r="D155" s="28" t="s">
        <v>2126</v>
      </c>
      <c r="E155" s="25">
        <v>106</v>
      </c>
      <c r="F155" s="23" t="str">
        <f>VLOOKUP(B155,'[2]справочник кодов нп'!$A:$D,4,0)</f>
        <v>сельские населенные пункты с численностью населения менее 1 000 человек.</v>
      </c>
      <c r="G155" s="23" t="s">
        <v>1385</v>
      </c>
      <c r="H155" s="10" t="s">
        <v>1423</v>
      </c>
      <c r="I155" s="35" t="s">
        <v>7017</v>
      </c>
      <c r="J155" s="33" t="s">
        <v>1337</v>
      </c>
    </row>
    <row r="156" spans="1:10" x14ac:dyDescent="0.25">
      <c r="A156" s="23" t="s">
        <v>2127</v>
      </c>
      <c r="B156" s="10" t="s">
        <v>2128</v>
      </c>
      <c r="C156" s="23" t="s">
        <v>1423</v>
      </c>
      <c r="D156" s="28" t="s">
        <v>2129</v>
      </c>
      <c r="E156" s="25">
        <v>106</v>
      </c>
      <c r="F156" s="23" t="str">
        <f>VLOOKUP(B156,'[2]справочник кодов нп'!$A:$D,4,0)</f>
        <v>сельские населенные пункты с численностью населения менее 1 000 человек.</v>
      </c>
      <c r="G156" s="23" t="s">
        <v>1385</v>
      </c>
      <c r="H156" s="10" t="s">
        <v>1423</v>
      </c>
      <c r="I156" s="35" t="s">
        <v>7017</v>
      </c>
      <c r="J156" s="33" t="s">
        <v>1337</v>
      </c>
    </row>
    <row r="157" spans="1:10" x14ac:dyDescent="0.25">
      <c r="A157" s="23" t="s">
        <v>2130</v>
      </c>
      <c r="B157" s="10" t="s">
        <v>2131</v>
      </c>
      <c r="C157" s="23" t="s">
        <v>1423</v>
      </c>
      <c r="D157" s="28" t="s">
        <v>2132</v>
      </c>
      <c r="E157" s="25">
        <v>106</v>
      </c>
      <c r="F157" s="23" t="str">
        <f>VLOOKUP(B157,'[2]справочник кодов нп'!$A:$D,4,0)</f>
        <v>сельские населенные пункты с численностью населения менее 1 000 человек.</v>
      </c>
      <c r="G157" s="23" t="s">
        <v>1385</v>
      </c>
      <c r="H157" s="10" t="s">
        <v>1423</v>
      </c>
      <c r="I157" s="35" t="s">
        <v>7017</v>
      </c>
      <c r="J157" s="33" t="s">
        <v>1337</v>
      </c>
    </row>
    <row r="158" spans="1:10" x14ac:dyDescent="0.25">
      <c r="A158" s="23" t="s">
        <v>2133</v>
      </c>
      <c r="B158" s="10" t="s">
        <v>2134</v>
      </c>
      <c r="C158" s="23" t="s">
        <v>1423</v>
      </c>
      <c r="D158" s="28" t="s">
        <v>2135</v>
      </c>
      <c r="E158" s="25">
        <v>106</v>
      </c>
      <c r="F158" s="23" t="str">
        <f>VLOOKUP(B158,'[2]справочник кодов нп'!$A:$D,4,0)</f>
        <v>сельские населенные пункты с численностью населения менее 1 000 человек.</v>
      </c>
      <c r="G158" s="23" t="s">
        <v>1385</v>
      </c>
      <c r="H158" s="10" t="s">
        <v>1423</v>
      </c>
      <c r="I158" s="35" t="s">
        <v>7017</v>
      </c>
      <c r="J158" s="33" t="s">
        <v>1337</v>
      </c>
    </row>
    <row r="159" spans="1:10" x14ac:dyDescent="0.25">
      <c r="A159" s="23" t="s">
        <v>2136</v>
      </c>
      <c r="B159" s="10" t="s">
        <v>2137</v>
      </c>
      <c r="C159" s="23" t="s">
        <v>1423</v>
      </c>
      <c r="D159" s="28" t="s">
        <v>2138</v>
      </c>
      <c r="E159" s="25">
        <v>106</v>
      </c>
      <c r="F159" s="23" t="str">
        <f>VLOOKUP(B159,'[2]справочник кодов нп'!$A:$D,4,0)</f>
        <v>сельские населенные пункты с численностью населения менее 1 000 человек.</v>
      </c>
      <c r="G159" s="23" t="s">
        <v>1385</v>
      </c>
      <c r="H159" s="10" t="s">
        <v>1423</v>
      </c>
      <c r="I159" s="35" t="s">
        <v>7017</v>
      </c>
      <c r="J159" s="33" t="s">
        <v>1337</v>
      </c>
    </row>
    <row r="160" spans="1:10" x14ac:dyDescent="0.25">
      <c r="A160" s="23" t="s">
        <v>2139</v>
      </c>
      <c r="B160" s="10" t="s">
        <v>2140</v>
      </c>
      <c r="C160" s="23" t="s">
        <v>1423</v>
      </c>
      <c r="D160" s="28" t="s">
        <v>2141</v>
      </c>
      <c r="E160" s="25">
        <v>106</v>
      </c>
      <c r="F160" s="23" t="str">
        <f>VLOOKUP(B160,'[2]справочник кодов нп'!$A:$D,4,0)</f>
        <v>сельские населенные пункты с численностью населения менее 1 000 человек.</v>
      </c>
      <c r="G160" s="23" t="s">
        <v>1385</v>
      </c>
      <c r="H160" s="10" t="s">
        <v>1423</v>
      </c>
      <c r="I160" s="35" t="s">
        <v>7017</v>
      </c>
      <c r="J160" s="33" t="s">
        <v>1337</v>
      </c>
    </row>
    <row r="161" spans="1:10" x14ac:dyDescent="0.25">
      <c r="A161" s="23" t="s">
        <v>2142</v>
      </c>
      <c r="B161" s="10" t="s">
        <v>2143</v>
      </c>
      <c r="C161" s="23" t="s">
        <v>1423</v>
      </c>
      <c r="D161" s="28" t="s">
        <v>2144</v>
      </c>
      <c r="E161" s="25">
        <v>106</v>
      </c>
      <c r="F161" s="23" t="str">
        <f>VLOOKUP(B161,'[2]справочник кодов нп'!$A:$D,4,0)</f>
        <v>сельские населенные пункты с численностью населения менее 1 000 человек.</v>
      </c>
      <c r="G161" s="23" t="s">
        <v>1385</v>
      </c>
      <c r="H161" s="10" t="s">
        <v>1423</v>
      </c>
      <c r="I161" s="35" t="s">
        <v>7017</v>
      </c>
      <c r="J161" s="33" t="s">
        <v>1337</v>
      </c>
    </row>
    <row r="162" spans="1:10" x14ac:dyDescent="0.25">
      <c r="A162" s="23" t="s">
        <v>2145</v>
      </c>
      <c r="B162" s="10" t="s">
        <v>2146</v>
      </c>
      <c r="C162" s="23" t="s">
        <v>1423</v>
      </c>
      <c r="D162" s="28" t="s">
        <v>2147</v>
      </c>
      <c r="E162" s="25">
        <v>106</v>
      </c>
      <c r="F162" s="23" t="str">
        <f>VLOOKUP(B162,'[2]справочник кодов нп'!$A:$D,4,0)</f>
        <v>сельские населенные пункты с численностью населения менее 1 000 человек.</v>
      </c>
      <c r="G162" s="23" t="s">
        <v>1385</v>
      </c>
      <c r="H162" s="10" t="s">
        <v>1423</v>
      </c>
      <c r="I162" s="35" t="s">
        <v>7017</v>
      </c>
      <c r="J162" s="33" t="s">
        <v>1337</v>
      </c>
    </row>
    <row r="163" spans="1:10" x14ac:dyDescent="0.25">
      <c r="A163" s="23" t="s">
        <v>2148</v>
      </c>
      <c r="B163" s="10" t="s">
        <v>2149</v>
      </c>
      <c r="C163" s="23" t="s">
        <v>1423</v>
      </c>
      <c r="D163" s="28" t="s">
        <v>2150</v>
      </c>
      <c r="E163" s="25">
        <v>106</v>
      </c>
      <c r="F163" s="23" t="str">
        <f>VLOOKUP(B163,'[2]справочник кодов нп'!$A:$D,4,0)</f>
        <v>сельские населенные пункты с численностью населения менее 1 000 человек.</v>
      </c>
      <c r="G163" s="23" t="s">
        <v>1385</v>
      </c>
      <c r="H163" s="10" t="s">
        <v>1423</v>
      </c>
      <c r="I163" s="35" t="s">
        <v>7017</v>
      </c>
      <c r="J163" s="33" t="s">
        <v>1337</v>
      </c>
    </row>
    <row r="164" spans="1:10" x14ac:dyDescent="0.25">
      <c r="A164" s="23" t="s">
        <v>2151</v>
      </c>
      <c r="B164" s="10" t="s">
        <v>2152</v>
      </c>
      <c r="C164" s="23" t="s">
        <v>1423</v>
      </c>
      <c r="D164" s="28" t="s">
        <v>2153</v>
      </c>
      <c r="E164" s="25">
        <v>106</v>
      </c>
      <c r="F164" s="23" t="str">
        <f>VLOOKUP(B164,'[2]справочник кодов нп'!$A:$D,4,0)</f>
        <v>сельские населенные пункты с численностью населения менее 1 000 человек.</v>
      </c>
      <c r="G164" s="23" t="s">
        <v>1385</v>
      </c>
      <c r="H164" s="10" t="s">
        <v>1423</v>
      </c>
      <c r="I164" s="35" t="s">
        <v>7017</v>
      </c>
      <c r="J164" s="33" t="s">
        <v>1337</v>
      </c>
    </row>
    <row r="165" spans="1:10" x14ac:dyDescent="0.25">
      <c r="A165" s="23" t="s">
        <v>2154</v>
      </c>
      <c r="B165" s="10" t="s">
        <v>2155</v>
      </c>
      <c r="C165" s="23" t="s">
        <v>1423</v>
      </c>
      <c r="D165" s="28" t="s">
        <v>2156</v>
      </c>
      <c r="E165" s="25">
        <v>106</v>
      </c>
      <c r="F165" s="23" t="str">
        <f>VLOOKUP(B165,'[2]справочник кодов нп'!$A:$D,4,0)</f>
        <v>сельские населенные пункты с численностью населения менее 1 000 человек.</v>
      </c>
      <c r="G165" s="23" t="s">
        <v>1385</v>
      </c>
      <c r="H165" s="10" t="s">
        <v>1423</v>
      </c>
      <c r="I165" s="35" t="s">
        <v>7017</v>
      </c>
      <c r="J165" s="33" t="s">
        <v>1337</v>
      </c>
    </row>
    <row r="166" spans="1:10" x14ac:dyDescent="0.25">
      <c r="A166" s="23" t="s">
        <v>2157</v>
      </c>
      <c r="B166" s="10" t="s">
        <v>2158</v>
      </c>
      <c r="C166" s="23" t="s">
        <v>1423</v>
      </c>
      <c r="D166" s="28" t="s">
        <v>2159</v>
      </c>
      <c r="E166" s="25">
        <v>106</v>
      </c>
      <c r="F166" s="23" t="str">
        <f>VLOOKUP(B166,'[2]справочник кодов нп'!$A:$D,4,0)</f>
        <v>сельские населенные пункты с численностью населения менее 1 000 человек.</v>
      </c>
      <c r="G166" s="23" t="s">
        <v>1385</v>
      </c>
      <c r="H166" s="10" t="s">
        <v>1423</v>
      </c>
      <c r="I166" s="35" t="s">
        <v>7017</v>
      </c>
      <c r="J166" s="33" t="s">
        <v>1337</v>
      </c>
    </row>
    <row r="167" spans="1:10" x14ac:dyDescent="0.25">
      <c r="A167" s="23" t="s">
        <v>2160</v>
      </c>
      <c r="B167" s="10" t="s">
        <v>2161</v>
      </c>
      <c r="C167" s="23" t="s">
        <v>1423</v>
      </c>
      <c r="D167" s="28" t="s">
        <v>2162</v>
      </c>
      <c r="E167" s="25">
        <v>106</v>
      </c>
      <c r="F167" s="23" t="str">
        <f>VLOOKUP(B167,'[2]справочник кодов нп'!$A:$D,4,0)</f>
        <v>сельские населенные пункты с численностью населения менее 1 000 человек.</v>
      </c>
      <c r="G167" s="23" t="s">
        <v>1385</v>
      </c>
      <c r="H167" s="10" t="s">
        <v>1423</v>
      </c>
      <c r="I167" s="35" t="s">
        <v>7017</v>
      </c>
      <c r="J167" s="33" t="s">
        <v>1337</v>
      </c>
    </row>
    <row r="168" spans="1:10" x14ac:dyDescent="0.25">
      <c r="A168" s="23" t="s">
        <v>2163</v>
      </c>
      <c r="B168" s="10" t="s">
        <v>2164</v>
      </c>
      <c r="C168" s="23" t="s">
        <v>1423</v>
      </c>
      <c r="D168" s="28" t="s">
        <v>1751</v>
      </c>
      <c r="E168" s="25">
        <v>106</v>
      </c>
      <c r="F168" s="23" t="str">
        <f>VLOOKUP(B168,'[2]справочник кодов нп'!$A:$D,4,0)</f>
        <v>сельские населенные пункты с численностью населения менее 1 000 человек.</v>
      </c>
      <c r="G168" s="23" t="s">
        <v>1385</v>
      </c>
      <c r="H168" s="10" t="s">
        <v>1423</v>
      </c>
      <c r="I168" s="35" t="s">
        <v>7017</v>
      </c>
      <c r="J168" s="33" t="s">
        <v>1337</v>
      </c>
    </row>
    <row r="169" spans="1:10" x14ac:dyDescent="0.25">
      <c r="A169" s="23" t="s">
        <v>2165</v>
      </c>
      <c r="B169" s="10" t="s">
        <v>2166</v>
      </c>
      <c r="C169" s="23" t="s">
        <v>1423</v>
      </c>
      <c r="D169" s="28" t="s">
        <v>2167</v>
      </c>
      <c r="E169" s="25">
        <v>106</v>
      </c>
      <c r="F169" s="23" t="str">
        <f>VLOOKUP(B169,'[2]справочник кодов нп'!$A:$D,4,0)</f>
        <v>сельские населенные пункты с численностью населения менее 1 000 человек.</v>
      </c>
      <c r="G169" s="23" t="s">
        <v>1385</v>
      </c>
      <c r="H169" s="10" t="s">
        <v>1423</v>
      </c>
      <c r="I169" s="35" t="s">
        <v>7017</v>
      </c>
      <c r="J169" s="33" t="s">
        <v>1337</v>
      </c>
    </row>
    <row r="170" spans="1:10" x14ac:dyDescent="0.25">
      <c r="A170" s="23" t="s">
        <v>2168</v>
      </c>
      <c r="B170" s="10" t="s">
        <v>2169</v>
      </c>
      <c r="C170" s="23" t="s">
        <v>1423</v>
      </c>
      <c r="D170" s="28" t="s">
        <v>2170</v>
      </c>
      <c r="E170" s="25">
        <v>106</v>
      </c>
      <c r="F170" s="23" t="str">
        <f>VLOOKUP(B170,'[2]справочник кодов нп'!$A:$D,4,0)</f>
        <v>сельские населенные пункты с численностью населения менее 1 000 человек.</v>
      </c>
      <c r="G170" s="23" t="s">
        <v>1385</v>
      </c>
      <c r="H170" s="10" t="s">
        <v>1423</v>
      </c>
      <c r="I170" s="35" t="s">
        <v>7017</v>
      </c>
      <c r="J170" s="33" t="s">
        <v>1337</v>
      </c>
    </row>
    <row r="171" spans="1:10" x14ac:dyDescent="0.25">
      <c r="A171" s="23" t="s">
        <v>2171</v>
      </c>
      <c r="B171" s="10" t="s">
        <v>2172</v>
      </c>
      <c r="C171" s="23" t="s">
        <v>1423</v>
      </c>
      <c r="D171" s="28" t="s">
        <v>2173</v>
      </c>
      <c r="E171" s="25">
        <v>106</v>
      </c>
      <c r="F171" s="23" t="str">
        <f>VLOOKUP(B171,'[2]справочник кодов нп'!$A:$D,4,0)</f>
        <v>сельские населенные пункты с численностью населения менее 1 000 человек.</v>
      </c>
      <c r="G171" s="23" t="s">
        <v>1385</v>
      </c>
      <c r="H171" s="10" t="s">
        <v>1423</v>
      </c>
      <c r="I171" s="35" t="s">
        <v>7017</v>
      </c>
      <c r="J171" s="33" t="s">
        <v>1337</v>
      </c>
    </row>
    <row r="172" spans="1:10" x14ac:dyDescent="0.25">
      <c r="A172" s="23" t="s">
        <v>2174</v>
      </c>
      <c r="B172" s="10" t="s">
        <v>2175</v>
      </c>
      <c r="C172" s="23" t="s">
        <v>1423</v>
      </c>
      <c r="D172" s="28" t="s">
        <v>2176</v>
      </c>
      <c r="E172" s="25">
        <v>106</v>
      </c>
      <c r="F172" s="23" t="str">
        <f>VLOOKUP(B172,'[2]справочник кодов нп'!$A:$D,4,0)</f>
        <v>сельские населенные пункты с численностью населения менее 1 000 человек.</v>
      </c>
      <c r="G172" s="23" t="s">
        <v>1385</v>
      </c>
      <c r="H172" s="10" t="s">
        <v>1423</v>
      </c>
      <c r="I172" s="35" t="s">
        <v>7017</v>
      </c>
      <c r="J172" s="33" t="s">
        <v>1337</v>
      </c>
    </row>
    <row r="173" spans="1:10" x14ac:dyDescent="0.25">
      <c r="A173" s="23" t="s">
        <v>2177</v>
      </c>
      <c r="B173" s="10" t="s">
        <v>2178</v>
      </c>
      <c r="C173" s="23" t="s">
        <v>1423</v>
      </c>
      <c r="D173" s="28" t="s">
        <v>2179</v>
      </c>
      <c r="E173" s="25">
        <v>106</v>
      </c>
      <c r="F173" s="23" t="str">
        <f>VLOOKUP(B173,'[2]справочник кодов нп'!$A:$D,4,0)</f>
        <v>сельские населенные пункты с численностью населения менее 1 000 человек.</v>
      </c>
      <c r="G173" s="23" t="s">
        <v>1385</v>
      </c>
      <c r="H173" s="10" t="s">
        <v>1423</v>
      </c>
      <c r="I173" s="35" t="s">
        <v>7017</v>
      </c>
      <c r="J173" s="33" t="s">
        <v>1337</v>
      </c>
    </row>
    <row r="174" spans="1:10" x14ac:dyDescent="0.25">
      <c r="A174" s="23" t="s">
        <v>2265</v>
      </c>
      <c r="B174" s="10" t="s">
        <v>2266</v>
      </c>
      <c r="C174" s="23" t="s">
        <v>1423</v>
      </c>
      <c r="D174" s="28" t="s">
        <v>2267</v>
      </c>
      <c r="E174" s="25">
        <v>106</v>
      </c>
      <c r="F174" s="23" t="str">
        <f>VLOOKUP(B174,'[2]справочник кодов нп'!$A:$D,4,0)</f>
        <v>сельские населенные пункты с численностью населения менее 1 000 человек.</v>
      </c>
      <c r="G174" s="23" t="s">
        <v>1385</v>
      </c>
      <c r="H174" s="10" t="s">
        <v>1423</v>
      </c>
      <c r="I174" s="35" t="s">
        <v>7017</v>
      </c>
      <c r="J174" s="33" t="s">
        <v>1337</v>
      </c>
    </row>
    <row r="175" spans="1:10" x14ac:dyDescent="0.25">
      <c r="A175" s="23" t="s">
        <v>2268</v>
      </c>
      <c r="B175" s="10" t="s">
        <v>2269</v>
      </c>
      <c r="C175" s="23" t="s">
        <v>1423</v>
      </c>
      <c r="D175" s="28" t="s">
        <v>2270</v>
      </c>
      <c r="E175" s="25">
        <v>106</v>
      </c>
      <c r="F175" s="23" t="str">
        <f>VLOOKUP(B175,'[2]справочник кодов нп'!$A:$D,4,0)</f>
        <v>сельские населенные пункты с численностью населения менее 1 000 человек.</v>
      </c>
      <c r="G175" s="23" t="s">
        <v>1385</v>
      </c>
      <c r="H175" s="10" t="s">
        <v>1423</v>
      </c>
      <c r="I175" s="35" t="s">
        <v>7017</v>
      </c>
      <c r="J175" s="33" t="s">
        <v>1337</v>
      </c>
    </row>
    <row r="176" spans="1:10" x14ac:dyDescent="0.25">
      <c r="A176" s="23" t="s">
        <v>2271</v>
      </c>
      <c r="B176" s="10" t="s">
        <v>2272</v>
      </c>
      <c r="C176" s="23" t="s">
        <v>1423</v>
      </c>
      <c r="D176" s="28" t="s">
        <v>2273</v>
      </c>
      <c r="E176" s="25">
        <v>106</v>
      </c>
      <c r="F176" s="23" t="str">
        <f>VLOOKUP(B176,'[2]справочник кодов нп'!$A:$D,4,0)</f>
        <v>сельские населенные пункты с численностью населения менее 1 000 человек.</v>
      </c>
      <c r="G176" s="23" t="s">
        <v>1385</v>
      </c>
      <c r="H176" s="10" t="s">
        <v>1423</v>
      </c>
      <c r="I176" s="35" t="s">
        <v>7017</v>
      </c>
      <c r="J176" s="33" t="s">
        <v>1337</v>
      </c>
    </row>
    <row r="177" spans="1:10" x14ac:dyDescent="0.25">
      <c r="A177" s="23" t="s">
        <v>2274</v>
      </c>
      <c r="B177" s="10" t="s">
        <v>2275</v>
      </c>
      <c r="C177" s="23" t="s">
        <v>1423</v>
      </c>
      <c r="D177" s="28" t="s">
        <v>2276</v>
      </c>
      <c r="E177" s="25">
        <v>106</v>
      </c>
      <c r="F177" s="23" t="str">
        <f>VLOOKUP(B177,'[2]справочник кодов нп'!$A:$D,4,0)</f>
        <v>сельские населенные пункты с численностью населения менее 1 000 человек.</v>
      </c>
      <c r="G177" s="23" t="s">
        <v>1385</v>
      </c>
      <c r="H177" s="10" t="s">
        <v>1423</v>
      </c>
      <c r="I177" s="35" t="s">
        <v>7017</v>
      </c>
      <c r="J177" s="33" t="s">
        <v>1337</v>
      </c>
    </row>
    <row r="178" spans="1:10" x14ac:dyDescent="0.25">
      <c r="A178" s="23" t="s">
        <v>2277</v>
      </c>
      <c r="B178" s="10" t="s">
        <v>2278</v>
      </c>
      <c r="C178" s="23" t="s">
        <v>1423</v>
      </c>
      <c r="D178" s="28" t="s">
        <v>2279</v>
      </c>
      <c r="E178" s="25">
        <v>106</v>
      </c>
      <c r="F178" s="23" t="str">
        <f>VLOOKUP(B178,'[2]справочник кодов нп'!$A:$D,4,0)</f>
        <v>сельские населенные пункты с численностью населения менее 1 000 человек.</v>
      </c>
      <c r="G178" s="23" t="s">
        <v>1385</v>
      </c>
      <c r="H178" s="10" t="s">
        <v>1423</v>
      </c>
      <c r="I178" s="35" t="s">
        <v>7017</v>
      </c>
      <c r="J178" s="33" t="s">
        <v>1337</v>
      </c>
    </row>
    <row r="179" spans="1:10" x14ac:dyDescent="0.25">
      <c r="A179" s="23" t="s">
        <v>2280</v>
      </c>
      <c r="B179" s="10" t="s">
        <v>2281</v>
      </c>
      <c r="C179" s="23" t="s">
        <v>1423</v>
      </c>
      <c r="D179" s="28" t="s">
        <v>2282</v>
      </c>
      <c r="E179" s="25">
        <v>106</v>
      </c>
      <c r="F179" s="23" t="str">
        <f>VLOOKUP(B179,'[2]справочник кодов нп'!$A:$D,4,0)</f>
        <v>сельские населенные пункты с численностью населения менее 1 000 человек.</v>
      </c>
      <c r="G179" s="23" t="s">
        <v>1385</v>
      </c>
      <c r="H179" s="10" t="s">
        <v>1423</v>
      </c>
      <c r="I179" s="35" t="s">
        <v>7017</v>
      </c>
      <c r="J179" s="33" t="s">
        <v>1337</v>
      </c>
    </row>
    <row r="180" spans="1:10" x14ac:dyDescent="0.25">
      <c r="A180" s="23" t="s">
        <v>2283</v>
      </c>
      <c r="B180" s="10" t="s">
        <v>2284</v>
      </c>
      <c r="C180" s="23" t="s">
        <v>1423</v>
      </c>
      <c r="D180" s="28" t="s">
        <v>2285</v>
      </c>
      <c r="E180" s="25">
        <v>106</v>
      </c>
      <c r="F180" s="23" t="str">
        <f>VLOOKUP(B180,'[2]справочник кодов нп'!$A:$D,4,0)</f>
        <v>сельские населенные пункты с численностью населения менее 1 000 человек.</v>
      </c>
      <c r="G180" s="23" t="s">
        <v>1385</v>
      </c>
      <c r="H180" s="10" t="s">
        <v>1423</v>
      </c>
      <c r="I180" s="35" t="s">
        <v>7017</v>
      </c>
      <c r="J180" s="33" t="s">
        <v>1337</v>
      </c>
    </row>
    <row r="181" spans="1:10" x14ac:dyDescent="0.25">
      <c r="A181" s="23" t="s">
        <v>2286</v>
      </c>
      <c r="B181" s="10" t="s">
        <v>2287</v>
      </c>
      <c r="C181" s="23" t="s">
        <v>1423</v>
      </c>
      <c r="D181" s="28" t="s">
        <v>2288</v>
      </c>
      <c r="E181" s="25">
        <v>106</v>
      </c>
      <c r="F181" s="23" t="str">
        <f>VLOOKUP(B181,'[2]справочник кодов нп'!$A:$D,4,0)</f>
        <v>сельские населенные пункты с численностью населения менее 1 000 человек.</v>
      </c>
      <c r="G181" s="23" t="s">
        <v>1385</v>
      </c>
      <c r="H181" s="10" t="s">
        <v>1423</v>
      </c>
      <c r="I181" s="35" t="s">
        <v>7017</v>
      </c>
      <c r="J181" s="33" t="s">
        <v>1337</v>
      </c>
    </row>
    <row r="182" spans="1:10" x14ac:dyDescent="0.25">
      <c r="A182" s="23" t="s">
        <v>2289</v>
      </c>
      <c r="B182" s="10" t="s">
        <v>2290</v>
      </c>
      <c r="C182" s="23" t="s">
        <v>1423</v>
      </c>
      <c r="D182" s="28" t="s">
        <v>2291</v>
      </c>
      <c r="E182" s="25">
        <v>106</v>
      </c>
      <c r="F182" s="23" t="str">
        <f>VLOOKUP(B182,'[2]справочник кодов нп'!$A:$D,4,0)</f>
        <v>сельские населенные пункты с численностью населения менее 1 000 человек.</v>
      </c>
      <c r="G182" s="23" t="s">
        <v>1385</v>
      </c>
      <c r="H182" s="10" t="s">
        <v>1423</v>
      </c>
      <c r="I182" s="35" t="s">
        <v>7017</v>
      </c>
      <c r="J182" s="33" t="s">
        <v>1337</v>
      </c>
    </row>
    <row r="183" spans="1:10" x14ac:dyDescent="0.25">
      <c r="A183" s="23" t="s">
        <v>2292</v>
      </c>
      <c r="B183" s="10" t="s">
        <v>2293</v>
      </c>
      <c r="C183" s="23" t="s">
        <v>1423</v>
      </c>
      <c r="D183" s="28" t="s">
        <v>2294</v>
      </c>
      <c r="E183" s="25">
        <v>106</v>
      </c>
      <c r="F183" s="23" t="str">
        <f>VLOOKUP(B183,'[2]справочник кодов нп'!$A:$D,4,0)</f>
        <v>сельские населенные пункты с численностью населения менее 1 000 человек.</v>
      </c>
      <c r="G183" s="23" t="s">
        <v>1385</v>
      </c>
      <c r="H183" s="10" t="s">
        <v>1423</v>
      </c>
      <c r="I183" s="35" t="s">
        <v>7017</v>
      </c>
      <c r="J183" s="33" t="s">
        <v>1337</v>
      </c>
    </row>
    <row r="184" spans="1:10" x14ac:dyDescent="0.25">
      <c r="A184" s="23" t="s">
        <v>2295</v>
      </c>
      <c r="B184" s="10" t="s">
        <v>2296</v>
      </c>
      <c r="C184" s="23" t="s">
        <v>1423</v>
      </c>
      <c r="D184" s="28" t="s">
        <v>2297</v>
      </c>
      <c r="E184" s="25">
        <v>106</v>
      </c>
      <c r="F184" s="23" t="str">
        <f>VLOOKUP(B184,'[2]справочник кодов нп'!$A:$D,4,0)</f>
        <v>сельские населенные пункты с численностью населения менее 1 000 человек.</v>
      </c>
      <c r="G184" s="23" t="s">
        <v>1385</v>
      </c>
      <c r="H184" s="10" t="s">
        <v>1423</v>
      </c>
      <c r="I184" s="35" t="s">
        <v>7017</v>
      </c>
      <c r="J184" s="33" t="s">
        <v>1337</v>
      </c>
    </row>
    <row r="185" spans="1:10" x14ac:dyDescent="0.25">
      <c r="A185" s="23" t="s">
        <v>2298</v>
      </c>
      <c r="B185" s="10" t="s">
        <v>2299</v>
      </c>
      <c r="C185" s="23" t="s">
        <v>1423</v>
      </c>
      <c r="D185" s="28" t="s">
        <v>2300</v>
      </c>
      <c r="E185" s="25">
        <v>106</v>
      </c>
      <c r="F185" s="23" t="str">
        <f>VLOOKUP(B185,'[2]справочник кодов нп'!$A:$D,4,0)</f>
        <v>сельские населенные пункты с численностью населения менее 1 000 человек.</v>
      </c>
      <c r="G185" s="23" t="s">
        <v>1385</v>
      </c>
      <c r="H185" s="10" t="s">
        <v>1423</v>
      </c>
      <c r="I185" s="35" t="s">
        <v>7017</v>
      </c>
      <c r="J185" s="33" t="s">
        <v>1337</v>
      </c>
    </row>
    <row r="186" spans="1:10" x14ac:dyDescent="0.25">
      <c r="A186" s="23" t="s">
        <v>2301</v>
      </c>
      <c r="B186" s="10" t="s">
        <v>2302</v>
      </c>
      <c r="C186" s="23" t="s">
        <v>1423</v>
      </c>
      <c r="D186" s="28" t="s">
        <v>2303</v>
      </c>
      <c r="E186" s="25">
        <v>106</v>
      </c>
      <c r="F186" s="23" t="str">
        <f>VLOOKUP(B186,'[2]справочник кодов нп'!$A:$D,4,0)</f>
        <v>сельские населенные пункты с численностью населения менее 1 000 человек.</v>
      </c>
      <c r="G186" s="23" t="s">
        <v>1385</v>
      </c>
      <c r="H186" s="10" t="s">
        <v>1423</v>
      </c>
      <c r="I186" s="35" t="s">
        <v>7017</v>
      </c>
      <c r="J186" s="33" t="s">
        <v>1337</v>
      </c>
    </row>
    <row r="187" spans="1:10" x14ac:dyDescent="0.25">
      <c r="A187" s="23" t="s">
        <v>2304</v>
      </c>
      <c r="B187" s="10" t="s">
        <v>2305</v>
      </c>
      <c r="C187" s="23" t="s">
        <v>1423</v>
      </c>
      <c r="D187" s="28" t="s">
        <v>2306</v>
      </c>
      <c r="E187" s="25">
        <v>106</v>
      </c>
      <c r="F187" s="23" t="str">
        <f>VLOOKUP(B187,'[2]справочник кодов нп'!$A:$D,4,0)</f>
        <v>сельские населенные пункты с численностью населения менее 1 000 человек.</v>
      </c>
      <c r="G187" s="23" t="s">
        <v>1385</v>
      </c>
      <c r="H187" s="10" t="s">
        <v>1423</v>
      </c>
      <c r="I187" s="35" t="s">
        <v>7017</v>
      </c>
      <c r="J187" s="33" t="s">
        <v>1337</v>
      </c>
    </row>
    <row r="188" spans="1:10" x14ac:dyDescent="0.25">
      <c r="A188" s="23" t="s">
        <v>2307</v>
      </c>
      <c r="B188" s="10" t="s">
        <v>2308</v>
      </c>
      <c r="C188" s="23" t="s">
        <v>1423</v>
      </c>
      <c r="D188" s="28" t="s">
        <v>2309</v>
      </c>
      <c r="E188" s="25">
        <v>106</v>
      </c>
      <c r="F188" s="23" t="str">
        <f>VLOOKUP(B188,'[2]справочник кодов нп'!$A:$D,4,0)</f>
        <v>сельские населенные пункты с численностью населения менее 1 000 человек.</v>
      </c>
      <c r="G188" s="23" t="s">
        <v>1385</v>
      </c>
      <c r="H188" s="10" t="s">
        <v>1423</v>
      </c>
      <c r="I188" s="35" t="s">
        <v>7017</v>
      </c>
      <c r="J188" s="33" t="s">
        <v>1337</v>
      </c>
    </row>
    <row r="189" spans="1:10" x14ac:dyDescent="0.25">
      <c r="A189" s="23" t="s">
        <v>2310</v>
      </c>
      <c r="B189" s="10" t="s">
        <v>2311</v>
      </c>
      <c r="C189" s="23" t="s">
        <v>1423</v>
      </c>
      <c r="D189" s="28" t="s">
        <v>2312</v>
      </c>
      <c r="E189" s="25">
        <v>106</v>
      </c>
      <c r="F189" s="23" t="str">
        <f>VLOOKUP(B189,'[2]справочник кодов нп'!$A:$D,4,0)</f>
        <v>сельские населенные пункты с численностью населения менее 1 000 человек.</v>
      </c>
      <c r="G189" s="23" t="s">
        <v>1385</v>
      </c>
      <c r="H189" s="10" t="s">
        <v>1423</v>
      </c>
      <c r="I189" s="35" t="s">
        <v>7017</v>
      </c>
      <c r="J189" s="33" t="s">
        <v>1337</v>
      </c>
    </row>
    <row r="190" spans="1:10" x14ac:dyDescent="0.25">
      <c r="A190" s="23" t="s">
        <v>2313</v>
      </c>
      <c r="B190" s="10" t="s">
        <v>2314</v>
      </c>
      <c r="C190" s="23" t="s">
        <v>1423</v>
      </c>
      <c r="D190" s="28" t="s">
        <v>2315</v>
      </c>
      <c r="E190" s="25">
        <v>106</v>
      </c>
      <c r="F190" s="23" t="str">
        <f>VLOOKUP(B190,'[2]справочник кодов нп'!$A:$D,4,0)</f>
        <v>сельские населенные пункты с численностью населения менее 1 000 человек.</v>
      </c>
      <c r="G190" s="23" t="s">
        <v>1385</v>
      </c>
      <c r="H190" s="10" t="s">
        <v>1423</v>
      </c>
      <c r="I190" s="35" t="s">
        <v>7017</v>
      </c>
      <c r="J190" s="33" t="s">
        <v>1337</v>
      </c>
    </row>
    <row r="191" spans="1:10" x14ac:dyDescent="0.25">
      <c r="A191" s="23" t="s">
        <v>2316</v>
      </c>
      <c r="B191" s="10" t="s">
        <v>2317</v>
      </c>
      <c r="C191" s="23" t="s">
        <v>1423</v>
      </c>
      <c r="D191" s="28" t="s">
        <v>2318</v>
      </c>
      <c r="E191" s="25">
        <v>106</v>
      </c>
      <c r="F191" s="23" t="str">
        <f>VLOOKUP(B191,'[2]справочник кодов нп'!$A:$D,4,0)</f>
        <v>сельские населенные пункты с численностью населения менее 1 000 человек.</v>
      </c>
      <c r="G191" s="23" t="s">
        <v>1385</v>
      </c>
      <c r="H191" s="10" t="s">
        <v>1423</v>
      </c>
      <c r="I191" s="35" t="s">
        <v>7017</v>
      </c>
      <c r="J191" s="33" t="s">
        <v>1337</v>
      </c>
    </row>
    <row r="192" spans="1:10" x14ac:dyDescent="0.25">
      <c r="A192" s="23" t="s">
        <v>2319</v>
      </c>
      <c r="B192" s="10" t="s">
        <v>2320</v>
      </c>
      <c r="C192" s="23" t="s">
        <v>1423</v>
      </c>
      <c r="D192" s="28" t="s">
        <v>2321</v>
      </c>
      <c r="E192" s="25">
        <v>106</v>
      </c>
      <c r="F192" s="23" t="str">
        <f>VLOOKUP(B192,'[2]справочник кодов нп'!$A:$D,4,0)</f>
        <v>сельские населенные пункты с численностью населения менее 1 000 человек.</v>
      </c>
      <c r="G192" s="23" t="s">
        <v>1385</v>
      </c>
      <c r="H192" s="10" t="s">
        <v>1423</v>
      </c>
      <c r="I192" s="35" t="s">
        <v>7017</v>
      </c>
      <c r="J192" s="33" t="s">
        <v>1337</v>
      </c>
    </row>
    <row r="193" spans="1:10" x14ac:dyDescent="0.25">
      <c r="A193" s="23" t="s">
        <v>2322</v>
      </c>
      <c r="B193" s="10" t="s">
        <v>2323</v>
      </c>
      <c r="C193" s="23" t="s">
        <v>1423</v>
      </c>
      <c r="D193" s="28" t="s">
        <v>2324</v>
      </c>
      <c r="E193" s="25">
        <v>106</v>
      </c>
      <c r="F193" s="23" t="str">
        <f>VLOOKUP(B193,'[2]справочник кодов нп'!$A:$D,4,0)</f>
        <v>сельские населенные пункты с численностью населения менее 1 000 человек.</v>
      </c>
      <c r="G193" s="23" t="s">
        <v>1385</v>
      </c>
      <c r="H193" s="10" t="s">
        <v>1423</v>
      </c>
      <c r="I193" s="35" t="s">
        <v>7017</v>
      </c>
      <c r="J193" s="33" t="s">
        <v>1337</v>
      </c>
    </row>
    <row r="194" spans="1:10" x14ac:dyDescent="0.25">
      <c r="A194" s="23" t="s">
        <v>2325</v>
      </c>
      <c r="B194" s="10" t="s">
        <v>2326</v>
      </c>
      <c r="C194" s="23" t="s">
        <v>1423</v>
      </c>
      <c r="D194" s="28" t="s">
        <v>2327</v>
      </c>
      <c r="E194" s="25">
        <v>106</v>
      </c>
      <c r="F194" s="23" t="str">
        <f>VLOOKUP(B194,'[2]справочник кодов нп'!$A:$D,4,0)</f>
        <v>сельские населенные пункты с численностью населения менее 1 000 человек.</v>
      </c>
      <c r="G194" s="23" t="s">
        <v>1385</v>
      </c>
      <c r="H194" s="10" t="s">
        <v>1423</v>
      </c>
      <c r="I194" s="35" t="s">
        <v>7017</v>
      </c>
      <c r="J194" s="33" t="s">
        <v>1337</v>
      </c>
    </row>
    <row r="195" spans="1:10" x14ac:dyDescent="0.25">
      <c r="A195" s="23" t="s">
        <v>2328</v>
      </c>
      <c r="B195" s="10" t="s">
        <v>2329</v>
      </c>
      <c r="C195" s="23" t="s">
        <v>1423</v>
      </c>
      <c r="D195" s="28" t="s">
        <v>2330</v>
      </c>
      <c r="E195" s="25">
        <v>106</v>
      </c>
      <c r="F195" s="23" t="str">
        <f>VLOOKUP(B195,'[2]справочник кодов нп'!$A:$D,4,0)</f>
        <v>сельские населенные пункты с численностью населения менее 1 000 человек.</v>
      </c>
      <c r="G195" s="23" t="s">
        <v>1385</v>
      </c>
      <c r="H195" s="10" t="s">
        <v>1423</v>
      </c>
      <c r="I195" s="35" t="s">
        <v>7017</v>
      </c>
      <c r="J195" s="33" t="s">
        <v>1337</v>
      </c>
    </row>
    <row r="196" spans="1:10" x14ac:dyDescent="0.25">
      <c r="A196" s="23" t="s">
        <v>2331</v>
      </c>
      <c r="B196" s="10" t="s">
        <v>2332</v>
      </c>
      <c r="C196" s="23" t="s">
        <v>1423</v>
      </c>
      <c r="D196" s="28" t="s">
        <v>2333</v>
      </c>
      <c r="E196" s="25">
        <v>106</v>
      </c>
      <c r="F196" s="23" t="str">
        <f>VLOOKUP(B196,'[2]справочник кодов нп'!$A:$D,4,0)</f>
        <v>сельские населенные пункты с численностью населения менее 1 000 человек.</v>
      </c>
      <c r="G196" s="23" t="s">
        <v>1385</v>
      </c>
      <c r="H196" s="10" t="s">
        <v>1423</v>
      </c>
      <c r="I196" s="35" t="s">
        <v>7017</v>
      </c>
      <c r="J196" s="33" t="s">
        <v>1337</v>
      </c>
    </row>
    <row r="197" spans="1:10" x14ac:dyDescent="0.25">
      <c r="A197" s="23" t="s">
        <v>2334</v>
      </c>
      <c r="B197" s="10" t="s">
        <v>2335</v>
      </c>
      <c r="C197" s="23" t="s">
        <v>1423</v>
      </c>
      <c r="D197" s="28" t="s">
        <v>2336</v>
      </c>
      <c r="E197" s="25">
        <v>106</v>
      </c>
      <c r="F197" s="23" t="str">
        <f>VLOOKUP(B197,'[2]справочник кодов нп'!$A:$D,4,0)</f>
        <v>сельские населенные пункты с численностью населения менее 1 000 человек.</v>
      </c>
      <c r="G197" s="23" t="s">
        <v>1385</v>
      </c>
      <c r="H197" s="10" t="s">
        <v>1423</v>
      </c>
      <c r="I197" s="35" t="s">
        <v>7017</v>
      </c>
      <c r="J197" s="33" t="s">
        <v>1337</v>
      </c>
    </row>
    <row r="198" spans="1:10" x14ac:dyDescent="0.25">
      <c r="A198" s="23" t="s">
        <v>2337</v>
      </c>
      <c r="B198" s="10" t="s">
        <v>2338</v>
      </c>
      <c r="C198" s="23" t="s">
        <v>1423</v>
      </c>
      <c r="D198" s="28" t="s">
        <v>2339</v>
      </c>
      <c r="E198" s="25">
        <v>106</v>
      </c>
      <c r="F198" s="23" t="str">
        <f>VLOOKUP(B198,'[2]справочник кодов нп'!$A:$D,4,0)</f>
        <v>сельские населенные пункты с численностью населения менее 1 000 человек.</v>
      </c>
      <c r="G198" s="23" t="s">
        <v>1385</v>
      </c>
      <c r="H198" s="10" t="s">
        <v>1423</v>
      </c>
      <c r="I198" s="35" t="s">
        <v>7017</v>
      </c>
      <c r="J198" s="33" t="s">
        <v>1337</v>
      </c>
    </row>
    <row r="199" spans="1:10" x14ac:dyDescent="0.25">
      <c r="A199" s="23" t="s">
        <v>2340</v>
      </c>
      <c r="B199" s="10" t="s">
        <v>2341</v>
      </c>
      <c r="C199" s="23" t="s">
        <v>1423</v>
      </c>
      <c r="D199" s="28" t="s">
        <v>2342</v>
      </c>
      <c r="E199" s="25">
        <v>106</v>
      </c>
      <c r="F199" s="23" t="str">
        <f>VLOOKUP(B199,'[2]справочник кодов нп'!$A:$D,4,0)</f>
        <v>сельские населенные пункты с численностью населения менее 1 000 человек.</v>
      </c>
      <c r="G199" s="23" t="s">
        <v>1385</v>
      </c>
      <c r="H199" s="10" t="s">
        <v>1423</v>
      </c>
      <c r="I199" s="35" t="s">
        <v>7017</v>
      </c>
      <c r="J199" s="33" t="s">
        <v>1337</v>
      </c>
    </row>
    <row r="200" spans="1:10" x14ac:dyDescent="0.25">
      <c r="A200" s="23" t="s">
        <v>2343</v>
      </c>
      <c r="B200" s="10" t="s">
        <v>2344</v>
      </c>
      <c r="C200" s="23" t="s">
        <v>1423</v>
      </c>
      <c r="D200" s="28" t="s">
        <v>2345</v>
      </c>
      <c r="E200" s="25">
        <v>106</v>
      </c>
      <c r="F200" s="23" t="str">
        <f>VLOOKUP(B200,'[2]справочник кодов нп'!$A:$D,4,0)</f>
        <v>сельские населенные пункты с численностью населения менее 1 000 человек.</v>
      </c>
      <c r="G200" s="23" t="s">
        <v>1385</v>
      </c>
      <c r="H200" s="10" t="s">
        <v>1423</v>
      </c>
      <c r="I200" s="35" t="s">
        <v>7017</v>
      </c>
      <c r="J200" s="33" t="s">
        <v>1337</v>
      </c>
    </row>
    <row r="201" spans="1:10" x14ac:dyDescent="0.25">
      <c r="A201" s="23" t="s">
        <v>2346</v>
      </c>
      <c r="B201" s="10" t="s">
        <v>2347</v>
      </c>
      <c r="C201" s="23" t="s">
        <v>1423</v>
      </c>
      <c r="D201" s="28" t="s">
        <v>2348</v>
      </c>
      <c r="E201" s="25">
        <v>106</v>
      </c>
      <c r="F201" s="23" t="str">
        <f>VLOOKUP(B201,'[2]справочник кодов нп'!$A:$D,4,0)</f>
        <v>сельские населенные пункты с численностью населения менее 1 000 человек.</v>
      </c>
      <c r="G201" s="23" t="s">
        <v>1385</v>
      </c>
      <c r="H201" s="10" t="s">
        <v>1423</v>
      </c>
      <c r="I201" s="35" t="s">
        <v>7017</v>
      </c>
      <c r="J201" s="33" t="s">
        <v>1337</v>
      </c>
    </row>
    <row r="202" spans="1:10" x14ac:dyDescent="0.25">
      <c r="A202" s="23" t="s">
        <v>2349</v>
      </c>
      <c r="B202" s="10" t="s">
        <v>2350</v>
      </c>
      <c r="C202" s="23" t="s">
        <v>1423</v>
      </c>
      <c r="D202" s="28" t="s">
        <v>2351</v>
      </c>
      <c r="E202" s="25">
        <v>106</v>
      </c>
      <c r="F202" s="23" t="str">
        <f>VLOOKUP(B202,'[2]справочник кодов нп'!$A:$D,4,0)</f>
        <v>сельские населенные пункты с численностью населения менее 1 000 человек.</v>
      </c>
      <c r="G202" s="23" t="s">
        <v>1385</v>
      </c>
      <c r="H202" s="10" t="s">
        <v>1423</v>
      </c>
      <c r="I202" s="35" t="s">
        <v>7017</v>
      </c>
      <c r="J202" s="33" t="s">
        <v>1337</v>
      </c>
    </row>
    <row r="203" spans="1:10" x14ac:dyDescent="0.25">
      <c r="A203" s="23" t="s">
        <v>2352</v>
      </c>
      <c r="B203" s="10" t="s">
        <v>2353</v>
      </c>
      <c r="C203" s="23" t="s">
        <v>1423</v>
      </c>
      <c r="D203" s="28" t="s">
        <v>2354</v>
      </c>
      <c r="E203" s="25">
        <v>106</v>
      </c>
      <c r="F203" s="23" t="str">
        <f>VLOOKUP(B203,'[2]справочник кодов нп'!$A:$D,4,0)</f>
        <v>сельские населенные пункты с численностью населения менее 1 000 человек.</v>
      </c>
      <c r="G203" s="23" t="s">
        <v>1385</v>
      </c>
      <c r="H203" s="10" t="s">
        <v>1423</v>
      </c>
      <c r="I203" s="35" t="s">
        <v>7017</v>
      </c>
      <c r="J203" s="33" t="s">
        <v>1337</v>
      </c>
    </row>
    <row r="204" spans="1:10" x14ac:dyDescent="0.25">
      <c r="A204" s="23" t="s">
        <v>2355</v>
      </c>
      <c r="B204" s="10" t="s">
        <v>2356</v>
      </c>
      <c r="C204" s="23" t="s">
        <v>1423</v>
      </c>
      <c r="D204" s="28" t="s">
        <v>2357</v>
      </c>
      <c r="E204" s="25">
        <v>106</v>
      </c>
      <c r="F204" s="23" t="str">
        <f>VLOOKUP(B204,'[2]справочник кодов нп'!$A:$D,4,0)</f>
        <v>сельские населенные пункты с численностью населения менее 1 000 человек.</v>
      </c>
      <c r="G204" s="23" t="s">
        <v>1385</v>
      </c>
      <c r="H204" s="10" t="s">
        <v>1423</v>
      </c>
      <c r="I204" s="35" t="s">
        <v>7017</v>
      </c>
      <c r="J204" s="33" t="s">
        <v>1337</v>
      </c>
    </row>
    <row r="205" spans="1:10" x14ac:dyDescent="0.25">
      <c r="A205" s="23" t="s">
        <v>2358</v>
      </c>
      <c r="B205" s="10" t="s">
        <v>2359</v>
      </c>
      <c r="C205" s="23" t="s">
        <v>1423</v>
      </c>
      <c r="D205" s="28" t="s">
        <v>2360</v>
      </c>
      <c r="E205" s="25">
        <v>106</v>
      </c>
      <c r="F205" s="23" t="str">
        <f>VLOOKUP(B205,'[2]справочник кодов нп'!$A:$D,4,0)</f>
        <v>сельские населенные пункты с численностью населения менее 1 000 человек.</v>
      </c>
      <c r="G205" s="23" t="s">
        <v>1385</v>
      </c>
      <c r="H205" s="10" t="s">
        <v>1423</v>
      </c>
      <c r="I205" s="35" t="s">
        <v>7017</v>
      </c>
      <c r="J205" s="33" t="s">
        <v>1337</v>
      </c>
    </row>
    <row r="206" spans="1:10" x14ac:dyDescent="0.25">
      <c r="A206" s="23" t="s">
        <v>2361</v>
      </c>
      <c r="B206" s="10" t="s">
        <v>2362</v>
      </c>
      <c r="C206" s="23" t="s">
        <v>1423</v>
      </c>
      <c r="D206" s="28" t="s">
        <v>2363</v>
      </c>
      <c r="E206" s="25">
        <v>106</v>
      </c>
      <c r="F206" s="23" t="str">
        <f>VLOOKUP(B206,'[2]справочник кодов нп'!$A:$D,4,0)</f>
        <v>сельские населенные пункты с численностью населения менее 1 000 человек.</v>
      </c>
      <c r="G206" s="23" t="s">
        <v>1385</v>
      </c>
      <c r="H206" s="10" t="s">
        <v>1423</v>
      </c>
      <c r="I206" s="35" t="s">
        <v>7017</v>
      </c>
      <c r="J206" s="33" t="s">
        <v>1337</v>
      </c>
    </row>
    <row r="207" spans="1:10" x14ac:dyDescent="0.25">
      <c r="A207" s="23" t="s">
        <v>2364</v>
      </c>
      <c r="B207" s="10" t="s">
        <v>2365</v>
      </c>
      <c r="C207" s="23" t="s">
        <v>1423</v>
      </c>
      <c r="D207" s="28" t="s">
        <v>2366</v>
      </c>
      <c r="E207" s="25">
        <v>106</v>
      </c>
      <c r="F207" s="23" t="str">
        <f>VLOOKUP(B207,'[2]справочник кодов нп'!$A:$D,4,0)</f>
        <v>сельские населенные пункты с численностью населения менее 1 000 человек.</v>
      </c>
      <c r="G207" s="23" t="s">
        <v>1385</v>
      </c>
      <c r="H207" s="10" t="s">
        <v>1423</v>
      </c>
      <c r="I207" s="35" t="s">
        <v>7017</v>
      </c>
      <c r="J207" s="33" t="s">
        <v>1337</v>
      </c>
    </row>
    <row r="208" spans="1:10" x14ac:dyDescent="0.25">
      <c r="A208" s="23" t="s">
        <v>2367</v>
      </c>
      <c r="B208" s="10" t="s">
        <v>2368</v>
      </c>
      <c r="C208" s="23" t="s">
        <v>1423</v>
      </c>
      <c r="D208" s="28" t="s">
        <v>2369</v>
      </c>
      <c r="E208" s="25">
        <v>106</v>
      </c>
      <c r="F208" s="23" t="str">
        <f>VLOOKUP(B208,'[2]справочник кодов нп'!$A:$D,4,0)</f>
        <v>сельские населенные пункты с численностью населения менее 1 000 человек.</v>
      </c>
      <c r="G208" s="23" t="s">
        <v>1385</v>
      </c>
      <c r="H208" s="10" t="s">
        <v>1423</v>
      </c>
      <c r="I208" s="35" t="s">
        <v>7017</v>
      </c>
      <c r="J208" s="33" t="s">
        <v>1337</v>
      </c>
    </row>
    <row r="209" spans="1:10" x14ac:dyDescent="0.25">
      <c r="A209" s="23" t="s">
        <v>4955</v>
      </c>
      <c r="B209" s="10" t="s">
        <v>4956</v>
      </c>
      <c r="C209" s="23" t="s">
        <v>1423</v>
      </c>
      <c r="D209" s="28" t="s">
        <v>3641</v>
      </c>
      <c r="E209" s="25">
        <v>106</v>
      </c>
      <c r="F209" s="23" t="str">
        <f>VLOOKUP(B209,'[2]справочник кодов нп'!$A:$D,4,0)</f>
        <v>сельские населенные пункты с численностью населения менее 1 000 человек.</v>
      </c>
      <c r="G209" s="23" t="s">
        <v>1385</v>
      </c>
      <c r="H209" s="10" t="s">
        <v>1423</v>
      </c>
      <c r="I209" s="35" t="s">
        <v>7017</v>
      </c>
      <c r="J209" s="33" t="s">
        <v>1337</v>
      </c>
    </row>
    <row r="210" spans="1:10" x14ac:dyDescent="0.25">
      <c r="A210" s="23" t="s">
        <v>5001</v>
      </c>
      <c r="B210" s="10" t="s">
        <v>5002</v>
      </c>
      <c r="C210" s="23" t="s">
        <v>1423</v>
      </c>
      <c r="D210" s="28" t="s">
        <v>5003</v>
      </c>
      <c r="E210" s="25">
        <v>106</v>
      </c>
      <c r="F210" s="23" t="str">
        <f>VLOOKUP(B210,'[2]справочник кодов нп'!$A:$D,4,0)</f>
        <v>сельские населенные пункты с численностью населения менее 1 000 человек.</v>
      </c>
      <c r="G210" s="23" t="s">
        <v>1385</v>
      </c>
      <c r="H210" s="10" t="s">
        <v>1423</v>
      </c>
      <c r="I210" s="35" t="s">
        <v>7017</v>
      </c>
      <c r="J210" s="33" t="s">
        <v>1337</v>
      </c>
    </row>
    <row r="211" spans="1:10" x14ac:dyDescent="0.25">
      <c r="A211" s="23" t="s">
        <v>5004</v>
      </c>
      <c r="B211" s="10" t="s">
        <v>5005</v>
      </c>
      <c r="C211" s="23" t="s">
        <v>1423</v>
      </c>
      <c r="D211" s="28" t="s">
        <v>5006</v>
      </c>
      <c r="E211" s="25">
        <v>106</v>
      </c>
      <c r="F211" s="23" t="str">
        <f>VLOOKUP(B211,'[2]справочник кодов нп'!$A:$D,4,0)</f>
        <v>сельские населенные пункты с численностью населения более 1 000 человек;</v>
      </c>
      <c r="G211" s="23" t="s">
        <v>1385</v>
      </c>
      <c r="H211" s="10" t="s">
        <v>1423</v>
      </c>
      <c r="I211" s="35" t="s">
        <v>7017</v>
      </c>
      <c r="J211" s="33" t="s">
        <v>1337</v>
      </c>
    </row>
    <row r="212" spans="1:10" x14ac:dyDescent="0.25">
      <c r="A212" s="23" t="s">
        <v>5007</v>
      </c>
      <c r="B212" s="10" t="s">
        <v>5008</v>
      </c>
      <c r="C212" s="23" t="s">
        <v>1423</v>
      </c>
      <c r="D212" s="28" t="s">
        <v>5009</v>
      </c>
      <c r="E212" s="25">
        <v>106</v>
      </c>
      <c r="F212" s="23" t="str">
        <f>VLOOKUP(B212,'[2]справочник кодов нп'!$A:$D,4,0)</f>
        <v>сельские населенные пункты с численностью населения менее 1 000 человек.</v>
      </c>
      <c r="G212" s="23" t="s">
        <v>1385</v>
      </c>
      <c r="H212" s="10" t="s">
        <v>1423</v>
      </c>
      <c r="I212" s="35" t="s">
        <v>7017</v>
      </c>
      <c r="J212" s="33" t="s">
        <v>1337</v>
      </c>
    </row>
    <row r="213" spans="1:10" x14ac:dyDescent="0.25">
      <c r="A213" s="23" t="s">
        <v>5174</v>
      </c>
      <c r="B213" s="10" t="s">
        <v>5175</v>
      </c>
      <c r="C213" s="23" t="s">
        <v>1423</v>
      </c>
      <c r="D213" s="28" t="s">
        <v>5176</v>
      </c>
      <c r="E213" s="25">
        <v>106</v>
      </c>
      <c r="F213" s="23" t="str">
        <f>VLOOKUP(B213,'[2]справочник кодов нп'!$A:$D,4,0)</f>
        <v>сельские населенные пункты с численностью населения более 1 000 человек;</v>
      </c>
      <c r="G213" s="23" t="s">
        <v>1385</v>
      </c>
      <c r="H213" s="10" t="s">
        <v>1423</v>
      </c>
      <c r="I213" s="35" t="s">
        <v>7017</v>
      </c>
      <c r="J213" s="33" t="s">
        <v>1337</v>
      </c>
    </row>
    <row r="214" spans="1:10" x14ac:dyDescent="0.25">
      <c r="A214" s="23" t="s">
        <v>5401</v>
      </c>
      <c r="B214" s="10" t="s">
        <v>5402</v>
      </c>
      <c r="C214" s="23" t="s">
        <v>1423</v>
      </c>
      <c r="D214" s="28" t="s">
        <v>5403</v>
      </c>
      <c r="E214" s="25">
        <v>106</v>
      </c>
      <c r="F214" s="23" t="str">
        <f>VLOOKUP(B214,'[2]справочник кодов нп'!$A:$D,4,0)</f>
        <v>сельские населенные пункты с численностью населения менее 1 000 человек.</v>
      </c>
      <c r="G214" s="23" t="s">
        <v>1385</v>
      </c>
      <c r="H214" s="10" t="s">
        <v>1423</v>
      </c>
      <c r="I214" s="35" t="s">
        <v>7017</v>
      </c>
      <c r="J214" s="33" t="s">
        <v>1337</v>
      </c>
    </row>
    <row r="215" spans="1:10" x14ac:dyDescent="0.25">
      <c r="A215" s="23" t="s">
        <v>5404</v>
      </c>
      <c r="B215" s="10" t="s">
        <v>5405</v>
      </c>
      <c r="C215" s="23" t="s">
        <v>1423</v>
      </c>
      <c r="D215" s="28" t="s">
        <v>5406</v>
      </c>
      <c r="E215" s="25">
        <v>106</v>
      </c>
      <c r="F215" s="23" t="str">
        <f>VLOOKUP(B215,'[2]справочник кодов нп'!$A:$D,4,0)</f>
        <v>сельские населенные пункты с численностью населения менее 1 000 человек.</v>
      </c>
      <c r="G215" s="23" t="s">
        <v>1385</v>
      </c>
      <c r="H215" s="10" t="s">
        <v>1423</v>
      </c>
      <c r="I215" s="35" t="s">
        <v>7017</v>
      </c>
      <c r="J215" s="33" t="s">
        <v>1337</v>
      </c>
    </row>
    <row r="216" spans="1:10" x14ac:dyDescent="0.25">
      <c r="A216" s="23" t="s">
        <v>5407</v>
      </c>
      <c r="B216" s="10" t="s">
        <v>5408</v>
      </c>
      <c r="C216" s="23" t="s">
        <v>1423</v>
      </c>
      <c r="D216" s="28" t="s">
        <v>5409</v>
      </c>
      <c r="E216" s="25">
        <v>106</v>
      </c>
      <c r="F216" s="23" t="str">
        <f>VLOOKUP(B216,'[2]справочник кодов нп'!$A:$D,4,0)</f>
        <v>сельские населенные пункты с численностью населения менее 1 000 человек.</v>
      </c>
      <c r="G216" s="23" t="s">
        <v>1385</v>
      </c>
      <c r="H216" s="10" t="s">
        <v>1423</v>
      </c>
      <c r="I216" s="35" t="s">
        <v>7017</v>
      </c>
      <c r="J216" s="33" t="s">
        <v>1337</v>
      </c>
    </row>
    <row r="217" spans="1:10" x14ac:dyDescent="0.25">
      <c r="A217" s="23" t="s">
        <v>5410</v>
      </c>
      <c r="B217" s="10" t="s">
        <v>5411</v>
      </c>
      <c r="C217" s="23" t="s">
        <v>1423</v>
      </c>
      <c r="D217" s="28" t="s">
        <v>5412</v>
      </c>
      <c r="E217" s="25">
        <v>106</v>
      </c>
      <c r="F217" s="23" t="str">
        <f>VLOOKUP(B217,'[2]справочник кодов нп'!$A:$D,4,0)</f>
        <v>сельские населенные пункты с численностью населения менее 1 000 человек.</v>
      </c>
      <c r="G217" s="23" t="s">
        <v>1385</v>
      </c>
      <c r="H217" s="10" t="s">
        <v>1423</v>
      </c>
      <c r="I217" s="35" t="s">
        <v>7017</v>
      </c>
      <c r="J217" s="33" t="s">
        <v>1337</v>
      </c>
    </row>
    <row r="218" spans="1:10" x14ac:dyDescent="0.25">
      <c r="A218" s="23" t="s">
        <v>6739</v>
      </c>
      <c r="B218" s="10" t="s">
        <v>6740</v>
      </c>
      <c r="C218" s="23" t="s">
        <v>1423</v>
      </c>
      <c r="D218" s="28" t="s">
        <v>6741</v>
      </c>
      <c r="E218" s="25">
        <v>106</v>
      </c>
      <c r="F218" s="23" t="str">
        <f>VLOOKUP(B218,'[2]справочник кодов нп'!$A:$D,4,0)</f>
        <v>сельские населенные пункты с численностью населения менее 1 000 человек.</v>
      </c>
      <c r="G218" s="23" t="s">
        <v>1385</v>
      </c>
      <c r="H218" s="10" t="s">
        <v>1423</v>
      </c>
      <c r="I218" s="35" t="s">
        <v>7017</v>
      </c>
      <c r="J218" s="33" t="s">
        <v>1337</v>
      </c>
    </row>
    <row r="219" spans="1:10" x14ac:dyDescent="0.25">
      <c r="A219" s="23" t="s">
        <v>6855</v>
      </c>
      <c r="B219" s="10" t="s">
        <v>6856</v>
      </c>
      <c r="C219" s="23" t="s">
        <v>1423</v>
      </c>
      <c r="D219" s="28" t="s">
        <v>6846</v>
      </c>
      <c r="E219" s="25">
        <v>106</v>
      </c>
      <c r="F219" s="23" t="str">
        <f>VLOOKUP(B219,'[2]справочник кодов нп'!$A:$D,4,0)</f>
        <v>межселенная территория</v>
      </c>
      <c r="G219" s="23" t="s">
        <v>1385</v>
      </c>
      <c r="H219" s="10" t="s">
        <v>1423</v>
      </c>
      <c r="I219" s="35" t="s">
        <v>7019</v>
      </c>
      <c r="J219" s="33" t="s">
        <v>1337</v>
      </c>
    </row>
    <row r="220" spans="1:10" x14ac:dyDescent="0.25">
      <c r="A220" s="23" t="s">
        <v>7003</v>
      </c>
      <c r="B220" s="10" t="s">
        <v>6856</v>
      </c>
      <c r="C220" s="23" t="s">
        <v>1423</v>
      </c>
      <c r="D220" s="28" t="s">
        <v>6846</v>
      </c>
      <c r="E220" s="25">
        <v>106</v>
      </c>
      <c r="F220" s="23" t="str">
        <f>VLOOKUP(B220,'[2]справочник кодов нп'!$A:$D,4,0)</f>
        <v>межселенная территория</v>
      </c>
      <c r="G220" s="23" t="s">
        <v>1385</v>
      </c>
      <c r="H220" s="10" t="s">
        <v>1423</v>
      </c>
      <c r="I220" s="35" t="s">
        <v>7019</v>
      </c>
      <c r="J220" s="33" t="s">
        <v>1337</v>
      </c>
    </row>
    <row r="221" spans="1:10" x14ac:dyDescent="0.25">
      <c r="A221" s="23" t="s">
        <v>7004</v>
      </c>
      <c r="B221" s="10" t="s">
        <v>6856</v>
      </c>
      <c r="C221" s="23" t="s">
        <v>1423</v>
      </c>
      <c r="D221" s="28" t="s">
        <v>6846</v>
      </c>
      <c r="E221" s="25">
        <v>106</v>
      </c>
      <c r="F221" s="23" t="str">
        <f>VLOOKUP(B221,'[2]справочник кодов нп'!$A:$D,4,0)</f>
        <v>межселенная территория</v>
      </c>
      <c r="G221" s="23" t="s">
        <v>1385</v>
      </c>
      <c r="H221" s="10" t="s">
        <v>1423</v>
      </c>
      <c r="I221" s="35" t="s">
        <v>7019</v>
      </c>
      <c r="J221" s="33" t="s">
        <v>1337</v>
      </c>
    </row>
    <row r="222" spans="1:10" x14ac:dyDescent="0.25">
      <c r="A222" s="23" t="s">
        <v>7005</v>
      </c>
      <c r="B222" s="10" t="s">
        <v>6856</v>
      </c>
      <c r="C222" s="23" t="s">
        <v>1423</v>
      </c>
      <c r="D222" s="28" t="s">
        <v>6846</v>
      </c>
      <c r="E222" s="25">
        <v>106</v>
      </c>
      <c r="F222" s="23" t="str">
        <f>VLOOKUP(B222,'[2]справочник кодов нп'!$A:$D,4,0)</f>
        <v>межселенная территория</v>
      </c>
      <c r="G222" s="23" t="s">
        <v>1385</v>
      </c>
      <c r="H222" s="10" t="s">
        <v>1423</v>
      </c>
      <c r="I222" s="35" t="s">
        <v>7019</v>
      </c>
      <c r="J222" s="33" t="s">
        <v>1337</v>
      </c>
    </row>
    <row r="223" spans="1:10" x14ac:dyDescent="0.25">
      <c r="A223" s="23" t="s">
        <v>1406</v>
      </c>
      <c r="B223" s="10" t="s">
        <v>1407</v>
      </c>
      <c r="C223" s="23" t="s">
        <v>1408</v>
      </c>
      <c r="D223" s="28" t="s">
        <v>1409</v>
      </c>
      <c r="E223" s="25">
        <v>106</v>
      </c>
      <c r="F223" s="23" t="str">
        <f>VLOOKUP(B223,'[2]справочник кодов нп'!$A:$D,4,0)</f>
        <v>сельские населенные пункты с численностью населения менее 1 000 человек.</v>
      </c>
      <c r="G223" s="23" t="s">
        <v>1385</v>
      </c>
      <c r="H223" s="10" t="s">
        <v>1408</v>
      </c>
      <c r="I223" s="35" t="s">
        <v>7017</v>
      </c>
      <c r="J223" s="33" t="s">
        <v>1337</v>
      </c>
    </row>
    <row r="224" spans="1:10" x14ac:dyDescent="0.25">
      <c r="A224" s="23" t="s">
        <v>1429</v>
      </c>
      <c r="B224" s="10" t="s">
        <v>1430</v>
      </c>
      <c r="C224" s="23" t="s">
        <v>1408</v>
      </c>
      <c r="D224" s="28" t="s">
        <v>1431</v>
      </c>
      <c r="E224" s="25">
        <v>106</v>
      </c>
      <c r="F224" s="23" t="str">
        <f>VLOOKUP(B224,'[2]справочник кодов нп'!$A:$D,4,0)</f>
        <v>сельские населенные пункты с численностью населения менее 1 000 человек.</v>
      </c>
      <c r="G224" s="23" t="s">
        <v>1385</v>
      </c>
      <c r="H224" s="10" t="s">
        <v>1408</v>
      </c>
      <c r="I224" s="35" t="s">
        <v>7017</v>
      </c>
      <c r="J224" s="33" t="s">
        <v>1337</v>
      </c>
    </row>
    <row r="225" spans="1:10" x14ac:dyDescent="0.25">
      <c r="A225" s="23" t="s">
        <v>1472</v>
      </c>
      <c r="B225" s="10" t="s">
        <v>1473</v>
      </c>
      <c r="C225" s="23" t="s">
        <v>1408</v>
      </c>
      <c r="D225" s="28" t="s">
        <v>1474</v>
      </c>
      <c r="E225" s="25">
        <v>106</v>
      </c>
      <c r="F225" s="23" t="str">
        <f>VLOOKUP(B225,'[2]справочник кодов нп'!$A:$D,4,0)</f>
        <v>сельские населенные пункты с численностью населения менее 1 000 человек.</v>
      </c>
      <c r="G225" s="23" t="s">
        <v>1385</v>
      </c>
      <c r="H225" s="10" t="s">
        <v>1408</v>
      </c>
      <c r="I225" s="35" t="s">
        <v>7017</v>
      </c>
      <c r="J225" s="33" t="s">
        <v>1337</v>
      </c>
    </row>
    <row r="226" spans="1:10" x14ac:dyDescent="0.25">
      <c r="A226" s="23" t="s">
        <v>1529</v>
      </c>
      <c r="B226" s="10" t="s">
        <v>1530</v>
      </c>
      <c r="C226" s="23" t="s">
        <v>1408</v>
      </c>
      <c r="D226" s="28" t="s">
        <v>1531</v>
      </c>
      <c r="E226" s="25">
        <v>106</v>
      </c>
      <c r="F226" s="23" t="str">
        <f>VLOOKUP(B226,'[2]справочник кодов нп'!$A:$D,4,0)</f>
        <v>сельские населенные пункты с численностью населения менее 1 000 человек.</v>
      </c>
      <c r="G226" s="23" t="s">
        <v>1385</v>
      </c>
      <c r="H226" s="10" t="s">
        <v>1408</v>
      </c>
      <c r="I226" s="35" t="s">
        <v>7017</v>
      </c>
      <c r="J226" s="33" t="s">
        <v>1337</v>
      </c>
    </row>
    <row r="227" spans="1:10" x14ac:dyDescent="0.25">
      <c r="A227" s="23" t="s">
        <v>1552</v>
      </c>
      <c r="B227" s="10" t="s">
        <v>1553</v>
      </c>
      <c r="C227" s="23" t="s">
        <v>1408</v>
      </c>
      <c r="D227" s="28" t="s">
        <v>1554</v>
      </c>
      <c r="E227" s="25">
        <v>106</v>
      </c>
      <c r="F227" s="23" t="str">
        <f>VLOOKUP(B227,'[2]справочник кодов нп'!$A:$D,4,0)</f>
        <v>сельские населенные пункты с численностью населения менее 1 000 человек.</v>
      </c>
      <c r="G227" s="23" t="s">
        <v>1385</v>
      </c>
      <c r="H227" s="10" t="s">
        <v>1408</v>
      </c>
      <c r="I227" s="35" t="s">
        <v>7017</v>
      </c>
      <c r="J227" s="33" t="s">
        <v>1337</v>
      </c>
    </row>
    <row r="228" spans="1:10" x14ac:dyDescent="0.25">
      <c r="A228" s="23" t="s">
        <v>2370</v>
      </c>
      <c r="B228" s="10" t="s">
        <v>2371</v>
      </c>
      <c r="C228" s="23" t="s">
        <v>1408</v>
      </c>
      <c r="D228" s="28" t="s">
        <v>2372</v>
      </c>
      <c r="E228" s="25">
        <v>106</v>
      </c>
      <c r="F228" s="23" t="str">
        <f>VLOOKUP(B228,'[2]справочник кодов нп'!$A:$D,4,0)</f>
        <v>сельские населенные пункты с численностью населения менее 1 000 человек.</v>
      </c>
      <c r="G228" s="23" t="s">
        <v>1385</v>
      </c>
      <c r="H228" s="10" t="s">
        <v>1408</v>
      </c>
      <c r="I228" s="35" t="s">
        <v>7017</v>
      </c>
      <c r="J228" s="33" t="s">
        <v>1337</v>
      </c>
    </row>
    <row r="229" spans="1:10" x14ac:dyDescent="0.25">
      <c r="A229" s="23" t="s">
        <v>2373</v>
      </c>
      <c r="B229" s="10" t="s">
        <v>2374</v>
      </c>
      <c r="C229" s="23" t="s">
        <v>1408</v>
      </c>
      <c r="D229" s="28" t="s">
        <v>2375</v>
      </c>
      <c r="E229" s="25">
        <v>106</v>
      </c>
      <c r="F229" s="23" t="str">
        <f>VLOOKUP(B229,'[2]справочник кодов нп'!$A:$D,4,0)</f>
        <v>сельские населенные пункты с численностью населения менее 1 000 человек.</v>
      </c>
      <c r="G229" s="23" t="s">
        <v>1385</v>
      </c>
      <c r="H229" s="10" t="s">
        <v>1408</v>
      </c>
      <c r="I229" s="35" t="s">
        <v>7017</v>
      </c>
      <c r="J229" s="33" t="s">
        <v>1337</v>
      </c>
    </row>
    <row r="230" spans="1:10" x14ac:dyDescent="0.25">
      <c r="A230" s="23" t="s">
        <v>2376</v>
      </c>
      <c r="B230" s="10" t="s">
        <v>2377</v>
      </c>
      <c r="C230" s="23" t="s">
        <v>1408</v>
      </c>
      <c r="D230" s="28" t="s">
        <v>2378</v>
      </c>
      <c r="E230" s="25">
        <v>106</v>
      </c>
      <c r="F230" s="23" t="str">
        <f>VLOOKUP(B230,'[2]справочник кодов нп'!$A:$D,4,0)</f>
        <v>сельские населенные пункты с численностью населения менее 1 000 человек.</v>
      </c>
      <c r="G230" s="23" t="s">
        <v>1385</v>
      </c>
      <c r="H230" s="10" t="s">
        <v>1408</v>
      </c>
      <c r="I230" s="35" t="s">
        <v>7017</v>
      </c>
      <c r="J230" s="33" t="s">
        <v>1337</v>
      </c>
    </row>
    <row r="231" spans="1:10" x14ac:dyDescent="0.25">
      <c r="A231" s="23" t="s">
        <v>2379</v>
      </c>
      <c r="B231" s="10" t="s">
        <v>2380</v>
      </c>
      <c r="C231" s="23" t="s">
        <v>1408</v>
      </c>
      <c r="D231" s="28" t="s">
        <v>2381</v>
      </c>
      <c r="E231" s="25">
        <v>106</v>
      </c>
      <c r="F231" s="23" t="str">
        <f>VLOOKUP(B231,'[2]справочник кодов нп'!$A:$D,4,0)</f>
        <v>сельские населенные пункты с численностью населения менее 1 000 человек.</v>
      </c>
      <c r="G231" s="23" t="s">
        <v>1385</v>
      </c>
      <c r="H231" s="10" t="s">
        <v>1408</v>
      </c>
      <c r="I231" s="35" t="s">
        <v>7017</v>
      </c>
      <c r="J231" s="33" t="s">
        <v>1337</v>
      </c>
    </row>
    <row r="232" spans="1:10" x14ac:dyDescent="0.25">
      <c r="A232" s="23" t="s">
        <v>2382</v>
      </c>
      <c r="B232" s="10" t="s">
        <v>2383</v>
      </c>
      <c r="C232" s="23" t="s">
        <v>1408</v>
      </c>
      <c r="D232" s="28" t="s">
        <v>2384</v>
      </c>
      <c r="E232" s="25">
        <v>106</v>
      </c>
      <c r="F232" s="23" t="str">
        <f>VLOOKUP(B232,'[2]справочник кодов нп'!$A:$D,4,0)</f>
        <v>сельские населенные пункты с численностью населения менее 1 000 человек.</v>
      </c>
      <c r="G232" s="23" t="s">
        <v>1385</v>
      </c>
      <c r="H232" s="10" t="s">
        <v>1408</v>
      </c>
      <c r="I232" s="35" t="s">
        <v>7017</v>
      </c>
      <c r="J232" s="33" t="s">
        <v>1337</v>
      </c>
    </row>
    <row r="233" spans="1:10" x14ac:dyDescent="0.25">
      <c r="A233" s="23" t="s">
        <v>2385</v>
      </c>
      <c r="B233" s="10" t="s">
        <v>2386</v>
      </c>
      <c r="C233" s="23" t="s">
        <v>1408</v>
      </c>
      <c r="D233" s="28" t="s">
        <v>2387</v>
      </c>
      <c r="E233" s="25">
        <v>106</v>
      </c>
      <c r="F233" s="23" t="str">
        <f>VLOOKUP(B233,'[2]справочник кодов нп'!$A:$D,4,0)</f>
        <v>сельские населенные пункты с численностью населения менее 1 000 человек.</v>
      </c>
      <c r="G233" s="23" t="s">
        <v>1385</v>
      </c>
      <c r="H233" s="10" t="s">
        <v>1408</v>
      </c>
      <c r="I233" s="35" t="s">
        <v>7017</v>
      </c>
      <c r="J233" s="33" t="s">
        <v>1337</v>
      </c>
    </row>
    <row r="234" spans="1:10" x14ac:dyDescent="0.25">
      <c r="A234" s="23" t="s">
        <v>2388</v>
      </c>
      <c r="B234" s="10" t="s">
        <v>2389</v>
      </c>
      <c r="C234" s="23" t="s">
        <v>1408</v>
      </c>
      <c r="D234" s="28" t="s">
        <v>2390</v>
      </c>
      <c r="E234" s="25">
        <v>106</v>
      </c>
      <c r="F234" s="23" t="str">
        <f>VLOOKUP(B234,'[2]справочник кодов нп'!$A:$D,4,0)</f>
        <v>сельские населенные пункты с численностью населения менее 1 000 человек.</v>
      </c>
      <c r="G234" s="23" t="s">
        <v>1385</v>
      </c>
      <c r="H234" s="10" t="s">
        <v>1408</v>
      </c>
      <c r="I234" s="35" t="s">
        <v>7017</v>
      </c>
      <c r="J234" s="33" t="s">
        <v>1337</v>
      </c>
    </row>
    <row r="235" spans="1:10" x14ac:dyDescent="0.25">
      <c r="A235" s="23" t="s">
        <v>2391</v>
      </c>
      <c r="B235" s="10" t="s">
        <v>2392</v>
      </c>
      <c r="C235" s="23" t="s">
        <v>1408</v>
      </c>
      <c r="D235" s="28" t="s">
        <v>2393</v>
      </c>
      <c r="E235" s="25">
        <v>106</v>
      </c>
      <c r="F235" s="23" t="str">
        <f>VLOOKUP(B235,'[2]справочник кодов нп'!$A:$D,4,0)</f>
        <v>сельские населенные пункты с численностью населения менее 1 000 человек.</v>
      </c>
      <c r="G235" s="23" t="s">
        <v>1385</v>
      </c>
      <c r="H235" s="10" t="s">
        <v>1408</v>
      </c>
      <c r="I235" s="35" t="s">
        <v>7017</v>
      </c>
      <c r="J235" s="33" t="s">
        <v>1337</v>
      </c>
    </row>
    <row r="236" spans="1:10" x14ac:dyDescent="0.25">
      <c r="A236" s="23" t="s">
        <v>2394</v>
      </c>
      <c r="B236" s="10" t="s">
        <v>2395</v>
      </c>
      <c r="C236" s="23" t="s">
        <v>1408</v>
      </c>
      <c r="D236" s="28" t="s">
        <v>2396</v>
      </c>
      <c r="E236" s="25">
        <v>106</v>
      </c>
      <c r="F236" s="23" t="str">
        <f>VLOOKUP(B236,'[2]справочник кодов нп'!$A:$D,4,0)</f>
        <v>сельские населенные пункты с численностью населения менее 1 000 человек.</v>
      </c>
      <c r="G236" s="23" t="s">
        <v>1385</v>
      </c>
      <c r="H236" s="10" t="s">
        <v>1408</v>
      </c>
      <c r="I236" s="35" t="s">
        <v>7017</v>
      </c>
      <c r="J236" s="33" t="s">
        <v>1337</v>
      </c>
    </row>
    <row r="237" spans="1:10" x14ac:dyDescent="0.25">
      <c r="A237" s="23" t="s">
        <v>2397</v>
      </c>
      <c r="B237" s="10" t="s">
        <v>2398</v>
      </c>
      <c r="C237" s="23" t="s">
        <v>1408</v>
      </c>
      <c r="D237" s="28" t="s">
        <v>2399</v>
      </c>
      <c r="E237" s="25">
        <v>106</v>
      </c>
      <c r="F237" s="23" t="str">
        <f>VLOOKUP(B237,'[2]справочник кодов нп'!$A:$D,4,0)</f>
        <v>сельские населенные пункты с численностью населения менее 1 000 человек.</v>
      </c>
      <c r="G237" s="23" t="s">
        <v>1385</v>
      </c>
      <c r="H237" s="10" t="s">
        <v>1408</v>
      </c>
      <c r="I237" s="35" t="s">
        <v>7017</v>
      </c>
      <c r="J237" s="33" t="s">
        <v>1337</v>
      </c>
    </row>
    <row r="238" spans="1:10" x14ac:dyDescent="0.25">
      <c r="A238" s="23" t="s">
        <v>2400</v>
      </c>
      <c r="B238" s="10" t="s">
        <v>2401</v>
      </c>
      <c r="C238" s="23" t="s">
        <v>1408</v>
      </c>
      <c r="D238" s="28" t="s">
        <v>2402</v>
      </c>
      <c r="E238" s="25">
        <v>106</v>
      </c>
      <c r="F238" s="23" t="str">
        <f>VLOOKUP(B238,'[2]справочник кодов нп'!$A:$D,4,0)</f>
        <v>сельские населенные пункты с численностью населения менее 1 000 человек.</v>
      </c>
      <c r="G238" s="23" t="s">
        <v>1385</v>
      </c>
      <c r="H238" s="10" t="s">
        <v>1408</v>
      </c>
      <c r="I238" s="35" t="s">
        <v>7017</v>
      </c>
      <c r="J238" s="33" t="s">
        <v>1337</v>
      </c>
    </row>
    <row r="239" spans="1:10" x14ac:dyDescent="0.25">
      <c r="A239" s="23" t="s">
        <v>2403</v>
      </c>
      <c r="B239" s="10" t="s">
        <v>2404</v>
      </c>
      <c r="C239" s="23" t="s">
        <v>1408</v>
      </c>
      <c r="D239" s="28" t="s">
        <v>2405</v>
      </c>
      <c r="E239" s="25">
        <v>106</v>
      </c>
      <c r="F239" s="23" t="str">
        <f>VLOOKUP(B239,'[2]справочник кодов нп'!$A:$D,4,0)</f>
        <v>сельские населенные пункты с численностью населения менее 1 000 человек.</v>
      </c>
      <c r="G239" s="23" t="s">
        <v>1385</v>
      </c>
      <c r="H239" s="10" t="s">
        <v>1408</v>
      </c>
      <c r="I239" s="35" t="s">
        <v>7017</v>
      </c>
      <c r="J239" s="33" t="s">
        <v>1337</v>
      </c>
    </row>
    <row r="240" spans="1:10" x14ac:dyDescent="0.25">
      <c r="A240" s="23" t="s">
        <v>2406</v>
      </c>
      <c r="B240" s="10" t="s">
        <v>2407</v>
      </c>
      <c r="C240" s="23" t="s">
        <v>1408</v>
      </c>
      <c r="D240" s="28" t="s">
        <v>2408</v>
      </c>
      <c r="E240" s="25">
        <v>106</v>
      </c>
      <c r="F240" s="23" t="str">
        <f>VLOOKUP(B240,'[2]справочник кодов нп'!$A:$D,4,0)</f>
        <v>сельские населенные пункты с численностью населения менее 1 000 человек.</v>
      </c>
      <c r="G240" s="23" t="s">
        <v>1385</v>
      </c>
      <c r="H240" s="10" t="s">
        <v>1408</v>
      </c>
      <c r="I240" s="35" t="s">
        <v>7017</v>
      </c>
      <c r="J240" s="33" t="s">
        <v>1337</v>
      </c>
    </row>
    <row r="241" spans="1:10" x14ac:dyDescent="0.25">
      <c r="A241" s="23" t="s">
        <v>2409</v>
      </c>
      <c r="B241" s="10" t="s">
        <v>2410</v>
      </c>
      <c r="C241" s="23" t="s">
        <v>1408</v>
      </c>
      <c r="D241" s="28" t="s">
        <v>2411</v>
      </c>
      <c r="E241" s="25">
        <v>106</v>
      </c>
      <c r="F241" s="23" t="str">
        <f>VLOOKUP(B241,'[2]справочник кодов нп'!$A:$D,4,0)</f>
        <v>сельские населенные пункты с численностью населения менее 1 000 человек.</v>
      </c>
      <c r="G241" s="23" t="s">
        <v>1385</v>
      </c>
      <c r="H241" s="10" t="s">
        <v>1408</v>
      </c>
      <c r="I241" s="35" t="s">
        <v>7017</v>
      </c>
      <c r="J241" s="33" t="s">
        <v>1337</v>
      </c>
    </row>
    <row r="242" spans="1:10" x14ac:dyDescent="0.25">
      <c r="A242" s="23" t="s">
        <v>2412</v>
      </c>
      <c r="B242" s="10" t="s">
        <v>2413</v>
      </c>
      <c r="C242" s="23" t="s">
        <v>1408</v>
      </c>
      <c r="D242" s="28" t="s">
        <v>2414</v>
      </c>
      <c r="E242" s="25">
        <v>106</v>
      </c>
      <c r="F242" s="23" t="str">
        <f>VLOOKUP(B242,'[2]справочник кодов нп'!$A:$D,4,0)</f>
        <v>сельские населенные пункты с численностью населения менее 1 000 человек.</v>
      </c>
      <c r="G242" s="23" t="s">
        <v>1385</v>
      </c>
      <c r="H242" s="10" t="s">
        <v>1408</v>
      </c>
      <c r="I242" s="35" t="s">
        <v>7017</v>
      </c>
      <c r="J242" s="33" t="s">
        <v>1337</v>
      </c>
    </row>
    <row r="243" spans="1:10" x14ac:dyDescent="0.25">
      <c r="A243" s="23" t="s">
        <v>2415</v>
      </c>
      <c r="B243" s="10" t="s">
        <v>2416</v>
      </c>
      <c r="C243" s="23" t="s">
        <v>1408</v>
      </c>
      <c r="D243" s="28" t="s">
        <v>2417</v>
      </c>
      <c r="E243" s="25">
        <v>106</v>
      </c>
      <c r="F243" s="23" t="str">
        <f>VLOOKUP(B243,'[2]справочник кодов нп'!$A:$D,4,0)</f>
        <v>сельские населенные пункты с численностью населения менее 1 000 человек.</v>
      </c>
      <c r="G243" s="23" t="s">
        <v>1385</v>
      </c>
      <c r="H243" s="10" t="s">
        <v>1408</v>
      </c>
      <c r="I243" s="35" t="s">
        <v>7017</v>
      </c>
      <c r="J243" s="33" t="s">
        <v>1337</v>
      </c>
    </row>
    <row r="244" spans="1:10" x14ac:dyDescent="0.25">
      <c r="A244" s="23" t="s">
        <v>2418</v>
      </c>
      <c r="B244" s="10" t="s">
        <v>2419</v>
      </c>
      <c r="C244" s="23" t="s">
        <v>1408</v>
      </c>
      <c r="D244" s="28" t="s">
        <v>2420</v>
      </c>
      <c r="E244" s="25">
        <v>106</v>
      </c>
      <c r="F244" s="23" t="str">
        <f>VLOOKUP(B244,'[2]справочник кодов нп'!$A:$D,4,0)</f>
        <v>сельские населенные пункты с численностью населения менее 1 000 человек.</v>
      </c>
      <c r="G244" s="23" t="s">
        <v>1385</v>
      </c>
      <c r="H244" s="10" t="s">
        <v>1408</v>
      </c>
      <c r="I244" s="35" t="s">
        <v>7017</v>
      </c>
      <c r="J244" s="33" t="s">
        <v>1337</v>
      </c>
    </row>
    <row r="245" spans="1:10" x14ac:dyDescent="0.25">
      <c r="A245" s="23" t="s">
        <v>2421</v>
      </c>
      <c r="B245" s="10" t="s">
        <v>2422</v>
      </c>
      <c r="C245" s="23" t="s">
        <v>1408</v>
      </c>
      <c r="D245" s="28" t="s">
        <v>2423</v>
      </c>
      <c r="E245" s="25">
        <v>106</v>
      </c>
      <c r="F245" s="23" t="str">
        <f>VLOOKUP(B245,'[2]справочник кодов нп'!$A:$D,4,0)</f>
        <v>сельские населенные пункты с численностью населения менее 1 000 человек.</v>
      </c>
      <c r="G245" s="23" t="s">
        <v>1385</v>
      </c>
      <c r="H245" s="10" t="s">
        <v>1408</v>
      </c>
      <c r="I245" s="35" t="s">
        <v>7017</v>
      </c>
      <c r="J245" s="33" t="s">
        <v>1337</v>
      </c>
    </row>
    <row r="246" spans="1:10" x14ac:dyDescent="0.25">
      <c r="A246" s="23" t="s">
        <v>2424</v>
      </c>
      <c r="B246" s="10" t="s">
        <v>2425</v>
      </c>
      <c r="C246" s="23" t="s">
        <v>1408</v>
      </c>
      <c r="D246" s="28" t="s">
        <v>2426</v>
      </c>
      <c r="E246" s="25">
        <v>106</v>
      </c>
      <c r="F246" s="23" t="str">
        <f>VLOOKUP(B246,'[2]справочник кодов нп'!$A:$D,4,0)</f>
        <v>сельские населенные пункты с численностью населения менее 1 000 человек.</v>
      </c>
      <c r="G246" s="23" t="s">
        <v>1385</v>
      </c>
      <c r="H246" s="10" t="s">
        <v>1408</v>
      </c>
      <c r="I246" s="35" t="s">
        <v>7017</v>
      </c>
      <c r="J246" s="33" t="s">
        <v>1337</v>
      </c>
    </row>
    <row r="247" spans="1:10" x14ac:dyDescent="0.25">
      <c r="A247" s="23" t="s">
        <v>4880</v>
      </c>
      <c r="B247" s="10" t="s">
        <v>4881</v>
      </c>
      <c r="C247" s="23" t="s">
        <v>1408</v>
      </c>
      <c r="D247" s="28" t="s">
        <v>4882</v>
      </c>
      <c r="E247" s="25">
        <v>106</v>
      </c>
      <c r="F247" s="23" t="str">
        <f>VLOOKUP(B247,'[2]справочник кодов нп'!$A:$D,4,0)</f>
        <v>сельские населенные пункты с численностью населения менее 1 000 человек.</v>
      </c>
      <c r="G247" s="23" t="s">
        <v>1385</v>
      </c>
      <c r="H247" s="10" t="s">
        <v>1408</v>
      </c>
      <c r="I247" s="35" t="s">
        <v>7017</v>
      </c>
      <c r="J247" s="33" t="s">
        <v>1337</v>
      </c>
    </row>
    <row r="248" spans="1:10" x14ac:dyDescent="0.25">
      <c r="A248" s="23" t="s">
        <v>5010</v>
      </c>
      <c r="B248" s="10" t="s">
        <v>5011</v>
      </c>
      <c r="C248" s="23" t="s">
        <v>1408</v>
      </c>
      <c r="D248" s="28" t="s">
        <v>3808</v>
      </c>
      <c r="E248" s="25">
        <v>106</v>
      </c>
      <c r="F248" s="23" t="str">
        <f>VLOOKUP(B248,'[2]справочник кодов нп'!$A:$D,4,0)</f>
        <v>сельские населенные пункты с численностью населения менее 1 000 человек.</v>
      </c>
      <c r="G248" s="23" t="s">
        <v>1385</v>
      </c>
      <c r="H248" s="10" t="s">
        <v>1408</v>
      </c>
      <c r="I248" s="35" t="s">
        <v>7017</v>
      </c>
      <c r="J248" s="33" t="s">
        <v>1337</v>
      </c>
    </row>
    <row r="249" spans="1:10" x14ac:dyDescent="0.25">
      <c r="A249" s="23" t="s">
        <v>5012</v>
      </c>
      <c r="B249" s="10" t="s">
        <v>5013</v>
      </c>
      <c r="C249" s="23" t="s">
        <v>1408</v>
      </c>
      <c r="D249" s="28" t="s">
        <v>5014</v>
      </c>
      <c r="E249" s="25">
        <v>106</v>
      </c>
      <c r="F249" s="23" t="str">
        <f>VLOOKUP(B249,'[2]справочник кодов нп'!$A:$D,4,0)</f>
        <v>сельские населенные пункты с численностью населения менее 1 000 человек.</v>
      </c>
      <c r="G249" s="23" t="s">
        <v>1385</v>
      </c>
      <c r="H249" s="10" t="s">
        <v>1408</v>
      </c>
      <c r="I249" s="35" t="s">
        <v>7017</v>
      </c>
      <c r="J249" s="33" t="s">
        <v>1337</v>
      </c>
    </row>
    <row r="250" spans="1:10" x14ac:dyDescent="0.25">
      <c r="A250" s="23" t="s">
        <v>5015</v>
      </c>
      <c r="B250" s="10" t="s">
        <v>5016</v>
      </c>
      <c r="C250" s="23" t="s">
        <v>1408</v>
      </c>
      <c r="D250" s="28" t="s">
        <v>5017</v>
      </c>
      <c r="E250" s="25">
        <v>106</v>
      </c>
      <c r="F250" s="23" t="str">
        <f>VLOOKUP(B250,'[2]справочник кодов нп'!$A:$D,4,0)</f>
        <v>сельские населенные пункты с численностью населения менее 1 000 человек.</v>
      </c>
      <c r="G250" s="23" t="s">
        <v>1385</v>
      </c>
      <c r="H250" s="10" t="s">
        <v>1408</v>
      </c>
      <c r="I250" s="35" t="s">
        <v>7017</v>
      </c>
      <c r="J250" s="33" t="s">
        <v>1337</v>
      </c>
    </row>
    <row r="251" spans="1:10" x14ac:dyDescent="0.25">
      <c r="A251" s="23" t="s">
        <v>5177</v>
      </c>
      <c r="B251" s="10" t="s">
        <v>5178</v>
      </c>
      <c r="C251" s="23" t="s">
        <v>1408</v>
      </c>
      <c r="D251" s="28" t="s">
        <v>5179</v>
      </c>
      <c r="E251" s="25">
        <v>106</v>
      </c>
      <c r="F251" s="23" t="str">
        <f>VLOOKUP(B251,'[2]справочник кодов нп'!$A:$D,4,0)</f>
        <v>сельские населенные пункты с численностью населения менее 1 000 человек.</v>
      </c>
      <c r="G251" s="23" t="s">
        <v>1385</v>
      </c>
      <c r="H251" s="10" t="s">
        <v>1408</v>
      </c>
      <c r="I251" s="35" t="s">
        <v>7017</v>
      </c>
      <c r="J251" s="33" t="s">
        <v>1337</v>
      </c>
    </row>
    <row r="252" spans="1:10" x14ac:dyDescent="0.25">
      <c r="A252" s="23" t="s">
        <v>5180</v>
      </c>
      <c r="B252" s="10" t="s">
        <v>5181</v>
      </c>
      <c r="C252" s="23" t="s">
        <v>1408</v>
      </c>
      <c r="D252" s="28" t="s">
        <v>5182</v>
      </c>
      <c r="E252" s="25">
        <v>106</v>
      </c>
      <c r="F252" s="23" t="str">
        <f>VLOOKUP(B252,'[2]справочник кодов нп'!$A:$D,4,0)</f>
        <v>сельские населенные пункты с численностью населения менее 1 000 человек.</v>
      </c>
      <c r="G252" s="23" t="s">
        <v>1385</v>
      </c>
      <c r="H252" s="10" t="s">
        <v>1408</v>
      </c>
      <c r="I252" s="35" t="s">
        <v>7017</v>
      </c>
      <c r="J252" s="33" t="s">
        <v>1337</v>
      </c>
    </row>
    <row r="253" spans="1:10" x14ac:dyDescent="0.25">
      <c r="A253" s="23" t="s">
        <v>5183</v>
      </c>
      <c r="B253" s="10" t="s">
        <v>5184</v>
      </c>
      <c r="C253" s="23" t="s">
        <v>1408</v>
      </c>
      <c r="D253" s="28" t="s">
        <v>5185</v>
      </c>
      <c r="E253" s="25">
        <v>106</v>
      </c>
      <c r="F253" s="23" t="str">
        <f>VLOOKUP(B253,'[2]справочник кодов нп'!$A:$D,4,0)</f>
        <v>сельские населенные пункты с численностью населения менее 1 000 человек.</v>
      </c>
      <c r="G253" s="23" t="s">
        <v>1385</v>
      </c>
      <c r="H253" s="10" t="s">
        <v>1408</v>
      </c>
      <c r="I253" s="35" t="s">
        <v>7017</v>
      </c>
      <c r="J253" s="33" t="s">
        <v>1337</v>
      </c>
    </row>
    <row r="254" spans="1:10" x14ac:dyDescent="0.25">
      <c r="A254" s="23" t="s">
        <v>5186</v>
      </c>
      <c r="B254" s="10" t="s">
        <v>5187</v>
      </c>
      <c r="C254" s="23" t="s">
        <v>1408</v>
      </c>
      <c r="D254" s="28" t="s">
        <v>5188</v>
      </c>
      <c r="E254" s="25">
        <v>106</v>
      </c>
      <c r="F254" s="23" t="str">
        <f>VLOOKUP(B254,'[2]справочник кодов нп'!$A:$D,4,0)</f>
        <v>сельские населенные пункты с численностью населения менее 1 000 человек.</v>
      </c>
      <c r="G254" s="23" t="s">
        <v>1385</v>
      </c>
      <c r="H254" s="10" t="s">
        <v>1408</v>
      </c>
      <c r="I254" s="35" t="s">
        <v>7017</v>
      </c>
      <c r="J254" s="33" t="s">
        <v>1337</v>
      </c>
    </row>
    <row r="255" spans="1:10" x14ac:dyDescent="0.25">
      <c r="A255" s="23" t="s">
        <v>5356</v>
      </c>
      <c r="B255" s="10" t="s">
        <v>5357</v>
      </c>
      <c r="C255" s="23" t="s">
        <v>1408</v>
      </c>
      <c r="D255" s="28" t="s">
        <v>5358</v>
      </c>
      <c r="E255" s="25">
        <v>106</v>
      </c>
      <c r="F255" s="23" t="str">
        <f>VLOOKUP(B255,'[2]справочник кодов нп'!$A:$D,4,0)</f>
        <v>сельские населенные пункты с численностью населения менее 1 000 человек.</v>
      </c>
      <c r="G255" s="23" t="s">
        <v>1385</v>
      </c>
      <c r="H255" s="10" t="s">
        <v>1408</v>
      </c>
      <c r="I255" s="35" t="s">
        <v>7017</v>
      </c>
      <c r="J255" s="33" t="s">
        <v>1337</v>
      </c>
    </row>
    <row r="256" spans="1:10" x14ac:dyDescent="0.25">
      <c r="A256" s="23" t="s">
        <v>5380</v>
      </c>
      <c r="B256" s="10" t="s">
        <v>5381</v>
      </c>
      <c r="C256" s="23" t="s">
        <v>1408</v>
      </c>
      <c r="D256" s="28" t="s">
        <v>5382</v>
      </c>
      <c r="E256" s="25">
        <v>106</v>
      </c>
      <c r="F256" s="23" t="str">
        <f>VLOOKUP(B256,'[2]справочник кодов нп'!$A:$D,4,0)</f>
        <v>сельские населенные пункты с численностью населения менее 1 000 человек.</v>
      </c>
      <c r="G256" s="23" t="s">
        <v>1385</v>
      </c>
      <c r="H256" s="10" t="s">
        <v>1408</v>
      </c>
      <c r="I256" s="35" t="s">
        <v>7017</v>
      </c>
      <c r="J256" s="33" t="s">
        <v>1337</v>
      </c>
    </row>
    <row r="257" spans="1:10" x14ac:dyDescent="0.25">
      <c r="A257" s="23" t="s">
        <v>5389</v>
      </c>
      <c r="B257" s="10" t="s">
        <v>5390</v>
      </c>
      <c r="C257" s="23" t="s">
        <v>1408</v>
      </c>
      <c r="D257" s="28" t="s">
        <v>5391</v>
      </c>
      <c r="E257" s="25">
        <v>106</v>
      </c>
      <c r="F257" s="23" t="str">
        <f>VLOOKUP(B257,'[2]справочник кодов нп'!$A:$D,4,0)</f>
        <v>сельские населенные пункты с численностью населения менее 1 000 человек.</v>
      </c>
      <c r="G257" s="23" t="s">
        <v>1385</v>
      </c>
      <c r="H257" s="10" t="s">
        <v>1408</v>
      </c>
      <c r="I257" s="35" t="s">
        <v>7017</v>
      </c>
      <c r="J257" s="33" t="s">
        <v>1337</v>
      </c>
    </row>
    <row r="258" spans="1:10" x14ac:dyDescent="0.25">
      <c r="A258" s="23" t="s">
        <v>5392</v>
      </c>
      <c r="B258" s="10" t="s">
        <v>5393</v>
      </c>
      <c r="C258" s="23" t="s">
        <v>1408</v>
      </c>
      <c r="D258" s="28" t="s">
        <v>5394</v>
      </c>
      <c r="E258" s="25">
        <v>106</v>
      </c>
      <c r="F258" s="23" t="str">
        <f>VLOOKUP(B258,'[2]справочник кодов нп'!$A:$D,4,0)</f>
        <v>сельские населенные пункты с численностью населения менее 1 000 человек.</v>
      </c>
      <c r="G258" s="23" t="s">
        <v>1385</v>
      </c>
      <c r="H258" s="10" t="s">
        <v>1408</v>
      </c>
      <c r="I258" s="35" t="s">
        <v>7017</v>
      </c>
      <c r="J258" s="33" t="s">
        <v>1337</v>
      </c>
    </row>
    <row r="259" spans="1:10" x14ac:dyDescent="0.25">
      <c r="A259" s="23" t="s">
        <v>5637</v>
      </c>
      <c r="B259" s="10" t="s">
        <v>5638</v>
      </c>
      <c r="C259" s="23" t="s">
        <v>1408</v>
      </c>
      <c r="D259" s="28" t="s">
        <v>5639</v>
      </c>
      <c r="E259" s="25">
        <v>106</v>
      </c>
      <c r="F259" s="23" t="str">
        <f>VLOOKUP(B259,'[2]справочник кодов нп'!$A:$D,4,0)</f>
        <v>сельские населенные пункты с численностью населения менее 1 000 человек.</v>
      </c>
      <c r="G259" s="23" t="s">
        <v>1385</v>
      </c>
      <c r="H259" s="10" t="s">
        <v>1408</v>
      </c>
      <c r="I259" s="35" t="s">
        <v>7017</v>
      </c>
      <c r="J259" s="33" t="s">
        <v>1337</v>
      </c>
    </row>
    <row r="260" spans="1:10" x14ac:dyDescent="0.25">
      <c r="A260" s="23" t="s">
        <v>5640</v>
      </c>
      <c r="B260" s="10" t="s">
        <v>5641</v>
      </c>
      <c r="C260" s="23" t="s">
        <v>1408</v>
      </c>
      <c r="D260" s="28" t="s">
        <v>5642</v>
      </c>
      <c r="E260" s="25">
        <v>106</v>
      </c>
      <c r="F260" s="23" t="str">
        <f>VLOOKUP(B260,'[2]справочник кодов нп'!$A:$D,4,0)</f>
        <v>сельские населенные пункты с численностью населения менее 1 000 человек.</v>
      </c>
      <c r="G260" s="23" t="s">
        <v>1385</v>
      </c>
      <c r="H260" s="10" t="s">
        <v>1408</v>
      </c>
      <c r="I260" s="35" t="s">
        <v>7017</v>
      </c>
      <c r="J260" s="33" t="s">
        <v>1337</v>
      </c>
    </row>
    <row r="261" spans="1:10" x14ac:dyDescent="0.25">
      <c r="A261" s="23" t="s">
        <v>5643</v>
      </c>
      <c r="B261" s="10" t="s">
        <v>5644</v>
      </c>
      <c r="C261" s="23" t="s">
        <v>1408</v>
      </c>
      <c r="D261" s="28" t="s">
        <v>5645</v>
      </c>
      <c r="E261" s="25">
        <v>106</v>
      </c>
      <c r="F261" s="23" t="str">
        <f>VLOOKUP(B261,'[2]справочник кодов нп'!$A:$D,4,0)</f>
        <v>сельские населенные пункты с численностью населения менее 1 000 человек.</v>
      </c>
      <c r="G261" s="23" t="s">
        <v>1385</v>
      </c>
      <c r="H261" s="10" t="s">
        <v>1408</v>
      </c>
      <c r="I261" s="35" t="s">
        <v>7017</v>
      </c>
      <c r="J261" s="33" t="s">
        <v>1337</v>
      </c>
    </row>
    <row r="262" spans="1:10" x14ac:dyDescent="0.25">
      <c r="A262" s="23" t="s">
        <v>5646</v>
      </c>
      <c r="B262" s="10" t="s">
        <v>5647</v>
      </c>
      <c r="C262" s="23" t="s">
        <v>1408</v>
      </c>
      <c r="D262" s="28" t="s">
        <v>5648</v>
      </c>
      <c r="E262" s="25">
        <v>106</v>
      </c>
      <c r="F262" s="23" t="str">
        <f>VLOOKUP(B262,'[2]справочник кодов нп'!$A:$D,4,0)</f>
        <v>сельские населенные пункты с численностью населения менее 1 000 человек.</v>
      </c>
      <c r="G262" s="23" t="s">
        <v>1385</v>
      </c>
      <c r="H262" s="10" t="s">
        <v>1408</v>
      </c>
      <c r="I262" s="35" t="s">
        <v>7017</v>
      </c>
      <c r="J262" s="33" t="s">
        <v>1337</v>
      </c>
    </row>
    <row r="263" spans="1:10" x14ac:dyDescent="0.25">
      <c r="A263" s="23" t="s">
        <v>6508</v>
      </c>
      <c r="B263" s="10" t="s">
        <v>6509</v>
      </c>
      <c r="C263" s="23" t="s">
        <v>1408</v>
      </c>
      <c r="D263" s="28" t="s">
        <v>6510</v>
      </c>
      <c r="E263" s="25">
        <v>106</v>
      </c>
      <c r="F263" s="23" t="str">
        <f>VLOOKUP(B263,'[2]справочник кодов нп'!$A:$D,4,0)</f>
        <v>сельские населенные пункты с численностью населения менее 1 000 человек.</v>
      </c>
      <c r="G263" s="23" t="s">
        <v>1385</v>
      </c>
      <c r="H263" s="10" t="s">
        <v>1408</v>
      </c>
      <c r="I263" s="35" t="s">
        <v>7017</v>
      </c>
      <c r="J263" s="33" t="s">
        <v>1337</v>
      </c>
    </row>
    <row r="264" spans="1:10" x14ac:dyDescent="0.25">
      <c r="A264" s="23" t="s">
        <v>6511</v>
      </c>
      <c r="B264" s="10" t="s">
        <v>6512</v>
      </c>
      <c r="C264" s="23" t="s">
        <v>1408</v>
      </c>
      <c r="D264" s="28" t="s">
        <v>6513</v>
      </c>
      <c r="E264" s="25">
        <v>106</v>
      </c>
      <c r="F264" s="23" t="str">
        <f>VLOOKUP(B264,'[2]справочник кодов нп'!$A:$D,4,0)</f>
        <v>сельские населенные пункты с численностью населения менее 1 000 человек.</v>
      </c>
      <c r="G264" s="23" t="s">
        <v>1385</v>
      </c>
      <c r="H264" s="10" t="s">
        <v>1408</v>
      </c>
      <c r="I264" s="35" t="s">
        <v>7017</v>
      </c>
      <c r="J264" s="33" t="s">
        <v>1337</v>
      </c>
    </row>
    <row r="265" spans="1:10" x14ac:dyDescent="0.25">
      <c r="A265" s="23" t="s">
        <v>6776</v>
      </c>
      <c r="B265" s="10" t="s">
        <v>6777</v>
      </c>
      <c r="C265" s="23" t="s">
        <v>1408</v>
      </c>
      <c r="D265" s="28" t="s">
        <v>4905</v>
      </c>
      <c r="E265" s="25">
        <v>106</v>
      </c>
      <c r="F265" s="23" t="str">
        <f>VLOOKUP(B265,'[2]справочник кодов нп'!$A:$D,4,0)</f>
        <v>сельские населенные пункты с численностью населения менее 1 000 человек.</v>
      </c>
      <c r="G265" s="23" t="s">
        <v>1385</v>
      </c>
      <c r="H265" s="10" t="s">
        <v>1408</v>
      </c>
      <c r="I265" s="35" t="s">
        <v>7017</v>
      </c>
      <c r="J265" s="33" t="s">
        <v>1337</v>
      </c>
    </row>
    <row r="266" spans="1:10" x14ac:dyDescent="0.25">
      <c r="A266" s="23" t="s">
        <v>6778</v>
      </c>
      <c r="B266" s="10" t="s">
        <v>6779</v>
      </c>
      <c r="C266" s="23" t="s">
        <v>1408</v>
      </c>
      <c r="D266" s="28" t="s">
        <v>6780</v>
      </c>
      <c r="E266" s="25">
        <v>106</v>
      </c>
      <c r="F266" s="23" t="str">
        <f>VLOOKUP(B266,'[2]справочник кодов нп'!$A:$D,4,0)</f>
        <v>городские населенные пункты с численностью населения менее 50 000 человек;</v>
      </c>
      <c r="G266" s="23" t="s">
        <v>1385</v>
      </c>
      <c r="H266" s="10" t="s">
        <v>1408</v>
      </c>
      <c r="I266" s="35" t="s">
        <v>7017</v>
      </c>
      <c r="J266" s="33" t="s">
        <v>1337</v>
      </c>
    </row>
    <row r="267" spans="1:10" x14ac:dyDescent="0.25">
      <c r="A267" s="23" t="s">
        <v>6781</v>
      </c>
      <c r="B267" s="10" t="s">
        <v>6782</v>
      </c>
      <c r="C267" s="23" t="s">
        <v>1408</v>
      </c>
      <c r="D267" s="28" t="s">
        <v>6783</v>
      </c>
      <c r="E267" s="25">
        <v>106</v>
      </c>
      <c r="F267" s="23" t="str">
        <f>VLOOKUP(B267,'[2]справочник кодов нп'!$A:$D,4,0)</f>
        <v>сельские населенные пункты с численностью населения менее 1 000 человек.</v>
      </c>
      <c r="G267" s="23" t="s">
        <v>1385</v>
      </c>
      <c r="H267" s="10" t="s">
        <v>1408</v>
      </c>
      <c r="I267" s="35" t="s">
        <v>7017</v>
      </c>
      <c r="J267" s="33" t="s">
        <v>1337</v>
      </c>
    </row>
    <row r="268" spans="1:10" x14ac:dyDescent="0.25">
      <c r="A268" s="23" t="s">
        <v>6857</v>
      </c>
      <c r="B268" s="10" t="s">
        <v>6858</v>
      </c>
      <c r="C268" s="23" t="s">
        <v>1408</v>
      </c>
      <c r="D268" s="28" t="s">
        <v>6846</v>
      </c>
      <c r="E268" s="25">
        <v>106</v>
      </c>
      <c r="F268" s="23" t="str">
        <f>VLOOKUP(B268,'[2]справочник кодов нп'!$A:$D,4,0)</f>
        <v>межселенная территория</v>
      </c>
      <c r="G268" s="23" t="s">
        <v>1385</v>
      </c>
      <c r="H268" s="10" t="s">
        <v>1408</v>
      </c>
      <c r="I268" s="35" t="s">
        <v>7019</v>
      </c>
      <c r="J268" s="33" t="s">
        <v>1337</v>
      </c>
    </row>
    <row r="269" spans="1:10" x14ac:dyDescent="0.25">
      <c r="A269" s="23" t="s">
        <v>1443</v>
      </c>
      <c r="B269" s="10" t="s">
        <v>1444</v>
      </c>
      <c r="C269" s="23" t="s">
        <v>1445</v>
      </c>
      <c r="D269" s="28" t="s">
        <v>1446</v>
      </c>
      <c r="E269" s="25">
        <v>105</v>
      </c>
      <c r="F269" s="23" t="s">
        <v>1447</v>
      </c>
      <c r="G269" s="27" t="s">
        <v>1448</v>
      </c>
      <c r="H269" s="10" t="s">
        <v>1445</v>
      </c>
      <c r="I269" s="35" t="s">
        <v>7017</v>
      </c>
      <c r="J269" s="45" t="s">
        <v>1341</v>
      </c>
    </row>
    <row r="270" spans="1:10" x14ac:dyDescent="0.25">
      <c r="A270" s="23" t="s">
        <v>1505</v>
      </c>
      <c r="B270" s="10" t="s">
        <v>1506</v>
      </c>
      <c r="C270" s="23" t="s">
        <v>1445</v>
      </c>
      <c r="D270" s="28" t="s">
        <v>1507</v>
      </c>
      <c r="E270" s="25">
        <v>105</v>
      </c>
      <c r="F270" s="23" t="str">
        <f>VLOOKUP(B270,'[2]справочник кодов нп'!$A:$D,4,0)</f>
        <v>сельские населенные пункты с численностью населения менее 1 000 человек.</v>
      </c>
      <c r="G270" s="27" t="s">
        <v>1448</v>
      </c>
      <c r="H270" s="10" t="s">
        <v>1445</v>
      </c>
      <c r="I270" s="35" t="s">
        <v>7017</v>
      </c>
      <c r="J270" s="33" t="s">
        <v>1337</v>
      </c>
    </row>
    <row r="271" spans="1:10" x14ac:dyDescent="0.25">
      <c r="A271" s="23" t="s">
        <v>1558</v>
      </c>
      <c r="B271" s="10" t="s">
        <v>1559</v>
      </c>
      <c r="C271" s="23" t="s">
        <v>1445</v>
      </c>
      <c r="D271" s="28" t="s">
        <v>1560</v>
      </c>
      <c r="E271" s="25">
        <v>105</v>
      </c>
      <c r="F271" s="23" t="str">
        <f>VLOOKUP(B271,'[2]справочник кодов нп'!$A:$D,4,0)</f>
        <v>сельские населенные пункты с численностью населения более 1 000 человек;</v>
      </c>
      <c r="G271" s="27" t="s">
        <v>1448</v>
      </c>
      <c r="H271" s="10" t="s">
        <v>1445</v>
      </c>
      <c r="I271" s="35" t="s">
        <v>7017</v>
      </c>
      <c r="J271" s="33" t="s">
        <v>1337</v>
      </c>
    </row>
    <row r="272" spans="1:10" x14ac:dyDescent="0.25">
      <c r="A272" s="23" t="s">
        <v>3728</v>
      </c>
      <c r="B272" s="10" t="s">
        <v>3729</v>
      </c>
      <c r="C272" s="23" t="s">
        <v>1445</v>
      </c>
      <c r="D272" s="28" t="s">
        <v>3730</v>
      </c>
      <c r="E272" s="25">
        <v>105</v>
      </c>
      <c r="F272" s="23" t="str">
        <f>VLOOKUP(B272,'[2]справочник кодов нп'!$A:$D,4,0)</f>
        <v>сельские населенные пункты с численностью населения менее 1 000 человек.</v>
      </c>
      <c r="G272" s="27" t="s">
        <v>1448</v>
      </c>
      <c r="H272" s="10" t="s">
        <v>1445</v>
      </c>
      <c r="I272" s="35" t="s">
        <v>7017</v>
      </c>
      <c r="J272" s="33" t="s">
        <v>1337</v>
      </c>
    </row>
    <row r="273" spans="1:10" x14ac:dyDescent="0.25">
      <c r="A273" s="23" t="s">
        <v>3731</v>
      </c>
      <c r="B273" s="10" t="s">
        <v>3732</v>
      </c>
      <c r="C273" s="23" t="s">
        <v>1445</v>
      </c>
      <c r="D273" s="28" t="s">
        <v>3733</v>
      </c>
      <c r="E273" s="25">
        <v>105</v>
      </c>
      <c r="F273" s="23" t="str">
        <f>VLOOKUP(B273,'[2]справочник кодов нп'!$A:$D,4,0)</f>
        <v>сельские населенные пункты с численностью населения более 1 000 человек;</v>
      </c>
      <c r="G273" s="27" t="s">
        <v>1448</v>
      </c>
      <c r="H273" s="10" t="s">
        <v>1445</v>
      </c>
      <c r="I273" s="35" t="s">
        <v>7017</v>
      </c>
      <c r="J273" s="33" t="s">
        <v>1337</v>
      </c>
    </row>
    <row r="274" spans="1:10" x14ac:dyDescent="0.25">
      <c r="A274" s="23" t="s">
        <v>3734</v>
      </c>
      <c r="B274" s="10" t="s">
        <v>3735</v>
      </c>
      <c r="C274" s="23" t="s">
        <v>1445</v>
      </c>
      <c r="D274" s="28" t="s">
        <v>3736</v>
      </c>
      <c r="E274" s="25">
        <v>105</v>
      </c>
      <c r="F274" s="23" t="str">
        <f>VLOOKUP(B274,'[2]справочник кодов нп'!$A:$D,4,0)</f>
        <v>сельские населенные пункты с численностью населения менее 1 000 человек.</v>
      </c>
      <c r="G274" s="27" t="s">
        <v>1448</v>
      </c>
      <c r="H274" s="10" t="s">
        <v>1445</v>
      </c>
      <c r="I274" s="35" t="s">
        <v>7017</v>
      </c>
      <c r="J274" s="33" t="s">
        <v>1337</v>
      </c>
    </row>
    <row r="275" spans="1:10" x14ac:dyDescent="0.25">
      <c r="A275" s="23" t="s">
        <v>3737</v>
      </c>
      <c r="B275" s="10" t="s">
        <v>3738</v>
      </c>
      <c r="C275" s="23" t="s">
        <v>1445</v>
      </c>
      <c r="D275" s="28" t="s">
        <v>3739</v>
      </c>
      <c r="E275" s="25">
        <v>105</v>
      </c>
      <c r="F275" s="23" t="str">
        <f>VLOOKUP(B275,'[2]справочник кодов нп'!$A:$D,4,0)</f>
        <v>сельские населенные пункты с численностью населения менее 1 000 человек.</v>
      </c>
      <c r="G275" s="27" t="s">
        <v>1448</v>
      </c>
      <c r="H275" s="10" t="s">
        <v>1445</v>
      </c>
      <c r="I275" s="35" t="s">
        <v>7017</v>
      </c>
      <c r="J275" s="33" t="s">
        <v>1337</v>
      </c>
    </row>
    <row r="276" spans="1:10" x14ac:dyDescent="0.25">
      <c r="A276" s="23" t="s">
        <v>3740</v>
      </c>
      <c r="B276" s="10" t="s">
        <v>3741</v>
      </c>
      <c r="C276" s="23" t="s">
        <v>1445</v>
      </c>
      <c r="D276" s="28" t="s">
        <v>3742</v>
      </c>
      <c r="E276" s="25">
        <v>105</v>
      </c>
      <c r="F276" s="23" t="str">
        <f>VLOOKUP(B276,'[2]справочник кодов нп'!$A:$D,4,0)</f>
        <v>сельские населенные пункты с численностью населения менее 1 000 человек.</v>
      </c>
      <c r="G276" s="27" t="s">
        <v>1448</v>
      </c>
      <c r="H276" s="10" t="s">
        <v>1445</v>
      </c>
      <c r="I276" s="35" t="s">
        <v>7017</v>
      </c>
      <c r="J276" s="33" t="s">
        <v>1337</v>
      </c>
    </row>
    <row r="277" spans="1:10" x14ac:dyDescent="0.25">
      <c r="A277" s="23" t="s">
        <v>3743</v>
      </c>
      <c r="B277" s="10" t="s">
        <v>3744</v>
      </c>
      <c r="C277" s="23" t="s">
        <v>1445</v>
      </c>
      <c r="D277" s="28" t="s">
        <v>3745</v>
      </c>
      <c r="E277" s="25">
        <v>105</v>
      </c>
      <c r="F277" s="23" t="str">
        <f>VLOOKUP(B277,'[2]справочник кодов нп'!$A:$D,4,0)</f>
        <v>сельские населенные пункты с численностью населения более 1 000 человек;</v>
      </c>
      <c r="G277" s="27" t="s">
        <v>1448</v>
      </c>
      <c r="H277" s="10" t="s">
        <v>1445</v>
      </c>
      <c r="I277" s="35" t="s">
        <v>7017</v>
      </c>
      <c r="J277" s="33" t="s">
        <v>1337</v>
      </c>
    </row>
    <row r="278" spans="1:10" x14ac:dyDescent="0.25">
      <c r="A278" s="23" t="s">
        <v>3746</v>
      </c>
      <c r="B278" s="10" t="s">
        <v>3747</v>
      </c>
      <c r="C278" s="23" t="s">
        <v>1445</v>
      </c>
      <c r="D278" s="28" t="s">
        <v>3748</v>
      </c>
      <c r="E278" s="25">
        <v>105</v>
      </c>
      <c r="F278" s="23" t="str">
        <f>VLOOKUP(B278,'[2]справочник кодов нп'!$A:$D,4,0)</f>
        <v>сельские населенные пункты с численностью населения менее 1 000 человек.</v>
      </c>
      <c r="G278" s="27" t="s">
        <v>1448</v>
      </c>
      <c r="H278" s="10" t="s">
        <v>1445</v>
      </c>
      <c r="I278" s="35" t="s">
        <v>7017</v>
      </c>
      <c r="J278" s="33" t="s">
        <v>1337</v>
      </c>
    </row>
    <row r="279" spans="1:10" x14ac:dyDescent="0.25">
      <c r="A279" s="23" t="s">
        <v>3749</v>
      </c>
      <c r="B279" s="10" t="s">
        <v>3750</v>
      </c>
      <c r="C279" s="23" t="s">
        <v>1445</v>
      </c>
      <c r="D279" s="28" t="s">
        <v>3751</v>
      </c>
      <c r="E279" s="25">
        <v>105</v>
      </c>
      <c r="F279" s="23" t="str">
        <f>VLOOKUP(B279,'[2]справочник кодов нп'!$A:$D,4,0)</f>
        <v>сельские населенные пункты с численностью населения менее 1 000 человек.</v>
      </c>
      <c r="G279" s="27" t="s">
        <v>1448</v>
      </c>
      <c r="H279" s="10" t="s">
        <v>1445</v>
      </c>
      <c r="I279" s="35" t="s">
        <v>7017</v>
      </c>
      <c r="J279" s="33" t="s">
        <v>1337</v>
      </c>
    </row>
    <row r="280" spans="1:10" x14ac:dyDescent="0.25">
      <c r="A280" s="23" t="s">
        <v>3752</v>
      </c>
      <c r="B280" s="10" t="s">
        <v>3753</v>
      </c>
      <c r="C280" s="23" t="s">
        <v>1445</v>
      </c>
      <c r="D280" s="28" t="s">
        <v>3754</v>
      </c>
      <c r="E280" s="25">
        <v>105</v>
      </c>
      <c r="F280" s="23" t="str">
        <f>VLOOKUP(B280,'[2]справочник кодов нп'!$A:$D,4,0)</f>
        <v>сельские населенные пункты с численностью населения менее 1 000 человек.</v>
      </c>
      <c r="G280" s="27" t="s">
        <v>1448</v>
      </c>
      <c r="H280" s="10" t="s">
        <v>1445</v>
      </c>
      <c r="I280" s="35" t="s">
        <v>7017</v>
      </c>
      <c r="J280" s="33" t="s">
        <v>1337</v>
      </c>
    </row>
    <row r="281" spans="1:10" x14ac:dyDescent="0.25">
      <c r="A281" s="23" t="s">
        <v>3755</v>
      </c>
      <c r="B281" s="10" t="s">
        <v>3756</v>
      </c>
      <c r="C281" s="23" t="s">
        <v>1445</v>
      </c>
      <c r="D281" s="28" t="s">
        <v>3757</v>
      </c>
      <c r="E281" s="25">
        <v>105</v>
      </c>
      <c r="F281" s="23" t="str">
        <f>VLOOKUP(B281,'[2]справочник кодов нп'!$A:$D,4,0)</f>
        <v>сельские населенные пункты с численностью населения более 1 000 человек;</v>
      </c>
      <c r="G281" s="27" t="s">
        <v>1448</v>
      </c>
      <c r="H281" s="10" t="s">
        <v>1445</v>
      </c>
      <c r="I281" s="35" t="s">
        <v>7017</v>
      </c>
      <c r="J281" s="33" t="s">
        <v>1337</v>
      </c>
    </row>
    <row r="282" spans="1:10" x14ac:dyDescent="0.25">
      <c r="A282" s="23" t="s">
        <v>3758</v>
      </c>
      <c r="B282" s="10" t="s">
        <v>3759</v>
      </c>
      <c r="C282" s="23" t="s">
        <v>1445</v>
      </c>
      <c r="D282" s="28" t="s">
        <v>3760</v>
      </c>
      <c r="E282" s="25">
        <v>105</v>
      </c>
      <c r="F282" s="23" t="str">
        <f>VLOOKUP(B282,'[2]справочник кодов нп'!$A:$D,4,0)</f>
        <v>сельские населенные пункты с численностью населения менее 1 000 человек.</v>
      </c>
      <c r="G282" s="27" t="s">
        <v>1448</v>
      </c>
      <c r="H282" s="10" t="s">
        <v>1445</v>
      </c>
      <c r="I282" s="35" t="s">
        <v>7017</v>
      </c>
      <c r="J282" s="33" t="s">
        <v>1337</v>
      </c>
    </row>
    <row r="283" spans="1:10" x14ac:dyDescent="0.25">
      <c r="A283" s="23" t="s">
        <v>3761</v>
      </c>
      <c r="B283" s="10" t="s">
        <v>3762</v>
      </c>
      <c r="C283" s="23" t="s">
        <v>1445</v>
      </c>
      <c r="D283" s="28" t="s">
        <v>3763</v>
      </c>
      <c r="E283" s="25">
        <v>105</v>
      </c>
      <c r="F283" s="23" t="str">
        <f>VLOOKUP(B283,'[2]справочник кодов нп'!$A:$D,4,0)</f>
        <v>сельские населенные пункты с численностью населения менее 1 000 человек.</v>
      </c>
      <c r="G283" s="27" t="s">
        <v>1448</v>
      </c>
      <c r="H283" s="10" t="s">
        <v>1445</v>
      </c>
      <c r="I283" s="35" t="s">
        <v>7017</v>
      </c>
      <c r="J283" s="33" t="s">
        <v>1337</v>
      </c>
    </row>
    <row r="284" spans="1:10" x14ac:dyDescent="0.25">
      <c r="A284" s="23" t="s">
        <v>5498</v>
      </c>
      <c r="B284" s="10" t="s">
        <v>5499</v>
      </c>
      <c r="C284" s="23" t="s">
        <v>1445</v>
      </c>
      <c r="D284" s="28" t="s">
        <v>5500</v>
      </c>
      <c r="E284" s="25">
        <v>105</v>
      </c>
      <c r="F284" s="23" t="str">
        <f>VLOOKUP(B284,'[2]справочник кодов нп'!$A:$D,4,0)</f>
        <v>сельские населенные пункты с численностью населения более 1 000 человек;</v>
      </c>
      <c r="G284" s="27" t="s">
        <v>1448</v>
      </c>
      <c r="H284" s="10" t="s">
        <v>1445</v>
      </c>
      <c r="I284" s="35" t="s">
        <v>7017</v>
      </c>
      <c r="J284" s="33" t="s">
        <v>1337</v>
      </c>
    </row>
    <row r="285" spans="1:10" x14ac:dyDescent="0.25">
      <c r="A285" s="23" t="s">
        <v>6514</v>
      </c>
      <c r="B285" s="10" t="s">
        <v>6515</v>
      </c>
      <c r="C285" s="23" t="s">
        <v>1445</v>
      </c>
      <c r="D285" s="28" t="s">
        <v>2423</v>
      </c>
      <c r="E285" s="25">
        <v>105</v>
      </c>
      <c r="F285" s="23" t="str">
        <f>VLOOKUP(B285,'[2]справочник кодов нп'!$A:$D,4,0)</f>
        <v>сельские населенные пункты с численностью населения менее 1 000 человек.</v>
      </c>
      <c r="G285" s="27" t="s">
        <v>1448</v>
      </c>
      <c r="H285" s="10" t="s">
        <v>1445</v>
      </c>
      <c r="I285" s="35" t="s">
        <v>7017</v>
      </c>
      <c r="J285" s="33" t="s">
        <v>1337</v>
      </c>
    </row>
    <row r="286" spans="1:10" x14ac:dyDescent="0.25">
      <c r="A286" s="23" t="s">
        <v>6859</v>
      </c>
      <c r="B286" s="10" t="s">
        <v>6860</v>
      </c>
      <c r="C286" s="23" t="s">
        <v>1445</v>
      </c>
      <c r="D286" s="28" t="s">
        <v>6846</v>
      </c>
      <c r="E286" s="25">
        <v>105</v>
      </c>
      <c r="F286" s="23" t="str">
        <f>VLOOKUP(B286,'[2]справочник кодов нп'!$A:$D,4,0)</f>
        <v>межселенная территория</v>
      </c>
      <c r="G286" s="27" t="s">
        <v>1448</v>
      </c>
      <c r="H286" s="10" t="s">
        <v>1445</v>
      </c>
      <c r="I286" s="35" t="s">
        <v>7019</v>
      </c>
      <c r="J286" s="33" t="s">
        <v>1337</v>
      </c>
    </row>
    <row r="287" spans="1:10" x14ac:dyDescent="0.25">
      <c r="A287" s="23" t="s">
        <v>1541</v>
      </c>
      <c r="B287" s="10" t="s">
        <v>1542</v>
      </c>
      <c r="C287" s="23" t="s">
        <v>1543</v>
      </c>
      <c r="D287" s="28" t="s">
        <v>1544</v>
      </c>
      <c r="E287" s="25">
        <v>106</v>
      </c>
      <c r="F287" s="23" t="str">
        <f>VLOOKUP(B287,'[2]справочник кодов нп'!$A:$D,4,0)</f>
        <v>сельские населенные пункты с численностью населения менее 1 000 человек.</v>
      </c>
      <c r="G287" s="23" t="s">
        <v>1385</v>
      </c>
      <c r="H287" s="10" t="s">
        <v>1543</v>
      </c>
      <c r="I287" s="35" t="s">
        <v>7017</v>
      </c>
      <c r="J287" s="33" t="s">
        <v>1337</v>
      </c>
    </row>
    <row r="288" spans="1:10" x14ac:dyDescent="0.25">
      <c r="A288" s="23" t="s">
        <v>4798</v>
      </c>
      <c r="B288" s="10" t="s">
        <v>4799</v>
      </c>
      <c r="C288" s="23" t="s">
        <v>1543</v>
      </c>
      <c r="D288" s="28" t="s">
        <v>4800</v>
      </c>
      <c r="E288" s="25">
        <v>106</v>
      </c>
      <c r="F288" s="23" t="str">
        <f>VLOOKUP(B288,'[2]справочник кодов нп'!$A:$D,4,0)</f>
        <v>городские населенные пункты с численностью населения менее 50 000 человек;</v>
      </c>
      <c r="G288" s="23" t="s">
        <v>1385</v>
      </c>
      <c r="H288" s="10" t="s">
        <v>1543</v>
      </c>
      <c r="I288" s="35" t="s">
        <v>7017</v>
      </c>
      <c r="J288" s="33" t="s">
        <v>1337</v>
      </c>
    </row>
    <row r="289" spans="1:10" x14ac:dyDescent="0.25">
      <c r="A289" s="23" t="s">
        <v>4801</v>
      </c>
      <c r="B289" s="10" t="s">
        <v>4802</v>
      </c>
      <c r="C289" s="23" t="s">
        <v>1543</v>
      </c>
      <c r="D289" s="28" t="s">
        <v>2423</v>
      </c>
      <c r="E289" s="25">
        <v>106</v>
      </c>
      <c r="F289" s="23" t="str">
        <f>VLOOKUP(B289,'[2]справочник кодов нп'!$A:$D,4,0)</f>
        <v>сельские населенные пункты с численностью населения менее 1 000 человек.</v>
      </c>
      <c r="G289" s="23" t="s">
        <v>1385</v>
      </c>
      <c r="H289" s="10" t="s">
        <v>1543</v>
      </c>
      <c r="I289" s="35" t="s">
        <v>7017</v>
      </c>
      <c r="J289" s="33" t="s">
        <v>1337</v>
      </c>
    </row>
    <row r="290" spans="1:10" x14ac:dyDescent="0.25">
      <c r="A290" s="23" t="s">
        <v>4803</v>
      </c>
      <c r="B290" s="10" t="s">
        <v>4804</v>
      </c>
      <c r="C290" s="23" t="s">
        <v>1543</v>
      </c>
      <c r="D290" s="28" t="s">
        <v>4805</v>
      </c>
      <c r="E290" s="25">
        <v>106</v>
      </c>
      <c r="F290" s="23" t="str">
        <f>VLOOKUP(B290,'[2]справочник кодов нп'!$A:$D,4,0)</f>
        <v>сельские населенные пункты с численностью населения менее 1 000 человек.</v>
      </c>
      <c r="G290" s="23" t="s">
        <v>1385</v>
      </c>
      <c r="H290" s="10" t="s">
        <v>1543</v>
      </c>
      <c r="I290" s="35" t="s">
        <v>7017</v>
      </c>
      <c r="J290" s="33" t="s">
        <v>1337</v>
      </c>
    </row>
    <row r="291" spans="1:10" x14ac:dyDescent="0.25">
      <c r="A291" s="23" t="s">
        <v>6745</v>
      </c>
      <c r="B291" s="10" t="s">
        <v>6746</v>
      </c>
      <c r="C291" s="23" t="s">
        <v>1543</v>
      </c>
      <c r="D291" s="28" t="s">
        <v>6747</v>
      </c>
      <c r="E291" s="25">
        <v>106</v>
      </c>
      <c r="F291" s="23" t="str">
        <f>VLOOKUP(B291,'[2]справочник кодов нп'!$A:$D,4,0)</f>
        <v>сельские населенные пункты с численностью населения менее 1 000 человек.</v>
      </c>
      <c r="G291" s="23" t="s">
        <v>1385</v>
      </c>
      <c r="H291" s="10" t="s">
        <v>1543</v>
      </c>
      <c r="I291" s="35" t="s">
        <v>7017</v>
      </c>
      <c r="J291" s="33" t="s">
        <v>1337</v>
      </c>
    </row>
    <row r="292" spans="1:10" x14ac:dyDescent="0.25">
      <c r="A292" s="23" t="s">
        <v>6861</v>
      </c>
      <c r="B292" s="10" t="s">
        <v>6862</v>
      </c>
      <c r="C292" s="23" t="s">
        <v>1543</v>
      </c>
      <c r="D292" s="28" t="s">
        <v>6846</v>
      </c>
      <c r="E292" s="25">
        <v>106</v>
      </c>
      <c r="F292" s="23" t="str">
        <f>VLOOKUP(B292,'[2]справочник кодов нп'!$A:$D,4,0)</f>
        <v>межселенная территория</v>
      </c>
      <c r="G292" s="23" t="s">
        <v>1385</v>
      </c>
      <c r="H292" s="10" t="s">
        <v>1543</v>
      </c>
      <c r="I292" s="35" t="s">
        <v>7019</v>
      </c>
      <c r="J292" s="33" t="s">
        <v>1337</v>
      </c>
    </row>
    <row r="293" spans="1:10" x14ac:dyDescent="0.25">
      <c r="A293" s="23" t="s">
        <v>1461</v>
      </c>
      <c r="B293" s="10" t="s">
        <v>1462</v>
      </c>
      <c r="C293" s="23" t="s">
        <v>1463</v>
      </c>
      <c r="D293" s="28" t="s">
        <v>1464</v>
      </c>
      <c r="E293" s="25">
        <v>106</v>
      </c>
      <c r="F293" s="23" t="str">
        <f>VLOOKUP(B293,'[2]справочник кодов нп'!$A:$D,4,0)</f>
        <v>городские населенные пункты с численностью населения менее 50 000 человек;</v>
      </c>
      <c r="G293" s="23" t="s">
        <v>1385</v>
      </c>
      <c r="H293" s="10" t="s">
        <v>1463</v>
      </c>
      <c r="I293" s="35" t="s">
        <v>7017</v>
      </c>
      <c r="J293" s="33" t="s">
        <v>1337</v>
      </c>
    </row>
    <row r="294" spans="1:10" x14ac:dyDescent="0.25">
      <c r="A294" s="23" t="s">
        <v>2499</v>
      </c>
      <c r="B294" s="10" t="s">
        <v>2500</v>
      </c>
      <c r="C294" s="23" t="s">
        <v>1463</v>
      </c>
      <c r="D294" s="28" t="s">
        <v>2501</v>
      </c>
      <c r="E294" s="25">
        <v>106</v>
      </c>
      <c r="F294" s="23" t="str">
        <f>VLOOKUP(B294,'[2]справочник кодов нп'!$A:$D,4,0)</f>
        <v>сельские населенные пункты с численностью населения менее 1 000 человек.</v>
      </c>
      <c r="G294" s="23" t="s">
        <v>1385</v>
      </c>
      <c r="H294" s="10" t="s">
        <v>1463</v>
      </c>
      <c r="I294" s="35" t="s">
        <v>7017</v>
      </c>
      <c r="J294" s="33" t="s">
        <v>1337</v>
      </c>
    </row>
    <row r="295" spans="1:10" x14ac:dyDescent="0.25">
      <c r="A295" s="23" t="s">
        <v>2502</v>
      </c>
      <c r="B295" s="10" t="s">
        <v>2503</v>
      </c>
      <c r="C295" s="23" t="s">
        <v>1463</v>
      </c>
      <c r="D295" s="28" t="s">
        <v>2504</v>
      </c>
      <c r="E295" s="25">
        <v>106</v>
      </c>
      <c r="F295" s="23" t="str">
        <f>VLOOKUP(B295,'[2]справочник кодов нп'!$A:$D,4,0)</f>
        <v>сельские населенные пункты с численностью населения менее 1 000 человек.</v>
      </c>
      <c r="G295" s="23" t="s">
        <v>1385</v>
      </c>
      <c r="H295" s="10" t="s">
        <v>1463</v>
      </c>
      <c r="I295" s="35" t="s">
        <v>7017</v>
      </c>
      <c r="J295" s="33" t="s">
        <v>1337</v>
      </c>
    </row>
    <row r="296" spans="1:10" x14ac:dyDescent="0.25">
      <c r="A296" s="23" t="s">
        <v>2505</v>
      </c>
      <c r="B296" s="10" t="s">
        <v>2506</v>
      </c>
      <c r="C296" s="23" t="s">
        <v>1463</v>
      </c>
      <c r="D296" s="28" t="s">
        <v>2507</v>
      </c>
      <c r="E296" s="25">
        <v>106</v>
      </c>
      <c r="F296" s="23" t="str">
        <f>VLOOKUP(B296,'[2]справочник кодов нп'!$A:$D,4,0)</f>
        <v>сельские населенные пункты с численностью населения менее 1 000 человек.</v>
      </c>
      <c r="G296" s="23" t="s">
        <v>1385</v>
      </c>
      <c r="H296" s="10" t="s">
        <v>1463</v>
      </c>
      <c r="I296" s="35" t="s">
        <v>7017</v>
      </c>
      <c r="J296" s="33" t="s">
        <v>1337</v>
      </c>
    </row>
    <row r="297" spans="1:10" x14ac:dyDescent="0.25">
      <c r="A297" s="23" t="s">
        <v>2508</v>
      </c>
      <c r="B297" s="10" t="s">
        <v>2509</v>
      </c>
      <c r="C297" s="23" t="s">
        <v>1463</v>
      </c>
      <c r="D297" s="28" t="s">
        <v>2510</v>
      </c>
      <c r="E297" s="25">
        <v>106</v>
      </c>
      <c r="F297" s="23" t="str">
        <f>VLOOKUP(B297,'[2]справочник кодов нп'!$A:$D,4,0)</f>
        <v>сельские населенные пункты с численностью населения менее 1 000 человек.</v>
      </c>
      <c r="G297" s="23" t="s">
        <v>1385</v>
      </c>
      <c r="H297" s="10" t="s">
        <v>1463</v>
      </c>
      <c r="I297" s="35" t="s">
        <v>7017</v>
      </c>
      <c r="J297" s="33" t="s">
        <v>1337</v>
      </c>
    </row>
    <row r="298" spans="1:10" x14ac:dyDescent="0.25">
      <c r="A298" s="23" t="s">
        <v>2511</v>
      </c>
      <c r="B298" s="10" t="s">
        <v>2512</v>
      </c>
      <c r="C298" s="23" t="s">
        <v>1463</v>
      </c>
      <c r="D298" s="28" t="s">
        <v>2513</v>
      </c>
      <c r="E298" s="25">
        <v>106</v>
      </c>
      <c r="F298" s="23" t="str">
        <f>VLOOKUP(B298,'[2]справочник кодов нп'!$A:$D,4,0)</f>
        <v>сельские населенные пункты с численностью населения менее 1 000 человек.</v>
      </c>
      <c r="G298" s="23" t="s">
        <v>1385</v>
      </c>
      <c r="H298" s="10" t="s">
        <v>1463</v>
      </c>
      <c r="I298" s="35" t="s">
        <v>7017</v>
      </c>
      <c r="J298" s="33" t="s">
        <v>1337</v>
      </c>
    </row>
    <row r="299" spans="1:10" x14ac:dyDescent="0.25">
      <c r="A299" s="23" t="s">
        <v>2514</v>
      </c>
      <c r="B299" s="10" t="s">
        <v>2515</v>
      </c>
      <c r="C299" s="23" t="s">
        <v>1463</v>
      </c>
      <c r="D299" s="28" t="s">
        <v>2516</v>
      </c>
      <c r="E299" s="25">
        <v>106</v>
      </c>
      <c r="F299" s="23" t="str">
        <f>VLOOKUP(B299,'[2]справочник кодов нп'!$A:$D,4,0)</f>
        <v>сельские населенные пункты с численностью населения менее 1 000 человек.</v>
      </c>
      <c r="G299" s="23" t="s">
        <v>1385</v>
      </c>
      <c r="H299" s="10" t="s">
        <v>1463</v>
      </c>
      <c r="I299" s="35" t="s">
        <v>7017</v>
      </c>
      <c r="J299" s="33" t="s">
        <v>1337</v>
      </c>
    </row>
    <row r="300" spans="1:10" x14ac:dyDescent="0.25">
      <c r="A300" s="23" t="s">
        <v>2517</v>
      </c>
      <c r="B300" s="10" t="s">
        <v>2518</v>
      </c>
      <c r="C300" s="23" t="s">
        <v>1463</v>
      </c>
      <c r="D300" s="28" t="s">
        <v>2519</v>
      </c>
      <c r="E300" s="25">
        <v>106</v>
      </c>
      <c r="F300" s="23" t="str">
        <f>VLOOKUP(B300,'[2]справочник кодов нп'!$A:$D,4,0)</f>
        <v>сельские населенные пункты с численностью населения менее 1 000 человек.</v>
      </c>
      <c r="G300" s="23" t="s">
        <v>1385</v>
      </c>
      <c r="H300" s="10" t="s">
        <v>1463</v>
      </c>
      <c r="I300" s="35" t="s">
        <v>7017</v>
      </c>
      <c r="J300" s="33" t="s">
        <v>1337</v>
      </c>
    </row>
    <row r="301" spans="1:10" x14ac:dyDescent="0.25">
      <c r="A301" s="23" t="s">
        <v>2520</v>
      </c>
      <c r="B301" s="10" t="s">
        <v>2521</v>
      </c>
      <c r="C301" s="23" t="s">
        <v>1463</v>
      </c>
      <c r="D301" s="28" t="s">
        <v>2522</v>
      </c>
      <c r="E301" s="25">
        <v>106</v>
      </c>
      <c r="F301" s="23" t="str">
        <f>VLOOKUP(B301,'[2]справочник кодов нп'!$A:$D,4,0)</f>
        <v>сельские населенные пункты с численностью населения менее 1 000 человек.</v>
      </c>
      <c r="G301" s="23" t="s">
        <v>1385</v>
      </c>
      <c r="H301" s="10" t="s">
        <v>1463</v>
      </c>
      <c r="I301" s="35" t="s">
        <v>7017</v>
      </c>
      <c r="J301" s="33" t="s">
        <v>1337</v>
      </c>
    </row>
    <row r="302" spans="1:10" x14ac:dyDescent="0.25">
      <c r="A302" s="23" t="s">
        <v>2523</v>
      </c>
      <c r="B302" s="10" t="s">
        <v>2524</v>
      </c>
      <c r="C302" s="23" t="s">
        <v>1463</v>
      </c>
      <c r="D302" s="28" t="s">
        <v>2525</v>
      </c>
      <c r="E302" s="25">
        <v>106</v>
      </c>
      <c r="F302" s="23" t="str">
        <f>VLOOKUP(B302,'[2]справочник кодов нп'!$A:$D,4,0)</f>
        <v>сельские населенные пункты с численностью населения менее 1 000 человек.</v>
      </c>
      <c r="G302" s="23" t="s">
        <v>1385</v>
      </c>
      <c r="H302" s="10" t="s">
        <v>1463</v>
      </c>
      <c r="I302" s="35" t="s">
        <v>7017</v>
      </c>
      <c r="J302" s="33" t="s">
        <v>1337</v>
      </c>
    </row>
    <row r="303" spans="1:10" x14ac:dyDescent="0.25">
      <c r="A303" s="23" t="s">
        <v>2526</v>
      </c>
      <c r="B303" s="10" t="s">
        <v>2527</v>
      </c>
      <c r="C303" s="23" t="s">
        <v>1463</v>
      </c>
      <c r="D303" s="28" t="s">
        <v>2528</v>
      </c>
      <c r="E303" s="25">
        <v>106</v>
      </c>
      <c r="F303" s="23" t="str">
        <f>VLOOKUP(B303,'[2]справочник кодов нп'!$A:$D,4,0)</f>
        <v>сельские населенные пункты с численностью населения менее 1 000 человек.</v>
      </c>
      <c r="G303" s="23" t="s">
        <v>1385</v>
      </c>
      <c r="H303" s="10" t="s">
        <v>1463</v>
      </c>
      <c r="I303" s="35" t="s">
        <v>7017</v>
      </c>
      <c r="J303" s="33" t="s">
        <v>1337</v>
      </c>
    </row>
    <row r="304" spans="1:10" x14ac:dyDescent="0.25">
      <c r="A304" s="23" t="s">
        <v>5477</v>
      </c>
      <c r="B304" s="10" t="s">
        <v>5478</v>
      </c>
      <c r="C304" s="23" t="s">
        <v>1463</v>
      </c>
      <c r="D304" s="28" t="s">
        <v>5479</v>
      </c>
      <c r="E304" s="25">
        <v>106</v>
      </c>
      <c r="F304" s="23" t="str">
        <f>VLOOKUP(B304,'[2]справочник кодов нп'!$A:$D,4,0)</f>
        <v>сельские населенные пункты с численностью населения менее 1 000 человек.</v>
      </c>
      <c r="G304" s="23" t="s">
        <v>1385</v>
      </c>
      <c r="H304" s="10" t="s">
        <v>1463</v>
      </c>
      <c r="I304" s="35" t="s">
        <v>7017</v>
      </c>
      <c r="J304" s="33" t="s">
        <v>1337</v>
      </c>
    </row>
    <row r="305" spans="1:10" x14ac:dyDescent="0.25">
      <c r="A305" s="23" t="s">
        <v>5534</v>
      </c>
      <c r="B305" s="10" t="s">
        <v>5535</v>
      </c>
      <c r="C305" s="23" t="s">
        <v>1463</v>
      </c>
      <c r="D305" s="28" t="s">
        <v>2414</v>
      </c>
      <c r="E305" s="25">
        <v>106</v>
      </c>
      <c r="F305" s="23" t="str">
        <f>VLOOKUP(B305,'[2]справочник кодов нп'!$A:$D,4,0)</f>
        <v>сельские населенные пункты с численностью населения менее 1 000 человек.</v>
      </c>
      <c r="G305" s="23" t="s">
        <v>1385</v>
      </c>
      <c r="H305" s="10" t="s">
        <v>1463</v>
      </c>
      <c r="I305" s="35" t="s">
        <v>7017</v>
      </c>
      <c r="J305" s="33" t="s">
        <v>1337</v>
      </c>
    </row>
    <row r="306" spans="1:10" x14ac:dyDescent="0.25">
      <c r="A306" s="23" t="s">
        <v>5672</v>
      </c>
      <c r="B306" s="10" t="s">
        <v>5673</v>
      </c>
      <c r="C306" s="23" t="s">
        <v>1463</v>
      </c>
      <c r="D306" s="28" t="s">
        <v>5674</v>
      </c>
      <c r="E306" s="25">
        <v>106</v>
      </c>
      <c r="F306" s="23" t="str">
        <f>VLOOKUP(B306,'[2]справочник кодов нп'!$A:$D,4,0)</f>
        <v>сельские населенные пункты с численностью населения менее 1 000 человек.</v>
      </c>
      <c r="G306" s="23" t="s">
        <v>1385</v>
      </c>
      <c r="H306" s="10" t="s">
        <v>1463</v>
      </c>
      <c r="I306" s="35" t="s">
        <v>7017</v>
      </c>
      <c r="J306" s="33" t="s">
        <v>1337</v>
      </c>
    </row>
    <row r="307" spans="1:10" x14ac:dyDescent="0.25">
      <c r="A307" s="23" t="s">
        <v>5675</v>
      </c>
      <c r="B307" s="10" t="s">
        <v>5676</v>
      </c>
      <c r="C307" s="23" t="s">
        <v>1463</v>
      </c>
      <c r="D307" s="28" t="s">
        <v>5677</v>
      </c>
      <c r="E307" s="25">
        <v>106</v>
      </c>
      <c r="F307" s="23" t="str">
        <f>VLOOKUP(B307,'[2]справочник кодов нп'!$A:$D,4,0)</f>
        <v>сельские населенные пункты с численностью населения менее 1 000 человек.</v>
      </c>
      <c r="G307" s="23" t="s">
        <v>1385</v>
      </c>
      <c r="H307" s="10" t="s">
        <v>1463</v>
      </c>
      <c r="I307" s="35" t="s">
        <v>7017</v>
      </c>
      <c r="J307" s="33" t="s">
        <v>1337</v>
      </c>
    </row>
    <row r="308" spans="1:10" x14ac:dyDescent="0.25">
      <c r="A308" s="23" t="s">
        <v>5678</v>
      </c>
      <c r="B308" s="10" t="s">
        <v>5679</v>
      </c>
      <c r="C308" s="23" t="s">
        <v>1463</v>
      </c>
      <c r="D308" s="28" t="s">
        <v>3855</v>
      </c>
      <c r="E308" s="25">
        <v>106</v>
      </c>
      <c r="F308" s="23" t="str">
        <f>VLOOKUP(B308,'[2]справочник кодов нп'!$A:$D,4,0)</f>
        <v>сельские населенные пункты с численностью населения менее 1 000 человек.</v>
      </c>
      <c r="G308" s="23" t="s">
        <v>1385</v>
      </c>
      <c r="H308" s="10" t="s">
        <v>1463</v>
      </c>
      <c r="I308" s="35" t="s">
        <v>7017</v>
      </c>
      <c r="J308" s="33" t="s">
        <v>1337</v>
      </c>
    </row>
    <row r="309" spans="1:10" x14ac:dyDescent="0.25">
      <c r="A309" s="23" t="s">
        <v>5680</v>
      </c>
      <c r="B309" s="10" t="s">
        <v>5681</v>
      </c>
      <c r="C309" s="23" t="s">
        <v>1463</v>
      </c>
      <c r="D309" s="28" t="s">
        <v>5682</v>
      </c>
      <c r="E309" s="25">
        <v>106</v>
      </c>
      <c r="F309" s="23" t="str">
        <f>VLOOKUP(B309,'[2]справочник кодов нп'!$A:$D,4,0)</f>
        <v>сельские населенные пункты с численностью населения менее 1 000 человек.</v>
      </c>
      <c r="G309" s="23" t="s">
        <v>1385</v>
      </c>
      <c r="H309" s="10" t="s">
        <v>1463</v>
      </c>
      <c r="I309" s="35" t="s">
        <v>7017</v>
      </c>
      <c r="J309" s="33" t="s">
        <v>1337</v>
      </c>
    </row>
    <row r="310" spans="1:10" x14ac:dyDescent="0.25">
      <c r="A310" s="23" t="s">
        <v>5683</v>
      </c>
      <c r="B310" s="10" t="s">
        <v>5684</v>
      </c>
      <c r="C310" s="23" t="s">
        <v>1463</v>
      </c>
      <c r="D310" s="28" t="s">
        <v>5685</v>
      </c>
      <c r="E310" s="25">
        <v>106</v>
      </c>
      <c r="F310" s="23" t="str">
        <f>VLOOKUP(B310,'[2]справочник кодов нп'!$A:$D,4,0)</f>
        <v>сельские населенные пункты с численностью населения менее 1 000 человек.</v>
      </c>
      <c r="G310" s="23" t="s">
        <v>1385</v>
      </c>
      <c r="H310" s="10" t="s">
        <v>1463</v>
      </c>
      <c r="I310" s="35" t="s">
        <v>7017</v>
      </c>
      <c r="J310" s="33" t="s">
        <v>1337</v>
      </c>
    </row>
    <row r="311" spans="1:10" x14ac:dyDescent="0.25">
      <c r="A311" s="23" t="s">
        <v>6863</v>
      </c>
      <c r="B311" s="10" t="s">
        <v>6864</v>
      </c>
      <c r="C311" s="23" t="s">
        <v>1463</v>
      </c>
      <c r="D311" s="28" t="s">
        <v>6846</v>
      </c>
      <c r="E311" s="25">
        <v>106</v>
      </c>
      <c r="F311" s="23" t="str">
        <f>VLOOKUP(B311,'[2]справочник кодов нп'!$A:$D,4,0)</f>
        <v>межселенная территория</v>
      </c>
      <c r="G311" s="23" t="s">
        <v>1385</v>
      </c>
      <c r="H311" s="10" t="s">
        <v>1463</v>
      </c>
      <c r="I311" s="35" t="s">
        <v>7019</v>
      </c>
      <c r="J311" s="33" t="s">
        <v>1337</v>
      </c>
    </row>
    <row r="312" spans="1:10" x14ac:dyDescent="0.25">
      <c r="A312" s="23" t="s">
        <v>6309</v>
      </c>
      <c r="B312" s="10" t="s">
        <v>6310</v>
      </c>
      <c r="C312" s="23" t="s">
        <v>6311</v>
      </c>
      <c r="D312" s="28" t="s">
        <v>6312</v>
      </c>
      <c r="E312" s="25">
        <v>106</v>
      </c>
      <c r="F312" s="23" t="str">
        <f>VLOOKUP(B312,'[2]справочник кодов нп'!$A:$D,4,0)</f>
        <v>сельские населенные пункты с численностью населения менее 1 000 человек.</v>
      </c>
      <c r="G312" s="23" t="s">
        <v>1385</v>
      </c>
      <c r="H312" s="10" t="s">
        <v>6311</v>
      </c>
      <c r="I312" s="35" t="s">
        <v>7017</v>
      </c>
      <c r="J312" s="33" t="s">
        <v>1337</v>
      </c>
    </row>
    <row r="313" spans="1:10" x14ac:dyDescent="0.25">
      <c r="A313" s="23" t="s">
        <v>6516</v>
      </c>
      <c r="B313" s="10" t="s">
        <v>6517</v>
      </c>
      <c r="C313" s="23" t="s">
        <v>6311</v>
      </c>
      <c r="D313" s="28" t="s">
        <v>6518</v>
      </c>
      <c r="E313" s="25">
        <v>106</v>
      </c>
      <c r="F313" s="23" t="str">
        <f>VLOOKUP(B313,'[2]справочник кодов нп'!$A:$D,4,0)</f>
        <v>городские населенные пункты с численностью населения менее 50 000 человек;</v>
      </c>
      <c r="G313" s="23" t="s">
        <v>1385</v>
      </c>
      <c r="H313" s="10" t="s">
        <v>6311</v>
      </c>
      <c r="I313" s="35" t="s">
        <v>7017</v>
      </c>
      <c r="J313" s="33" t="s">
        <v>1337</v>
      </c>
    </row>
    <row r="314" spans="1:10" x14ac:dyDescent="0.25">
      <c r="A314" s="23" t="s">
        <v>6865</v>
      </c>
      <c r="B314" s="10" t="s">
        <v>6866</v>
      </c>
      <c r="C314" s="23" t="s">
        <v>6311</v>
      </c>
      <c r="D314" s="28" t="s">
        <v>6846</v>
      </c>
      <c r="E314" s="25">
        <v>106</v>
      </c>
      <c r="F314" s="23" t="str">
        <f>VLOOKUP(B314,'[2]справочник кодов нп'!$A:$D,4,0)</f>
        <v>межселенная территория</v>
      </c>
      <c r="G314" s="23" t="s">
        <v>1385</v>
      </c>
      <c r="H314" s="10" t="s">
        <v>6311</v>
      </c>
      <c r="I314" s="35" t="s">
        <v>7019</v>
      </c>
      <c r="J314" s="33" t="s">
        <v>1337</v>
      </c>
    </row>
    <row r="315" spans="1:10" x14ac:dyDescent="0.25">
      <c r="A315" s="23" t="s">
        <v>4957</v>
      </c>
      <c r="B315" s="10" t="s">
        <v>4958</v>
      </c>
      <c r="C315" s="23" t="s">
        <v>4959</v>
      </c>
      <c r="D315" s="28" t="s">
        <v>4960</v>
      </c>
      <c r="E315" s="25">
        <v>106</v>
      </c>
      <c r="F315" s="23" t="str">
        <f>VLOOKUP(B315,'[2]справочник кодов нп'!$A:$D,4,0)</f>
        <v>сельские населенные пункты с численностью населения менее 1 000 человек.</v>
      </c>
      <c r="G315" s="23" t="s">
        <v>1385</v>
      </c>
      <c r="H315" s="10" t="s">
        <v>4959</v>
      </c>
      <c r="I315" s="35" t="s">
        <v>7017</v>
      </c>
      <c r="J315" s="33" t="s">
        <v>1337</v>
      </c>
    </row>
    <row r="316" spans="1:10" x14ac:dyDescent="0.25">
      <c r="A316" s="23" t="s">
        <v>4961</v>
      </c>
      <c r="B316" s="10" t="s">
        <v>4962</v>
      </c>
      <c r="C316" s="23" t="s">
        <v>4959</v>
      </c>
      <c r="D316" s="28" t="s">
        <v>4963</v>
      </c>
      <c r="E316" s="25">
        <v>106</v>
      </c>
      <c r="F316" s="23" t="str">
        <f>VLOOKUP(B316,'[2]справочник кодов нп'!$A:$D,4,0)</f>
        <v>сельские населенные пункты с численностью населения менее 1 000 человек.</v>
      </c>
      <c r="G316" s="23" t="s">
        <v>1385</v>
      </c>
      <c r="H316" s="10" t="s">
        <v>4959</v>
      </c>
      <c r="I316" s="35" t="s">
        <v>7017</v>
      </c>
      <c r="J316" s="33" t="s">
        <v>1337</v>
      </c>
    </row>
    <row r="317" spans="1:10" x14ac:dyDescent="0.25">
      <c r="A317" s="23" t="s">
        <v>4964</v>
      </c>
      <c r="B317" s="10" t="s">
        <v>4965</v>
      </c>
      <c r="C317" s="23" t="s">
        <v>4959</v>
      </c>
      <c r="D317" s="28" t="s">
        <v>4966</v>
      </c>
      <c r="E317" s="25">
        <v>106</v>
      </c>
      <c r="F317" s="23" t="str">
        <f>VLOOKUP(B317,'[2]справочник кодов нп'!$A:$D,4,0)</f>
        <v>сельские населенные пункты с численностью населения менее 1 000 человек.</v>
      </c>
      <c r="G317" s="23" t="s">
        <v>1385</v>
      </c>
      <c r="H317" s="10" t="s">
        <v>4959</v>
      </c>
      <c r="I317" s="35" t="s">
        <v>7017</v>
      </c>
      <c r="J317" s="33" t="s">
        <v>1337</v>
      </c>
    </row>
    <row r="318" spans="1:10" x14ac:dyDescent="0.25">
      <c r="A318" s="23" t="s">
        <v>4967</v>
      </c>
      <c r="B318" s="10" t="s">
        <v>4968</v>
      </c>
      <c r="C318" s="23" t="s">
        <v>4959</v>
      </c>
      <c r="D318" s="28" t="s">
        <v>4969</v>
      </c>
      <c r="E318" s="25">
        <v>106</v>
      </c>
      <c r="F318" s="23" t="str">
        <f>VLOOKUP(B318,'[2]справочник кодов нп'!$A:$D,4,0)</f>
        <v>сельские населенные пункты с численностью населения менее 1 000 человек.</v>
      </c>
      <c r="G318" s="23" t="s">
        <v>1385</v>
      </c>
      <c r="H318" s="10" t="s">
        <v>4959</v>
      </c>
      <c r="I318" s="35" t="s">
        <v>7017</v>
      </c>
      <c r="J318" s="33" t="s">
        <v>1337</v>
      </c>
    </row>
    <row r="319" spans="1:10" x14ac:dyDescent="0.25">
      <c r="A319" s="23" t="s">
        <v>5030</v>
      </c>
      <c r="B319" s="10" t="s">
        <v>5031</v>
      </c>
      <c r="C319" s="23" t="s">
        <v>4959</v>
      </c>
      <c r="D319" s="28" t="s">
        <v>5032</v>
      </c>
      <c r="E319" s="25">
        <v>106</v>
      </c>
      <c r="F319" s="23" t="str">
        <f>VLOOKUP(B319,'[2]справочник кодов нп'!$A:$D,4,0)</f>
        <v>сельские населенные пункты с численностью населения менее 1 000 человек.</v>
      </c>
      <c r="G319" s="23" t="s">
        <v>1385</v>
      </c>
      <c r="H319" s="10" t="s">
        <v>4959</v>
      </c>
      <c r="I319" s="35" t="s">
        <v>7017</v>
      </c>
      <c r="J319" s="33" t="s">
        <v>1337</v>
      </c>
    </row>
    <row r="320" spans="1:10" x14ac:dyDescent="0.25">
      <c r="A320" s="23" t="s">
        <v>5033</v>
      </c>
      <c r="B320" s="10" t="s">
        <v>5034</v>
      </c>
      <c r="C320" s="23" t="s">
        <v>4959</v>
      </c>
      <c r="D320" s="28" t="s">
        <v>5035</v>
      </c>
      <c r="E320" s="25">
        <v>106</v>
      </c>
      <c r="F320" s="23" t="str">
        <f>VLOOKUP(B320,'[2]справочник кодов нп'!$A:$D,4,0)</f>
        <v>сельские населенные пункты с численностью населения менее 1 000 человек.</v>
      </c>
      <c r="G320" s="23" t="s">
        <v>1385</v>
      </c>
      <c r="H320" s="10" t="s">
        <v>4959</v>
      </c>
      <c r="I320" s="35" t="s">
        <v>7017</v>
      </c>
      <c r="J320" s="33" t="s">
        <v>1337</v>
      </c>
    </row>
    <row r="321" spans="1:10" x14ac:dyDescent="0.25">
      <c r="A321" s="23" t="s">
        <v>5036</v>
      </c>
      <c r="B321" s="10" t="s">
        <v>5037</v>
      </c>
      <c r="C321" s="23" t="s">
        <v>4959</v>
      </c>
      <c r="D321" s="28" t="s">
        <v>5038</v>
      </c>
      <c r="E321" s="25">
        <v>106</v>
      </c>
      <c r="F321" s="23" t="str">
        <f>VLOOKUP(B321,'[2]справочник кодов нп'!$A:$D,4,0)</f>
        <v>сельские населенные пункты с численностью населения менее 1 000 человек.</v>
      </c>
      <c r="G321" s="23" t="s">
        <v>1385</v>
      </c>
      <c r="H321" s="10" t="s">
        <v>4959</v>
      </c>
      <c r="I321" s="35" t="s">
        <v>7017</v>
      </c>
      <c r="J321" s="33" t="s">
        <v>1337</v>
      </c>
    </row>
    <row r="322" spans="1:10" x14ac:dyDescent="0.25">
      <c r="A322" s="23" t="s">
        <v>5039</v>
      </c>
      <c r="B322" s="10" t="s">
        <v>5040</v>
      </c>
      <c r="C322" s="23" t="s">
        <v>4959</v>
      </c>
      <c r="D322" s="28" t="s">
        <v>5041</v>
      </c>
      <c r="E322" s="25">
        <v>106</v>
      </c>
      <c r="F322" s="23" t="str">
        <f>VLOOKUP(B322,'[2]справочник кодов нп'!$A:$D,4,0)</f>
        <v>сельские населенные пункты с численностью населения менее 1 000 человек.</v>
      </c>
      <c r="G322" s="23" t="s">
        <v>1385</v>
      </c>
      <c r="H322" s="10" t="s">
        <v>4959</v>
      </c>
      <c r="I322" s="35" t="s">
        <v>7017</v>
      </c>
      <c r="J322" s="33" t="s">
        <v>1337</v>
      </c>
    </row>
    <row r="323" spans="1:10" x14ac:dyDescent="0.25">
      <c r="A323" s="23" t="s">
        <v>5706</v>
      </c>
      <c r="B323" s="10" t="s">
        <v>5707</v>
      </c>
      <c r="C323" s="23" t="s">
        <v>4959</v>
      </c>
      <c r="D323" s="28" t="s">
        <v>5708</v>
      </c>
      <c r="E323" s="25">
        <v>106</v>
      </c>
      <c r="F323" s="23" t="str">
        <f>VLOOKUP(B323,'[2]справочник кодов нп'!$A:$D,4,0)</f>
        <v>сельские населенные пункты с численностью населения менее 1 000 человек.</v>
      </c>
      <c r="G323" s="23" t="s">
        <v>1385</v>
      </c>
      <c r="H323" s="10" t="s">
        <v>4959</v>
      </c>
      <c r="I323" s="35" t="s">
        <v>7017</v>
      </c>
      <c r="J323" s="33" t="s">
        <v>1337</v>
      </c>
    </row>
    <row r="324" spans="1:10" x14ac:dyDescent="0.25">
      <c r="A324" s="23" t="s">
        <v>5709</v>
      </c>
      <c r="B324" s="10" t="s">
        <v>5710</v>
      </c>
      <c r="C324" s="23" t="s">
        <v>4959</v>
      </c>
      <c r="D324" s="28" t="s">
        <v>5711</v>
      </c>
      <c r="E324" s="25">
        <v>106</v>
      </c>
      <c r="F324" s="23" t="str">
        <f>VLOOKUP(B324,'[2]справочник кодов нп'!$A:$D,4,0)</f>
        <v>сельские населенные пункты с численностью населения менее 1 000 человек.</v>
      </c>
      <c r="G324" s="23" t="s">
        <v>1385</v>
      </c>
      <c r="H324" s="10" t="s">
        <v>4959</v>
      </c>
      <c r="I324" s="35" t="s">
        <v>7017</v>
      </c>
      <c r="J324" s="33" t="s">
        <v>1337</v>
      </c>
    </row>
    <row r="325" spans="1:10" x14ac:dyDescent="0.25">
      <c r="A325" s="23" t="s">
        <v>5712</v>
      </c>
      <c r="B325" s="10" t="s">
        <v>5713</v>
      </c>
      <c r="C325" s="23" t="s">
        <v>4959</v>
      </c>
      <c r="D325" s="28" t="s">
        <v>5714</v>
      </c>
      <c r="E325" s="25">
        <v>106</v>
      </c>
      <c r="F325" s="23" t="str">
        <f>VLOOKUP(B325,'[2]справочник кодов нп'!$A:$D,4,0)</f>
        <v>сельские населенные пункты с численностью населения менее 1 000 человек.</v>
      </c>
      <c r="G325" s="23" t="s">
        <v>1385</v>
      </c>
      <c r="H325" s="10" t="s">
        <v>4959</v>
      </c>
      <c r="I325" s="35" t="s">
        <v>7017</v>
      </c>
      <c r="J325" s="33" t="s">
        <v>1337</v>
      </c>
    </row>
    <row r="326" spans="1:10" x14ac:dyDescent="0.25">
      <c r="A326" s="23" t="s">
        <v>5715</v>
      </c>
      <c r="B326" s="10" t="s">
        <v>5716</v>
      </c>
      <c r="C326" s="23" t="s">
        <v>4959</v>
      </c>
      <c r="D326" s="28" t="s">
        <v>5717</v>
      </c>
      <c r="E326" s="25">
        <v>106</v>
      </c>
      <c r="F326" s="23" t="str">
        <f>VLOOKUP(B326,'[2]справочник кодов нп'!$A:$D,4,0)</f>
        <v>сельские населенные пункты с численностью населения менее 1 000 человек.</v>
      </c>
      <c r="G326" s="23" t="s">
        <v>1385</v>
      </c>
      <c r="H326" s="10" t="s">
        <v>4959</v>
      </c>
      <c r="I326" s="35" t="s">
        <v>7017</v>
      </c>
      <c r="J326" s="33" t="s">
        <v>1337</v>
      </c>
    </row>
    <row r="327" spans="1:10" x14ac:dyDescent="0.25">
      <c r="A327" s="23" t="s">
        <v>5718</v>
      </c>
      <c r="B327" s="10" t="s">
        <v>5719</v>
      </c>
      <c r="C327" s="23" t="s">
        <v>4959</v>
      </c>
      <c r="D327" s="28" t="s">
        <v>5720</v>
      </c>
      <c r="E327" s="25">
        <v>106</v>
      </c>
      <c r="F327" s="23" t="str">
        <f>VLOOKUP(B327,'[2]справочник кодов нп'!$A:$D,4,0)</f>
        <v>сельские населенные пункты с численностью населения менее 1 000 человек.</v>
      </c>
      <c r="G327" s="23" t="s">
        <v>1385</v>
      </c>
      <c r="H327" s="10" t="s">
        <v>4959</v>
      </c>
      <c r="I327" s="35" t="s">
        <v>7017</v>
      </c>
      <c r="J327" s="33" t="s">
        <v>1337</v>
      </c>
    </row>
    <row r="328" spans="1:10" x14ac:dyDescent="0.25">
      <c r="A328" s="23" t="s">
        <v>5721</v>
      </c>
      <c r="B328" s="10" t="s">
        <v>5722</v>
      </c>
      <c r="C328" s="23" t="s">
        <v>4959</v>
      </c>
      <c r="D328" s="28" t="s">
        <v>5723</v>
      </c>
      <c r="E328" s="25">
        <v>106</v>
      </c>
      <c r="F328" s="23" t="str">
        <f>VLOOKUP(B328,'[2]справочник кодов нп'!$A:$D,4,0)</f>
        <v>сельские населенные пункты с численностью населения менее 1 000 человек.</v>
      </c>
      <c r="G328" s="23" t="s">
        <v>1385</v>
      </c>
      <c r="H328" s="10" t="s">
        <v>4959</v>
      </c>
      <c r="I328" s="35" t="s">
        <v>7017</v>
      </c>
      <c r="J328" s="33" t="s">
        <v>1337</v>
      </c>
    </row>
    <row r="329" spans="1:10" x14ac:dyDescent="0.25">
      <c r="A329" s="23" t="s">
        <v>5724</v>
      </c>
      <c r="B329" s="10" t="s">
        <v>5725</v>
      </c>
      <c r="C329" s="23" t="s">
        <v>4959</v>
      </c>
      <c r="D329" s="28" t="s">
        <v>5726</v>
      </c>
      <c r="E329" s="25">
        <v>106</v>
      </c>
      <c r="F329" s="23" t="str">
        <f>VLOOKUP(B329,'[2]справочник кодов нп'!$A:$D,4,0)</f>
        <v>сельские населенные пункты с численностью населения менее 1 000 человек.</v>
      </c>
      <c r="G329" s="23" t="s">
        <v>1385</v>
      </c>
      <c r="H329" s="10" t="s">
        <v>4959</v>
      </c>
      <c r="I329" s="35" t="s">
        <v>7017</v>
      </c>
      <c r="J329" s="33" t="s">
        <v>1337</v>
      </c>
    </row>
    <row r="330" spans="1:10" x14ac:dyDescent="0.25">
      <c r="A330" s="23" t="s">
        <v>5727</v>
      </c>
      <c r="B330" s="10" t="s">
        <v>5728</v>
      </c>
      <c r="C330" s="23" t="s">
        <v>4959</v>
      </c>
      <c r="D330" s="28" t="s">
        <v>5729</v>
      </c>
      <c r="E330" s="25">
        <v>106</v>
      </c>
      <c r="F330" s="23" t="str">
        <f>VLOOKUP(B330,'[2]справочник кодов нп'!$A:$D,4,0)</f>
        <v>сельские населенные пункты с численностью населения менее 1 000 человек.</v>
      </c>
      <c r="G330" s="23" t="s">
        <v>1385</v>
      </c>
      <c r="H330" s="10" t="s">
        <v>4959</v>
      </c>
      <c r="I330" s="35" t="s">
        <v>7017</v>
      </c>
      <c r="J330" s="33" t="s">
        <v>1337</v>
      </c>
    </row>
    <row r="331" spans="1:10" x14ac:dyDescent="0.25">
      <c r="A331" s="23" t="s">
        <v>5730</v>
      </c>
      <c r="B331" s="10" t="s">
        <v>5731</v>
      </c>
      <c r="C331" s="23" t="s">
        <v>4959</v>
      </c>
      <c r="D331" s="28" t="s">
        <v>5732</v>
      </c>
      <c r="E331" s="25">
        <v>106</v>
      </c>
      <c r="F331" s="23" t="str">
        <f>VLOOKUP(B331,'[2]справочник кодов нп'!$A:$D,4,0)</f>
        <v>сельские населенные пункты с численностью населения менее 1 000 человек.</v>
      </c>
      <c r="G331" s="23" t="s">
        <v>1385</v>
      </c>
      <c r="H331" s="10" t="s">
        <v>4959</v>
      </c>
      <c r="I331" s="35" t="s">
        <v>7017</v>
      </c>
      <c r="J331" s="33" t="s">
        <v>1337</v>
      </c>
    </row>
    <row r="332" spans="1:10" x14ac:dyDescent="0.25">
      <c r="A332" s="23" t="s">
        <v>5733</v>
      </c>
      <c r="B332" s="10" t="s">
        <v>5734</v>
      </c>
      <c r="C332" s="23" t="s">
        <v>4959</v>
      </c>
      <c r="D332" s="28" t="s">
        <v>2465</v>
      </c>
      <c r="E332" s="25">
        <v>106</v>
      </c>
      <c r="F332" s="23" t="str">
        <f>VLOOKUP(B332,'[2]справочник кодов нп'!$A:$D,4,0)</f>
        <v>сельские населенные пункты с численностью населения менее 1 000 человек.</v>
      </c>
      <c r="G332" s="23" t="s">
        <v>1385</v>
      </c>
      <c r="H332" s="10" t="s">
        <v>4959</v>
      </c>
      <c r="I332" s="35" t="s">
        <v>7017</v>
      </c>
      <c r="J332" s="33" t="s">
        <v>1337</v>
      </c>
    </row>
    <row r="333" spans="1:10" x14ac:dyDescent="0.25">
      <c r="A333" s="23" t="s">
        <v>5735</v>
      </c>
      <c r="B333" s="10" t="s">
        <v>5736</v>
      </c>
      <c r="C333" s="23" t="s">
        <v>4959</v>
      </c>
      <c r="D333" s="28" t="s">
        <v>5737</v>
      </c>
      <c r="E333" s="25">
        <v>106</v>
      </c>
      <c r="F333" s="23" t="str">
        <f>VLOOKUP(B333,'[2]справочник кодов нп'!$A:$D,4,0)</f>
        <v>сельские населенные пункты с численностью населения менее 1 000 человек.</v>
      </c>
      <c r="G333" s="23" t="s">
        <v>1385</v>
      </c>
      <c r="H333" s="10" t="s">
        <v>4959</v>
      </c>
      <c r="I333" s="35" t="s">
        <v>7017</v>
      </c>
      <c r="J333" s="33" t="s">
        <v>1337</v>
      </c>
    </row>
    <row r="334" spans="1:10" x14ac:dyDescent="0.25">
      <c r="A334" s="23" t="s">
        <v>5738</v>
      </c>
      <c r="B334" s="10" t="s">
        <v>5739</v>
      </c>
      <c r="C334" s="23" t="s">
        <v>4959</v>
      </c>
      <c r="D334" s="28" t="s">
        <v>5740</v>
      </c>
      <c r="E334" s="25">
        <v>106</v>
      </c>
      <c r="F334" s="23" t="str">
        <f>VLOOKUP(B334,'[2]справочник кодов нп'!$A:$D,4,0)</f>
        <v>сельские населенные пункты с численностью населения менее 1 000 человек.</v>
      </c>
      <c r="G334" s="23" t="s">
        <v>1385</v>
      </c>
      <c r="H334" s="10" t="s">
        <v>4959</v>
      </c>
      <c r="I334" s="35" t="s">
        <v>7017</v>
      </c>
      <c r="J334" s="33" t="s">
        <v>1337</v>
      </c>
    </row>
    <row r="335" spans="1:10" x14ac:dyDescent="0.25">
      <c r="A335" s="23" t="s">
        <v>5741</v>
      </c>
      <c r="B335" s="10" t="s">
        <v>5742</v>
      </c>
      <c r="C335" s="23" t="s">
        <v>4959</v>
      </c>
      <c r="D335" s="28" t="s">
        <v>2582</v>
      </c>
      <c r="E335" s="25">
        <v>106</v>
      </c>
      <c r="F335" s="23" t="str">
        <f>VLOOKUP(B335,'[2]справочник кодов нп'!$A:$D,4,0)</f>
        <v>сельские населенные пункты с численностью населения менее 1 000 человек.</v>
      </c>
      <c r="G335" s="23" t="s">
        <v>1385</v>
      </c>
      <c r="H335" s="10" t="s">
        <v>4959</v>
      </c>
      <c r="I335" s="35" t="s">
        <v>7017</v>
      </c>
      <c r="J335" s="33" t="s">
        <v>1337</v>
      </c>
    </row>
    <row r="336" spans="1:10" x14ac:dyDescent="0.25">
      <c r="A336" s="23" t="s">
        <v>5743</v>
      </c>
      <c r="B336" s="10" t="s">
        <v>5744</v>
      </c>
      <c r="C336" s="23" t="s">
        <v>4959</v>
      </c>
      <c r="D336" s="28" t="s">
        <v>2553</v>
      </c>
      <c r="E336" s="25">
        <v>106</v>
      </c>
      <c r="F336" s="23" t="str">
        <f>VLOOKUP(B336,'[2]справочник кодов нп'!$A:$D,4,0)</f>
        <v>сельские населенные пункты с численностью населения менее 1 000 человек.</v>
      </c>
      <c r="G336" s="23" t="s">
        <v>1385</v>
      </c>
      <c r="H336" s="10" t="s">
        <v>4959</v>
      </c>
      <c r="I336" s="35" t="s">
        <v>7017</v>
      </c>
      <c r="J336" s="33" t="s">
        <v>1337</v>
      </c>
    </row>
    <row r="337" spans="1:10" x14ac:dyDescent="0.25">
      <c r="A337" s="23" t="s">
        <v>5745</v>
      </c>
      <c r="B337" s="10" t="s">
        <v>5746</v>
      </c>
      <c r="C337" s="23" t="s">
        <v>4959</v>
      </c>
      <c r="D337" s="28" t="s">
        <v>5747</v>
      </c>
      <c r="E337" s="25">
        <v>106</v>
      </c>
      <c r="F337" s="23" t="str">
        <f>VLOOKUP(B337,'[2]справочник кодов нп'!$A:$D,4,0)</f>
        <v>сельские населенные пункты с численностью населения менее 1 000 человек.</v>
      </c>
      <c r="G337" s="23" t="s">
        <v>1385</v>
      </c>
      <c r="H337" s="10" t="s">
        <v>4959</v>
      </c>
      <c r="I337" s="35" t="s">
        <v>7017</v>
      </c>
      <c r="J337" s="33" t="s">
        <v>1337</v>
      </c>
    </row>
    <row r="338" spans="1:10" x14ac:dyDescent="0.25">
      <c r="A338" s="23" t="s">
        <v>5748</v>
      </c>
      <c r="B338" s="10" t="s">
        <v>5749</v>
      </c>
      <c r="C338" s="23" t="s">
        <v>4959</v>
      </c>
      <c r="D338" s="28" t="s">
        <v>5750</v>
      </c>
      <c r="E338" s="25">
        <v>106</v>
      </c>
      <c r="F338" s="23" t="str">
        <f>VLOOKUP(B338,'[2]справочник кодов нп'!$A:$D,4,0)</f>
        <v>сельские населенные пункты с численностью населения менее 1 000 человек.</v>
      </c>
      <c r="G338" s="23" t="s">
        <v>1385</v>
      </c>
      <c r="H338" s="10" t="s">
        <v>4959</v>
      </c>
      <c r="I338" s="35" t="s">
        <v>7017</v>
      </c>
      <c r="J338" s="33" t="s">
        <v>1337</v>
      </c>
    </row>
    <row r="339" spans="1:10" x14ac:dyDescent="0.25">
      <c r="A339" s="23" t="s">
        <v>5751</v>
      </c>
      <c r="B339" s="10" t="s">
        <v>5752</v>
      </c>
      <c r="C339" s="23" t="s">
        <v>4959</v>
      </c>
      <c r="D339" s="28" t="s">
        <v>5753</v>
      </c>
      <c r="E339" s="25">
        <v>106</v>
      </c>
      <c r="F339" s="23" t="str">
        <f>VLOOKUP(B339,'[2]справочник кодов нп'!$A:$D,4,0)</f>
        <v>сельские населенные пункты с численностью населения менее 1 000 человек.</v>
      </c>
      <c r="G339" s="23" t="s">
        <v>1385</v>
      </c>
      <c r="H339" s="10" t="s">
        <v>4959</v>
      </c>
      <c r="I339" s="35" t="s">
        <v>7017</v>
      </c>
      <c r="J339" s="33" t="s">
        <v>1337</v>
      </c>
    </row>
    <row r="340" spans="1:10" x14ac:dyDescent="0.25">
      <c r="A340" s="23" t="s">
        <v>5754</v>
      </c>
      <c r="B340" s="10" t="s">
        <v>5755</v>
      </c>
      <c r="C340" s="23" t="s">
        <v>4959</v>
      </c>
      <c r="D340" s="28" t="s">
        <v>5756</v>
      </c>
      <c r="E340" s="25">
        <v>106</v>
      </c>
      <c r="F340" s="23" t="str">
        <f>VLOOKUP(B340,'[2]справочник кодов нп'!$A:$D,4,0)</f>
        <v>сельские населенные пункты с численностью населения менее 1 000 человек.</v>
      </c>
      <c r="G340" s="23" t="s">
        <v>1385</v>
      </c>
      <c r="H340" s="10" t="s">
        <v>4959</v>
      </c>
      <c r="I340" s="35" t="s">
        <v>7017</v>
      </c>
      <c r="J340" s="33" t="s">
        <v>1337</v>
      </c>
    </row>
    <row r="341" spans="1:10" x14ac:dyDescent="0.25">
      <c r="A341" s="23" t="s">
        <v>5757</v>
      </c>
      <c r="B341" s="10" t="s">
        <v>5758</v>
      </c>
      <c r="C341" s="23" t="s">
        <v>4959</v>
      </c>
      <c r="D341" s="28" t="s">
        <v>5759</v>
      </c>
      <c r="E341" s="25">
        <v>106</v>
      </c>
      <c r="F341" s="23" t="str">
        <f>VLOOKUP(B341,'[2]справочник кодов нп'!$A:$D,4,0)</f>
        <v>сельские населенные пункты с численностью населения менее 1 000 человек.</v>
      </c>
      <c r="G341" s="23" t="s">
        <v>1385</v>
      </c>
      <c r="H341" s="10" t="s">
        <v>4959</v>
      </c>
      <c r="I341" s="35" t="s">
        <v>7017</v>
      </c>
      <c r="J341" s="33" t="s">
        <v>1337</v>
      </c>
    </row>
    <row r="342" spans="1:10" x14ac:dyDescent="0.25">
      <c r="A342" s="23" t="s">
        <v>5760</v>
      </c>
      <c r="B342" s="10" t="s">
        <v>5761</v>
      </c>
      <c r="C342" s="23" t="s">
        <v>4959</v>
      </c>
      <c r="D342" s="28" t="s">
        <v>5762</v>
      </c>
      <c r="E342" s="25">
        <v>106</v>
      </c>
      <c r="F342" s="23" t="str">
        <f>VLOOKUP(B342,'[2]справочник кодов нп'!$A:$D,4,0)</f>
        <v>сельские населенные пункты с численностью населения менее 1 000 человек.</v>
      </c>
      <c r="G342" s="23" t="s">
        <v>1385</v>
      </c>
      <c r="H342" s="10" t="s">
        <v>4959</v>
      </c>
      <c r="I342" s="35" t="s">
        <v>7017</v>
      </c>
      <c r="J342" s="33" t="s">
        <v>1337</v>
      </c>
    </row>
    <row r="343" spans="1:10" x14ac:dyDescent="0.25">
      <c r="A343" s="23" t="s">
        <v>5763</v>
      </c>
      <c r="B343" s="10" t="s">
        <v>5764</v>
      </c>
      <c r="C343" s="23" t="s">
        <v>4959</v>
      </c>
      <c r="D343" s="28" t="s">
        <v>5765</v>
      </c>
      <c r="E343" s="25">
        <v>106</v>
      </c>
      <c r="F343" s="23" t="str">
        <f>VLOOKUP(B343,'[2]справочник кодов нп'!$A:$D,4,0)</f>
        <v>сельские населенные пункты с численностью населения менее 1 000 человек.</v>
      </c>
      <c r="G343" s="23" t="s">
        <v>1385</v>
      </c>
      <c r="H343" s="10" t="s">
        <v>4959</v>
      </c>
      <c r="I343" s="35" t="s">
        <v>7017</v>
      </c>
      <c r="J343" s="33" t="s">
        <v>1337</v>
      </c>
    </row>
    <row r="344" spans="1:10" x14ac:dyDescent="0.25">
      <c r="A344" s="23" t="s">
        <v>5766</v>
      </c>
      <c r="B344" s="10" t="s">
        <v>5767</v>
      </c>
      <c r="C344" s="23" t="s">
        <v>4959</v>
      </c>
      <c r="D344" s="28" t="s">
        <v>5768</v>
      </c>
      <c r="E344" s="25">
        <v>106</v>
      </c>
      <c r="F344" s="23" t="str">
        <f>VLOOKUP(B344,'[2]справочник кодов нп'!$A:$D,4,0)</f>
        <v>сельские населенные пункты с численностью населения менее 1 000 человек.</v>
      </c>
      <c r="G344" s="23" t="s">
        <v>1385</v>
      </c>
      <c r="H344" s="10" t="s">
        <v>4959</v>
      </c>
      <c r="I344" s="35" t="s">
        <v>7017</v>
      </c>
      <c r="J344" s="33" t="s">
        <v>1337</v>
      </c>
    </row>
    <row r="345" spans="1:10" x14ac:dyDescent="0.25">
      <c r="A345" s="23" t="s">
        <v>6393</v>
      </c>
      <c r="B345" s="10" t="s">
        <v>6394</v>
      </c>
      <c r="C345" s="23" t="s">
        <v>4959</v>
      </c>
      <c r="D345" s="28" t="s">
        <v>6395</v>
      </c>
      <c r="E345" s="25">
        <v>106</v>
      </c>
      <c r="F345" s="23" t="str">
        <f>VLOOKUP(B345,'[2]справочник кодов нп'!$A:$D,4,0)</f>
        <v>сельские населенные пункты с численностью населения менее 1 000 человек.</v>
      </c>
      <c r="G345" s="23" t="s">
        <v>1385</v>
      </c>
      <c r="H345" s="10" t="s">
        <v>4959</v>
      </c>
      <c r="I345" s="35" t="s">
        <v>7017</v>
      </c>
      <c r="J345" s="33" t="s">
        <v>1337</v>
      </c>
    </row>
    <row r="346" spans="1:10" x14ac:dyDescent="0.25">
      <c r="A346" s="23" t="s">
        <v>6396</v>
      </c>
      <c r="B346" s="10" t="s">
        <v>6397</v>
      </c>
      <c r="C346" s="23" t="s">
        <v>4959</v>
      </c>
      <c r="D346" s="28" t="s">
        <v>6398</v>
      </c>
      <c r="E346" s="25">
        <v>106</v>
      </c>
      <c r="F346" s="23" t="str">
        <f>VLOOKUP(B346,'[2]справочник кодов нп'!$A:$D,4,0)</f>
        <v>сельские населенные пункты с численностью населения менее 1 000 человек.</v>
      </c>
      <c r="G346" s="23" t="s">
        <v>1385</v>
      </c>
      <c r="H346" s="10" t="s">
        <v>4959</v>
      </c>
      <c r="I346" s="35" t="s">
        <v>7017</v>
      </c>
      <c r="J346" s="33" t="s">
        <v>1337</v>
      </c>
    </row>
    <row r="347" spans="1:10" x14ac:dyDescent="0.25">
      <c r="A347" s="23" t="s">
        <v>6399</v>
      </c>
      <c r="B347" s="10" t="s">
        <v>6400</v>
      </c>
      <c r="C347" s="23" t="s">
        <v>4959</v>
      </c>
      <c r="D347" s="28" t="s">
        <v>6401</v>
      </c>
      <c r="E347" s="25">
        <v>106</v>
      </c>
      <c r="F347" s="23" t="str">
        <f>VLOOKUP(B347,'[2]справочник кодов нп'!$A:$D,4,0)</f>
        <v>сельские населенные пункты с численностью населения менее 1 000 человек.</v>
      </c>
      <c r="G347" s="23" t="s">
        <v>1385</v>
      </c>
      <c r="H347" s="10" t="s">
        <v>4959</v>
      </c>
      <c r="I347" s="35" t="s">
        <v>7017</v>
      </c>
      <c r="J347" s="33" t="s">
        <v>1337</v>
      </c>
    </row>
    <row r="348" spans="1:10" x14ac:dyDescent="0.25">
      <c r="A348" s="23" t="s">
        <v>6402</v>
      </c>
      <c r="B348" s="10" t="s">
        <v>6403</v>
      </c>
      <c r="C348" s="23" t="s">
        <v>4959</v>
      </c>
      <c r="D348" s="28" t="s">
        <v>6404</v>
      </c>
      <c r="E348" s="25">
        <v>106</v>
      </c>
      <c r="F348" s="23" t="str">
        <f>VLOOKUP(B348,'[2]справочник кодов нп'!$A:$D,4,0)</f>
        <v>сельские населенные пункты с численностью населения менее 1 000 человек.</v>
      </c>
      <c r="G348" s="23" t="s">
        <v>1385</v>
      </c>
      <c r="H348" s="10" t="s">
        <v>4959</v>
      </c>
      <c r="I348" s="35" t="s">
        <v>7017</v>
      </c>
      <c r="J348" s="33" t="s">
        <v>1337</v>
      </c>
    </row>
    <row r="349" spans="1:10" x14ac:dyDescent="0.25">
      <c r="A349" s="23" t="s">
        <v>6405</v>
      </c>
      <c r="B349" s="10" t="s">
        <v>6406</v>
      </c>
      <c r="C349" s="23" t="s">
        <v>4959</v>
      </c>
      <c r="D349" s="28" t="s">
        <v>2850</v>
      </c>
      <c r="E349" s="25">
        <v>106</v>
      </c>
      <c r="F349" s="23" t="str">
        <f>VLOOKUP(B349,'[2]справочник кодов нп'!$A:$D,4,0)</f>
        <v>сельские населенные пункты с численностью населения менее 1 000 человек.</v>
      </c>
      <c r="G349" s="23" t="s">
        <v>1385</v>
      </c>
      <c r="H349" s="10" t="s">
        <v>4959</v>
      </c>
      <c r="I349" s="35" t="s">
        <v>7017</v>
      </c>
      <c r="J349" s="33" t="s">
        <v>1337</v>
      </c>
    </row>
    <row r="350" spans="1:10" x14ac:dyDescent="0.25">
      <c r="A350" s="23" t="s">
        <v>6407</v>
      </c>
      <c r="B350" s="10" t="s">
        <v>6408</v>
      </c>
      <c r="C350" s="23" t="s">
        <v>4959</v>
      </c>
      <c r="D350" s="28" t="s">
        <v>6409</v>
      </c>
      <c r="E350" s="25">
        <v>106</v>
      </c>
      <c r="F350" s="23" t="str">
        <f>VLOOKUP(B350,'[2]справочник кодов нп'!$A:$D,4,0)</f>
        <v>городские населенные пункты с численностью населения менее 50 000 человек;</v>
      </c>
      <c r="G350" s="23" t="s">
        <v>1385</v>
      </c>
      <c r="H350" s="10" t="s">
        <v>4959</v>
      </c>
      <c r="I350" s="35" t="s">
        <v>7017</v>
      </c>
      <c r="J350" s="33" t="s">
        <v>1337</v>
      </c>
    </row>
    <row r="351" spans="1:10" x14ac:dyDescent="0.25">
      <c r="A351" s="23" t="s">
        <v>6519</v>
      </c>
      <c r="B351" s="10" t="s">
        <v>6520</v>
      </c>
      <c r="C351" s="23" t="s">
        <v>4959</v>
      </c>
      <c r="D351" s="28" t="s">
        <v>6521</v>
      </c>
      <c r="E351" s="25">
        <v>106</v>
      </c>
      <c r="F351" s="23" t="str">
        <f>VLOOKUP(B351,'[2]справочник кодов нп'!$A:$D,4,0)</f>
        <v>сельские населенные пункты с численностью населения менее 1 000 человек.</v>
      </c>
      <c r="G351" s="23" t="s">
        <v>1385</v>
      </c>
      <c r="H351" s="10" t="s">
        <v>4959</v>
      </c>
      <c r="I351" s="35" t="s">
        <v>7017</v>
      </c>
      <c r="J351" s="33" t="s">
        <v>1337</v>
      </c>
    </row>
    <row r="352" spans="1:10" x14ac:dyDescent="0.25">
      <c r="A352" s="23" t="s">
        <v>6522</v>
      </c>
      <c r="B352" s="10" t="s">
        <v>6523</v>
      </c>
      <c r="C352" s="23" t="s">
        <v>4959</v>
      </c>
      <c r="D352" s="28" t="s">
        <v>6524</v>
      </c>
      <c r="E352" s="25">
        <v>106</v>
      </c>
      <c r="F352" s="23" t="str">
        <f>VLOOKUP(B352,'[2]справочник кодов нп'!$A:$D,4,0)</f>
        <v>сельские населенные пункты с численностью населения менее 1 000 человек.</v>
      </c>
      <c r="G352" s="23" t="s">
        <v>1385</v>
      </c>
      <c r="H352" s="10" t="s">
        <v>4959</v>
      </c>
      <c r="I352" s="35" t="s">
        <v>7017</v>
      </c>
      <c r="J352" s="33" t="s">
        <v>1337</v>
      </c>
    </row>
    <row r="353" spans="1:10" x14ac:dyDescent="0.25">
      <c r="A353" s="23" t="s">
        <v>6702</v>
      </c>
      <c r="B353" s="10" t="s">
        <v>6703</v>
      </c>
      <c r="C353" s="23" t="s">
        <v>4959</v>
      </c>
      <c r="D353" s="28" t="s">
        <v>6704</v>
      </c>
      <c r="E353" s="25">
        <v>106</v>
      </c>
      <c r="F353" s="23" t="str">
        <f>VLOOKUP(B353,'[2]справочник кодов нп'!$A:$D,4,0)</f>
        <v>сельские населенные пункты с численностью населения менее 1 000 человек.</v>
      </c>
      <c r="G353" s="23" t="s">
        <v>1385</v>
      </c>
      <c r="H353" s="10" t="s">
        <v>4959</v>
      </c>
      <c r="I353" s="35" t="s">
        <v>7017</v>
      </c>
      <c r="J353" s="33" t="s">
        <v>1337</v>
      </c>
    </row>
    <row r="354" spans="1:10" x14ac:dyDescent="0.25">
      <c r="A354" s="23" t="s">
        <v>6705</v>
      </c>
      <c r="B354" s="10" t="s">
        <v>6706</v>
      </c>
      <c r="C354" s="23" t="s">
        <v>4959</v>
      </c>
      <c r="D354" s="28" t="s">
        <v>6707</v>
      </c>
      <c r="E354" s="25">
        <v>106</v>
      </c>
      <c r="F354" s="23" t="str">
        <f>VLOOKUP(B354,'[2]справочник кодов нп'!$A:$D,4,0)</f>
        <v>сельские населенные пункты с численностью населения менее 1 000 человек.</v>
      </c>
      <c r="G354" s="23" t="s">
        <v>1385</v>
      </c>
      <c r="H354" s="10" t="s">
        <v>4959</v>
      </c>
      <c r="I354" s="35" t="s">
        <v>7017</v>
      </c>
      <c r="J354" s="33" t="s">
        <v>1337</v>
      </c>
    </row>
    <row r="355" spans="1:10" x14ac:dyDescent="0.25">
      <c r="A355" s="23" t="s">
        <v>6708</v>
      </c>
      <c r="B355" s="10" t="s">
        <v>6709</v>
      </c>
      <c r="C355" s="23" t="s">
        <v>4959</v>
      </c>
      <c r="D355" s="28" t="s">
        <v>6710</v>
      </c>
      <c r="E355" s="25">
        <v>106</v>
      </c>
      <c r="F355" s="23" t="str">
        <f>VLOOKUP(B355,'[2]справочник кодов нп'!$A:$D,4,0)</f>
        <v>сельские населенные пункты с численностью населения менее 1 000 человек.</v>
      </c>
      <c r="G355" s="23" t="s">
        <v>1385</v>
      </c>
      <c r="H355" s="10" t="s">
        <v>4959</v>
      </c>
      <c r="I355" s="35" t="s">
        <v>7017</v>
      </c>
      <c r="J355" s="33" t="s">
        <v>1337</v>
      </c>
    </row>
    <row r="356" spans="1:10" x14ac:dyDescent="0.25">
      <c r="A356" s="23" t="s">
        <v>6748</v>
      </c>
      <c r="B356" s="10" t="s">
        <v>6749</v>
      </c>
      <c r="C356" s="23" t="s">
        <v>4959</v>
      </c>
      <c r="D356" s="28" t="s">
        <v>2567</v>
      </c>
      <c r="E356" s="25">
        <v>106</v>
      </c>
      <c r="F356" s="23" t="str">
        <f>VLOOKUP(B356,'[2]справочник кодов нп'!$A:$D,4,0)</f>
        <v>сельские населенные пункты с численностью населения менее 1 000 человек.</v>
      </c>
      <c r="G356" s="23" t="s">
        <v>1385</v>
      </c>
      <c r="H356" s="10" t="s">
        <v>4959</v>
      </c>
      <c r="I356" s="35" t="s">
        <v>7017</v>
      </c>
      <c r="J356" s="33" t="s">
        <v>1337</v>
      </c>
    </row>
    <row r="357" spans="1:10" x14ac:dyDescent="0.25">
      <c r="A357" s="23" t="s">
        <v>6867</v>
      </c>
      <c r="B357" s="10" t="s">
        <v>6868</v>
      </c>
      <c r="C357" s="23" t="s">
        <v>4959</v>
      </c>
      <c r="D357" s="28" t="s">
        <v>6846</v>
      </c>
      <c r="E357" s="25">
        <v>106</v>
      </c>
      <c r="F357" s="23" t="str">
        <f>VLOOKUP(B357,'[2]справочник кодов нп'!$A:$D,4,0)</f>
        <v>межселенная территория</v>
      </c>
      <c r="G357" s="23" t="s">
        <v>1385</v>
      </c>
      <c r="H357" s="10" t="s">
        <v>4959</v>
      </c>
      <c r="I357" s="35" t="s">
        <v>7019</v>
      </c>
      <c r="J357" s="33" t="s">
        <v>1337</v>
      </c>
    </row>
    <row r="358" spans="1:10" x14ac:dyDescent="0.25">
      <c r="A358" s="23" t="s">
        <v>3272</v>
      </c>
      <c r="B358" s="10" t="s">
        <v>3273</v>
      </c>
      <c r="C358" s="23" t="s">
        <v>3274</v>
      </c>
      <c r="D358" s="28" t="s">
        <v>3275</v>
      </c>
      <c r="E358" s="25">
        <v>106</v>
      </c>
      <c r="F358" s="23" t="str">
        <f>VLOOKUP(B358,'[2]справочник кодов нп'!$A:$D,4,0)</f>
        <v>сельские населенные пункты с численностью населения менее 1 000 человек.</v>
      </c>
      <c r="G358" s="23" t="s">
        <v>1385</v>
      </c>
      <c r="H358" s="10" t="s">
        <v>3274</v>
      </c>
      <c r="I358" s="35" t="s">
        <v>7017</v>
      </c>
      <c r="J358" s="33" t="s">
        <v>1337</v>
      </c>
    </row>
    <row r="359" spans="1:10" x14ac:dyDescent="0.25">
      <c r="A359" s="23" t="s">
        <v>3276</v>
      </c>
      <c r="B359" s="10" t="s">
        <v>3277</v>
      </c>
      <c r="C359" s="23" t="s">
        <v>3274</v>
      </c>
      <c r="D359" s="28" t="s">
        <v>3278</v>
      </c>
      <c r="E359" s="25">
        <v>106</v>
      </c>
      <c r="F359" s="23" t="str">
        <f>VLOOKUP(B359,'[2]справочник кодов нп'!$A:$D,4,0)</f>
        <v>сельские населенные пункты с численностью населения менее 1 000 человек.</v>
      </c>
      <c r="G359" s="23" t="s">
        <v>1385</v>
      </c>
      <c r="H359" s="10" t="s">
        <v>3274</v>
      </c>
      <c r="I359" s="35" t="s">
        <v>7017</v>
      </c>
      <c r="J359" s="33" t="s">
        <v>1337</v>
      </c>
    </row>
    <row r="360" spans="1:10" x14ac:dyDescent="0.25">
      <c r="A360" s="23" t="s">
        <v>3279</v>
      </c>
      <c r="B360" s="10" t="s">
        <v>3280</v>
      </c>
      <c r="C360" s="23" t="s">
        <v>3274</v>
      </c>
      <c r="D360" s="28" t="s">
        <v>3281</v>
      </c>
      <c r="E360" s="25">
        <v>106</v>
      </c>
      <c r="F360" s="23" t="str">
        <f>VLOOKUP(B360,'[2]справочник кодов нп'!$A:$D,4,0)</f>
        <v>сельские населенные пункты с численностью населения менее 1 000 человек.</v>
      </c>
      <c r="G360" s="23" t="s">
        <v>1385</v>
      </c>
      <c r="H360" s="10" t="s">
        <v>3274</v>
      </c>
      <c r="I360" s="35" t="s">
        <v>7017</v>
      </c>
      <c r="J360" s="33" t="s">
        <v>1337</v>
      </c>
    </row>
    <row r="361" spans="1:10" x14ac:dyDescent="0.25">
      <c r="A361" s="23" t="s">
        <v>3282</v>
      </c>
      <c r="B361" s="10" t="s">
        <v>3283</v>
      </c>
      <c r="C361" s="23" t="s">
        <v>3274</v>
      </c>
      <c r="D361" s="28" t="s">
        <v>3284</v>
      </c>
      <c r="E361" s="25">
        <v>106</v>
      </c>
      <c r="F361" s="23" t="str">
        <f>VLOOKUP(B361,'[2]справочник кодов нп'!$A:$D,4,0)</f>
        <v>сельские населенные пункты с численностью населения менее 1 000 человек.</v>
      </c>
      <c r="G361" s="23" t="s">
        <v>1385</v>
      </c>
      <c r="H361" s="10" t="s">
        <v>3274</v>
      </c>
      <c r="I361" s="35" t="s">
        <v>7017</v>
      </c>
      <c r="J361" s="33" t="s">
        <v>1337</v>
      </c>
    </row>
    <row r="362" spans="1:10" x14ac:dyDescent="0.25">
      <c r="A362" s="23" t="s">
        <v>3295</v>
      </c>
      <c r="B362" s="10" t="s">
        <v>3296</v>
      </c>
      <c r="C362" s="23" t="s">
        <v>3274</v>
      </c>
      <c r="D362" s="28" t="s">
        <v>3297</v>
      </c>
      <c r="E362" s="25">
        <v>106</v>
      </c>
      <c r="F362" s="23" t="str">
        <f>VLOOKUP(B362,'[2]справочник кодов нп'!$A:$D,4,0)</f>
        <v>сельские населенные пункты с численностью населения менее 1 000 человек.</v>
      </c>
      <c r="G362" s="23" t="s">
        <v>1385</v>
      </c>
      <c r="H362" s="10" t="s">
        <v>3274</v>
      </c>
      <c r="I362" s="35" t="s">
        <v>7017</v>
      </c>
      <c r="J362" s="33" t="s">
        <v>1337</v>
      </c>
    </row>
    <row r="363" spans="1:10" x14ac:dyDescent="0.25">
      <c r="A363" s="23" t="s">
        <v>3298</v>
      </c>
      <c r="B363" s="10" t="s">
        <v>3299</v>
      </c>
      <c r="C363" s="23" t="s">
        <v>3274</v>
      </c>
      <c r="D363" s="28" t="s">
        <v>3300</v>
      </c>
      <c r="E363" s="25">
        <v>106</v>
      </c>
      <c r="F363" s="23" t="str">
        <f>VLOOKUP(B363,'[2]справочник кодов нп'!$A:$D,4,0)</f>
        <v>сельские населенные пункты с численностью населения менее 1 000 человек.</v>
      </c>
      <c r="G363" s="23" t="s">
        <v>1385</v>
      </c>
      <c r="H363" s="10" t="s">
        <v>3274</v>
      </c>
      <c r="I363" s="35" t="s">
        <v>7017</v>
      </c>
      <c r="J363" s="33" t="s">
        <v>1337</v>
      </c>
    </row>
    <row r="364" spans="1:10" x14ac:dyDescent="0.25">
      <c r="A364" s="23" t="s">
        <v>3304</v>
      </c>
      <c r="B364" s="10" t="s">
        <v>3305</v>
      </c>
      <c r="C364" s="23" t="s">
        <v>3274</v>
      </c>
      <c r="D364" s="28" t="s">
        <v>3306</v>
      </c>
      <c r="E364" s="25">
        <v>106</v>
      </c>
      <c r="F364" s="23" t="str">
        <f>VLOOKUP(B364,'[2]справочник кодов нп'!$A:$D,4,0)</f>
        <v>сельские населенные пункты с численностью населения менее 1 000 человек.</v>
      </c>
      <c r="G364" s="23" t="s">
        <v>1385</v>
      </c>
      <c r="H364" s="10" t="s">
        <v>3274</v>
      </c>
      <c r="I364" s="35" t="s">
        <v>7017</v>
      </c>
      <c r="J364" s="33" t="s">
        <v>1337</v>
      </c>
    </row>
    <row r="365" spans="1:10" x14ac:dyDescent="0.25">
      <c r="A365" s="23" t="s">
        <v>3307</v>
      </c>
      <c r="B365" s="10" t="s">
        <v>3308</v>
      </c>
      <c r="C365" s="23" t="s">
        <v>3274</v>
      </c>
      <c r="D365" s="28" t="s">
        <v>3309</v>
      </c>
      <c r="E365" s="25">
        <v>106</v>
      </c>
      <c r="F365" s="23" t="str">
        <f>VLOOKUP(B365,'[2]справочник кодов нп'!$A:$D,4,0)</f>
        <v>сельские населенные пункты с численностью населения менее 1 000 человек.</v>
      </c>
      <c r="G365" s="23" t="s">
        <v>1385</v>
      </c>
      <c r="H365" s="10" t="s">
        <v>3274</v>
      </c>
      <c r="I365" s="35" t="s">
        <v>7017</v>
      </c>
      <c r="J365" s="33" t="s">
        <v>1337</v>
      </c>
    </row>
    <row r="366" spans="1:10" x14ac:dyDescent="0.25">
      <c r="A366" s="23" t="s">
        <v>3310</v>
      </c>
      <c r="B366" s="10" t="s">
        <v>3311</v>
      </c>
      <c r="C366" s="23" t="s">
        <v>3274</v>
      </c>
      <c r="D366" s="28" t="s">
        <v>3312</v>
      </c>
      <c r="E366" s="25">
        <v>106</v>
      </c>
      <c r="F366" s="23" t="str">
        <f>VLOOKUP(B366,'[2]справочник кодов нп'!$A:$D,4,0)</f>
        <v>сельские населенные пункты с численностью населения менее 1 000 человек.</v>
      </c>
      <c r="G366" s="23" t="s">
        <v>1385</v>
      </c>
      <c r="H366" s="10" t="s">
        <v>3274</v>
      </c>
      <c r="I366" s="35" t="s">
        <v>7017</v>
      </c>
      <c r="J366" s="33" t="s">
        <v>1337</v>
      </c>
    </row>
    <row r="367" spans="1:10" x14ac:dyDescent="0.25">
      <c r="A367" s="23" t="s">
        <v>3316</v>
      </c>
      <c r="B367" s="10" t="s">
        <v>3317</v>
      </c>
      <c r="C367" s="23" t="s">
        <v>3274</v>
      </c>
      <c r="D367" s="28" t="s">
        <v>3318</v>
      </c>
      <c r="E367" s="25">
        <v>106</v>
      </c>
      <c r="F367" s="23" t="str">
        <f>VLOOKUP(B367,'[2]справочник кодов нп'!$A:$D,4,0)</f>
        <v>сельские населенные пункты с численностью населения менее 1 000 человек.</v>
      </c>
      <c r="G367" s="23" t="s">
        <v>1385</v>
      </c>
      <c r="H367" s="10" t="s">
        <v>3274</v>
      </c>
      <c r="I367" s="35" t="s">
        <v>7017</v>
      </c>
      <c r="J367" s="33" t="s">
        <v>1337</v>
      </c>
    </row>
    <row r="368" spans="1:10" x14ac:dyDescent="0.25">
      <c r="A368" s="23" t="s">
        <v>3319</v>
      </c>
      <c r="B368" s="10" t="s">
        <v>3320</v>
      </c>
      <c r="C368" s="23" t="s">
        <v>3274</v>
      </c>
      <c r="D368" s="28" t="s">
        <v>3321</v>
      </c>
      <c r="E368" s="25">
        <v>106</v>
      </c>
      <c r="F368" s="23" t="str">
        <f>VLOOKUP(B368,'[2]справочник кодов нп'!$A:$D,4,0)</f>
        <v>сельские населенные пункты с численностью населения менее 1 000 человек.</v>
      </c>
      <c r="G368" s="23" t="s">
        <v>1385</v>
      </c>
      <c r="H368" s="10" t="s">
        <v>3274</v>
      </c>
      <c r="I368" s="35" t="s">
        <v>7017</v>
      </c>
      <c r="J368" s="33" t="s">
        <v>1337</v>
      </c>
    </row>
    <row r="369" spans="1:10" x14ac:dyDescent="0.25">
      <c r="A369" s="23" t="s">
        <v>3322</v>
      </c>
      <c r="B369" s="10" t="s">
        <v>3323</v>
      </c>
      <c r="C369" s="23" t="s">
        <v>3274</v>
      </c>
      <c r="D369" s="28" t="s">
        <v>3324</v>
      </c>
      <c r="E369" s="25">
        <v>106</v>
      </c>
      <c r="F369" s="23" t="str">
        <f>VLOOKUP(B369,'[2]справочник кодов нп'!$A:$D,4,0)</f>
        <v>сельские населенные пункты с численностью населения менее 1 000 человек.</v>
      </c>
      <c r="G369" s="23" t="s">
        <v>1385</v>
      </c>
      <c r="H369" s="10" t="s">
        <v>3274</v>
      </c>
      <c r="I369" s="35" t="s">
        <v>7017</v>
      </c>
      <c r="J369" s="33" t="s">
        <v>1337</v>
      </c>
    </row>
    <row r="370" spans="1:10" x14ac:dyDescent="0.25">
      <c r="A370" s="23" t="s">
        <v>3325</v>
      </c>
      <c r="B370" s="10" t="s">
        <v>3326</v>
      </c>
      <c r="C370" s="23" t="s">
        <v>3274</v>
      </c>
      <c r="D370" s="28" t="s">
        <v>3327</v>
      </c>
      <c r="E370" s="25">
        <v>106</v>
      </c>
      <c r="F370" s="23" t="str">
        <f>VLOOKUP(B370,'[2]справочник кодов нп'!$A:$D,4,0)</f>
        <v>сельские населенные пункты с численностью населения менее 1 000 человек.</v>
      </c>
      <c r="G370" s="23" t="s">
        <v>1385</v>
      </c>
      <c r="H370" s="10" t="s">
        <v>3274</v>
      </c>
      <c r="I370" s="35" t="s">
        <v>7017</v>
      </c>
      <c r="J370" s="33" t="s">
        <v>1337</v>
      </c>
    </row>
    <row r="371" spans="1:10" x14ac:dyDescent="0.25">
      <c r="A371" s="23" t="s">
        <v>3328</v>
      </c>
      <c r="B371" s="10" t="s">
        <v>3329</v>
      </c>
      <c r="C371" s="23" t="s">
        <v>3274</v>
      </c>
      <c r="D371" s="28" t="s">
        <v>3330</v>
      </c>
      <c r="E371" s="25">
        <v>106</v>
      </c>
      <c r="F371" s="23" t="str">
        <f>VLOOKUP(B371,'[2]справочник кодов нп'!$A:$D,4,0)</f>
        <v>сельские населенные пункты с численностью населения менее 1 000 человек.</v>
      </c>
      <c r="G371" s="23" t="s">
        <v>1385</v>
      </c>
      <c r="H371" s="10" t="s">
        <v>3274</v>
      </c>
      <c r="I371" s="35" t="s">
        <v>7017</v>
      </c>
      <c r="J371" s="33" t="s">
        <v>1337</v>
      </c>
    </row>
    <row r="372" spans="1:10" x14ac:dyDescent="0.25">
      <c r="A372" s="23" t="s">
        <v>5071</v>
      </c>
      <c r="B372" s="10" t="s">
        <v>5072</v>
      </c>
      <c r="C372" s="23" t="s">
        <v>3274</v>
      </c>
      <c r="D372" s="28" t="s">
        <v>5073</v>
      </c>
      <c r="E372" s="25">
        <v>106</v>
      </c>
      <c r="F372" s="23" t="str">
        <f>VLOOKUP(B372,'[2]справочник кодов нп'!$A:$D,4,0)</f>
        <v>сельские населенные пункты с численностью населения менее 1 000 человек.</v>
      </c>
      <c r="G372" s="23" t="s">
        <v>1385</v>
      </c>
      <c r="H372" s="10" t="s">
        <v>3274</v>
      </c>
      <c r="I372" s="35" t="s">
        <v>7017</v>
      </c>
      <c r="J372" s="33" t="s">
        <v>1337</v>
      </c>
    </row>
    <row r="373" spans="1:10" x14ac:dyDescent="0.25">
      <c r="A373" s="23" t="s">
        <v>5074</v>
      </c>
      <c r="B373" s="10" t="s">
        <v>5075</v>
      </c>
      <c r="C373" s="23" t="s">
        <v>3274</v>
      </c>
      <c r="D373" s="28" t="s">
        <v>5076</v>
      </c>
      <c r="E373" s="25">
        <v>106</v>
      </c>
      <c r="F373" s="23" t="str">
        <f>VLOOKUP(B373,'[2]справочник кодов нп'!$A:$D,4,0)</f>
        <v>сельские населенные пункты с численностью населения менее 1 000 человек.</v>
      </c>
      <c r="G373" s="23" t="s">
        <v>1385</v>
      </c>
      <c r="H373" s="10" t="s">
        <v>3274</v>
      </c>
      <c r="I373" s="35" t="s">
        <v>7017</v>
      </c>
      <c r="J373" s="33" t="s">
        <v>1337</v>
      </c>
    </row>
    <row r="374" spans="1:10" x14ac:dyDescent="0.25">
      <c r="A374" s="23" t="s">
        <v>5077</v>
      </c>
      <c r="B374" s="10" t="s">
        <v>5078</v>
      </c>
      <c r="C374" s="23" t="s">
        <v>3274</v>
      </c>
      <c r="D374" s="28" t="s">
        <v>5079</v>
      </c>
      <c r="E374" s="25">
        <v>106</v>
      </c>
      <c r="F374" s="23" t="str">
        <f>VLOOKUP(B374,'[2]справочник кодов нп'!$A:$D,4,0)</f>
        <v>сельские населенные пункты с численностью населения менее 1 000 человек.</v>
      </c>
      <c r="G374" s="23" t="s">
        <v>1385</v>
      </c>
      <c r="H374" s="10" t="s">
        <v>3274</v>
      </c>
      <c r="I374" s="35" t="s">
        <v>7017</v>
      </c>
      <c r="J374" s="33" t="s">
        <v>1337</v>
      </c>
    </row>
    <row r="375" spans="1:10" x14ac:dyDescent="0.25">
      <c r="A375" s="23" t="s">
        <v>5210</v>
      </c>
      <c r="B375" s="10" t="s">
        <v>5211</v>
      </c>
      <c r="C375" s="23" t="s">
        <v>3274</v>
      </c>
      <c r="D375" s="28" t="s">
        <v>5212</v>
      </c>
      <c r="E375" s="25">
        <v>106</v>
      </c>
      <c r="F375" s="23" t="str">
        <f>VLOOKUP(B375,'[2]справочник кодов нп'!$A:$D,4,0)</f>
        <v>сельские населенные пункты с численностью населения менее 1 000 человек.</v>
      </c>
      <c r="G375" s="23" t="s">
        <v>1385</v>
      </c>
      <c r="H375" s="10" t="s">
        <v>3274</v>
      </c>
      <c r="I375" s="35" t="s">
        <v>7017</v>
      </c>
      <c r="J375" s="33" t="s">
        <v>1337</v>
      </c>
    </row>
    <row r="376" spans="1:10" x14ac:dyDescent="0.25">
      <c r="A376" s="23" t="s">
        <v>5254</v>
      </c>
      <c r="B376" s="10" t="s">
        <v>5255</v>
      </c>
      <c r="C376" s="23" t="s">
        <v>3274</v>
      </c>
      <c r="D376" s="28" t="s">
        <v>5256</v>
      </c>
      <c r="E376" s="25">
        <v>106</v>
      </c>
      <c r="F376" s="23" t="str">
        <f>VLOOKUP(B376,'[2]справочник кодов нп'!$A:$D,4,0)</f>
        <v>сельские населенные пункты с численностью населения менее 1 000 человек.</v>
      </c>
      <c r="G376" s="23" t="s">
        <v>1385</v>
      </c>
      <c r="H376" s="10" t="s">
        <v>3274</v>
      </c>
      <c r="I376" s="35" t="s">
        <v>7017</v>
      </c>
      <c r="J376" s="33" t="s">
        <v>1337</v>
      </c>
    </row>
    <row r="377" spans="1:10" x14ac:dyDescent="0.25">
      <c r="A377" s="23" t="s">
        <v>5259</v>
      </c>
      <c r="B377" s="10" t="s">
        <v>5260</v>
      </c>
      <c r="C377" s="23" t="s">
        <v>3274</v>
      </c>
      <c r="D377" s="28" t="s">
        <v>5261</v>
      </c>
      <c r="E377" s="25">
        <v>106</v>
      </c>
      <c r="F377" s="23" t="str">
        <f>VLOOKUP(B377,'[2]справочник кодов нп'!$A:$D,4,0)</f>
        <v>сельские населенные пункты с численностью населения менее 1 000 человек.</v>
      </c>
      <c r="G377" s="23" t="s">
        <v>1385</v>
      </c>
      <c r="H377" s="10" t="s">
        <v>3274</v>
      </c>
      <c r="I377" s="35" t="s">
        <v>7017</v>
      </c>
      <c r="J377" s="33" t="s">
        <v>1337</v>
      </c>
    </row>
    <row r="378" spans="1:10" x14ac:dyDescent="0.25">
      <c r="A378" s="23" t="s">
        <v>5262</v>
      </c>
      <c r="B378" s="10" t="s">
        <v>5263</v>
      </c>
      <c r="C378" s="23" t="s">
        <v>3274</v>
      </c>
      <c r="D378" s="28" t="s">
        <v>1827</v>
      </c>
      <c r="E378" s="25">
        <v>106</v>
      </c>
      <c r="F378" s="23" t="str">
        <f>VLOOKUP(B378,'[2]справочник кодов нп'!$A:$D,4,0)</f>
        <v>сельские населенные пункты с численностью населения менее 1 000 человек.</v>
      </c>
      <c r="G378" s="23" t="s">
        <v>1385</v>
      </c>
      <c r="H378" s="10" t="s">
        <v>3274</v>
      </c>
      <c r="I378" s="35" t="s">
        <v>7017</v>
      </c>
      <c r="J378" s="33" t="s">
        <v>1337</v>
      </c>
    </row>
    <row r="379" spans="1:10" x14ac:dyDescent="0.25">
      <c r="A379" s="23" t="s">
        <v>5264</v>
      </c>
      <c r="B379" s="10" t="s">
        <v>5265</v>
      </c>
      <c r="C379" s="23" t="s">
        <v>3274</v>
      </c>
      <c r="D379" s="28" t="s">
        <v>5266</v>
      </c>
      <c r="E379" s="25">
        <v>106</v>
      </c>
      <c r="F379" s="23" t="str">
        <f>VLOOKUP(B379,'[2]справочник кодов нп'!$A:$D,4,0)</f>
        <v>сельские населенные пункты с численностью населения менее 1 000 человек.</v>
      </c>
      <c r="G379" s="23" t="s">
        <v>1385</v>
      </c>
      <c r="H379" s="10" t="s">
        <v>3274</v>
      </c>
      <c r="I379" s="35" t="s">
        <v>7017</v>
      </c>
      <c r="J379" s="33" t="s">
        <v>1337</v>
      </c>
    </row>
    <row r="380" spans="1:10" x14ac:dyDescent="0.25">
      <c r="A380" s="23" t="s">
        <v>5267</v>
      </c>
      <c r="B380" s="10" t="s">
        <v>5268</v>
      </c>
      <c r="C380" s="23" t="s">
        <v>3274</v>
      </c>
      <c r="D380" s="28" t="s">
        <v>2806</v>
      </c>
      <c r="E380" s="25">
        <v>106</v>
      </c>
      <c r="F380" s="23" t="str">
        <f>VLOOKUP(B380,'[2]справочник кодов нп'!$A:$D,4,0)</f>
        <v>сельские населенные пункты с численностью населения менее 1 000 человек.</v>
      </c>
      <c r="G380" s="23" t="s">
        <v>1385</v>
      </c>
      <c r="H380" s="10" t="s">
        <v>3274</v>
      </c>
      <c r="I380" s="35" t="s">
        <v>7017</v>
      </c>
      <c r="J380" s="33" t="s">
        <v>1337</v>
      </c>
    </row>
    <row r="381" spans="1:10" x14ac:dyDescent="0.25">
      <c r="A381" s="23" t="s">
        <v>5269</v>
      </c>
      <c r="B381" s="10" t="s">
        <v>5270</v>
      </c>
      <c r="C381" s="23" t="s">
        <v>3274</v>
      </c>
      <c r="D381" s="28" t="s">
        <v>5271</v>
      </c>
      <c r="E381" s="25">
        <v>106</v>
      </c>
      <c r="F381" s="23" t="str">
        <f>VLOOKUP(B381,'[2]справочник кодов нп'!$A:$D,4,0)</f>
        <v>сельские населенные пункты с численностью населения менее 1 000 человек.</v>
      </c>
      <c r="G381" s="23" t="s">
        <v>1385</v>
      </c>
      <c r="H381" s="10" t="s">
        <v>3274</v>
      </c>
      <c r="I381" s="35" t="s">
        <v>7017</v>
      </c>
      <c r="J381" s="33" t="s">
        <v>1337</v>
      </c>
    </row>
    <row r="382" spans="1:10" x14ac:dyDescent="0.25">
      <c r="A382" s="23" t="s">
        <v>5290</v>
      </c>
      <c r="B382" s="10" t="s">
        <v>5291</v>
      </c>
      <c r="C382" s="23" t="s">
        <v>3274</v>
      </c>
      <c r="D382" s="28" t="s">
        <v>5292</v>
      </c>
      <c r="E382" s="25">
        <v>106</v>
      </c>
      <c r="F382" s="23" t="str">
        <f>VLOOKUP(B382,'[2]справочник кодов нп'!$A:$D,4,0)</f>
        <v>сельские населенные пункты с численностью населения менее 1 000 человек.</v>
      </c>
      <c r="G382" s="23" t="s">
        <v>1385</v>
      </c>
      <c r="H382" s="10" t="s">
        <v>3274</v>
      </c>
      <c r="I382" s="35" t="s">
        <v>7017</v>
      </c>
      <c r="J382" s="33" t="s">
        <v>1337</v>
      </c>
    </row>
    <row r="383" spans="1:10" x14ac:dyDescent="0.25">
      <c r="A383" s="23" t="s">
        <v>5293</v>
      </c>
      <c r="B383" s="10" t="s">
        <v>5294</v>
      </c>
      <c r="C383" s="23" t="s">
        <v>3274</v>
      </c>
      <c r="D383" s="28" t="s">
        <v>5295</v>
      </c>
      <c r="E383" s="25">
        <v>106</v>
      </c>
      <c r="F383" s="23" t="str">
        <f>VLOOKUP(B383,'[2]справочник кодов нп'!$A:$D,4,0)</f>
        <v>сельские населенные пункты с численностью населения менее 1 000 человек.</v>
      </c>
      <c r="G383" s="23" t="s">
        <v>1385</v>
      </c>
      <c r="H383" s="10" t="s">
        <v>3274</v>
      </c>
      <c r="I383" s="35" t="s">
        <v>7017</v>
      </c>
      <c r="J383" s="33" t="s">
        <v>1337</v>
      </c>
    </row>
    <row r="384" spans="1:10" x14ac:dyDescent="0.25">
      <c r="A384" s="23" t="s">
        <v>5296</v>
      </c>
      <c r="B384" s="10" t="s">
        <v>5297</v>
      </c>
      <c r="C384" s="23" t="s">
        <v>3274</v>
      </c>
      <c r="D384" s="28" t="s">
        <v>5298</v>
      </c>
      <c r="E384" s="25">
        <v>106</v>
      </c>
      <c r="F384" s="23" t="str">
        <f>VLOOKUP(B384,'[2]справочник кодов нп'!$A:$D,4,0)</f>
        <v>сельские населенные пункты с численностью населения менее 1 000 человек.</v>
      </c>
      <c r="G384" s="23" t="s">
        <v>1385</v>
      </c>
      <c r="H384" s="10" t="s">
        <v>3274</v>
      </c>
      <c r="I384" s="35" t="s">
        <v>7017</v>
      </c>
      <c r="J384" s="33" t="s">
        <v>1337</v>
      </c>
    </row>
    <row r="385" spans="1:10" x14ac:dyDescent="0.25">
      <c r="A385" s="23" t="s">
        <v>5299</v>
      </c>
      <c r="B385" s="10" t="s">
        <v>5300</v>
      </c>
      <c r="C385" s="23" t="s">
        <v>3274</v>
      </c>
      <c r="D385" s="28" t="s">
        <v>5301</v>
      </c>
      <c r="E385" s="25">
        <v>106</v>
      </c>
      <c r="F385" s="23" t="str">
        <f>VLOOKUP(B385,'[2]справочник кодов нп'!$A:$D,4,0)</f>
        <v>сельские населенные пункты с численностью населения менее 1 000 человек.</v>
      </c>
      <c r="G385" s="23" t="s">
        <v>1385</v>
      </c>
      <c r="H385" s="10" t="s">
        <v>3274</v>
      </c>
      <c r="I385" s="35" t="s">
        <v>7017</v>
      </c>
      <c r="J385" s="33" t="s">
        <v>1337</v>
      </c>
    </row>
    <row r="386" spans="1:10" x14ac:dyDescent="0.25">
      <c r="A386" s="23" t="s">
        <v>5302</v>
      </c>
      <c r="B386" s="10" t="s">
        <v>5303</v>
      </c>
      <c r="C386" s="23" t="s">
        <v>3274</v>
      </c>
      <c r="D386" s="28" t="s">
        <v>5304</v>
      </c>
      <c r="E386" s="25">
        <v>106</v>
      </c>
      <c r="F386" s="23" t="str">
        <f>VLOOKUP(B386,'[2]справочник кодов нп'!$A:$D,4,0)</f>
        <v>сельские населенные пункты с численностью населения менее 1 000 человек.</v>
      </c>
      <c r="G386" s="23" t="s">
        <v>1385</v>
      </c>
      <c r="H386" s="10" t="s">
        <v>3274</v>
      </c>
      <c r="I386" s="35" t="s">
        <v>7017</v>
      </c>
      <c r="J386" s="33" t="s">
        <v>1337</v>
      </c>
    </row>
    <row r="387" spans="1:10" x14ac:dyDescent="0.25">
      <c r="A387" s="23" t="s">
        <v>5474</v>
      </c>
      <c r="B387" s="10" t="s">
        <v>5475</v>
      </c>
      <c r="C387" s="23" t="s">
        <v>3274</v>
      </c>
      <c r="D387" s="28" t="s">
        <v>5476</v>
      </c>
      <c r="E387" s="25">
        <v>106</v>
      </c>
      <c r="F387" s="23" t="str">
        <f>VLOOKUP(B387,'[2]справочник кодов нп'!$A:$D,4,0)</f>
        <v>сельские населенные пункты с численностью населения менее 1 000 человек.</v>
      </c>
      <c r="G387" s="23" t="s">
        <v>1385</v>
      </c>
      <c r="H387" s="10" t="s">
        <v>3274</v>
      </c>
      <c r="I387" s="35" t="s">
        <v>7017</v>
      </c>
      <c r="J387" s="33" t="s">
        <v>1337</v>
      </c>
    </row>
    <row r="388" spans="1:10" x14ac:dyDescent="0.25">
      <c r="A388" s="23" t="s">
        <v>5488</v>
      </c>
      <c r="B388" s="10" t="s">
        <v>5489</v>
      </c>
      <c r="C388" s="23" t="s">
        <v>3274</v>
      </c>
      <c r="D388" s="28" t="s">
        <v>5490</v>
      </c>
      <c r="E388" s="25">
        <v>106</v>
      </c>
      <c r="F388" s="23" t="str">
        <f>VLOOKUP(B388,'[2]справочник кодов нп'!$A:$D,4,0)</f>
        <v>сельские населенные пункты с численностью населения менее 1 000 человек.</v>
      </c>
      <c r="G388" s="23" t="s">
        <v>1385</v>
      </c>
      <c r="H388" s="10" t="s">
        <v>3274</v>
      </c>
      <c r="I388" s="35" t="s">
        <v>7017</v>
      </c>
      <c r="J388" s="33" t="s">
        <v>1337</v>
      </c>
    </row>
    <row r="389" spans="1:10" x14ac:dyDescent="0.25">
      <c r="A389" s="23" t="s">
        <v>5947</v>
      </c>
      <c r="B389" s="10" t="s">
        <v>5948</v>
      </c>
      <c r="C389" s="23" t="s">
        <v>3274</v>
      </c>
      <c r="D389" s="28" t="s">
        <v>1544</v>
      </c>
      <c r="E389" s="25">
        <v>106</v>
      </c>
      <c r="F389" s="23" t="str">
        <f>VLOOKUP(B389,'[2]справочник кодов нп'!$A:$D,4,0)</f>
        <v>сельские населенные пункты с численностью населения менее 1 000 человек.</v>
      </c>
      <c r="G389" s="23" t="s">
        <v>1385</v>
      </c>
      <c r="H389" s="10" t="s">
        <v>3274</v>
      </c>
      <c r="I389" s="35" t="s">
        <v>7017</v>
      </c>
      <c r="J389" s="33" t="s">
        <v>1337</v>
      </c>
    </row>
    <row r="390" spans="1:10" x14ac:dyDescent="0.25">
      <c r="A390" s="23" t="s">
        <v>5949</v>
      </c>
      <c r="B390" s="10" t="s">
        <v>5950</v>
      </c>
      <c r="C390" s="23" t="s">
        <v>3274</v>
      </c>
      <c r="D390" s="28" t="s">
        <v>5951</v>
      </c>
      <c r="E390" s="25">
        <v>106</v>
      </c>
      <c r="F390" s="23" t="str">
        <f>VLOOKUP(B390,'[2]справочник кодов нп'!$A:$D,4,0)</f>
        <v>сельские населенные пункты с численностью населения менее 1 000 человек.</v>
      </c>
      <c r="G390" s="23" t="s">
        <v>1385</v>
      </c>
      <c r="H390" s="10" t="s">
        <v>3274</v>
      </c>
      <c r="I390" s="35" t="s">
        <v>7017</v>
      </c>
      <c r="J390" s="33" t="s">
        <v>1337</v>
      </c>
    </row>
    <row r="391" spans="1:10" x14ac:dyDescent="0.25">
      <c r="A391" s="23" t="s">
        <v>5952</v>
      </c>
      <c r="B391" s="10" t="s">
        <v>5953</v>
      </c>
      <c r="C391" s="23" t="s">
        <v>3274</v>
      </c>
      <c r="D391" s="28" t="s">
        <v>5954</v>
      </c>
      <c r="E391" s="25">
        <v>106</v>
      </c>
      <c r="F391" s="23" t="str">
        <f>VLOOKUP(B391,'[2]справочник кодов нп'!$A:$D,4,0)</f>
        <v>сельские населенные пункты с численностью населения менее 1 000 человек.</v>
      </c>
      <c r="G391" s="23" t="s">
        <v>1385</v>
      </c>
      <c r="H391" s="10" t="s">
        <v>3274</v>
      </c>
      <c r="I391" s="35" t="s">
        <v>7017</v>
      </c>
      <c r="J391" s="33" t="s">
        <v>1337</v>
      </c>
    </row>
    <row r="392" spans="1:10" x14ac:dyDescent="0.25">
      <c r="A392" s="23" t="s">
        <v>5955</v>
      </c>
      <c r="B392" s="10" t="s">
        <v>5956</v>
      </c>
      <c r="C392" s="23" t="s">
        <v>3274</v>
      </c>
      <c r="D392" s="28" t="s">
        <v>5957</v>
      </c>
      <c r="E392" s="25">
        <v>106</v>
      </c>
      <c r="F392" s="23" t="str">
        <f>VLOOKUP(B392,'[2]справочник кодов нп'!$A:$D,4,0)</f>
        <v>сельские населенные пункты с численностью населения менее 1 000 человек.</v>
      </c>
      <c r="G392" s="23" t="s">
        <v>1385</v>
      </c>
      <c r="H392" s="10" t="s">
        <v>3274</v>
      </c>
      <c r="I392" s="35" t="s">
        <v>7017</v>
      </c>
      <c r="J392" s="33" t="s">
        <v>1337</v>
      </c>
    </row>
    <row r="393" spans="1:10" x14ac:dyDescent="0.25">
      <c r="A393" s="23" t="s">
        <v>5958</v>
      </c>
      <c r="B393" s="10" t="s">
        <v>5959</v>
      </c>
      <c r="C393" s="23" t="s">
        <v>3274</v>
      </c>
      <c r="D393" s="28" t="s">
        <v>5960</v>
      </c>
      <c r="E393" s="25">
        <v>106</v>
      </c>
      <c r="F393" s="23" t="str">
        <f>VLOOKUP(B393,'[2]справочник кодов нп'!$A:$D,4,0)</f>
        <v>сельские населенные пункты с численностью населения менее 1 000 человек.</v>
      </c>
      <c r="G393" s="23" t="s">
        <v>1385</v>
      </c>
      <c r="H393" s="10" t="s">
        <v>3274</v>
      </c>
      <c r="I393" s="35" t="s">
        <v>7017</v>
      </c>
      <c r="J393" s="33" t="s">
        <v>1337</v>
      </c>
    </row>
    <row r="394" spans="1:10" x14ac:dyDescent="0.25">
      <c r="A394" s="23" t="s">
        <v>5964</v>
      </c>
      <c r="B394" s="10" t="s">
        <v>5965</v>
      </c>
      <c r="C394" s="23" t="s">
        <v>3274</v>
      </c>
      <c r="D394" s="28" t="s">
        <v>5966</v>
      </c>
      <c r="E394" s="25">
        <v>106</v>
      </c>
      <c r="F394" s="23" t="str">
        <f>VLOOKUP(B394,'[2]справочник кодов нп'!$A:$D,4,0)</f>
        <v>сельские населенные пункты с численностью населения менее 1 000 человек.</v>
      </c>
      <c r="G394" s="23" t="s">
        <v>1385</v>
      </c>
      <c r="H394" s="10" t="s">
        <v>3274</v>
      </c>
      <c r="I394" s="35" t="s">
        <v>7017</v>
      </c>
      <c r="J394" s="33" t="s">
        <v>1337</v>
      </c>
    </row>
    <row r="395" spans="1:10" x14ac:dyDescent="0.25">
      <c r="A395" s="23" t="s">
        <v>5967</v>
      </c>
      <c r="B395" s="10" t="s">
        <v>5968</v>
      </c>
      <c r="C395" s="23" t="s">
        <v>3274</v>
      </c>
      <c r="D395" s="28" t="s">
        <v>5969</v>
      </c>
      <c r="E395" s="25">
        <v>106</v>
      </c>
      <c r="F395" s="23" t="str">
        <f>VLOOKUP(B395,'[2]справочник кодов нп'!$A:$D,4,0)</f>
        <v>сельские населенные пункты с численностью населения менее 1 000 человек.</v>
      </c>
      <c r="G395" s="23" t="s">
        <v>1385</v>
      </c>
      <c r="H395" s="10" t="s">
        <v>3274</v>
      </c>
      <c r="I395" s="35" t="s">
        <v>7017</v>
      </c>
      <c r="J395" s="33" t="s">
        <v>1337</v>
      </c>
    </row>
    <row r="396" spans="1:10" x14ac:dyDescent="0.25">
      <c r="A396" s="23" t="s">
        <v>5970</v>
      </c>
      <c r="B396" s="10" t="s">
        <v>5971</v>
      </c>
      <c r="C396" s="23" t="s">
        <v>3274</v>
      </c>
      <c r="D396" s="28" t="s">
        <v>5972</v>
      </c>
      <c r="E396" s="25">
        <v>106</v>
      </c>
      <c r="F396" s="23" t="str">
        <f>VLOOKUP(B396,'[2]справочник кодов нп'!$A:$D,4,0)</f>
        <v>сельские населенные пункты с численностью населения менее 1 000 человек.</v>
      </c>
      <c r="G396" s="23" t="s">
        <v>1385</v>
      </c>
      <c r="H396" s="10" t="s">
        <v>3274</v>
      </c>
      <c r="I396" s="35" t="s">
        <v>7017</v>
      </c>
      <c r="J396" s="33" t="s">
        <v>1337</v>
      </c>
    </row>
    <row r="397" spans="1:10" x14ac:dyDescent="0.25">
      <c r="A397" s="23" t="s">
        <v>5976</v>
      </c>
      <c r="B397" s="10" t="s">
        <v>5977</v>
      </c>
      <c r="C397" s="23" t="s">
        <v>3274</v>
      </c>
      <c r="D397" s="28" t="s">
        <v>5978</v>
      </c>
      <c r="E397" s="25">
        <v>106</v>
      </c>
      <c r="F397" s="23" t="str">
        <f>VLOOKUP(B397,'[2]справочник кодов нп'!$A:$D,4,0)</f>
        <v>сельские населенные пункты с численностью населения менее 1 000 человек.</v>
      </c>
      <c r="G397" s="23" t="s">
        <v>1385</v>
      </c>
      <c r="H397" s="10" t="s">
        <v>3274</v>
      </c>
      <c r="I397" s="35" t="s">
        <v>7017</v>
      </c>
      <c r="J397" s="33" t="s">
        <v>1337</v>
      </c>
    </row>
    <row r="398" spans="1:10" x14ac:dyDescent="0.25">
      <c r="A398" s="23" t="s">
        <v>5979</v>
      </c>
      <c r="B398" s="10" t="s">
        <v>5980</v>
      </c>
      <c r="C398" s="23" t="s">
        <v>3274</v>
      </c>
      <c r="D398" s="28" t="s">
        <v>5981</v>
      </c>
      <c r="E398" s="25">
        <v>106</v>
      </c>
      <c r="F398" s="23" t="str">
        <f>VLOOKUP(B398,'[2]справочник кодов нп'!$A:$D,4,0)</f>
        <v>сельские населенные пункты с численностью населения менее 1 000 человек.</v>
      </c>
      <c r="G398" s="23" t="s">
        <v>1385</v>
      </c>
      <c r="H398" s="10" t="s">
        <v>3274</v>
      </c>
      <c r="I398" s="35" t="s">
        <v>7017</v>
      </c>
      <c r="J398" s="33" t="s">
        <v>1337</v>
      </c>
    </row>
    <row r="399" spans="1:10" x14ac:dyDescent="0.25">
      <c r="A399" s="23" t="s">
        <v>5982</v>
      </c>
      <c r="B399" s="10" t="s">
        <v>5983</v>
      </c>
      <c r="C399" s="23" t="s">
        <v>3274</v>
      </c>
      <c r="D399" s="28" t="s">
        <v>5984</v>
      </c>
      <c r="E399" s="25">
        <v>106</v>
      </c>
      <c r="F399" s="23" t="str">
        <f>VLOOKUP(B399,'[2]справочник кодов нп'!$A:$D,4,0)</f>
        <v>сельские населенные пункты с численностью населения менее 1 000 человек.</v>
      </c>
      <c r="G399" s="23" t="s">
        <v>1385</v>
      </c>
      <c r="H399" s="10" t="s">
        <v>3274</v>
      </c>
      <c r="I399" s="35" t="s">
        <v>7017</v>
      </c>
      <c r="J399" s="33" t="s">
        <v>1337</v>
      </c>
    </row>
    <row r="400" spans="1:10" x14ac:dyDescent="0.25">
      <c r="A400" s="23" t="s">
        <v>5985</v>
      </c>
      <c r="B400" s="10" t="s">
        <v>5986</v>
      </c>
      <c r="C400" s="23" t="s">
        <v>3274</v>
      </c>
      <c r="D400" s="28" t="s">
        <v>2167</v>
      </c>
      <c r="E400" s="25">
        <v>106</v>
      </c>
      <c r="F400" s="23" t="str">
        <f>VLOOKUP(B400,'[2]справочник кодов нп'!$A:$D,4,0)</f>
        <v>сельские населенные пункты с численностью населения менее 1 000 человек.</v>
      </c>
      <c r="G400" s="23" t="s">
        <v>1385</v>
      </c>
      <c r="H400" s="10" t="s">
        <v>3274</v>
      </c>
      <c r="I400" s="35" t="s">
        <v>7017</v>
      </c>
      <c r="J400" s="33" t="s">
        <v>1337</v>
      </c>
    </row>
    <row r="401" spans="1:10" x14ac:dyDescent="0.25">
      <c r="A401" s="23" t="s">
        <v>5987</v>
      </c>
      <c r="B401" s="10" t="s">
        <v>5988</v>
      </c>
      <c r="C401" s="23" t="s">
        <v>3274</v>
      </c>
      <c r="D401" s="28" t="s">
        <v>4896</v>
      </c>
      <c r="E401" s="25">
        <v>106</v>
      </c>
      <c r="F401" s="23" t="str">
        <f>VLOOKUP(B401,'[2]справочник кодов нп'!$A:$D,4,0)</f>
        <v>сельские населенные пункты с численностью населения менее 1 000 человек.</v>
      </c>
      <c r="G401" s="23" t="s">
        <v>1385</v>
      </c>
      <c r="H401" s="10" t="s">
        <v>3274</v>
      </c>
      <c r="I401" s="35" t="s">
        <v>7017</v>
      </c>
      <c r="J401" s="33" t="s">
        <v>1337</v>
      </c>
    </row>
    <row r="402" spans="1:10" x14ac:dyDescent="0.25">
      <c r="A402" s="23" t="s">
        <v>5989</v>
      </c>
      <c r="B402" s="10" t="s">
        <v>5990</v>
      </c>
      <c r="C402" s="23" t="s">
        <v>3274</v>
      </c>
      <c r="D402" s="28" t="s">
        <v>5991</v>
      </c>
      <c r="E402" s="25">
        <v>106</v>
      </c>
      <c r="F402" s="23" t="str">
        <f>VLOOKUP(B402,'[2]справочник кодов нп'!$A:$D,4,0)</f>
        <v>сельские населенные пункты с численностью населения менее 1 000 человек.</v>
      </c>
      <c r="G402" s="23" t="s">
        <v>1385</v>
      </c>
      <c r="H402" s="10" t="s">
        <v>3274</v>
      </c>
      <c r="I402" s="35" t="s">
        <v>7017</v>
      </c>
      <c r="J402" s="33" t="s">
        <v>1337</v>
      </c>
    </row>
    <row r="403" spans="1:10" x14ac:dyDescent="0.25">
      <c r="A403" s="23" t="s">
        <v>5992</v>
      </c>
      <c r="B403" s="10" t="s">
        <v>5993</v>
      </c>
      <c r="C403" s="23" t="s">
        <v>3274</v>
      </c>
      <c r="D403" s="28" t="s">
        <v>5994</v>
      </c>
      <c r="E403" s="25">
        <v>106</v>
      </c>
      <c r="F403" s="23" t="str">
        <f>VLOOKUP(B403,'[2]справочник кодов нп'!$A:$D,4,0)</f>
        <v>сельские населенные пункты с численностью населения менее 1 000 человек.</v>
      </c>
      <c r="G403" s="23" t="s">
        <v>1385</v>
      </c>
      <c r="H403" s="10" t="s">
        <v>3274</v>
      </c>
      <c r="I403" s="35" t="s">
        <v>7017</v>
      </c>
      <c r="J403" s="33" t="s">
        <v>1337</v>
      </c>
    </row>
    <row r="404" spans="1:10" x14ac:dyDescent="0.25">
      <c r="A404" s="23" t="s">
        <v>5995</v>
      </c>
      <c r="B404" s="10" t="s">
        <v>5996</v>
      </c>
      <c r="C404" s="23" t="s">
        <v>3274</v>
      </c>
      <c r="D404" s="28" t="s">
        <v>5997</v>
      </c>
      <c r="E404" s="25">
        <v>106</v>
      </c>
      <c r="F404" s="23" t="str">
        <f>VLOOKUP(B404,'[2]справочник кодов нп'!$A:$D,4,0)</f>
        <v>сельские населенные пункты с численностью населения менее 1 000 человек.</v>
      </c>
      <c r="G404" s="23" t="s">
        <v>1385</v>
      </c>
      <c r="H404" s="10" t="s">
        <v>3274</v>
      </c>
      <c r="I404" s="35" t="s">
        <v>7017</v>
      </c>
      <c r="J404" s="33" t="s">
        <v>1337</v>
      </c>
    </row>
    <row r="405" spans="1:10" x14ac:dyDescent="0.25">
      <c r="A405" s="23" t="s">
        <v>5998</v>
      </c>
      <c r="B405" s="10" t="s">
        <v>5999</v>
      </c>
      <c r="C405" s="23" t="s">
        <v>3274</v>
      </c>
      <c r="D405" s="28" t="s">
        <v>6000</v>
      </c>
      <c r="E405" s="25">
        <v>106</v>
      </c>
      <c r="F405" s="23" t="str">
        <f>VLOOKUP(B405,'[2]справочник кодов нп'!$A:$D,4,0)</f>
        <v>сельские населенные пункты с численностью населения менее 1 000 человек.</v>
      </c>
      <c r="G405" s="23" t="s">
        <v>1385</v>
      </c>
      <c r="H405" s="10" t="s">
        <v>3274</v>
      </c>
      <c r="I405" s="35" t="s">
        <v>7017</v>
      </c>
      <c r="J405" s="33" t="s">
        <v>1337</v>
      </c>
    </row>
    <row r="406" spans="1:10" x14ac:dyDescent="0.25">
      <c r="A406" s="23" t="s">
        <v>6001</v>
      </c>
      <c r="B406" s="10" t="s">
        <v>6002</v>
      </c>
      <c r="C406" s="23" t="s">
        <v>3274</v>
      </c>
      <c r="D406" s="28" t="s">
        <v>6003</v>
      </c>
      <c r="E406" s="25">
        <v>106</v>
      </c>
      <c r="F406" s="23" t="str">
        <f>VLOOKUP(B406,'[2]справочник кодов нп'!$A:$D,4,0)</f>
        <v>сельские населенные пункты с численностью населения менее 1 000 человек.</v>
      </c>
      <c r="G406" s="23" t="s">
        <v>1385</v>
      </c>
      <c r="H406" s="10" t="s">
        <v>3274</v>
      </c>
      <c r="I406" s="35" t="s">
        <v>7017</v>
      </c>
      <c r="J406" s="33" t="s">
        <v>1337</v>
      </c>
    </row>
    <row r="407" spans="1:10" x14ac:dyDescent="0.25">
      <c r="A407" s="23" t="s">
        <v>6004</v>
      </c>
      <c r="B407" s="10" t="s">
        <v>6005</v>
      </c>
      <c r="C407" s="23" t="s">
        <v>3274</v>
      </c>
      <c r="D407" s="28" t="s">
        <v>3984</v>
      </c>
      <c r="E407" s="25">
        <v>106</v>
      </c>
      <c r="F407" s="23" t="str">
        <f>VLOOKUP(B407,'[2]справочник кодов нп'!$A:$D,4,0)</f>
        <v>сельские населенные пункты с численностью населения менее 1 000 человек.</v>
      </c>
      <c r="G407" s="23" t="s">
        <v>1385</v>
      </c>
      <c r="H407" s="10" t="s">
        <v>3274</v>
      </c>
      <c r="I407" s="35" t="s">
        <v>7017</v>
      </c>
      <c r="J407" s="33" t="s">
        <v>1337</v>
      </c>
    </row>
    <row r="408" spans="1:10" x14ac:dyDescent="0.25">
      <c r="A408" s="23" t="s">
        <v>6006</v>
      </c>
      <c r="B408" s="10" t="s">
        <v>6007</v>
      </c>
      <c r="C408" s="23" t="s">
        <v>3274</v>
      </c>
      <c r="D408" s="28" t="s">
        <v>3676</v>
      </c>
      <c r="E408" s="25">
        <v>106</v>
      </c>
      <c r="F408" s="23" t="str">
        <f>VLOOKUP(B408,'[2]справочник кодов нп'!$A:$D,4,0)</f>
        <v>сельские населенные пункты с численностью населения менее 1 000 человек.</v>
      </c>
      <c r="G408" s="23" t="s">
        <v>1385</v>
      </c>
      <c r="H408" s="10" t="s">
        <v>3274</v>
      </c>
      <c r="I408" s="35" t="s">
        <v>7017</v>
      </c>
      <c r="J408" s="33" t="s">
        <v>1337</v>
      </c>
    </row>
    <row r="409" spans="1:10" x14ac:dyDescent="0.25">
      <c r="A409" s="23" t="s">
        <v>6008</v>
      </c>
      <c r="B409" s="10" t="s">
        <v>6009</v>
      </c>
      <c r="C409" s="23" t="s">
        <v>3274</v>
      </c>
      <c r="D409" s="28" t="s">
        <v>6010</v>
      </c>
      <c r="E409" s="25">
        <v>106</v>
      </c>
      <c r="F409" s="23" t="str">
        <f>VLOOKUP(B409,'[2]справочник кодов нп'!$A:$D,4,0)</f>
        <v>сельские населенные пункты с численностью населения менее 1 000 человек.</v>
      </c>
      <c r="G409" s="23" t="s">
        <v>1385</v>
      </c>
      <c r="H409" s="10" t="s">
        <v>3274</v>
      </c>
      <c r="I409" s="35" t="s">
        <v>7017</v>
      </c>
      <c r="J409" s="33" t="s">
        <v>1337</v>
      </c>
    </row>
    <row r="410" spans="1:10" x14ac:dyDescent="0.25">
      <c r="A410" s="23" t="s">
        <v>6011</v>
      </c>
      <c r="B410" s="10" t="s">
        <v>6012</v>
      </c>
      <c r="C410" s="23" t="s">
        <v>3274</v>
      </c>
      <c r="D410" s="28" t="s">
        <v>6013</v>
      </c>
      <c r="E410" s="25">
        <v>106</v>
      </c>
      <c r="F410" s="23" t="str">
        <f>VLOOKUP(B410,'[2]справочник кодов нп'!$A:$D,4,0)</f>
        <v>сельские населенные пункты с численностью населения менее 1 000 человек.</v>
      </c>
      <c r="G410" s="23" t="s">
        <v>1385</v>
      </c>
      <c r="H410" s="10" t="s">
        <v>3274</v>
      </c>
      <c r="I410" s="35" t="s">
        <v>7017</v>
      </c>
      <c r="J410" s="33" t="s">
        <v>1337</v>
      </c>
    </row>
    <row r="411" spans="1:10" x14ac:dyDescent="0.25">
      <c r="A411" s="23" t="s">
        <v>6466</v>
      </c>
      <c r="B411" s="10" t="s">
        <v>6467</v>
      </c>
      <c r="C411" s="23" t="s">
        <v>3274</v>
      </c>
      <c r="D411" s="28" t="s">
        <v>6468</v>
      </c>
      <c r="E411" s="25">
        <v>106</v>
      </c>
      <c r="F411" s="23" t="str">
        <f>VLOOKUP(B411,'[2]справочник кодов нп'!$A:$D,4,0)</f>
        <v>сельские населенные пункты с численностью населения менее 1 000 человек.</v>
      </c>
      <c r="G411" s="23" t="s">
        <v>1385</v>
      </c>
      <c r="H411" s="10" t="s">
        <v>3274</v>
      </c>
      <c r="I411" s="35" t="s">
        <v>7017</v>
      </c>
      <c r="J411" s="33" t="s">
        <v>1337</v>
      </c>
    </row>
    <row r="412" spans="1:10" x14ac:dyDescent="0.25">
      <c r="A412" s="23" t="s">
        <v>6469</v>
      </c>
      <c r="B412" s="10" t="s">
        <v>6470</v>
      </c>
      <c r="C412" s="23" t="s">
        <v>3274</v>
      </c>
      <c r="D412" s="28" t="s">
        <v>6471</v>
      </c>
      <c r="E412" s="25">
        <v>106</v>
      </c>
      <c r="F412" s="23" t="str">
        <f>VLOOKUP(B412,'[2]справочник кодов нп'!$A:$D,4,0)</f>
        <v>сельские населенные пункты с численностью населения менее 1 000 человек.</v>
      </c>
      <c r="G412" s="23" t="s">
        <v>1385</v>
      </c>
      <c r="H412" s="10" t="s">
        <v>3274</v>
      </c>
      <c r="I412" s="35" t="s">
        <v>7017</v>
      </c>
      <c r="J412" s="33" t="s">
        <v>1337</v>
      </c>
    </row>
    <row r="413" spans="1:10" x14ac:dyDescent="0.25">
      <c r="A413" s="23" t="s">
        <v>6525</v>
      </c>
      <c r="B413" s="10" t="s">
        <v>6526</v>
      </c>
      <c r="C413" s="23" t="s">
        <v>3274</v>
      </c>
      <c r="D413" s="28" t="s">
        <v>6527</v>
      </c>
      <c r="E413" s="25">
        <v>106</v>
      </c>
      <c r="F413" s="23" t="str">
        <f>VLOOKUP(B413,'[2]справочник кодов нп'!$A:$D,4,0)</f>
        <v>сельские населенные пункты с численностью населения менее 1 000 человек.</v>
      </c>
      <c r="G413" s="23" t="s">
        <v>1385</v>
      </c>
      <c r="H413" s="10" t="s">
        <v>3274</v>
      </c>
      <c r="I413" s="35" t="s">
        <v>7017</v>
      </c>
      <c r="J413" s="33" t="s">
        <v>1337</v>
      </c>
    </row>
    <row r="414" spans="1:10" x14ac:dyDescent="0.25">
      <c r="A414" s="23" t="s">
        <v>6528</v>
      </c>
      <c r="B414" s="10" t="s">
        <v>6529</v>
      </c>
      <c r="C414" s="23" t="s">
        <v>3274</v>
      </c>
      <c r="D414" s="28" t="s">
        <v>6530</v>
      </c>
      <c r="E414" s="25">
        <v>106</v>
      </c>
      <c r="F414" s="23" t="str">
        <f>VLOOKUP(B414,'[2]справочник кодов нп'!$A:$D,4,0)</f>
        <v>сельские населенные пункты с численностью населения менее 1 000 человек.</v>
      </c>
      <c r="G414" s="23" t="s">
        <v>1385</v>
      </c>
      <c r="H414" s="10" t="s">
        <v>3274</v>
      </c>
      <c r="I414" s="35" t="s">
        <v>7017</v>
      </c>
      <c r="J414" s="33" t="s">
        <v>1337</v>
      </c>
    </row>
    <row r="415" spans="1:10" x14ac:dyDescent="0.25">
      <c r="A415" s="23" t="s">
        <v>6531</v>
      </c>
      <c r="B415" s="10" t="s">
        <v>6532</v>
      </c>
      <c r="C415" s="23" t="s">
        <v>3274</v>
      </c>
      <c r="D415" s="28" t="s">
        <v>6533</v>
      </c>
      <c r="E415" s="25">
        <v>106</v>
      </c>
      <c r="F415" s="23" t="str">
        <f>VLOOKUP(B415,'[2]справочник кодов нп'!$A:$D,4,0)</f>
        <v>сельские населенные пункты с численностью населения менее 1 000 человек.</v>
      </c>
      <c r="G415" s="23" t="s">
        <v>1385</v>
      </c>
      <c r="H415" s="10" t="s">
        <v>3274</v>
      </c>
      <c r="I415" s="35" t="s">
        <v>7017</v>
      </c>
      <c r="J415" s="33" t="s">
        <v>1337</v>
      </c>
    </row>
    <row r="416" spans="1:10" x14ac:dyDescent="0.25">
      <c r="A416" s="23" t="s">
        <v>6534</v>
      </c>
      <c r="B416" s="10" t="s">
        <v>6535</v>
      </c>
      <c r="C416" s="23" t="s">
        <v>3274</v>
      </c>
      <c r="D416" s="28" t="s">
        <v>6536</v>
      </c>
      <c r="E416" s="25">
        <v>106</v>
      </c>
      <c r="F416" s="23" t="str">
        <f>VLOOKUP(B416,'[2]справочник кодов нп'!$A:$D,4,0)</f>
        <v>сельские населенные пункты с численностью населения менее 1 000 человек.</v>
      </c>
      <c r="G416" s="23" t="s">
        <v>1385</v>
      </c>
      <c r="H416" s="10" t="s">
        <v>3274</v>
      </c>
      <c r="I416" s="35" t="s">
        <v>7017</v>
      </c>
      <c r="J416" s="33" t="s">
        <v>1337</v>
      </c>
    </row>
    <row r="417" spans="1:10" x14ac:dyDescent="0.25">
      <c r="A417" s="23" t="s">
        <v>6805</v>
      </c>
      <c r="B417" s="10" t="s">
        <v>6806</v>
      </c>
      <c r="C417" s="23" t="s">
        <v>3274</v>
      </c>
      <c r="D417" s="28" t="s">
        <v>6807</v>
      </c>
      <c r="E417" s="25">
        <v>106</v>
      </c>
      <c r="F417" s="23" t="str">
        <f>VLOOKUP(B417,'[2]справочник кодов нп'!$A:$D,4,0)</f>
        <v>городские населенные пункты с численностью населения менее 50 000 человек;</v>
      </c>
      <c r="G417" s="23" t="s">
        <v>1385</v>
      </c>
      <c r="H417" s="10" t="s">
        <v>3274</v>
      </c>
      <c r="I417" s="35" t="s">
        <v>7017</v>
      </c>
      <c r="J417" s="33" t="s">
        <v>1337</v>
      </c>
    </row>
    <row r="418" spans="1:10" x14ac:dyDescent="0.25">
      <c r="A418" s="23" t="s">
        <v>6869</v>
      </c>
      <c r="B418" s="10" t="s">
        <v>6870</v>
      </c>
      <c r="C418" s="23" t="s">
        <v>3274</v>
      </c>
      <c r="D418" s="28" t="s">
        <v>6846</v>
      </c>
      <c r="E418" s="25">
        <v>106</v>
      </c>
      <c r="F418" s="23" t="str">
        <f>VLOOKUP(B418,'[2]справочник кодов нп'!$A:$D,4,0)</f>
        <v>межселенная территория</v>
      </c>
      <c r="G418" s="23" t="s">
        <v>1385</v>
      </c>
      <c r="H418" s="10" t="s">
        <v>3274</v>
      </c>
      <c r="I418" s="35" t="s">
        <v>7019</v>
      </c>
      <c r="J418" s="33" t="s">
        <v>1337</v>
      </c>
    </row>
    <row r="419" spans="1:10" x14ac:dyDescent="0.25">
      <c r="A419" s="23" t="s">
        <v>3285</v>
      </c>
      <c r="B419" s="10" t="s">
        <v>3286</v>
      </c>
      <c r="C419" s="23" t="s">
        <v>3287</v>
      </c>
      <c r="D419" s="28" t="s">
        <v>3288</v>
      </c>
      <c r="E419" s="25">
        <v>105</v>
      </c>
      <c r="F419" s="23" t="str">
        <f>VLOOKUP(B419,'[2]справочник кодов нп'!$A:$D,4,0)</f>
        <v>сельские населенные пункты с численностью населения менее 1 000 человек.</v>
      </c>
      <c r="G419" s="27" t="s">
        <v>1448</v>
      </c>
      <c r="H419" s="10" t="s">
        <v>3287</v>
      </c>
      <c r="I419" s="35" t="s">
        <v>7017</v>
      </c>
      <c r="J419" s="33" t="s">
        <v>1337</v>
      </c>
    </row>
    <row r="420" spans="1:10" x14ac:dyDescent="0.25">
      <c r="A420" s="23" t="s">
        <v>3289</v>
      </c>
      <c r="B420" s="10" t="s">
        <v>3290</v>
      </c>
      <c r="C420" s="23" t="s">
        <v>3287</v>
      </c>
      <c r="D420" s="28" t="s">
        <v>3291</v>
      </c>
      <c r="E420" s="25">
        <v>105</v>
      </c>
      <c r="F420" s="23" t="str">
        <f>VLOOKUP(B420,'[2]справочник кодов нп'!$A:$D,4,0)</f>
        <v>сельские населенные пункты с численностью населения менее 1 000 человек.</v>
      </c>
      <c r="G420" s="27" t="s">
        <v>1448</v>
      </c>
      <c r="H420" s="10" t="s">
        <v>3287</v>
      </c>
      <c r="I420" s="35" t="s">
        <v>7017</v>
      </c>
      <c r="J420" s="33" t="s">
        <v>1337</v>
      </c>
    </row>
    <row r="421" spans="1:10" x14ac:dyDescent="0.25">
      <c r="A421" s="23" t="s">
        <v>3292</v>
      </c>
      <c r="B421" s="10" t="s">
        <v>3293</v>
      </c>
      <c r="C421" s="23" t="s">
        <v>3287</v>
      </c>
      <c r="D421" s="28" t="s">
        <v>3294</v>
      </c>
      <c r="E421" s="25">
        <v>105</v>
      </c>
      <c r="F421" s="23" t="str">
        <f>VLOOKUP(B421,'[2]справочник кодов нп'!$A:$D,4,0)</f>
        <v>сельские населенные пункты с численностью населения менее 1 000 человек.</v>
      </c>
      <c r="G421" s="27" t="s">
        <v>1448</v>
      </c>
      <c r="H421" s="10" t="s">
        <v>3287</v>
      </c>
      <c r="I421" s="35" t="s">
        <v>7017</v>
      </c>
      <c r="J421" s="33" t="s">
        <v>1337</v>
      </c>
    </row>
    <row r="422" spans="1:10" x14ac:dyDescent="0.25">
      <c r="A422" s="23" t="s">
        <v>3301</v>
      </c>
      <c r="B422" s="10" t="s">
        <v>3302</v>
      </c>
      <c r="C422" s="23" t="s">
        <v>3287</v>
      </c>
      <c r="D422" s="28" t="s">
        <v>3303</v>
      </c>
      <c r="E422" s="25">
        <v>105</v>
      </c>
      <c r="F422" s="23" t="str">
        <f>VLOOKUP(B422,'[2]справочник кодов нп'!$A:$D,4,0)</f>
        <v>сельские населенные пункты с численностью населения менее 1 000 человек.</v>
      </c>
      <c r="G422" s="27" t="s">
        <v>1448</v>
      </c>
      <c r="H422" s="10" t="s">
        <v>3287</v>
      </c>
      <c r="I422" s="35" t="s">
        <v>7017</v>
      </c>
      <c r="J422" s="33" t="s">
        <v>1337</v>
      </c>
    </row>
    <row r="423" spans="1:10" x14ac:dyDescent="0.25">
      <c r="A423" s="23" t="s">
        <v>3313</v>
      </c>
      <c r="B423" s="10" t="s">
        <v>3314</v>
      </c>
      <c r="C423" s="23" t="s">
        <v>3287</v>
      </c>
      <c r="D423" s="28" t="s">
        <v>3315</v>
      </c>
      <c r="E423" s="25">
        <v>105</v>
      </c>
      <c r="F423" s="23" t="str">
        <f>VLOOKUP(B423,'[2]справочник кодов нп'!$A:$D,4,0)</f>
        <v>сельские населенные пункты с численностью населения менее 1 000 человек.</v>
      </c>
      <c r="G423" s="27" t="s">
        <v>1448</v>
      </c>
      <c r="H423" s="10" t="s">
        <v>3287</v>
      </c>
      <c r="I423" s="35" t="s">
        <v>7017</v>
      </c>
      <c r="J423" s="33" t="s">
        <v>1337</v>
      </c>
    </row>
    <row r="424" spans="1:10" x14ac:dyDescent="0.25">
      <c r="A424" s="23" t="s">
        <v>5065</v>
      </c>
      <c r="B424" s="10" t="s">
        <v>5066</v>
      </c>
      <c r="C424" s="23" t="s">
        <v>3287</v>
      </c>
      <c r="D424" s="28" t="s">
        <v>5067</v>
      </c>
      <c r="E424" s="25">
        <v>105</v>
      </c>
      <c r="F424" s="23" t="str">
        <f>VLOOKUP(B424,'[2]справочник кодов нп'!$A:$D,4,0)</f>
        <v>сельские населенные пункты с численностью населения менее 1 000 человек.</v>
      </c>
      <c r="G424" s="27" t="s">
        <v>1448</v>
      </c>
      <c r="H424" s="10" t="s">
        <v>3287</v>
      </c>
      <c r="I424" s="35" t="s">
        <v>7017</v>
      </c>
      <c r="J424" s="33" t="s">
        <v>1337</v>
      </c>
    </row>
    <row r="425" spans="1:10" x14ac:dyDescent="0.25">
      <c r="A425" s="23" t="s">
        <v>5068</v>
      </c>
      <c r="B425" s="10" t="s">
        <v>5069</v>
      </c>
      <c r="C425" s="23" t="s">
        <v>3287</v>
      </c>
      <c r="D425" s="28" t="s">
        <v>5070</v>
      </c>
      <c r="E425" s="25">
        <v>105</v>
      </c>
      <c r="F425" s="23" t="str">
        <f>VLOOKUP(B425,'[2]справочник кодов нп'!$A:$D,4,0)</f>
        <v>сельские населенные пункты с численностью населения менее 1 000 человек.</v>
      </c>
      <c r="G425" s="27" t="s">
        <v>1448</v>
      </c>
      <c r="H425" s="10" t="s">
        <v>3287</v>
      </c>
      <c r="I425" s="35" t="s">
        <v>7017</v>
      </c>
      <c r="J425" s="33" t="s">
        <v>1337</v>
      </c>
    </row>
    <row r="426" spans="1:10" x14ac:dyDescent="0.25">
      <c r="A426" s="23" t="s">
        <v>5257</v>
      </c>
      <c r="B426" s="10" t="s">
        <v>5258</v>
      </c>
      <c r="C426" s="23" t="s">
        <v>3287</v>
      </c>
      <c r="D426" s="28" t="s">
        <v>2339</v>
      </c>
      <c r="E426" s="25">
        <v>105</v>
      </c>
      <c r="F426" s="23" t="str">
        <f>VLOOKUP(B426,'[2]справочник кодов нп'!$A:$D,4,0)</f>
        <v>сельские населенные пункты с численностью населения менее 1 000 человек.</v>
      </c>
      <c r="G426" s="27" t="s">
        <v>1448</v>
      </c>
      <c r="H426" s="10" t="s">
        <v>3287</v>
      </c>
      <c r="I426" s="35" t="s">
        <v>7017</v>
      </c>
      <c r="J426" s="33" t="s">
        <v>1337</v>
      </c>
    </row>
    <row r="427" spans="1:10" x14ac:dyDescent="0.25">
      <c r="A427" s="23" t="s">
        <v>5272</v>
      </c>
      <c r="B427" s="10" t="s">
        <v>5273</v>
      </c>
      <c r="C427" s="23" t="s">
        <v>3287</v>
      </c>
      <c r="D427" s="28" t="s">
        <v>5274</v>
      </c>
      <c r="E427" s="25">
        <v>105</v>
      </c>
      <c r="F427" s="23" t="str">
        <f>VLOOKUP(B427,'[2]справочник кодов нп'!$A:$D,4,0)</f>
        <v>сельские населенные пункты с численностью населения менее 1 000 человек.</v>
      </c>
      <c r="G427" s="27" t="s">
        <v>1448</v>
      </c>
      <c r="H427" s="10" t="s">
        <v>3287</v>
      </c>
      <c r="I427" s="35" t="s">
        <v>7017</v>
      </c>
      <c r="J427" s="33" t="s">
        <v>1337</v>
      </c>
    </row>
    <row r="428" spans="1:10" x14ac:dyDescent="0.25">
      <c r="A428" s="23" t="s">
        <v>5275</v>
      </c>
      <c r="B428" s="10" t="s">
        <v>5276</v>
      </c>
      <c r="C428" s="23" t="s">
        <v>3287</v>
      </c>
      <c r="D428" s="28" t="s">
        <v>5277</v>
      </c>
      <c r="E428" s="25">
        <v>105</v>
      </c>
      <c r="F428" s="23" t="str">
        <f>VLOOKUP(B428,'[2]справочник кодов нп'!$A:$D,4,0)</f>
        <v>сельские населенные пункты с численностью населения менее 1 000 человек.</v>
      </c>
      <c r="G428" s="27" t="s">
        <v>1448</v>
      </c>
      <c r="H428" s="10" t="s">
        <v>3287</v>
      </c>
      <c r="I428" s="35" t="s">
        <v>7017</v>
      </c>
      <c r="J428" s="33" t="s">
        <v>1337</v>
      </c>
    </row>
    <row r="429" spans="1:10" x14ac:dyDescent="0.25">
      <c r="A429" s="23" t="s">
        <v>5278</v>
      </c>
      <c r="B429" s="10" t="s">
        <v>5279</v>
      </c>
      <c r="C429" s="23" t="s">
        <v>3287</v>
      </c>
      <c r="D429" s="28" t="s">
        <v>5280</v>
      </c>
      <c r="E429" s="25">
        <v>105</v>
      </c>
      <c r="F429" s="23" t="str">
        <f>VLOOKUP(B429,'[2]справочник кодов нп'!$A:$D,4,0)</f>
        <v>сельские населенные пункты с численностью населения менее 1 000 человек.</v>
      </c>
      <c r="G429" s="27" t="s">
        <v>1448</v>
      </c>
      <c r="H429" s="10" t="s">
        <v>3287</v>
      </c>
      <c r="I429" s="35" t="s">
        <v>7017</v>
      </c>
      <c r="J429" s="33" t="s">
        <v>1337</v>
      </c>
    </row>
    <row r="430" spans="1:10" x14ac:dyDescent="0.25">
      <c r="A430" s="23" t="s">
        <v>5281</v>
      </c>
      <c r="B430" s="10" t="s">
        <v>5282</v>
      </c>
      <c r="C430" s="23" t="s">
        <v>3287</v>
      </c>
      <c r="D430" s="28" t="s">
        <v>5283</v>
      </c>
      <c r="E430" s="25">
        <v>105</v>
      </c>
      <c r="F430" s="23" t="str">
        <f>VLOOKUP(B430,'[2]справочник кодов нп'!$A:$D,4,0)</f>
        <v>сельские населенные пункты с численностью населения менее 1 000 человек.</v>
      </c>
      <c r="G430" s="27" t="s">
        <v>1448</v>
      </c>
      <c r="H430" s="10" t="s">
        <v>3287</v>
      </c>
      <c r="I430" s="35" t="s">
        <v>7017</v>
      </c>
      <c r="J430" s="33" t="s">
        <v>1337</v>
      </c>
    </row>
    <row r="431" spans="1:10" x14ac:dyDescent="0.25">
      <c r="A431" s="23" t="s">
        <v>5284</v>
      </c>
      <c r="B431" s="10" t="s">
        <v>5285</v>
      </c>
      <c r="C431" s="23" t="s">
        <v>3287</v>
      </c>
      <c r="D431" s="28" t="s">
        <v>5286</v>
      </c>
      <c r="E431" s="25">
        <v>105</v>
      </c>
      <c r="F431" s="23" t="str">
        <f>VLOOKUP(B431,'[2]справочник кодов нп'!$A:$D,4,0)</f>
        <v>сельские населенные пункты с численностью населения менее 1 000 человек.</v>
      </c>
      <c r="G431" s="27" t="s">
        <v>1448</v>
      </c>
      <c r="H431" s="10" t="s">
        <v>3287</v>
      </c>
      <c r="I431" s="35" t="s">
        <v>7017</v>
      </c>
      <c r="J431" s="33" t="s">
        <v>1337</v>
      </c>
    </row>
    <row r="432" spans="1:10" x14ac:dyDescent="0.25">
      <c r="A432" s="23" t="s">
        <v>5287</v>
      </c>
      <c r="B432" s="10" t="s">
        <v>5288</v>
      </c>
      <c r="C432" s="23" t="s">
        <v>3287</v>
      </c>
      <c r="D432" s="28" t="s">
        <v>5289</v>
      </c>
      <c r="E432" s="25">
        <v>105</v>
      </c>
      <c r="F432" s="23" t="str">
        <f>VLOOKUP(B432,'[2]справочник кодов нп'!$A:$D,4,0)</f>
        <v>сельские населенные пункты с численностью населения менее 1 000 человек.</v>
      </c>
      <c r="G432" s="27" t="s">
        <v>1448</v>
      </c>
      <c r="H432" s="10" t="s">
        <v>3287</v>
      </c>
      <c r="I432" s="35" t="s">
        <v>7017</v>
      </c>
      <c r="J432" s="33" t="s">
        <v>1337</v>
      </c>
    </row>
    <row r="433" spans="1:10" x14ac:dyDescent="0.25">
      <c r="A433" s="23" t="s">
        <v>5547</v>
      </c>
      <c r="B433" s="10" t="s">
        <v>5548</v>
      </c>
      <c r="C433" s="23" t="s">
        <v>3287</v>
      </c>
      <c r="D433" s="28" t="s">
        <v>5549</v>
      </c>
      <c r="E433" s="25">
        <v>105</v>
      </c>
      <c r="F433" s="23" t="str">
        <f>VLOOKUP(B433,'[2]справочник кодов нп'!$A:$D,4,0)</f>
        <v>сельские населенные пункты с численностью населения менее 1 000 человек.</v>
      </c>
      <c r="G433" s="27" t="s">
        <v>1448</v>
      </c>
      <c r="H433" s="10" t="s">
        <v>3287</v>
      </c>
      <c r="I433" s="35" t="s">
        <v>7017</v>
      </c>
      <c r="J433" s="33" t="s">
        <v>1337</v>
      </c>
    </row>
    <row r="434" spans="1:10" x14ac:dyDescent="0.25">
      <c r="A434" s="23" t="s">
        <v>5961</v>
      </c>
      <c r="B434" s="10" t="s">
        <v>5962</v>
      </c>
      <c r="C434" s="23" t="s">
        <v>3287</v>
      </c>
      <c r="D434" s="28" t="s">
        <v>5963</v>
      </c>
      <c r="E434" s="25">
        <v>105</v>
      </c>
      <c r="F434" s="23" t="str">
        <f>VLOOKUP(B434,'[2]справочник кодов нп'!$A:$D,4,0)</f>
        <v>сельские населенные пункты с численностью населения менее 1 000 человек.</v>
      </c>
      <c r="G434" s="27" t="s">
        <v>1448</v>
      </c>
      <c r="H434" s="10" t="s">
        <v>3287</v>
      </c>
      <c r="I434" s="35" t="s">
        <v>7017</v>
      </c>
      <c r="J434" s="33" t="s">
        <v>1337</v>
      </c>
    </row>
    <row r="435" spans="1:10" x14ac:dyDescent="0.25">
      <c r="A435" s="23" t="s">
        <v>5973</v>
      </c>
      <c r="B435" s="10" t="s">
        <v>5974</v>
      </c>
      <c r="C435" s="23" t="s">
        <v>3287</v>
      </c>
      <c r="D435" s="28" t="s">
        <v>5975</v>
      </c>
      <c r="E435" s="25">
        <v>105</v>
      </c>
      <c r="F435" s="23" t="str">
        <f>VLOOKUP(B435,'[2]справочник кодов нп'!$A:$D,4,0)</f>
        <v>сельские населенные пункты с численностью населения менее 1 000 человек.</v>
      </c>
      <c r="G435" s="27" t="s">
        <v>1448</v>
      </c>
      <c r="H435" s="10" t="s">
        <v>3287</v>
      </c>
      <c r="I435" s="35" t="s">
        <v>7017</v>
      </c>
      <c r="J435" s="33" t="s">
        <v>1337</v>
      </c>
    </row>
    <row r="436" spans="1:10" x14ac:dyDescent="0.25">
      <c r="A436" s="23" t="s">
        <v>6014</v>
      </c>
      <c r="B436" s="10" t="s">
        <v>6015</v>
      </c>
      <c r="C436" s="23" t="s">
        <v>3287</v>
      </c>
      <c r="D436" s="28" t="s">
        <v>6016</v>
      </c>
      <c r="E436" s="25">
        <v>105</v>
      </c>
      <c r="F436" s="23" t="str">
        <f>VLOOKUP(B436,'[2]справочник кодов нп'!$A:$D,4,0)</f>
        <v>сельские населенные пункты с численностью населения менее 1 000 человек.</v>
      </c>
      <c r="G436" s="27" t="s">
        <v>1448</v>
      </c>
      <c r="H436" s="10" t="s">
        <v>3287</v>
      </c>
      <c r="I436" s="35" t="s">
        <v>7017</v>
      </c>
      <c r="J436" s="33" t="s">
        <v>1337</v>
      </c>
    </row>
    <row r="437" spans="1:10" x14ac:dyDescent="0.25">
      <c r="A437" s="23" t="s">
        <v>6472</v>
      </c>
      <c r="B437" s="10" t="s">
        <v>6473</v>
      </c>
      <c r="C437" s="23" t="s">
        <v>3287</v>
      </c>
      <c r="D437" s="28" t="s">
        <v>6474</v>
      </c>
      <c r="E437" s="25">
        <v>105</v>
      </c>
      <c r="F437" s="23" t="str">
        <f>VLOOKUP(B437,'[2]справочник кодов нп'!$A:$D,4,0)</f>
        <v>сельские населенные пункты с численностью населения менее 1 000 человек.</v>
      </c>
      <c r="G437" s="27" t="s">
        <v>1448</v>
      </c>
      <c r="H437" s="10" t="s">
        <v>3287</v>
      </c>
      <c r="I437" s="35" t="s">
        <v>7017</v>
      </c>
      <c r="J437" s="33" t="s">
        <v>1337</v>
      </c>
    </row>
    <row r="438" spans="1:10" x14ac:dyDescent="0.25">
      <c r="A438" s="23" t="s">
        <v>6537</v>
      </c>
      <c r="B438" s="10" t="s">
        <v>6538</v>
      </c>
      <c r="C438" s="23" t="s">
        <v>3287</v>
      </c>
      <c r="D438" s="28" t="s">
        <v>6539</v>
      </c>
      <c r="E438" s="25">
        <v>102</v>
      </c>
      <c r="F438" s="23" t="s">
        <v>1497</v>
      </c>
      <c r="G438" s="23" t="s">
        <v>6540</v>
      </c>
      <c r="H438" s="10" t="s">
        <v>1497</v>
      </c>
      <c r="I438" s="35" t="s">
        <v>7017</v>
      </c>
      <c r="J438" s="45" t="s">
        <v>1341</v>
      </c>
    </row>
    <row r="439" spans="1:10" x14ac:dyDescent="0.25">
      <c r="A439" s="23" t="s">
        <v>6541</v>
      </c>
      <c r="B439" s="10" t="s">
        <v>6542</v>
      </c>
      <c r="C439" s="23" t="s">
        <v>3287</v>
      </c>
      <c r="D439" s="28" t="s">
        <v>6543</v>
      </c>
      <c r="E439" s="25">
        <v>105</v>
      </c>
      <c r="F439" s="23" t="str">
        <f>VLOOKUP(B439,'[2]справочник кодов нп'!$A:$D,4,0)</f>
        <v>сельские населенные пункты с численностью населения менее 1 000 человек.</v>
      </c>
      <c r="G439" s="27" t="s">
        <v>1448</v>
      </c>
      <c r="H439" s="10" t="s">
        <v>3287</v>
      </c>
      <c r="I439" s="35" t="s">
        <v>7017</v>
      </c>
      <c r="J439" s="33" t="s">
        <v>1337</v>
      </c>
    </row>
    <row r="440" spans="1:10" x14ac:dyDescent="0.25">
      <c r="A440" s="23" t="s">
        <v>6544</v>
      </c>
      <c r="B440" s="10" t="s">
        <v>6545</v>
      </c>
      <c r="C440" s="23" t="s">
        <v>3287</v>
      </c>
      <c r="D440" s="28" t="s">
        <v>6546</v>
      </c>
      <c r="E440" s="25">
        <v>105</v>
      </c>
      <c r="F440" s="23" t="str">
        <f>VLOOKUP(B440,'[2]справочник кодов нп'!$A:$D,4,0)</f>
        <v>сельские населенные пункты с численностью населения менее 1 000 человек.</v>
      </c>
      <c r="G440" s="27" t="s">
        <v>1448</v>
      </c>
      <c r="H440" s="10" t="s">
        <v>3287</v>
      </c>
      <c r="I440" s="35" t="s">
        <v>7017</v>
      </c>
      <c r="J440" s="33" t="s">
        <v>1337</v>
      </c>
    </row>
    <row r="441" spans="1:10" x14ac:dyDescent="0.25">
      <c r="A441" s="23" t="s">
        <v>6871</v>
      </c>
      <c r="B441" s="10" t="s">
        <v>6872</v>
      </c>
      <c r="C441" s="23" t="s">
        <v>3287</v>
      </c>
      <c r="D441" s="28" t="s">
        <v>6846</v>
      </c>
      <c r="E441" s="25">
        <v>105</v>
      </c>
      <c r="F441" s="23" t="str">
        <f>VLOOKUP(B441,'[2]справочник кодов нп'!$A:$D,4,0)</f>
        <v>межселенная территория</v>
      </c>
      <c r="G441" s="27" t="s">
        <v>1448</v>
      </c>
      <c r="H441" s="10" t="s">
        <v>3287</v>
      </c>
      <c r="I441" s="35" t="s">
        <v>7019</v>
      </c>
      <c r="J441" s="33" t="s">
        <v>1337</v>
      </c>
    </row>
    <row r="442" spans="1:10" x14ac:dyDescent="0.25">
      <c r="A442" s="23" t="s">
        <v>4642</v>
      </c>
      <c r="B442" s="10" t="s">
        <v>4643</v>
      </c>
      <c r="C442" s="23" t="s">
        <v>4644</v>
      </c>
      <c r="D442" s="28" t="s">
        <v>4645</v>
      </c>
      <c r="E442" s="25">
        <v>106</v>
      </c>
      <c r="F442" s="23" t="str">
        <f>VLOOKUP(B442,'[2]справочник кодов нп'!$A:$D,4,0)</f>
        <v>сельские населенные пункты с численностью населения менее 1 000 человек.</v>
      </c>
      <c r="G442" s="23" t="s">
        <v>1385</v>
      </c>
      <c r="H442" s="10" t="s">
        <v>4644</v>
      </c>
      <c r="I442" s="35" t="s">
        <v>7017</v>
      </c>
      <c r="J442" s="33" t="s">
        <v>1337</v>
      </c>
    </row>
    <row r="443" spans="1:10" x14ac:dyDescent="0.25">
      <c r="A443" s="23" t="s">
        <v>4646</v>
      </c>
      <c r="B443" s="10" t="s">
        <v>4647</v>
      </c>
      <c r="C443" s="23" t="s">
        <v>4644</v>
      </c>
      <c r="D443" s="28" t="s">
        <v>4648</v>
      </c>
      <c r="E443" s="25">
        <v>106</v>
      </c>
      <c r="F443" s="23" t="str">
        <f>VLOOKUP(B443,'[2]справочник кодов нп'!$A:$D,4,0)</f>
        <v>сельские населенные пункты с численностью населения более 1 000 человек;</v>
      </c>
      <c r="G443" s="23" t="s">
        <v>1385</v>
      </c>
      <c r="H443" s="10" t="s">
        <v>4644</v>
      </c>
      <c r="I443" s="35" t="s">
        <v>7017</v>
      </c>
      <c r="J443" s="33" t="s">
        <v>1337</v>
      </c>
    </row>
    <row r="444" spans="1:10" x14ac:dyDescent="0.25">
      <c r="A444" s="23" t="s">
        <v>4914</v>
      </c>
      <c r="B444" s="10" t="s">
        <v>4915</v>
      </c>
      <c r="C444" s="23" t="s">
        <v>4644</v>
      </c>
      <c r="D444" s="28" t="s">
        <v>4916</v>
      </c>
      <c r="E444" s="25">
        <v>106</v>
      </c>
      <c r="F444" s="23" t="str">
        <f>VLOOKUP(B444,'[2]справочник кодов нп'!$A:$D,4,0)</f>
        <v>сельские населенные пункты с численностью населения менее 1 000 человек.</v>
      </c>
      <c r="G444" s="23" t="s">
        <v>1385</v>
      </c>
      <c r="H444" s="10" t="s">
        <v>4644</v>
      </c>
      <c r="I444" s="35" t="s">
        <v>7017</v>
      </c>
      <c r="J444" s="33" t="s">
        <v>1337</v>
      </c>
    </row>
    <row r="445" spans="1:10" x14ac:dyDescent="0.25">
      <c r="A445" s="23" t="s">
        <v>4920</v>
      </c>
      <c r="B445" s="10" t="s">
        <v>4921</v>
      </c>
      <c r="C445" s="23" t="s">
        <v>4644</v>
      </c>
      <c r="D445" s="28" t="s">
        <v>4922</v>
      </c>
      <c r="E445" s="25">
        <v>106</v>
      </c>
      <c r="F445" s="23" t="str">
        <f>VLOOKUP(B445,'[2]справочник кодов нп'!$A:$D,4,0)</f>
        <v>городские населенные пункты с численностью населения менее 50 000 человек;</v>
      </c>
      <c r="G445" s="23" t="s">
        <v>1385</v>
      </c>
      <c r="H445" s="10" t="s">
        <v>4644</v>
      </c>
      <c r="I445" s="35" t="s">
        <v>7017</v>
      </c>
      <c r="J445" s="33" t="s">
        <v>1337</v>
      </c>
    </row>
    <row r="446" spans="1:10" x14ac:dyDescent="0.25">
      <c r="A446" s="23" t="s">
        <v>6547</v>
      </c>
      <c r="B446" s="10" t="s">
        <v>6548</v>
      </c>
      <c r="C446" s="23" t="s">
        <v>4644</v>
      </c>
      <c r="D446" s="28" t="s">
        <v>6549</v>
      </c>
      <c r="E446" s="25">
        <v>106</v>
      </c>
      <c r="F446" s="23" t="str">
        <f>VLOOKUP(B446,'[2]справочник кодов нп'!$A:$D,4,0)</f>
        <v>городские населенные пункты с численностью населения менее 50 000 человек;</v>
      </c>
      <c r="G446" s="23" t="s">
        <v>1385</v>
      </c>
      <c r="H446" s="10" t="s">
        <v>4644</v>
      </c>
      <c r="I446" s="35" t="s">
        <v>7017</v>
      </c>
      <c r="J446" s="33" t="s">
        <v>1337</v>
      </c>
    </row>
    <row r="447" spans="1:10" x14ac:dyDescent="0.25">
      <c r="A447" s="23" t="s">
        <v>6873</v>
      </c>
      <c r="B447" s="10" t="s">
        <v>6874</v>
      </c>
      <c r="C447" s="23" t="s">
        <v>4644</v>
      </c>
      <c r="D447" s="28" t="s">
        <v>6846</v>
      </c>
      <c r="E447" s="25">
        <v>106</v>
      </c>
      <c r="F447" s="23" t="str">
        <f>VLOOKUP(B447,'[2]справочник кодов нп'!$A:$D,4,0)</f>
        <v>межселенная территория</v>
      </c>
      <c r="G447" s="23" t="s">
        <v>1385</v>
      </c>
      <c r="H447" s="10" t="s">
        <v>4644</v>
      </c>
      <c r="I447" s="35" t="s">
        <v>7019</v>
      </c>
      <c r="J447" s="33" t="s">
        <v>1337</v>
      </c>
    </row>
    <row r="448" spans="1:10" x14ac:dyDescent="0.25">
      <c r="A448" s="23" t="s">
        <v>1436</v>
      </c>
      <c r="B448" s="10" t="s">
        <v>1437</v>
      </c>
      <c r="C448" s="23" t="s">
        <v>1438</v>
      </c>
      <c r="D448" s="28" t="s">
        <v>1439</v>
      </c>
      <c r="E448" s="25">
        <v>106</v>
      </c>
      <c r="F448" s="23" t="str">
        <f>VLOOKUP(B448,'[2]справочник кодов нп'!$A:$D,4,0)</f>
        <v>сельские населенные пункты с численностью населения менее 1 000 человек.</v>
      </c>
      <c r="G448" s="23" t="s">
        <v>1385</v>
      </c>
      <c r="H448" s="10" t="s">
        <v>1438</v>
      </c>
      <c r="I448" s="35" t="s">
        <v>7017</v>
      </c>
      <c r="J448" s="33" t="s">
        <v>1337</v>
      </c>
    </row>
    <row r="449" spans="1:10" x14ac:dyDescent="0.25">
      <c r="A449" s="23" t="s">
        <v>2427</v>
      </c>
      <c r="B449" s="10" t="s">
        <v>2428</v>
      </c>
      <c r="C449" s="23" t="s">
        <v>1438</v>
      </c>
      <c r="D449" s="28" t="s">
        <v>2429</v>
      </c>
      <c r="E449" s="25">
        <v>106</v>
      </c>
      <c r="F449" s="23" t="str">
        <f>VLOOKUP(B449,'[2]справочник кодов нп'!$A:$D,4,0)</f>
        <v>сельские населенные пункты с численностью населения более 1 000 человек;</v>
      </c>
      <c r="G449" s="23" t="s">
        <v>1385</v>
      </c>
      <c r="H449" s="10" t="s">
        <v>1438</v>
      </c>
      <c r="I449" s="35" t="s">
        <v>7017</v>
      </c>
      <c r="J449" s="33" t="s">
        <v>1337</v>
      </c>
    </row>
    <row r="450" spans="1:10" x14ac:dyDescent="0.25">
      <c r="A450" s="23" t="s">
        <v>2430</v>
      </c>
      <c r="B450" s="10" t="s">
        <v>2431</v>
      </c>
      <c r="C450" s="23" t="s">
        <v>1438</v>
      </c>
      <c r="D450" s="28" t="s">
        <v>2432</v>
      </c>
      <c r="E450" s="25">
        <v>106</v>
      </c>
      <c r="F450" s="23" t="str">
        <f>VLOOKUP(B450,'[2]справочник кодов нп'!$A:$D,4,0)</f>
        <v>сельские населенные пункты с численностью населения менее 1 000 человек.</v>
      </c>
      <c r="G450" s="23" t="s">
        <v>1385</v>
      </c>
      <c r="H450" s="10" t="s">
        <v>1438</v>
      </c>
      <c r="I450" s="35" t="s">
        <v>7017</v>
      </c>
      <c r="J450" s="33" t="s">
        <v>1337</v>
      </c>
    </row>
    <row r="451" spans="1:10" x14ac:dyDescent="0.25">
      <c r="A451" s="23" t="s">
        <v>2433</v>
      </c>
      <c r="B451" s="10" t="s">
        <v>2434</v>
      </c>
      <c r="C451" s="23" t="s">
        <v>1438</v>
      </c>
      <c r="D451" s="28" t="s">
        <v>2435</v>
      </c>
      <c r="E451" s="25">
        <v>106</v>
      </c>
      <c r="F451" s="23" t="str">
        <f>VLOOKUP(B451,'[2]справочник кодов нп'!$A:$D,4,0)</f>
        <v>сельские населенные пункты с численностью населения менее 1 000 человек.</v>
      </c>
      <c r="G451" s="23" t="s">
        <v>1385</v>
      </c>
      <c r="H451" s="10" t="s">
        <v>1438</v>
      </c>
      <c r="I451" s="35" t="s">
        <v>7017</v>
      </c>
      <c r="J451" s="33" t="s">
        <v>1337</v>
      </c>
    </row>
    <row r="452" spans="1:10" x14ac:dyDescent="0.25">
      <c r="A452" s="23" t="s">
        <v>2436</v>
      </c>
      <c r="B452" s="10" t="s">
        <v>2437</v>
      </c>
      <c r="C452" s="23" t="s">
        <v>1438</v>
      </c>
      <c r="D452" s="28" t="s">
        <v>2438</v>
      </c>
      <c r="E452" s="25">
        <v>106</v>
      </c>
      <c r="F452" s="23" t="str">
        <f>VLOOKUP(B452,'[2]справочник кодов нп'!$A:$D,4,0)</f>
        <v>сельские населенные пункты с численностью населения менее 1 000 человек.</v>
      </c>
      <c r="G452" s="23" t="s">
        <v>1385</v>
      </c>
      <c r="H452" s="10" t="s">
        <v>1438</v>
      </c>
      <c r="I452" s="35" t="s">
        <v>7017</v>
      </c>
      <c r="J452" s="33" t="s">
        <v>1337</v>
      </c>
    </row>
    <row r="453" spans="1:10" x14ac:dyDescent="0.25">
      <c r="A453" s="23" t="s">
        <v>2439</v>
      </c>
      <c r="B453" s="10" t="s">
        <v>2440</v>
      </c>
      <c r="C453" s="23" t="s">
        <v>1438</v>
      </c>
      <c r="D453" s="28" t="s">
        <v>2441</v>
      </c>
      <c r="E453" s="25">
        <v>106</v>
      </c>
      <c r="F453" s="23" t="str">
        <f>VLOOKUP(B453,'[2]справочник кодов нп'!$A:$D,4,0)</f>
        <v>сельские населенные пункты с численностью населения более 1 000 человек;</v>
      </c>
      <c r="G453" s="23" t="s">
        <v>1385</v>
      </c>
      <c r="H453" s="10" t="s">
        <v>1438</v>
      </c>
      <c r="I453" s="35" t="s">
        <v>7017</v>
      </c>
      <c r="J453" s="33" t="s">
        <v>1337</v>
      </c>
    </row>
    <row r="454" spans="1:10" x14ac:dyDescent="0.25">
      <c r="A454" s="23" t="s">
        <v>2442</v>
      </c>
      <c r="B454" s="10" t="s">
        <v>2443</v>
      </c>
      <c r="C454" s="23" t="s">
        <v>1438</v>
      </c>
      <c r="D454" s="28" t="s">
        <v>2444</v>
      </c>
      <c r="E454" s="25">
        <v>106</v>
      </c>
      <c r="F454" s="23" t="str">
        <f>VLOOKUP(B454,'[2]справочник кодов нп'!$A:$D,4,0)</f>
        <v>сельские населенные пункты с численностью населения менее 1 000 человек.</v>
      </c>
      <c r="G454" s="23" t="s">
        <v>1385</v>
      </c>
      <c r="H454" s="10" t="s">
        <v>1438</v>
      </c>
      <c r="I454" s="35" t="s">
        <v>7017</v>
      </c>
      <c r="J454" s="33" t="s">
        <v>1337</v>
      </c>
    </row>
    <row r="455" spans="1:10" x14ac:dyDescent="0.25">
      <c r="A455" s="23" t="s">
        <v>2445</v>
      </c>
      <c r="B455" s="10" t="s">
        <v>2446</v>
      </c>
      <c r="C455" s="23" t="s">
        <v>1438</v>
      </c>
      <c r="D455" s="28" t="s">
        <v>2447</v>
      </c>
      <c r="E455" s="25">
        <v>106</v>
      </c>
      <c r="F455" s="23" t="str">
        <f>VLOOKUP(B455,'[2]справочник кодов нп'!$A:$D,4,0)</f>
        <v>сельские населенные пункты с численностью населения менее 1 000 человек.</v>
      </c>
      <c r="G455" s="23" t="s">
        <v>1385</v>
      </c>
      <c r="H455" s="10" t="s">
        <v>1438</v>
      </c>
      <c r="I455" s="35" t="s">
        <v>7017</v>
      </c>
      <c r="J455" s="33" t="s">
        <v>1337</v>
      </c>
    </row>
    <row r="456" spans="1:10" x14ac:dyDescent="0.25">
      <c r="A456" s="23" t="s">
        <v>2448</v>
      </c>
      <c r="B456" s="10" t="s">
        <v>2449</v>
      </c>
      <c r="C456" s="23" t="s">
        <v>1438</v>
      </c>
      <c r="D456" s="28" t="s">
        <v>2450</v>
      </c>
      <c r="E456" s="25">
        <v>106</v>
      </c>
      <c r="F456" s="23" t="str">
        <f>VLOOKUP(B456,'[2]справочник кодов нп'!$A:$D,4,0)</f>
        <v>сельские населенные пункты с численностью населения менее 1 000 человек.</v>
      </c>
      <c r="G456" s="23" t="s">
        <v>1385</v>
      </c>
      <c r="H456" s="10" t="s">
        <v>1438</v>
      </c>
      <c r="I456" s="35" t="s">
        <v>7017</v>
      </c>
      <c r="J456" s="33" t="s">
        <v>1337</v>
      </c>
    </row>
    <row r="457" spans="1:10" x14ac:dyDescent="0.25">
      <c r="A457" s="23" t="s">
        <v>2451</v>
      </c>
      <c r="B457" s="10" t="s">
        <v>2452</v>
      </c>
      <c r="C457" s="23" t="s">
        <v>1438</v>
      </c>
      <c r="D457" s="28" t="s">
        <v>2453</v>
      </c>
      <c r="E457" s="25">
        <v>106</v>
      </c>
      <c r="F457" s="23" t="str">
        <f>VLOOKUP(B457,'[2]справочник кодов нп'!$A:$D,4,0)</f>
        <v>сельские населенные пункты с численностью населения менее 1 000 человек.</v>
      </c>
      <c r="G457" s="23" t="s">
        <v>1385</v>
      </c>
      <c r="H457" s="10" t="s">
        <v>1438</v>
      </c>
      <c r="I457" s="35" t="s">
        <v>7017</v>
      </c>
      <c r="J457" s="33" t="s">
        <v>1337</v>
      </c>
    </row>
    <row r="458" spans="1:10" x14ac:dyDescent="0.25">
      <c r="A458" s="23" t="s">
        <v>2454</v>
      </c>
      <c r="B458" s="10" t="s">
        <v>2455</v>
      </c>
      <c r="C458" s="23" t="s">
        <v>1438</v>
      </c>
      <c r="D458" s="28" t="s">
        <v>2456</v>
      </c>
      <c r="E458" s="25">
        <v>106</v>
      </c>
      <c r="F458" s="23" t="str">
        <f>VLOOKUP(B458,'[2]справочник кодов нп'!$A:$D,4,0)</f>
        <v>сельские населенные пункты с численностью населения менее 1 000 человек.</v>
      </c>
      <c r="G458" s="23" t="s">
        <v>1385</v>
      </c>
      <c r="H458" s="10" t="s">
        <v>1438</v>
      </c>
      <c r="I458" s="35" t="s">
        <v>7017</v>
      </c>
      <c r="J458" s="33" t="s">
        <v>1337</v>
      </c>
    </row>
    <row r="459" spans="1:10" x14ac:dyDescent="0.25">
      <c r="A459" s="23" t="s">
        <v>2457</v>
      </c>
      <c r="B459" s="10" t="s">
        <v>2458</v>
      </c>
      <c r="C459" s="23" t="s">
        <v>1438</v>
      </c>
      <c r="D459" s="28" t="s">
        <v>2459</v>
      </c>
      <c r="E459" s="25">
        <v>106</v>
      </c>
      <c r="F459" s="23" t="str">
        <f>VLOOKUP(B459,'[2]справочник кодов нп'!$A:$D,4,0)</f>
        <v>сельские населенные пункты с численностью населения менее 1 000 человек.</v>
      </c>
      <c r="G459" s="23" t="s">
        <v>1385</v>
      </c>
      <c r="H459" s="10" t="s">
        <v>1438</v>
      </c>
      <c r="I459" s="35" t="s">
        <v>7017</v>
      </c>
      <c r="J459" s="33" t="s">
        <v>1337</v>
      </c>
    </row>
    <row r="460" spans="1:10" x14ac:dyDescent="0.25">
      <c r="A460" s="23" t="s">
        <v>2460</v>
      </c>
      <c r="B460" s="10" t="s">
        <v>2461</v>
      </c>
      <c r="C460" s="23" t="s">
        <v>1438</v>
      </c>
      <c r="D460" s="28" t="s">
        <v>2462</v>
      </c>
      <c r="E460" s="25">
        <v>106</v>
      </c>
      <c r="F460" s="23" t="str">
        <f>VLOOKUP(B460,'[2]справочник кодов нп'!$A:$D,4,0)</f>
        <v>сельские населенные пункты с численностью населения менее 1 000 человек.</v>
      </c>
      <c r="G460" s="23" t="s">
        <v>1385</v>
      </c>
      <c r="H460" s="10" t="s">
        <v>1438</v>
      </c>
      <c r="I460" s="35" t="s">
        <v>7017</v>
      </c>
      <c r="J460" s="33" t="s">
        <v>1337</v>
      </c>
    </row>
    <row r="461" spans="1:10" x14ac:dyDescent="0.25">
      <c r="A461" s="23" t="s">
        <v>2463</v>
      </c>
      <c r="B461" s="10" t="s">
        <v>2464</v>
      </c>
      <c r="C461" s="23" t="s">
        <v>1438</v>
      </c>
      <c r="D461" s="28" t="s">
        <v>2465</v>
      </c>
      <c r="E461" s="25">
        <v>106</v>
      </c>
      <c r="F461" s="23" t="str">
        <f>VLOOKUP(B461,'[2]справочник кодов нп'!$A:$D,4,0)</f>
        <v>сельские населенные пункты с численностью населения менее 1 000 человек.</v>
      </c>
      <c r="G461" s="23" t="s">
        <v>1385</v>
      </c>
      <c r="H461" s="10" t="s">
        <v>1438</v>
      </c>
      <c r="I461" s="35" t="s">
        <v>7017</v>
      </c>
      <c r="J461" s="33" t="s">
        <v>1337</v>
      </c>
    </row>
    <row r="462" spans="1:10" x14ac:dyDescent="0.25">
      <c r="A462" s="23" t="s">
        <v>2466</v>
      </c>
      <c r="B462" s="10" t="s">
        <v>2467</v>
      </c>
      <c r="C462" s="23" t="s">
        <v>1438</v>
      </c>
      <c r="D462" s="28" t="s">
        <v>2468</v>
      </c>
      <c r="E462" s="25">
        <v>106</v>
      </c>
      <c r="F462" s="23" t="str">
        <f>VLOOKUP(B462,'[2]справочник кодов нп'!$A:$D,4,0)</f>
        <v>сельские населенные пункты с численностью населения менее 1 000 человек.</v>
      </c>
      <c r="G462" s="23" t="s">
        <v>1385</v>
      </c>
      <c r="H462" s="10" t="s">
        <v>1438</v>
      </c>
      <c r="I462" s="35" t="s">
        <v>7017</v>
      </c>
      <c r="J462" s="33" t="s">
        <v>1337</v>
      </c>
    </row>
    <row r="463" spans="1:10" x14ac:dyDescent="0.25">
      <c r="A463" s="23" t="s">
        <v>2469</v>
      </c>
      <c r="B463" s="10" t="s">
        <v>2470</v>
      </c>
      <c r="C463" s="23" t="s">
        <v>1438</v>
      </c>
      <c r="D463" s="28" t="s">
        <v>2471</v>
      </c>
      <c r="E463" s="25">
        <v>106</v>
      </c>
      <c r="F463" s="23" t="str">
        <f>VLOOKUP(B463,'[2]справочник кодов нп'!$A:$D,4,0)</f>
        <v>сельские населенные пункты с численностью населения менее 1 000 человек.</v>
      </c>
      <c r="G463" s="23" t="s">
        <v>1385</v>
      </c>
      <c r="H463" s="10" t="s">
        <v>1438</v>
      </c>
      <c r="I463" s="35" t="s">
        <v>7017</v>
      </c>
      <c r="J463" s="33" t="s">
        <v>1337</v>
      </c>
    </row>
    <row r="464" spans="1:10" x14ac:dyDescent="0.25">
      <c r="A464" s="23" t="s">
        <v>2472</v>
      </c>
      <c r="B464" s="10" t="s">
        <v>2473</v>
      </c>
      <c r="C464" s="23" t="s">
        <v>1438</v>
      </c>
      <c r="D464" s="28" t="s">
        <v>2474</v>
      </c>
      <c r="E464" s="25">
        <v>106</v>
      </c>
      <c r="F464" s="23" t="str">
        <f>VLOOKUP(B464,'[2]справочник кодов нп'!$A:$D,4,0)</f>
        <v>сельские населенные пункты с численностью населения менее 1 000 человек.</v>
      </c>
      <c r="G464" s="23" t="s">
        <v>1385</v>
      </c>
      <c r="H464" s="10" t="s">
        <v>1438</v>
      </c>
      <c r="I464" s="35" t="s">
        <v>7017</v>
      </c>
      <c r="J464" s="33" t="s">
        <v>1337</v>
      </c>
    </row>
    <row r="465" spans="1:10" x14ac:dyDescent="0.25">
      <c r="A465" s="23" t="s">
        <v>2475</v>
      </c>
      <c r="B465" s="10" t="s">
        <v>2476</v>
      </c>
      <c r="C465" s="23" t="s">
        <v>1438</v>
      </c>
      <c r="D465" s="28" t="s">
        <v>2477</v>
      </c>
      <c r="E465" s="25">
        <v>106</v>
      </c>
      <c r="F465" s="23" t="str">
        <f>VLOOKUP(B465,'[2]справочник кодов нп'!$A:$D,4,0)</f>
        <v>сельские населенные пункты с численностью населения более 1 000 человек;</v>
      </c>
      <c r="G465" s="23" t="s">
        <v>1385</v>
      </c>
      <c r="H465" s="10" t="s">
        <v>1438</v>
      </c>
      <c r="I465" s="35" t="s">
        <v>7017</v>
      </c>
      <c r="J465" s="33" t="s">
        <v>1337</v>
      </c>
    </row>
    <row r="466" spans="1:10" x14ac:dyDescent="0.25">
      <c r="A466" s="23" t="s">
        <v>2478</v>
      </c>
      <c r="B466" s="10" t="s">
        <v>2479</v>
      </c>
      <c r="C466" s="23" t="s">
        <v>1438</v>
      </c>
      <c r="D466" s="28" t="s">
        <v>2480</v>
      </c>
      <c r="E466" s="25">
        <v>106</v>
      </c>
      <c r="F466" s="23" t="str">
        <f>VLOOKUP(B466,'[2]справочник кодов нп'!$A:$D,4,0)</f>
        <v>сельские населенные пункты с численностью населения более 1 000 человек;</v>
      </c>
      <c r="G466" s="23" t="s">
        <v>1385</v>
      </c>
      <c r="H466" s="10" t="s">
        <v>1438</v>
      </c>
      <c r="I466" s="35" t="s">
        <v>7017</v>
      </c>
      <c r="J466" s="33" t="s">
        <v>1337</v>
      </c>
    </row>
    <row r="467" spans="1:10" x14ac:dyDescent="0.25">
      <c r="A467" s="23" t="s">
        <v>2481</v>
      </c>
      <c r="B467" s="10" t="s">
        <v>2482</v>
      </c>
      <c r="C467" s="23" t="s">
        <v>1438</v>
      </c>
      <c r="D467" s="28" t="s">
        <v>2483</v>
      </c>
      <c r="E467" s="25">
        <v>106</v>
      </c>
      <c r="F467" s="23" t="str">
        <f>VLOOKUP(B467,'[2]справочник кодов нп'!$A:$D,4,0)</f>
        <v>сельские населенные пункты с численностью населения менее 1 000 человек.</v>
      </c>
      <c r="G467" s="23" t="s">
        <v>1385</v>
      </c>
      <c r="H467" s="10" t="s">
        <v>1438</v>
      </c>
      <c r="I467" s="35" t="s">
        <v>7017</v>
      </c>
      <c r="J467" s="33" t="s">
        <v>1337</v>
      </c>
    </row>
    <row r="468" spans="1:10" x14ac:dyDescent="0.25">
      <c r="A468" s="23" t="s">
        <v>2484</v>
      </c>
      <c r="B468" s="10" t="s">
        <v>2485</v>
      </c>
      <c r="C468" s="23" t="s">
        <v>1438</v>
      </c>
      <c r="D468" s="28" t="s">
        <v>2486</v>
      </c>
      <c r="E468" s="25">
        <v>106</v>
      </c>
      <c r="F468" s="23" t="str">
        <f>VLOOKUP(B468,'[2]справочник кодов нп'!$A:$D,4,0)</f>
        <v>сельские населенные пункты с численностью населения менее 1 000 человек.</v>
      </c>
      <c r="G468" s="23" t="s">
        <v>1385</v>
      </c>
      <c r="H468" s="10" t="s">
        <v>1438</v>
      </c>
      <c r="I468" s="35" t="s">
        <v>7017</v>
      </c>
      <c r="J468" s="33" t="s">
        <v>1337</v>
      </c>
    </row>
    <row r="469" spans="1:10" x14ac:dyDescent="0.25">
      <c r="A469" s="23" t="s">
        <v>2487</v>
      </c>
      <c r="B469" s="10" t="s">
        <v>2488</v>
      </c>
      <c r="C469" s="23" t="s">
        <v>1438</v>
      </c>
      <c r="D469" s="28" t="s">
        <v>2489</v>
      </c>
      <c r="E469" s="25">
        <v>106</v>
      </c>
      <c r="F469" s="23" t="str">
        <f>VLOOKUP(B469,'[2]справочник кодов нп'!$A:$D,4,0)</f>
        <v>сельские населенные пункты с численностью населения менее 1 000 человек.</v>
      </c>
      <c r="G469" s="23" t="s">
        <v>1385</v>
      </c>
      <c r="H469" s="10" t="s">
        <v>1438</v>
      </c>
      <c r="I469" s="35" t="s">
        <v>7017</v>
      </c>
      <c r="J469" s="33" t="s">
        <v>1337</v>
      </c>
    </row>
    <row r="470" spans="1:10" x14ac:dyDescent="0.25">
      <c r="A470" s="23" t="s">
        <v>2490</v>
      </c>
      <c r="B470" s="10" t="s">
        <v>2491</v>
      </c>
      <c r="C470" s="23" t="s">
        <v>1438</v>
      </c>
      <c r="D470" s="28" t="s">
        <v>2492</v>
      </c>
      <c r="E470" s="25">
        <v>106</v>
      </c>
      <c r="F470" s="23" t="str">
        <f>VLOOKUP(B470,'[2]справочник кодов нп'!$A:$D,4,0)</f>
        <v>сельские населенные пункты с численностью населения более 1 000 человек;</v>
      </c>
      <c r="G470" s="23" t="s">
        <v>1385</v>
      </c>
      <c r="H470" s="10" t="s">
        <v>1438</v>
      </c>
      <c r="I470" s="35" t="s">
        <v>7017</v>
      </c>
      <c r="J470" s="33" t="s">
        <v>1337</v>
      </c>
    </row>
    <row r="471" spans="1:10" x14ac:dyDescent="0.25">
      <c r="A471" s="23" t="s">
        <v>2493</v>
      </c>
      <c r="B471" s="10" t="s">
        <v>2494</v>
      </c>
      <c r="C471" s="23" t="s">
        <v>1438</v>
      </c>
      <c r="D471" s="28" t="s">
        <v>2495</v>
      </c>
      <c r="E471" s="25">
        <v>106</v>
      </c>
      <c r="F471" s="23" t="str">
        <f>VLOOKUP(B471,'[2]справочник кодов нп'!$A:$D,4,0)</f>
        <v>сельские населенные пункты с численностью населения менее 1 000 человек.</v>
      </c>
      <c r="G471" s="23" t="s">
        <v>1385</v>
      </c>
      <c r="H471" s="10" t="s">
        <v>1438</v>
      </c>
      <c r="I471" s="35" t="s">
        <v>7017</v>
      </c>
      <c r="J471" s="33" t="s">
        <v>1337</v>
      </c>
    </row>
    <row r="472" spans="1:10" x14ac:dyDescent="0.25">
      <c r="A472" s="23" t="s">
        <v>2496</v>
      </c>
      <c r="B472" s="10" t="s">
        <v>2497</v>
      </c>
      <c r="C472" s="23" t="s">
        <v>1438</v>
      </c>
      <c r="D472" s="28" t="s">
        <v>2498</v>
      </c>
      <c r="E472" s="25">
        <v>106</v>
      </c>
      <c r="F472" s="23" t="str">
        <f>VLOOKUP(B472,'[2]справочник кодов нп'!$A:$D,4,0)</f>
        <v>сельские населенные пункты с численностью населения менее 1 000 человек.</v>
      </c>
      <c r="G472" s="23" t="s">
        <v>1385</v>
      </c>
      <c r="H472" s="10" t="s">
        <v>1438</v>
      </c>
      <c r="I472" s="35" t="s">
        <v>7017</v>
      </c>
      <c r="J472" s="33" t="s">
        <v>1337</v>
      </c>
    </row>
    <row r="473" spans="1:10" x14ac:dyDescent="0.25">
      <c r="A473" s="23" t="s">
        <v>4822</v>
      </c>
      <c r="B473" s="10" t="s">
        <v>4823</v>
      </c>
      <c r="C473" s="23" t="s">
        <v>1438</v>
      </c>
      <c r="D473" s="28" t="s">
        <v>4824</v>
      </c>
      <c r="E473" s="25">
        <v>106</v>
      </c>
      <c r="F473" s="23" t="str">
        <f>VLOOKUP(B473,'[2]справочник кодов нп'!$A:$D,4,0)</f>
        <v>сельские населенные пункты с численностью населения менее 1 000 человек.</v>
      </c>
      <c r="G473" s="23" t="s">
        <v>1385</v>
      </c>
      <c r="H473" s="10" t="s">
        <v>1438</v>
      </c>
      <c r="I473" s="35" t="s">
        <v>7017</v>
      </c>
      <c r="J473" s="33" t="s">
        <v>1337</v>
      </c>
    </row>
    <row r="474" spans="1:10" x14ac:dyDescent="0.25">
      <c r="A474" s="23" t="s">
        <v>4860</v>
      </c>
      <c r="B474" s="10" t="s">
        <v>4861</v>
      </c>
      <c r="C474" s="23" t="s">
        <v>1438</v>
      </c>
      <c r="D474" s="28" t="s">
        <v>4862</v>
      </c>
      <c r="E474" s="25">
        <v>106</v>
      </c>
      <c r="F474" s="23" t="str">
        <f>VLOOKUP(B474,'[2]справочник кодов нп'!$A:$D,4,0)</f>
        <v>сельские населенные пункты с численностью населения менее 1 000 человек.</v>
      </c>
      <c r="G474" s="23" t="s">
        <v>1385</v>
      </c>
      <c r="H474" s="10" t="s">
        <v>1438</v>
      </c>
      <c r="I474" s="35" t="s">
        <v>7017</v>
      </c>
      <c r="J474" s="33" t="s">
        <v>1337</v>
      </c>
    </row>
    <row r="475" spans="1:10" x14ac:dyDescent="0.25">
      <c r="A475" s="23" t="s">
        <v>4863</v>
      </c>
      <c r="B475" s="10" t="s">
        <v>4864</v>
      </c>
      <c r="C475" s="23" t="s">
        <v>1438</v>
      </c>
      <c r="D475" s="28" t="s">
        <v>4865</v>
      </c>
      <c r="E475" s="25">
        <v>106</v>
      </c>
      <c r="F475" s="23" t="str">
        <f>VLOOKUP(B475,'[2]справочник кодов нп'!$A:$D,4,0)</f>
        <v>сельские населенные пункты с численностью населения менее 1 000 человек.</v>
      </c>
      <c r="G475" s="23" t="s">
        <v>1385</v>
      </c>
      <c r="H475" s="10" t="s">
        <v>1438</v>
      </c>
      <c r="I475" s="35" t="s">
        <v>7017</v>
      </c>
      <c r="J475" s="33" t="s">
        <v>1337</v>
      </c>
    </row>
    <row r="476" spans="1:10" x14ac:dyDescent="0.25">
      <c r="A476" s="23" t="s">
        <v>5018</v>
      </c>
      <c r="B476" s="10" t="s">
        <v>5019</v>
      </c>
      <c r="C476" s="23" t="s">
        <v>1438</v>
      </c>
      <c r="D476" s="28" t="s">
        <v>5020</v>
      </c>
      <c r="E476" s="25">
        <v>106</v>
      </c>
      <c r="F476" s="23" t="str">
        <f>VLOOKUP(B476,'[2]справочник кодов нп'!$A:$D,4,0)</f>
        <v>сельские населенные пункты с численностью населения менее 1 000 человек.</v>
      </c>
      <c r="G476" s="23" t="s">
        <v>1385</v>
      </c>
      <c r="H476" s="10" t="s">
        <v>1438</v>
      </c>
      <c r="I476" s="35" t="s">
        <v>7017</v>
      </c>
      <c r="J476" s="33" t="s">
        <v>1337</v>
      </c>
    </row>
    <row r="477" spans="1:10" x14ac:dyDescent="0.25">
      <c r="A477" s="23" t="s">
        <v>5553</v>
      </c>
      <c r="B477" s="10" t="s">
        <v>5554</v>
      </c>
      <c r="C477" s="23" t="s">
        <v>1438</v>
      </c>
      <c r="D477" s="28" t="s">
        <v>5555</v>
      </c>
      <c r="E477" s="25">
        <v>106</v>
      </c>
      <c r="F477" s="23" t="str">
        <f>VLOOKUP(B477,'[2]справочник кодов нп'!$A:$D,4,0)</f>
        <v>сельские населенные пункты с численностью населения менее 1 000 человек.</v>
      </c>
      <c r="G477" s="23" t="s">
        <v>1385</v>
      </c>
      <c r="H477" s="10" t="s">
        <v>1438</v>
      </c>
      <c r="I477" s="35" t="s">
        <v>7017</v>
      </c>
      <c r="J477" s="33" t="s">
        <v>1337</v>
      </c>
    </row>
    <row r="478" spans="1:10" x14ac:dyDescent="0.25">
      <c r="A478" s="23" t="s">
        <v>5649</v>
      </c>
      <c r="B478" s="10" t="s">
        <v>5650</v>
      </c>
      <c r="C478" s="23" t="s">
        <v>1438</v>
      </c>
      <c r="D478" s="28" t="s">
        <v>5651</v>
      </c>
      <c r="E478" s="25">
        <v>106</v>
      </c>
      <c r="F478" s="23" t="str">
        <f>VLOOKUP(B478,'[2]справочник кодов нп'!$A:$D,4,0)</f>
        <v>сельские населенные пункты с численностью населения менее 1 000 человек.</v>
      </c>
      <c r="G478" s="23" t="s">
        <v>1385</v>
      </c>
      <c r="H478" s="10" t="s">
        <v>1438</v>
      </c>
      <c r="I478" s="35" t="s">
        <v>7017</v>
      </c>
      <c r="J478" s="33" t="s">
        <v>1337</v>
      </c>
    </row>
    <row r="479" spans="1:10" x14ac:dyDescent="0.25">
      <c r="A479" s="23" t="s">
        <v>5652</v>
      </c>
      <c r="B479" s="10" t="s">
        <v>5653</v>
      </c>
      <c r="C479" s="23" t="s">
        <v>1438</v>
      </c>
      <c r="D479" s="28" t="s">
        <v>5654</v>
      </c>
      <c r="E479" s="25">
        <v>106</v>
      </c>
      <c r="F479" s="23" t="str">
        <f>VLOOKUP(B479,'[2]справочник кодов нп'!$A:$D,4,0)</f>
        <v>сельские населенные пункты с численностью населения более 1 000 человек;</v>
      </c>
      <c r="G479" s="23" t="s">
        <v>1385</v>
      </c>
      <c r="H479" s="10" t="s">
        <v>1438</v>
      </c>
      <c r="I479" s="35" t="s">
        <v>7017</v>
      </c>
      <c r="J479" s="33" t="s">
        <v>1337</v>
      </c>
    </row>
    <row r="480" spans="1:10" x14ac:dyDescent="0.25">
      <c r="A480" s="23" t="s">
        <v>5655</v>
      </c>
      <c r="B480" s="10" t="s">
        <v>5656</v>
      </c>
      <c r="C480" s="23" t="s">
        <v>1438</v>
      </c>
      <c r="D480" s="28" t="s">
        <v>5657</v>
      </c>
      <c r="E480" s="25">
        <v>106</v>
      </c>
      <c r="F480" s="23" t="str">
        <f>VLOOKUP(B480,'[2]справочник кодов нп'!$A:$D,4,0)</f>
        <v>сельские населенные пункты с численностью населения менее 1 000 человек.</v>
      </c>
      <c r="G480" s="23" t="s">
        <v>1385</v>
      </c>
      <c r="H480" s="10" t="s">
        <v>1438</v>
      </c>
      <c r="I480" s="35" t="s">
        <v>7017</v>
      </c>
      <c r="J480" s="33" t="s">
        <v>1337</v>
      </c>
    </row>
    <row r="481" spans="1:10" x14ac:dyDescent="0.25">
      <c r="A481" s="23" t="s">
        <v>5658</v>
      </c>
      <c r="B481" s="10" t="s">
        <v>5659</v>
      </c>
      <c r="C481" s="23" t="s">
        <v>1438</v>
      </c>
      <c r="D481" s="28" t="s">
        <v>5660</v>
      </c>
      <c r="E481" s="25">
        <v>106</v>
      </c>
      <c r="F481" s="23" t="str">
        <f>VLOOKUP(B481,'[2]справочник кодов нп'!$A:$D,4,0)</f>
        <v>сельские населенные пункты с численностью населения менее 1 000 человек.</v>
      </c>
      <c r="G481" s="23" t="s">
        <v>1385</v>
      </c>
      <c r="H481" s="10" t="s">
        <v>1438</v>
      </c>
      <c r="I481" s="35" t="s">
        <v>7017</v>
      </c>
      <c r="J481" s="33" t="s">
        <v>1337</v>
      </c>
    </row>
    <row r="482" spans="1:10" x14ac:dyDescent="0.25">
      <c r="A482" s="23" t="s">
        <v>5661</v>
      </c>
      <c r="B482" s="10" t="s">
        <v>5662</v>
      </c>
      <c r="C482" s="23" t="s">
        <v>1438</v>
      </c>
      <c r="D482" s="28" t="s">
        <v>5663</v>
      </c>
      <c r="E482" s="25">
        <v>106</v>
      </c>
      <c r="F482" s="23" t="str">
        <f>VLOOKUP(B482,'[2]справочник кодов нп'!$A:$D,4,0)</f>
        <v>сельские населенные пункты с численностью населения менее 1 000 человек.</v>
      </c>
      <c r="G482" s="23" t="s">
        <v>1385</v>
      </c>
      <c r="H482" s="10" t="s">
        <v>1438</v>
      </c>
      <c r="I482" s="35" t="s">
        <v>7017</v>
      </c>
      <c r="J482" s="33" t="s">
        <v>1337</v>
      </c>
    </row>
    <row r="483" spans="1:10" x14ac:dyDescent="0.25">
      <c r="A483" s="23" t="s">
        <v>5664</v>
      </c>
      <c r="B483" s="10" t="s">
        <v>5665</v>
      </c>
      <c r="C483" s="23" t="s">
        <v>1438</v>
      </c>
      <c r="D483" s="28" t="s">
        <v>5666</v>
      </c>
      <c r="E483" s="25">
        <v>106</v>
      </c>
      <c r="F483" s="23" t="str">
        <f>VLOOKUP(B483,'[2]справочник кодов нп'!$A:$D,4,0)</f>
        <v>сельские населенные пункты с численностью населения менее 1 000 человек.</v>
      </c>
      <c r="G483" s="23" t="s">
        <v>1385</v>
      </c>
      <c r="H483" s="10" t="s">
        <v>1438</v>
      </c>
      <c r="I483" s="35" t="s">
        <v>7017</v>
      </c>
      <c r="J483" s="33" t="s">
        <v>1337</v>
      </c>
    </row>
    <row r="484" spans="1:10" x14ac:dyDescent="0.25">
      <c r="A484" s="23" t="s">
        <v>5667</v>
      </c>
      <c r="B484" s="10" t="s">
        <v>5668</v>
      </c>
      <c r="C484" s="23" t="s">
        <v>1438</v>
      </c>
      <c r="D484" s="28" t="s">
        <v>5669</v>
      </c>
      <c r="E484" s="25">
        <v>106</v>
      </c>
      <c r="F484" s="23" t="str">
        <f>VLOOKUP(B484,'[2]справочник кодов нп'!$A:$D,4,0)</f>
        <v>сельские населенные пункты с численностью населения менее 1 000 человек.</v>
      </c>
      <c r="G484" s="23" t="s">
        <v>1385</v>
      </c>
      <c r="H484" s="10" t="s">
        <v>1438</v>
      </c>
      <c r="I484" s="35" t="s">
        <v>7017</v>
      </c>
      <c r="J484" s="33" t="s">
        <v>1337</v>
      </c>
    </row>
    <row r="485" spans="1:10" x14ac:dyDescent="0.25">
      <c r="A485" s="23" t="s">
        <v>5670</v>
      </c>
      <c r="B485" s="10" t="s">
        <v>5671</v>
      </c>
      <c r="C485" s="23" t="s">
        <v>1438</v>
      </c>
      <c r="D485" s="28" t="s">
        <v>1998</v>
      </c>
      <c r="E485" s="25">
        <v>106</v>
      </c>
      <c r="F485" s="23" t="str">
        <f>VLOOKUP(B485,'[2]справочник кодов нп'!$A:$D,4,0)</f>
        <v>сельские населенные пункты с численностью населения более 1 000 человек;</v>
      </c>
      <c r="G485" s="23" t="s">
        <v>1385</v>
      </c>
      <c r="H485" s="10" t="s">
        <v>1438</v>
      </c>
      <c r="I485" s="35" t="s">
        <v>7017</v>
      </c>
      <c r="J485" s="33" t="s">
        <v>1337</v>
      </c>
    </row>
    <row r="486" spans="1:10" x14ac:dyDescent="0.25">
      <c r="A486" s="23" t="s">
        <v>6550</v>
      </c>
      <c r="B486" s="10" t="s">
        <v>6551</v>
      </c>
      <c r="C486" s="23" t="s">
        <v>1438</v>
      </c>
      <c r="D486" s="28" t="s">
        <v>6552</v>
      </c>
      <c r="E486" s="25">
        <v>106</v>
      </c>
      <c r="F486" s="23" t="str">
        <f>VLOOKUP(B486,'[2]справочник кодов нп'!$A:$D,4,0)</f>
        <v>городские населенные пункты с численностью населения менее 50 000 человек;</v>
      </c>
      <c r="G486" s="23" t="s">
        <v>1385</v>
      </c>
      <c r="H486" s="10" t="s">
        <v>1438</v>
      </c>
      <c r="I486" s="35" t="s">
        <v>7017</v>
      </c>
      <c r="J486" s="33" t="s">
        <v>1337</v>
      </c>
    </row>
    <row r="487" spans="1:10" x14ac:dyDescent="0.25">
      <c r="A487" s="23" t="s">
        <v>6553</v>
      </c>
      <c r="B487" s="10" t="s">
        <v>6554</v>
      </c>
      <c r="C487" s="23" t="s">
        <v>1438</v>
      </c>
      <c r="D487" s="28" t="s">
        <v>6555</v>
      </c>
      <c r="E487" s="25">
        <v>106</v>
      </c>
      <c r="F487" s="23" t="str">
        <f>VLOOKUP(B487,'[2]справочник кодов нп'!$A:$D,4,0)</f>
        <v>сельские населенные пункты с численностью населения менее 1 000 человек.</v>
      </c>
      <c r="G487" s="23" t="s">
        <v>1385</v>
      </c>
      <c r="H487" s="10" t="s">
        <v>1438</v>
      </c>
      <c r="I487" s="35" t="s">
        <v>7017</v>
      </c>
      <c r="J487" s="33" t="s">
        <v>1337</v>
      </c>
    </row>
    <row r="488" spans="1:10" x14ac:dyDescent="0.25">
      <c r="A488" s="23" t="s">
        <v>6875</v>
      </c>
      <c r="B488" s="10" t="s">
        <v>6876</v>
      </c>
      <c r="C488" s="23" t="s">
        <v>1438</v>
      </c>
      <c r="D488" s="28" t="s">
        <v>6846</v>
      </c>
      <c r="E488" s="25">
        <v>106</v>
      </c>
      <c r="F488" s="23" t="str">
        <f>VLOOKUP(B488,'[2]справочник кодов нп'!$A:$D,4,0)</f>
        <v>межселенная территория</v>
      </c>
      <c r="G488" s="23" t="s">
        <v>1385</v>
      </c>
      <c r="H488" s="10" t="s">
        <v>1438</v>
      </c>
      <c r="I488" s="35" t="s">
        <v>7019</v>
      </c>
      <c r="J488" s="33" t="s">
        <v>1337</v>
      </c>
    </row>
    <row r="489" spans="1:10" x14ac:dyDescent="0.25">
      <c r="A489" s="23" t="s">
        <v>1548</v>
      </c>
      <c r="B489" s="10" t="s">
        <v>1549</v>
      </c>
      <c r="C489" s="23" t="s">
        <v>1550</v>
      </c>
      <c r="D489" s="28" t="s">
        <v>1551</v>
      </c>
      <c r="E489" s="25">
        <v>106</v>
      </c>
      <c r="F489" s="23" t="str">
        <f>VLOOKUP(B489,'[2]справочник кодов нп'!$A:$D,4,0)</f>
        <v>городские населенные пункты с численностью населения менее 50 000 человек;</v>
      </c>
      <c r="G489" s="23" t="s">
        <v>1385</v>
      </c>
      <c r="H489" s="10" t="s">
        <v>1550</v>
      </c>
      <c r="I489" s="35" t="s">
        <v>7017</v>
      </c>
      <c r="J489" s="33" t="s">
        <v>1337</v>
      </c>
    </row>
    <row r="490" spans="1:10" x14ac:dyDescent="0.25">
      <c r="A490" s="23" t="s">
        <v>6877</v>
      </c>
      <c r="B490" s="10" t="s">
        <v>6878</v>
      </c>
      <c r="C490" s="23" t="s">
        <v>1550</v>
      </c>
      <c r="D490" s="28" t="s">
        <v>6846</v>
      </c>
      <c r="E490" s="25">
        <v>106</v>
      </c>
      <c r="F490" s="23" t="str">
        <f>VLOOKUP(B490,'[2]справочник кодов нп'!$A:$D,4,0)</f>
        <v>межселенная территория</v>
      </c>
      <c r="G490" s="23" t="s">
        <v>1385</v>
      </c>
      <c r="H490" s="10" t="s">
        <v>1550</v>
      </c>
      <c r="I490" s="35" t="s">
        <v>7019</v>
      </c>
      <c r="J490" s="33" t="s">
        <v>1337</v>
      </c>
    </row>
    <row r="491" spans="1:10" x14ac:dyDescent="0.25">
      <c r="A491" s="23" t="s">
        <v>1482</v>
      </c>
      <c r="B491" s="10" t="s">
        <v>1483</v>
      </c>
      <c r="C491" s="23" t="s">
        <v>1484</v>
      </c>
      <c r="D491" s="28" t="s">
        <v>1485</v>
      </c>
      <c r="E491" s="25">
        <v>106</v>
      </c>
      <c r="F491" s="23" t="str">
        <f>VLOOKUP(B491,'[2]справочник кодов нп'!$A:$D,4,0)</f>
        <v>городские населенные пункты с численностью населения менее 50 000 человек;</v>
      </c>
      <c r="G491" s="23" t="s">
        <v>1385</v>
      </c>
      <c r="H491" s="10" t="s">
        <v>1484</v>
      </c>
      <c r="I491" s="35" t="s">
        <v>7017</v>
      </c>
      <c r="J491" s="33" t="s">
        <v>1337</v>
      </c>
    </row>
    <row r="492" spans="1:10" x14ac:dyDescent="0.25">
      <c r="A492" s="23" t="s">
        <v>6879</v>
      </c>
      <c r="B492" s="10" t="s">
        <v>6880</v>
      </c>
      <c r="C492" s="23" t="s">
        <v>1484</v>
      </c>
      <c r="D492" s="28" t="s">
        <v>6846</v>
      </c>
      <c r="E492" s="25">
        <v>106</v>
      </c>
      <c r="F492" s="23" t="str">
        <f>VLOOKUP(B492,'[2]справочник кодов нп'!$A:$D,4,0)</f>
        <v>межселенная территория</v>
      </c>
      <c r="G492" s="23" t="s">
        <v>1385</v>
      </c>
      <c r="H492" s="10" t="s">
        <v>1484</v>
      </c>
      <c r="I492" s="35" t="s">
        <v>7019</v>
      </c>
      <c r="J492" s="33" t="s">
        <v>1337</v>
      </c>
    </row>
    <row r="493" spans="1:10" x14ac:dyDescent="0.25">
      <c r="A493" s="23" t="s">
        <v>4472</v>
      </c>
      <c r="B493" s="10" t="s">
        <v>4473</v>
      </c>
      <c r="C493" s="23" t="s">
        <v>4474</v>
      </c>
      <c r="D493" s="28" t="s">
        <v>4475</v>
      </c>
      <c r="E493" s="25">
        <v>106</v>
      </c>
      <c r="F493" s="23" t="str">
        <f>VLOOKUP(B493,'[2]справочник кодов нп'!$A:$D,4,0)</f>
        <v>сельские населенные пункты с численностью населения менее 1 000 человек.</v>
      </c>
      <c r="G493" s="23" t="s">
        <v>1385</v>
      </c>
      <c r="H493" s="10" t="s">
        <v>4474</v>
      </c>
      <c r="I493" s="35" t="s">
        <v>7017</v>
      </c>
      <c r="J493" s="33" t="s">
        <v>1337</v>
      </c>
    </row>
    <row r="494" spans="1:10" x14ac:dyDescent="0.25">
      <c r="A494" s="23" t="s">
        <v>4476</v>
      </c>
      <c r="B494" s="10" t="s">
        <v>4477</v>
      </c>
      <c r="C494" s="23" t="s">
        <v>4474</v>
      </c>
      <c r="D494" s="28" t="s">
        <v>4478</v>
      </c>
      <c r="E494" s="25">
        <v>106</v>
      </c>
      <c r="F494" s="23" t="str">
        <f>VLOOKUP(B494,'[2]справочник кодов нп'!$A:$D,4,0)</f>
        <v>сельские населенные пункты с численностью населения менее 1 000 человек.</v>
      </c>
      <c r="G494" s="23" t="s">
        <v>1385</v>
      </c>
      <c r="H494" s="10" t="s">
        <v>4474</v>
      </c>
      <c r="I494" s="35" t="s">
        <v>7017</v>
      </c>
      <c r="J494" s="33" t="s">
        <v>1337</v>
      </c>
    </row>
    <row r="495" spans="1:10" x14ac:dyDescent="0.25">
      <c r="A495" s="23" t="s">
        <v>6556</v>
      </c>
      <c r="B495" s="10" t="s">
        <v>6557</v>
      </c>
      <c r="C495" s="23" t="s">
        <v>4474</v>
      </c>
      <c r="D495" s="28" t="s">
        <v>6558</v>
      </c>
      <c r="E495" s="25">
        <v>106</v>
      </c>
      <c r="F495" s="23" t="str">
        <f>VLOOKUP(B495,'[2]справочник кодов нп'!$A:$D,4,0)</f>
        <v>городские населенные пункты с численностью населения менее 50 000 человек;</v>
      </c>
      <c r="G495" s="23" t="s">
        <v>1385</v>
      </c>
      <c r="H495" s="10" t="s">
        <v>4474</v>
      </c>
      <c r="I495" s="35" t="s">
        <v>7017</v>
      </c>
      <c r="J495" s="33" t="s">
        <v>1337</v>
      </c>
    </row>
    <row r="496" spans="1:10" x14ac:dyDescent="0.25">
      <c r="A496" s="23" t="s">
        <v>6881</v>
      </c>
      <c r="B496" s="10" t="s">
        <v>6882</v>
      </c>
      <c r="C496" s="23" t="s">
        <v>4474</v>
      </c>
      <c r="D496" s="28" t="s">
        <v>6846</v>
      </c>
      <c r="E496" s="25">
        <v>106</v>
      </c>
      <c r="F496" s="23" t="str">
        <f>VLOOKUP(B496,'[2]справочник кодов нп'!$A:$D,4,0)</f>
        <v>межселенная территория</v>
      </c>
      <c r="G496" s="23" t="s">
        <v>1385</v>
      </c>
      <c r="H496" s="10" t="s">
        <v>4474</v>
      </c>
      <c r="I496" s="35" t="s">
        <v>7019</v>
      </c>
      <c r="J496" s="33" t="s">
        <v>1337</v>
      </c>
    </row>
    <row r="497" spans="1:10" x14ac:dyDescent="0.25">
      <c r="A497" s="23" t="s">
        <v>3764</v>
      </c>
      <c r="B497" s="10" t="s">
        <v>3765</v>
      </c>
      <c r="C497" s="23" t="s">
        <v>3766</v>
      </c>
      <c r="D497" s="28" t="s">
        <v>3767</v>
      </c>
      <c r="E497" s="25">
        <v>105</v>
      </c>
      <c r="F497" s="23" t="str">
        <f>VLOOKUP(B497,'[2]справочник кодов нп'!$A:$D,4,0)</f>
        <v>сельские населенные пункты с численностью населения менее 1 000 человек.</v>
      </c>
      <c r="G497" s="27" t="s">
        <v>1448</v>
      </c>
      <c r="H497" s="10" t="s">
        <v>3766</v>
      </c>
      <c r="I497" s="35" t="s">
        <v>7017</v>
      </c>
      <c r="J497" s="33" t="s">
        <v>1337</v>
      </c>
    </row>
    <row r="498" spans="1:10" x14ac:dyDescent="0.25">
      <c r="A498" s="23" t="s">
        <v>3768</v>
      </c>
      <c r="B498" s="10" t="s">
        <v>3769</v>
      </c>
      <c r="C498" s="23" t="s">
        <v>3766</v>
      </c>
      <c r="D498" s="28" t="s">
        <v>3770</v>
      </c>
      <c r="E498" s="25">
        <v>105</v>
      </c>
      <c r="F498" s="23" t="str">
        <f>VLOOKUP(B498,'[2]справочник кодов нп'!$A:$D,4,0)</f>
        <v>сельские населенные пункты с численностью населения менее 1 000 человек.</v>
      </c>
      <c r="G498" s="27" t="s">
        <v>1448</v>
      </c>
      <c r="H498" s="10" t="s">
        <v>3766</v>
      </c>
      <c r="I498" s="35" t="s">
        <v>7017</v>
      </c>
      <c r="J498" s="33" t="s">
        <v>1337</v>
      </c>
    </row>
    <row r="499" spans="1:10" x14ac:dyDescent="0.25">
      <c r="A499" s="23" t="s">
        <v>3771</v>
      </c>
      <c r="B499" s="10" t="s">
        <v>3772</v>
      </c>
      <c r="C499" s="23" t="s">
        <v>3766</v>
      </c>
      <c r="D499" s="28" t="s">
        <v>3773</v>
      </c>
      <c r="E499" s="25">
        <v>105</v>
      </c>
      <c r="F499" s="23" t="str">
        <f>VLOOKUP(B499,'[2]справочник кодов нп'!$A:$D,4,0)</f>
        <v>сельские населенные пункты с численностью населения менее 1 000 человек.</v>
      </c>
      <c r="G499" s="27" t="s">
        <v>1448</v>
      </c>
      <c r="H499" s="10" t="s">
        <v>3766</v>
      </c>
      <c r="I499" s="35" t="s">
        <v>7017</v>
      </c>
      <c r="J499" s="33" t="s">
        <v>1337</v>
      </c>
    </row>
    <row r="500" spans="1:10" x14ac:dyDescent="0.25">
      <c r="A500" s="23" t="s">
        <v>3774</v>
      </c>
      <c r="B500" s="10" t="s">
        <v>3775</v>
      </c>
      <c r="C500" s="23" t="s">
        <v>3766</v>
      </c>
      <c r="D500" s="28" t="s">
        <v>3776</v>
      </c>
      <c r="E500" s="25">
        <v>105</v>
      </c>
      <c r="F500" s="23" t="str">
        <f>VLOOKUP(B500,'[2]справочник кодов нп'!$A:$D,4,0)</f>
        <v>сельские населенные пункты с численностью населения менее 1 000 человек.</v>
      </c>
      <c r="G500" s="27" t="s">
        <v>1448</v>
      </c>
      <c r="H500" s="10" t="s">
        <v>3766</v>
      </c>
      <c r="I500" s="35" t="s">
        <v>7017</v>
      </c>
      <c r="J500" s="33" t="s">
        <v>1337</v>
      </c>
    </row>
    <row r="501" spans="1:10" x14ac:dyDescent="0.25">
      <c r="A501" s="23" t="s">
        <v>3777</v>
      </c>
      <c r="B501" s="10" t="s">
        <v>3778</v>
      </c>
      <c r="C501" s="23" t="s">
        <v>3766</v>
      </c>
      <c r="D501" s="28" t="s">
        <v>3779</v>
      </c>
      <c r="E501" s="25">
        <v>105</v>
      </c>
      <c r="F501" s="23" t="str">
        <f>VLOOKUP(B501,'[2]справочник кодов нп'!$A:$D,4,0)</f>
        <v>сельские населенные пункты с численностью населения менее 1 000 человек.</v>
      </c>
      <c r="G501" s="27" t="s">
        <v>1448</v>
      </c>
      <c r="H501" s="10" t="s">
        <v>3766</v>
      </c>
      <c r="I501" s="35" t="s">
        <v>7017</v>
      </c>
      <c r="J501" s="33" t="s">
        <v>1337</v>
      </c>
    </row>
    <row r="502" spans="1:10" x14ac:dyDescent="0.25">
      <c r="A502" s="23" t="s">
        <v>3780</v>
      </c>
      <c r="B502" s="10" t="s">
        <v>3781</v>
      </c>
      <c r="C502" s="23" t="s">
        <v>3766</v>
      </c>
      <c r="D502" s="28" t="s">
        <v>3782</v>
      </c>
      <c r="E502" s="25">
        <v>105</v>
      </c>
      <c r="F502" s="23" t="str">
        <f>VLOOKUP(B502,'[2]справочник кодов нп'!$A:$D,4,0)</f>
        <v>сельские населенные пункты с численностью населения менее 1 000 человек.</v>
      </c>
      <c r="G502" s="27" t="s">
        <v>1448</v>
      </c>
      <c r="H502" s="10" t="s">
        <v>3766</v>
      </c>
      <c r="I502" s="35" t="s">
        <v>7017</v>
      </c>
      <c r="J502" s="33" t="s">
        <v>1337</v>
      </c>
    </row>
    <row r="503" spans="1:10" x14ac:dyDescent="0.25">
      <c r="A503" s="23" t="s">
        <v>3783</v>
      </c>
      <c r="B503" s="10" t="s">
        <v>3784</v>
      </c>
      <c r="C503" s="23" t="s">
        <v>3766</v>
      </c>
      <c r="D503" s="28" t="s">
        <v>3785</v>
      </c>
      <c r="E503" s="25">
        <v>105</v>
      </c>
      <c r="F503" s="23" t="str">
        <f>VLOOKUP(B503,'[2]справочник кодов нп'!$A:$D,4,0)</f>
        <v>сельские населенные пункты с численностью населения менее 1 000 человек.</v>
      </c>
      <c r="G503" s="27" t="s">
        <v>1448</v>
      </c>
      <c r="H503" s="10" t="s">
        <v>3766</v>
      </c>
      <c r="I503" s="35" t="s">
        <v>7017</v>
      </c>
      <c r="J503" s="33" t="s">
        <v>1337</v>
      </c>
    </row>
    <row r="504" spans="1:10" x14ac:dyDescent="0.25">
      <c r="A504" s="23" t="s">
        <v>3786</v>
      </c>
      <c r="B504" s="10" t="s">
        <v>3787</v>
      </c>
      <c r="C504" s="23" t="s">
        <v>3766</v>
      </c>
      <c r="D504" s="28" t="s">
        <v>3788</v>
      </c>
      <c r="E504" s="25">
        <v>105</v>
      </c>
      <c r="F504" s="23" t="str">
        <f>VLOOKUP(B504,'[2]справочник кодов нп'!$A:$D,4,0)</f>
        <v>сельские населенные пункты с численностью населения менее 1 000 человек.</v>
      </c>
      <c r="G504" s="27" t="s">
        <v>1448</v>
      </c>
      <c r="H504" s="10" t="s">
        <v>3766</v>
      </c>
      <c r="I504" s="35" t="s">
        <v>7017</v>
      </c>
      <c r="J504" s="33" t="s">
        <v>1337</v>
      </c>
    </row>
    <row r="505" spans="1:10" x14ac:dyDescent="0.25">
      <c r="A505" s="23" t="s">
        <v>4451</v>
      </c>
      <c r="B505" s="10" t="s">
        <v>4452</v>
      </c>
      <c r="C505" s="23" t="s">
        <v>3766</v>
      </c>
      <c r="D505" s="28" t="s">
        <v>1544</v>
      </c>
      <c r="E505" s="25">
        <v>105</v>
      </c>
      <c r="F505" s="23" t="str">
        <f>VLOOKUP(B505,'[2]справочник кодов нп'!$A:$D,4,0)</f>
        <v>сельские населенные пункты с численностью населения менее 1 000 человек.</v>
      </c>
      <c r="G505" s="27" t="s">
        <v>1448</v>
      </c>
      <c r="H505" s="10" t="s">
        <v>3766</v>
      </c>
      <c r="I505" s="35" t="s">
        <v>7017</v>
      </c>
      <c r="J505" s="33" t="s">
        <v>1337</v>
      </c>
    </row>
    <row r="506" spans="1:10" x14ac:dyDescent="0.25">
      <c r="A506" s="23" t="s">
        <v>4453</v>
      </c>
      <c r="B506" s="10" t="s">
        <v>4454</v>
      </c>
      <c r="C506" s="23" t="s">
        <v>3766</v>
      </c>
      <c r="D506" s="28" t="s">
        <v>4455</v>
      </c>
      <c r="E506" s="25">
        <v>105</v>
      </c>
      <c r="F506" s="23" t="str">
        <f>VLOOKUP(B506,'[2]справочник кодов нп'!$A:$D,4,0)</f>
        <v>сельские населенные пункты с численностью населения менее 1 000 человек.</v>
      </c>
      <c r="G506" s="27" t="s">
        <v>1448</v>
      </c>
      <c r="H506" s="10" t="s">
        <v>3766</v>
      </c>
      <c r="I506" s="35" t="s">
        <v>7017</v>
      </c>
      <c r="J506" s="33" t="s">
        <v>1337</v>
      </c>
    </row>
    <row r="507" spans="1:10" x14ac:dyDescent="0.25">
      <c r="A507" s="23" t="s">
        <v>4456</v>
      </c>
      <c r="B507" s="10" t="s">
        <v>4457</v>
      </c>
      <c r="C507" s="23" t="s">
        <v>3766</v>
      </c>
      <c r="D507" s="28" t="s">
        <v>4458</v>
      </c>
      <c r="E507" s="25">
        <v>105</v>
      </c>
      <c r="F507" s="23" t="str">
        <f>VLOOKUP(B507,'[2]справочник кодов нп'!$A:$D,4,0)</f>
        <v>сельские населенные пункты с численностью населения менее 1 000 человек.</v>
      </c>
      <c r="G507" s="27" t="s">
        <v>1448</v>
      </c>
      <c r="H507" s="10" t="s">
        <v>3766</v>
      </c>
      <c r="I507" s="35" t="s">
        <v>7017</v>
      </c>
      <c r="J507" s="33" t="s">
        <v>1337</v>
      </c>
    </row>
    <row r="508" spans="1:10" x14ac:dyDescent="0.25">
      <c r="A508" s="23" t="s">
        <v>4459</v>
      </c>
      <c r="B508" s="10" t="s">
        <v>4460</v>
      </c>
      <c r="C508" s="23" t="s">
        <v>3766</v>
      </c>
      <c r="D508" s="28" t="s">
        <v>4461</v>
      </c>
      <c r="E508" s="25">
        <v>105</v>
      </c>
      <c r="F508" s="23" t="str">
        <f>VLOOKUP(B508,'[2]справочник кодов нп'!$A:$D,4,0)</f>
        <v>сельские населенные пункты с численностью населения менее 1 000 человек.</v>
      </c>
      <c r="G508" s="27" t="s">
        <v>1448</v>
      </c>
      <c r="H508" s="10" t="s">
        <v>3766</v>
      </c>
      <c r="I508" s="35" t="s">
        <v>7017</v>
      </c>
      <c r="J508" s="33" t="s">
        <v>1337</v>
      </c>
    </row>
    <row r="509" spans="1:10" x14ac:dyDescent="0.25">
      <c r="A509" s="23" t="s">
        <v>4462</v>
      </c>
      <c r="B509" s="10" t="s">
        <v>4463</v>
      </c>
      <c r="C509" s="23" t="s">
        <v>3766</v>
      </c>
      <c r="D509" s="28" t="s">
        <v>2185</v>
      </c>
      <c r="E509" s="25">
        <v>105</v>
      </c>
      <c r="F509" s="23" t="str">
        <f>VLOOKUP(B509,'[2]справочник кодов нп'!$A:$D,4,0)</f>
        <v>сельские населенные пункты с численностью населения менее 1 000 человек.</v>
      </c>
      <c r="G509" s="27" t="s">
        <v>1448</v>
      </c>
      <c r="H509" s="10" t="s">
        <v>3766</v>
      </c>
      <c r="I509" s="35" t="s">
        <v>7017</v>
      </c>
      <c r="J509" s="33" t="s">
        <v>1337</v>
      </c>
    </row>
    <row r="510" spans="1:10" x14ac:dyDescent="0.25">
      <c r="A510" s="23" t="s">
        <v>4464</v>
      </c>
      <c r="B510" s="10" t="s">
        <v>4465</v>
      </c>
      <c r="C510" s="23" t="s">
        <v>3766</v>
      </c>
      <c r="D510" s="28" t="s">
        <v>4466</v>
      </c>
      <c r="E510" s="25">
        <v>105</v>
      </c>
      <c r="F510" s="23" t="str">
        <f>VLOOKUP(B510,'[2]справочник кодов нп'!$A:$D,4,0)</f>
        <v>сельские населенные пункты с численностью населения менее 1 000 человек.</v>
      </c>
      <c r="G510" s="27" t="s">
        <v>1448</v>
      </c>
      <c r="H510" s="10" t="s">
        <v>3766</v>
      </c>
      <c r="I510" s="35" t="s">
        <v>7017</v>
      </c>
      <c r="J510" s="33" t="s">
        <v>1337</v>
      </c>
    </row>
    <row r="511" spans="1:10" x14ac:dyDescent="0.25">
      <c r="A511" s="23" t="s">
        <v>4467</v>
      </c>
      <c r="B511" s="10" t="s">
        <v>4468</v>
      </c>
      <c r="C511" s="23" t="s">
        <v>3766</v>
      </c>
      <c r="D511" s="28" t="s">
        <v>3886</v>
      </c>
      <c r="E511" s="25">
        <v>105</v>
      </c>
      <c r="F511" s="23" t="str">
        <f>VLOOKUP(B511,'[2]справочник кодов нп'!$A:$D,4,0)</f>
        <v>сельские населенные пункты с численностью населения менее 1 000 человек.</v>
      </c>
      <c r="G511" s="27" t="s">
        <v>1448</v>
      </c>
      <c r="H511" s="10" t="s">
        <v>3766</v>
      </c>
      <c r="I511" s="35" t="s">
        <v>7017</v>
      </c>
      <c r="J511" s="33" t="s">
        <v>1337</v>
      </c>
    </row>
    <row r="512" spans="1:10" x14ac:dyDescent="0.25">
      <c r="A512" s="23" t="s">
        <v>4469</v>
      </c>
      <c r="B512" s="10" t="s">
        <v>4470</v>
      </c>
      <c r="C512" s="23" t="s">
        <v>3766</v>
      </c>
      <c r="D512" s="28" t="s">
        <v>4471</v>
      </c>
      <c r="E512" s="25">
        <v>105</v>
      </c>
      <c r="F512" s="23" t="str">
        <f>VLOOKUP(B512,'[2]справочник кодов нп'!$A:$D,4,0)</f>
        <v>сельские населенные пункты с численностью населения менее 1 000 человек.</v>
      </c>
      <c r="G512" s="27" t="s">
        <v>1448</v>
      </c>
      <c r="H512" s="10" t="s">
        <v>3766</v>
      </c>
      <c r="I512" s="35" t="s">
        <v>7017</v>
      </c>
      <c r="J512" s="33" t="s">
        <v>1337</v>
      </c>
    </row>
    <row r="513" spans="1:10" x14ac:dyDescent="0.25">
      <c r="A513" s="23" t="s">
        <v>4854</v>
      </c>
      <c r="B513" s="10" t="s">
        <v>4855</v>
      </c>
      <c r="C513" s="23" t="s">
        <v>3766</v>
      </c>
      <c r="D513" s="28" t="s">
        <v>4856</v>
      </c>
      <c r="E513" s="25">
        <v>105</v>
      </c>
      <c r="F513" s="23" t="str">
        <f>VLOOKUP(B513,'[2]справочник кодов нп'!$A:$D,4,0)</f>
        <v>сельские населенные пункты с численностью населения менее 1 000 человек.</v>
      </c>
      <c r="G513" s="27" t="s">
        <v>1448</v>
      </c>
      <c r="H513" s="10" t="s">
        <v>3766</v>
      </c>
      <c r="I513" s="35" t="s">
        <v>7017</v>
      </c>
      <c r="J513" s="33" t="s">
        <v>1337</v>
      </c>
    </row>
    <row r="514" spans="1:10" x14ac:dyDescent="0.25">
      <c r="A514" s="23" t="s">
        <v>5336</v>
      </c>
      <c r="B514" s="10" t="s">
        <v>5337</v>
      </c>
      <c r="C514" s="23" t="s">
        <v>3766</v>
      </c>
      <c r="D514" s="28" t="s">
        <v>4478</v>
      </c>
      <c r="E514" s="25">
        <v>105</v>
      </c>
      <c r="F514" s="23" t="str">
        <f>VLOOKUP(B514,'[2]справочник кодов нп'!$A:$D,4,0)</f>
        <v>сельские населенные пункты с численностью населения менее 1 000 человек.</v>
      </c>
      <c r="G514" s="27" t="s">
        <v>1448</v>
      </c>
      <c r="H514" s="10" t="s">
        <v>3766</v>
      </c>
      <c r="I514" s="35" t="s">
        <v>7017</v>
      </c>
      <c r="J514" s="33" t="s">
        <v>1337</v>
      </c>
    </row>
    <row r="515" spans="1:10" x14ac:dyDescent="0.25">
      <c r="A515" s="23" t="s">
        <v>5338</v>
      </c>
      <c r="B515" s="10" t="s">
        <v>5339</v>
      </c>
      <c r="C515" s="23" t="s">
        <v>3766</v>
      </c>
      <c r="D515" s="28" t="s">
        <v>5340</v>
      </c>
      <c r="E515" s="25">
        <v>105</v>
      </c>
      <c r="F515" s="23" t="str">
        <f>VLOOKUP(B515,'[2]справочник кодов нп'!$A:$D,4,0)</f>
        <v>сельские населенные пункты с численностью населения менее 1 000 человек.</v>
      </c>
      <c r="G515" s="27" t="s">
        <v>1448</v>
      </c>
      <c r="H515" s="10" t="s">
        <v>3766</v>
      </c>
      <c r="I515" s="35" t="s">
        <v>7017</v>
      </c>
      <c r="J515" s="33" t="s">
        <v>1337</v>
      </c>
    </row>
    <row r="516" spans="1:10" x14ac:dyDescent="0.25">
      <c r="A516" s="23" t="s">
        <v>6297</v>
      </c>
      <c r="B516" s="10" t="s">
        <v>6298</v>
      </c>
      <c r="C516" s="23" t="s">
        <v>3766</v>
      </c>
      <c r="D516" s="28" t="s">
        <v>6299</v>
      </c>
      <c r="E516" s="25">
        <v>105</v>
      </c>
      <c r="F516" s="23" t="str">
        <f>VLOOKUP(B516,'[2]справочник кодов нп'!$A:$D,4,0)</f>
        <v>сельские населенные пункты с численностью населения менее 1 000 человек.</v>
      </c>
      <c r="G516" s="27" t="s">
        <v>1448</v>
      </c>
      <c r="H516" s="10" t="s">
        <v>3766</v>
      </c>
      <c r="I516" s="35" t="s">
        <v>7017</v>
      </c>
      <c r="J516" s="33" t="s">
        <v>1337</v>
      </c>
    </row>
    <row r="517" spans="1:10" x14ac:dyDescent="0.25">
      <c r="A517" s="23" t="s">
        <v>6300</v>
      </c>
      <c r="B517" s="10" t="s">
        <v>6301</v>
      </c>
      <c r="C517" s="23" t="s">
        <v>3766</v>
      </c>
      <c r="D517" s="28" t="s">
        <v>6302</v>
      </c>
      <c r="E517" s="25">
        <v>105</v>
      </c>
      <c r="F517" s="23" t="str">
        <f>VLOOKUP(B517,'[2]справочник кодов нп'!$A:$D,4,0)</f>
        <v>сельские населенные пункты с численностью населения менее 1 000 человек.</v>
      </c>
      <c r="G517" s="27" t="s">
        <v>1448</v>
      </c>
      <c r="H517" s="10" t="s">
        <v>3766</v>
      </c>
      <c r="I517" s="35" t="s">
        <v>7017</v>
      </c>
      <c r="J517" s="33" t="s">
        <v>1337</v>
      </c>
    </row>
    <row r="518" spans="1:10" x14ac:dyDescent="0.25">
      <c r="A518" s="23" t="s">
        <v>6303</v>
      </c>
      <c r="B518" s="10" t="s">
        <v>6304</v>
      </c>
      <c r="C518" s="23" t="s">
        <v>3766</v>
      </c>
      <c r="D518" s="28" t="s">
        <v>6305</v>
      </c>
      <c r="E518" s="25">
        <v>105</v>
      </c>
      <c r="F518" s="23" t="str">
        <f>VLOOKUP(B518,'[2]справочник кодов нп'!$A:$D,4,0)</f>
        <v>сельские населенные пункты с численностью населения менее 1 000 человек.</v>
      </c>
      <c r="G518" s="27" t="s">
        <v>1448</v>
      </c>
      <c r="H518" s="10" t="s">
        <v>3766</v>
      </c>
      <c r="I518" s="35" t="s">
        <v>7017</v>
      </c>
      <c r="J518" s="33" t="s">
        <v>1337</v>
      </c>
    </row>
    <row r="519" spans="1:10" x14ac:dyDescent="0.25">
      <c r="A519" s="23" t="s">
        <v>6306</v>
      </c>
      <c r="B519" s="10" t="s">
        <v>6307</v>
      </c>
      <c r="C519" s="23" t="s">
        <v>3766</v>
      </c>
      <c r="D519" s="28" t="s">
        <v>6308</v>
      </c>
      <c r="E519" s="25">
        <v>105</v>
      </c>
      <c r="F519" s="23" t="str">
        <f>VLOOKUP(B519,'[2]справочник кодов нп'!$A:$D,4,0)</f>
        <v>сельские населенные пункты с численностью населения менее 1 000 человек.</v>
      </c>
      <c r="G519" s="27" t="s">
        <v>1448</v>
      </c>
      <c r="H519" s="10" t="s">
        <v>3766</v>
      </c>
      <c r="I519" s="35" t="s">
        <v>7017</v>
      </c>
      <c r="J519" s="33" t="s">
        <v>1337</v>
      </c>
    </row>
    <row r="520" spans="1:10" x14ac:dyDescent="0.25">
      <c r="A520" s="23" t="s">
        <v>6799</v>
      </c>
      <c r="B520" s="10" t="s">
        <v>6800</v>
      </c>
      <c r="C520" s="23" t="s">
        <v>3766</v>
      </c>
      <c r="D520" s="28" t="s">
        <v>6801</v>
      </c>
      <c r="E520" s="25">
        <v>105</v>
      </c>
      <c r="F520" s="23" t="s">
        <v>1447</v>
      </c>
      <c r="G520" s="27" t="s">
        <v>1448</v>
      </c>
      <c r="H520" s="10" t="s">
        <v>3766</v>
      </c>
      <c r="I520" s="35" t="s">
        <v>7017</v>
      </c>
      <c r="J520" s="45" t="s">
        <v>1341</v>
      </c>
    </row>
    <row r="521" spans="1:10" x14ac:dyDescent="0.25">
      <c r="A521" s="23" t="s">
        <v>6883</v>
      </c>
      <c r="B521" s="10" t="s">
        <v>6884</v>
      </c>
      <c r="C521" s="23" t="s">
        <v>3766</v>
      </c>
      <c r="D521" s="28" t="s">
        <v>6846</v>
      </c>
      <c r="E521" s="25">
        <v>105</v>
      </c>
      <c r="F521" s="23" t="str">
        <f>VLOOKUP(B521,'[2]справочник кодов нп'!$A:$D,4,0)</f>
        <v>межселенная территория</v>
      </c>
      <c r="G521" s="27" t="s">
        <v>1448</v>
      </c>
      <c r="H521" s="10" t="s">
        <v>3766</v>
      </c>
      <c r="I521" s="35" t="s">
        <v>7019</v>
      </c>
      <c r="J521" s="33" t="s">
        <v>1337</v>
      </c>
    </row>
    <row r="522" spans="1:10" x14ac:dyDescent="0.25">
      <c r="A522" s="23" t="s">
        <v>1512</v>
      </c>
      <c r="B522" s="10" t="s">
        <v>1513</v>
      </c>
      <c r="C522" s="23" t="s">
        <v>1514</v>
      </c>
      <c r="D522" s="28" t="s">
        <v>1515</v>
      </c>
      <c r="E522" s="25">
        <v>106</v>
      </c>
      <c r="F522" s="23" t="str">
        <f>VLOOKUP(B522,'[2]справочник кодов нп'!$A:$D,4,0)</f>
        <v>городские населенные пункты с численностью населения менее 50 000 человек;</v>
      </c>
      <c r="G522" s="23" t="s">
        <v>1385</v>
      </c>
      <c r="H522" s="10" t="s">
        <v>1514</v>
      </c>
      <c r="I522" s="35" t="s">
        <v>7017</v>
      </c>
      <c r="J522" s="33" t="s">
        <v>1337</v>
      </c>
    </row>
    <row r="523" spans="1:10" x14ac:dyDescent="0.25">
      <c r="A523" s="23" t="s">
        <v>6885</v>
      </c>
      <c r="B523" s="10" t="s">
        <v>6886</v>
      </c>
      <c r="C523" s="23" t="s">
        <v>1514</v>
      </c>
      <c r="D523" s="28" t="s">
        <v>6846</v>
      </c>
      <c r="E523" s="25">
        <v>106</v>
      </c>
      <c r="F523" s="23" t="str">
        <f>VLOOKUP(B523,'[2]справочник кодов нп'!$A:$D,4,0)</f>
        <v>межселенная территория</v>
      </c>
      <c r="G523" s="23" t="s">
        <v>1385</v>
      </c>
      <c r="H523" s="10" t="s">
        <v>1514</v>
      </c>
      <c r="I523" s="35" t="s">
        <v>7019</v>
      </c>
      <c r="J523" s="33" t="s">
        <v>1337</v>
      </c>
    </row>
    <row r="524" spans="1:10" x14ac:dyDescent="0.25">
      <c r="A524" s="23" t="s">
        <v>2529</v>
      </c>
      <c r="B524" s="10" t="s">
        <v>2530</v>
      </c>
      <c r="C524" s="23" t="s">
        <v>2531</v>
      </c>
      <c r="D524" s="28" t="s">
        <v>2532</v>
      </c>
      <c r="E524" s="25">
        <v>106</v>
      </c>
      <c r="F524" s="23" t="str">
        <f>VLOOKUP(B524,'[2]справочник кодов нп'!$A:$D,4,0)</f>
        <v>сельские населенные пункты с численностью населения менее 1 000 человек.</v>
      </c>
      <c r="G524" s="23" t="s">
        <v>1385</v>
      </c>
      <c r="H524" s="10" t="s">
        <v>2531</v>
      </c>
      <c r="I524" s="35" t="s">
        <v>7017</v>
      </c>
      <c r="J524" s="33" t="s">
        <v>1337</v>
      </c>
    </row>
    <row r="525" spans="1:10" x14ac:dyDescent="0.25">
      <c r="A525" s="23" t="s">
        <v>2533</v>
      </c>
      <c r="B525" s="10" t="s">
        <v>2534</v>
      </c>
      <c r="C525" s="23" t="s">
        <v>2531</v>
      </c>
      <c r="D525" s="28" t="s">
        <v>2535</v>
      </c>
      <c r="E525" s="25">
        <v>106</v>
      </c>
      <c r="F525" s="23" t="str">
        <f>VLOOKUP(B525,'[2]справочник кодов нп'!$A:$D,4,0)</f>
        <v>сельские населенные пункты с численностью населения менее 1 000 человек.</v>
      </c>
      <c r="G525" s="23" t="s">
        <v>1385</v>
      </c>
      <c r="H525" s="10" t="s">
        <v>2531</v>
      </c>
      <c r="I525" s="35" t="s">
        <v>7017</v>
      </c>
      <c r="J525" s="33" t="s">
        <v>1337</v>
      </c>
    </row>
    <row r="526" spans="1:10" x14ac:dyDescent="0.25">
      <c r="A526" s="23" t="s">
        <v>2536</v>
      </c>
      <c r="B526" s="10" t="s">
        <v>2537</v>
      </c>
      <c r="C526" s="23" t="s">
        <v>2531</v>
      </c>
      <c r="D526" s="28" t="s">
        <v>2538</v>
      </c>
      <c r="E526" s="25">
        <v>106</v>
      </c>
      <c r="F526" s="23" t="str">
        <f>VLOOKUP(B526,'[2]справочник кодов нп'!$A:$D,4,0)</f>
        <v>сельские населенные пункты с численностью населения менее 1 000 человек.</v>
      </c>
      <c r="G526" s="23" t="s">
        <v>1385</v>
      </c>
      <c r="H526" s="10" t="s">
        <v>2531</v>
      </c>
      <c r="I526" s="35" t="s">
        <v>7017</v>
      </c>
      <c r="J526" s="33" t="s">
        <v>1337</v>
      </c>
    </row>
    <row r="527" spans="1:10" x14ac:dyDescent="0.25">
      <c r="A527" s="23" t="s">
        <v>2539</v>
      </c>
      <c r="B527" s="10" t="s">
        <v>2540</v>
      </c>
      <c r="C527" s="23" t="s">
        <v>2531</v>
      </c>
      <c r="D527" s="28" t="s">
        <v>2541</v>
      </c>
      <c r="E527" s="25">
        <v>106</v>
      </c>
      <c r="F527" s="23" t="str">
        <f>VLOOKUP(B527,'[2]справочник кодов нп'!$A:$D,4,0)</f>
        <v>сельские населенные пункты с численностью населения менее 1 000 человек.</v>
      </c>
      <c r="G527" s="23" t="s">
        <v>1385</v>
      </c>
      <c r="H527" s="10" t="s">
        <v>2531</v>
      </c>
      <c r="I527" s="35" t="s">
        <v>7017</v>
      </c>
      <c r="J527" s="33" t="s">
        <v>1337</v>
      </c>
    </row>
    <row r="528" spans="1:10" x14ac:dyDescent="0.25">
      <c r="A528" s="23" t="s">
        <v>2542</v>
      </c>
      <c r="B528" s="10" t="s">
        <v>2543</v>
      </c>
      <c r="C528" s="23" t="s">
        <v>2531</v>
      </c>
      <c r="D528" s="28" t="s">
        <v>2544</v>
      </c>
      <c r="E528" s="25">
        <v>106</v>
      </c>
      <c r="F528" s="23" t="str">
        <f>VLOOKUP(B528,'[2]справочник кодов нп'!$A:$D,4,0)</f>
        <v>сельские населенные пункты с численностью населения более 1 000 человек;</v>
      </c>
      <c r="G528" s="23" t="s">
        <v>1385</v>
      </c>
      <c r="H528" s="10" t="s">
        <v>2531</v>
      </c>
      <c r="I528" s="35" t="s">
        <v>7017</v>
      </c>
      <c r="J528" s="33" t="s">
        <v>1337</v>
      </c>
    </row>
    <row r="529" spans="1:10" x14ac:dyDescent="0.25">
      <c r="A529" s="23" t="s">
        <v>2545</v>
      </c>
      <c r="B529" s="10" t="s">
        <v>2546</v>
      </c>
      <c r="C529" s="23" t="s">
        <v>2531</v>
      </c>
      <c r="D529" s="28" t="s">
        <v>2547</v>
      </c>
      <c r="E529" s="25">
        <v>106</v>
      </c>
      <c r="F529" s="23" t="str">
        <f>VLOOKUP(B529,'[2]справочник кодов нп'!$A:$D,4,0)</f>
        <v>сельские населенные пункты с численностью населения менее 1 000 человек.</v>
      </c>
      <c r="G529" s="23" t="s">
        <v>1385</v>
      </c>
      <c r="H529" s="10" t="s">
        <v>2531</v>
      </c>
      <c r="I529" s="35" t="s">
        <v>7017</v>
      </c>
      <c r="J529" s="33" t="s">
        <v>1337</v>
      </c>
    </row>
    <row r="530" spans="1:10" x14ac:dyDescent="0.25">
      <c r="A530" s="23" t="s">
        <v>2548</v>
      </c>
      <c r="B530" s="10" t="s">
        <v>2549</v>
      </c>
      <c r="C530" s="23" t="s">
        <v>2531</v>
      </c>
      <c r="D530" s="28" t="s">
        <v>2550</v>
      </c>
      <c r="E530" s="25">
        <v>106</v>
      </c>
      <c r="F530" s="23" t="str">
        <f>VLOOKUP(B530,'[2]справочник кодов нп'!$A:$D,4,0)</f>
        <v>сельские населенные пункты с численностью населения менее 1 000 человек.</v>
      </c>
      <c r="G530" s="23" t="s">
        <v>1385</v>
      </c>
      <c r="H530" s="10" t="s">
        <v>2531</v>
      </c>
      <c r="I530" s="35" t="s">
        <v>7017</v>
      </c>
      <c r="J530" s="33" t="s">
        <v>1337</v>
      </c>
    </row>
    <row r="531" spans="1:10" x14ac:dyDescent="0.25">
      <c r="A531" s="23" t="s">
        <v>2551</v>
      </c>
      <c r="B531" s="10" t="s">
        <v>2552</v>
      </c>
      <c r="C531" s="23" t="s">
        <v>2531</v>
      </c>
      <c r="D531" s="28" t="s">
        <v>2553</v>
      </c>
      <c r="E531" s="25">
        <v>106</v>
      </c>
      <c r="F531" s="23" t="str">
        <f>VLOOKUP(B531,'[2]справочник кодов нп'!$A:$D,4,0)</f>
        <v>сельские населенные пункты с численностью населения менее 1 000 человек.</v>
      </c>
      <c r="G531" s="23" t="s">
        <v>1385</v>
      </c>
      <c r="H531" s="10" t="s">
        <v>2531</v>
      </c>
      <c r="I531" s="35" t="s">
        <v>7017</v>
      </c>
      <c r="J531" s="33" t="s">
        <v>1337</v>
      </c>
    </row>
    <row r="532" spans="1:10" x14ac:dyDescent="0.25">
      <c r="A532" s="23" t="s">
        <v>2554</v>
      </c>
      <c r="B532" s="10" t="s">
        <v>2555</v>
      </c>
      <c r="C532" s="23" t="s">
        <v>2531</v>
      </c>
      <c r="D532" s="28" t="s">
        <v>2279</v>
      </c>
      <c r="E532" s="25">
        <v>106</v>
      </c>
      <c r="F532" s="23" t="str">
        <f>VLOOKUP(B532,'[2]справочник кодов нп'!$A:$D,4,0)</f>
        <v>сельские населенные пункты с численностью населения менее 1 000 человек.</v>
      </c>
      <c r="G532" s="23" t="s">
        <v>1385</v>
      </c>
      <c r="H532" s="10" t="s">
        <v>2531</v>
      </c>
      <c r="I532" s="35" t="s">
        <v>7017</v>
      </c>
      <c r="J532" s="33" t="s">
        <v>1337</v>
      </c>
    </row>
    <row r="533" spans="1:10" x14ac:dyDescent="0.25">
      <c r="A533" s="23" t="s">
        <v>2556</v>
      </c>
      <c r="B533" s="10" t="s">
        <v>2557</v>
      </c>
      <c r="C533" s="23" t="s">
        <v>2531</v>
      </c>
      <c r="D533" s="28" t="s">
        <v>2558</v>
      </c>
      <c r="E533" s="25">
        <v>106</v>
      </c>
      <c r="F533" s="23" t="str">
        <f>VLOOKUP(B533,'[2]справочник кодов нп'!$A:$D,4,0)</f>
        <v>сельские населенные пункты с численностью населения менее 1 000 человек.</v>
      </c>
      <c r="G533" s="23" t="s">
        <v>1385</v>
      </c>
      <c r="H533" s="10" t="s">
        <v>2531</v>
      </c>
      <c r="I533" s="35" t="s">
        <v>7017</v>
      </c>
      <c r="J533" s="33" t="s">
        <v>1337</v>
      </c>
    </row>
    <row r="534" spans="1:10" x14ac:dyDescent="0.25">
      <c r="A534" s="23" t="s">
        <v>2559</v>
      </c>
      <c r="B534" s="10" t="s">
        <v>2560</v>
      </c>
      <c r="C534" s="23" t="s">
        <v>2531</v>
      </c>
      <c r="D534" s="28" t="s">
        <v>2561</v>
      </c>
      <c r="E534" s="25">
        <v>106</v>
      </c>
      <c r="F534" s="23" t="str">
        <f>VLOOKUP(B534,'[2]справочник кодов нп'!$A:$D,4,0)</f>
        <v>сельские населенные пункты с численностью населения менее 1 000 человек.</v>
      </c>
      <c r="G534" s="23" t="s">
        <v>1385</v>
      </c>
      <c r="H534" s="10" t="s">
        <v>2531</v>
      </c>
      <c r="I534" s="35" t="s">
        <v>7017</v>
      </c>
      <c r="J534" s="33" t="s">
        <v>1337</v>
      </c>
    </row>
    <row r="535" spans="1:10" x14ac:dyDescent="0.25">
      <c r="A535" s="23" t="s">
        <v>2562</v>
      </c>
      <c r="B535" s="10" t="s">
        <v>2563</v>
      </c>
      <c r="C535" s="23" t="s">
        <v>2531</v>
      </c>
      <c r="D535" s="28" t="s">
        <v>2564</v>
      </c>
      <c r="E535" s="25">
        <v>106</v>
      </c>
      <c r="F535" s="23" t="str">
        <f>VLOOKUP(B535,'[2]справочник кодов нп'!$A:$D,4,0)</f>
        <v>сельские населенные пункты с численностью населения менее 1 000 человек.</v>
      </c>
      <c r="G535" s="23" t="s">
        <v>1385</v>
      </c>
      <c r="H535" s="10" t="s">
        <v>2531</v>
      </c>
      <c r="I535" s="35" t="s">
        <v>7017</v>
      </c>
      <c r="J535" s="33" t="s">
        <v>1337</v>
      </c>
    </row>
    <row r="536" spans="1:10" x14ac:dyDescent="0.25">
      <c r="A536" s="23" t="s">
        <v>2565</v>
      </c>
      <c r="B536" s="10" t="s">
        <v>2566</v>
      </c>
      <c r="C536" s="23" t="s">
        <v>2531</v>
      </c>
      <c r="D536" s="28" t="s">
        <v>2567</v>
      </c>
      <c r="E536" s="25">
        <v>106</v>
      </c>
      <c r="F536" s="23" t="str">
        <f>VLOOKUP(B536,'[2]справочник кодов нп'!$A:$D,4,0)</f>
        <v>сельские населенные пункты с численностью населения менее 1 000 человек.</v>
      </c>
      <c r="G536" s="23" t="s">
        <v>1385</v>
      </c>
      <c r="H536" s="10" t="s">
        <v>2531</v>
      </c>
      <c r="I536" s="35" t="s">
        <v>7017</v>
      </c>
      <c r="J536" s="33" t="s">
        <v>1337</v>
      </c>
    </row>
    <row r="537" spans="1:10" x14ac:dyDescent="0.25">
      <c r="A537" s="23" t="s">
        <v>2568</v>
      </c>
      <c r="B537" s="10" t="s">
        <v>2569</v>
      </c>
      <c r="C537" s="23" t="s">
        <v>2531</v>
      </c>
      <c r="D537" s="28" t="s">
        <v>2570</v>
      </c>
      <c r="E537" s="25">
        <v>106</v>
      </c>
      <c r="F537" s="23" t="str">
        <f>VLOOKUP(B537,'[2]справочник кодов нп'!$A:$D,4,0)</f>
        <v>сельские населенные пункты с численностью населения менее 1 000 человек.</v>
      </c>
      <c r="G537" s="23" t="s">
        <v>1385</v>
      </c>
      <c r="H537" s="10" t="s">
        <v>2531</v>
      </c>
      <c r="I537" s="35" t="s">
        <v>7017</v>
      </c>
      <c r="J537" s="33" t="s">
        <v>1337</v>
      </c>
    </row>
    <row r="538" spans="1:10" x14ac:dyDescent="0.25">
      <c r="A538" s="23" t="s">
        <v>2571</v>
      </c>
      <c r="B538" s="10" t="s">
        <v>2572</v>
      </c>
      <c r="C538" s="23" t="s">
        <v>2531</v>
      </c>
      <c r="D538" s="28" t="s">
        <v>2573</v>
      </c>
      <c r="E538" s="25">
        <v>106</v>
      </c>
      <c r="F538" s="23" t="str">
        <f>VLOOKUP(B538,'[2]справочник кодов нп'!$A:$D,4,0)</f>
        <v>сельские населенные пункты с численностью населения менее 1 000 человек.</v>
      </c>
      <c r="G538" s="23" t="s">
        <v>1385</v>
      </c>
      <c r="H538" s="10" t="s">
        <v>2531</v>
      </c>
      <c r="I538" s="35" t="s">
        <v>7017</v>
      </c>
      <c r="J538" s="33" t="s">
        <v>1337</v>
      </c>
    </row>
    <row r="539" spans="1:10" x14ac:dyDescent="0.25">
      <c r="A539" s="23" t="s">
        <v>2574</v>
      </c>
      <c r="B539" s="10" t="s">
        <v>2575</v>
      </c>
      <c r="C539" s="23" t="s">
        <v>2531</v>
      </c>
      <c r="D539" s="28" t="s">
        <v>2576</v>
      </c>
      <c r="E539" s="25">
        <v>106</v>
      </c>
      <c r="F539" s="23" t="str">
        <f>VLOOKUP(B539,'[2]справочник кодов нп'!$A:$D,4,0)</f>
        <v>сельские населенные пункты с численностью населения менее 1 000 человек.</v>
      </c>
      <c r="G539" s="23" t="s">
        <v>1385</v>
      </c>
      <c r="H539" s="10" t="s">
        <v>2531</v>
      </c>
      <c r="I539" s="35" t="s">
        <v>7017</v>
      </c>
      <c r="J539" s="33" t="s">
        <v>1337</v>
      </c>
    </row>
    <row r="540" spans="1:10" x14ac:dyDescent="0.25">
      <c r="A540" s="23" t="s">
        <v>2577</v>
      </c>
      <c r="B540" s="10" t="s">
        <v>2578</v>
      </c>
      <c r="C540" s="23" t="s">
        <v>2531</v>
      </c>
      <c r="D540" s="28" t="s">
        <v>2579</v>
      </c>
      <c r="E540" s="25">
        <v>106</v>
      </c>
      <c r="F540" s="23" t="str">
        <f>VLOOKUP(B540,'[2]справочник кодов нп'!$A:$D,4,0)</f>
        <v>сельские населенные пункты с численностью населения менее 1 000 человек.</v>
      </c>
      <c r="G540" s="23" t="s">
        <v>1385</v>
      </c>
      <c r="H540" s="10" t="s">
        <v>2531</v>
      </c>
      <c r="I540" s="35" t="s">
        <v>7017</v>
      </c>
      <c r="J540" s="33" t="s">
        <v>1337</v>
      </c>
    </row>
    <row r="541" spans="1:10" x14ac:dyDescent="0.25">
      <c r="A541" s="23" t="s">
        <v>2580</v>
      </c>
      <c r="B541" s="10" t="s">
        <v>2581</v>
      </c>
      <c r="C541" s="23" t="s">
        <v>2531</v>
      </c>
      <c r="D541" s="28" t="s">
        <v>2582</v>
      </c>
      <c r="E541" s="25">
        <v>106</v>
      </c>
      <c r="F541" s="23" t="str">
        <f>VLOOKUP(B541,'[2]справочник кодов нп'!$A:$D,4,0)</f>
        <v>сельские населенные пункты с численностью населения менее 1 000 человек.</v>
      </c>
      <c r="G541" s="23" t="s">
        <v>1385</v>
      </c>
      <c r="H541" s="10" t="s">
        <v>2531</v>
      </c>
      <c r="I541" s="35" t="s">
        <v>7017</v>
      </c>
      <c r="J541" s="33" t="s">
        <v>1337</v>
      </c>
    </row>
    <row r="542" spans="1:10" x14ac:dyDescent="0.25">
      <c r="A542" s="23" t="s">
        <v>2583</v>
      </c>
      <c r="B542" s="10" t="s">
        <v>2584</v>
      </c>
      <c r="C542" s="23" t="s">
        <v>2531</v>
      </c>
      <c r="D542" s="28" t="s">
        <v>2585</v>
      </c>
      <c r="E542" s="25">
        <v>106</v>
      </c>
      <c r="F542" s="23" t="str">
        <f>VLOOKUP(B542,'[2]справочник кодов нп'!$A:$D,4,0)</f>
        <v>сельские населенные пункты с численностью населения менее 1 000 человек.</v>
      </c>
      <c r="G542" s="23" t="s">
        <v>1385</v>
      </c>
      <c r="H542" s="10" t="s">
        <v>2531</v>
      </c>
      <c r="I542" s="35" t="s">
        <v>7017</v>
      </c>
      <c r="J542" s="33" t="s">
        <v>1337</v>
      </c>
    </row>
    <row r="543" spans="1:10" x14ac:dyDescent="0.25">
      <c r="A543" s="23" t="s">
        <v>2586</v>
      </c>
      <c r="B543" s="10" t="s">
        <v>2587</v>
      </c>
      <c r="C543" s="23" t="s">
        <v>2531</v>
      </c>
      <c r="D543" s="28" t="s">
        <v>2588</v>
      </c>
      <c r="E543" s="25">
        <v>106</v>
      </c>
      <c r="F543" s="23" t="str">
        <f>VLOOKUP(B543,'[2]справочник кодов нп'!$A:$D,4,0)</f>
        <v>сельские населенные пункты с численностью населения менее 1 000 человек.</v>
      </c>
      <c r="G543" s="23" t="s">
        <v>1385</v>
      </c>
      <c r="H543" s="10" t="s">
        <v>2531</v>
      </c>
      <c r="I543" s="35" t="s">
        <v>7017</v>
      </c>
      <c r="J543" s="33" t="s">
        <v>1337</v>
      </c>
    </row>
    <row r="544" spans="1:10" x14ac:dyDescent="0.25">
      <c r="A544" s="23" t="s">
        <v>2589</v>
      </c>
      <c r="B544" s="10" t="s">
        <v>2590</v>
      </c>
      <c r="C544" s="23" t="s">
        <v>2531</v>
      </c>
      <c r="D544" s="28" t="s">
        <v>2591</v>
      </c>
      <c r="E544" s="25">
        <v>106</v>
      </c>
      <c r="F544" s="23" t="str">
        <f>VLOOKUP(B544,'[2]справочник кодов нп'!$A:$D,4,0)</f>
        <v>сельские населенные пункты с численностью населения менее 1 000 человек.</v>
      </c>
      <c r="G544" s="23" t="s">
        <v>1385</v>
      </c>
      <c r="H544" s="10" t="s">
        <v>2531</v>
      </c>
      <c r="I544" s="35" t="s">
        <v>7017</v>
      </c>
      <c r="J544" s="33" t="s">
        <v>1337</v>
      </c>
    </row>
    <row r="545" spans="1:10" x14ac:dyDescent="0.25">
      <c r="A545" s="23" t="s">
        <v>2592</v>
      </c>
      <c r="B545" s="10" t="s">
        <v>2593</v>
      </c>
      <c r="C545" s="23" t="s">
        <v>2531</v>
      </c>
      <c r="D545" s="28" t="s">
        <v>2594</v>
      </c>
      <c r="E545" s="25">
        <v>106</v>
      </c>
      <c r="F545" s="23" t="str">
        <f>VLOOKUP(B545,'[2]справочник кодов нп'!$A:$D,4,0)</f>
        <v>сельские населенные пункты с численностью населения менее 1 000 человек.</v>
      </c>
      <c r="G545" s="23" t="s">
        <v>1385</v>
      </c>
      <c r="H545" s="10" t="s">
        <v>2531</v>
      </c>
      <c r="I545" s="35" t="s">
        <v>7017</v>
      </c>
      <c r="J545" s="33" t="s">
        <v>1337</v>
      </c>
    </row>
    <row r="546" spans="1:10" x14ac:dyDescent="0.25">
      <c r="A546" s="23" t="s">
        <v>2595</v>
      </c>
      <c r="B546" s="10" t="s">
        <v>2596</v>
      </c>
      <c r="C546" s="23" t="s">
        <v>2531</v>
      </c>
      <c r="D546" s="28" t="s">
        <v>2597</v>
      </c>
      <c r="E546" s="25">
        <v>106</v>
      </c>
      <c r="F546" s="23" t="str">
        <f>VLOOKUP(B546,'[2]справочник кодов нп'!$A:$D,4,0)</f>
        <v>сельские населенные пункты с численностью населения менее 1 000 человек.</v>
      </c>
      <c r="G546" s="23" t="s">
        <v>1385</v>
      </c>
      <c r="H546" s="10" t="s">
        <v>2531</v>
      </c>
      <c r="I546" s="35" t="s">
        <v>7017</v>
      </c>
      <c r="J546" s="33" t="s">
        <v>1337</v>
      </c>
    </row>
    <row r="547" spans="1:10" x14ac:dyDescent="0.25">
      <c r="A547" s="23" t="s">
        <v>2598</v>
      </c>
      <c r="B547" s="10" t="s">
        <v>2599</v>
      </c>
      <c r="C547" s="23" t="s">
        <v>2531</v>
      </c>
      <c r="D547" s="28" t="s">
        <v>2600</v>
      </c>
      <c r="E547" s="25">
        <v>106</v>
      </c>
      <c r="F547" s="23" t="str">
        <f>VLOOKUP(B547,'[2]справочник кодов нп'!$A:$D,4,0)</f>
        <v>сельские населенные пункты с численностью населения менее 1 000 человек.</v>
      </c>
      <c r="G547" s="23" t="s">
        <v>1385</v>
      </c>
      <c r="H547" s="10" t="s">
        <v>2531</v>
      </c>
      <c r="I547" s="35" t="s">
        <v>7017</v>
      </c>
      <c r="J547" s="33" t="s">
        <v>1337</v>
      </c>
    </row>
    <row r="548" spans="1:10" x14ac:dyDescent="0.25">
      <c r="A548" s="23" t="s">
        <v>2601</v>
      </c>
      <c r="B548" s="10" t="s">
        <v>2602</v>
      </c>
      <c r="C548" s="23" t="s">
        <v>2531</v>
      </c>
      <c r="D548" s="28" t="s">
        <v>2603</v>
      </c>
      <c r="E548" s="25">
        <v>106</v>
      </c>
      <c r="F548" s="23" t="str">
        <f>VLOOKUP(B548,'[2]справочник кодов нп'!$A:$D,4,0)</f>
        <v>сельские населенные пункты с численностью населения менее 1 000 человек.</v>
      </c>
      <c r="G548" s="23" t="s">
        <v>1385</v>
      </c>
      <c r="H548" s="10" t="s">
        <v>2531</v>
      </c>
      <c r="I548" s="35" t="s">
        <v>7017</v>
      </c>
      <c r="J548" s="33" t="s">
        <v>1337</v>
      </c>
    </row>
    <row r="549" spans="1:10" x14ac:dyDescent="0.25">
      <c r="A549" s="23" t="s">
        <v>2604</v>
      </c>
      <c r="B549" s="10" t="s">
        <v>2605</v>
      </c>
      <c r="C549" s="23" t="s">
        <v>2531</v>
      </c>
      <c r="D549" s="28" t="s">
        <v>2606</v>
      </c>
      <c r="E549" s="25">
        <v>106</v>
      </c>
      <c r="F549" s="23" t="str">
        <f>VLOOKUP(B549,'[2]справочник кодов нп'!$A:$D,4,0)</f>
        <v>сельские населенные пункты с численностью населения менее 1 000 человек.</v>
      </c>
      <c r="G549" s="23" t="s">
        <v>1385</v>
      </c>
      <c r="H549" s="10" t="s">
        <v>2531</v>
      </c>
      <c r="I549" s="35" t="s">
        <v>7017</v>
      </c>
      <c r="J549" s="33" t="s">
        <v>1337</v>
      </c>
    </row>
    <row r="550" spans="1:10" x14ac:dyDescent="0.25">
      <c r="A550" s="23" t="s">
        <v>2607</v>
      </c>
      <c r="B550" s="10" t="s">
        <v>2608</v>
      </c>
      <c r="C550" s="23" t="s">
        <v>2531</v>
      </c>
      <c r="D550" s="28" t="s">
        <v>2609</v>
      </c>
      <c r="E550" s="25">
        <v>106</v>
      </c>
      <c r="F550" s="23" t="str">
        <f>VLOOKUP(B550,'[2]справочник кодов нп'!$A:$D,4,0)</f>
        <v>сельские населенные пункты с численностью населения менее 1 000 человек.</v>
      </c>
      <c r="G550" s="23" t="s">
        <v>1385</v>
      </c>
      <c r="H550" s="10" t="s">
        <v>2531</v>
      </c>
      <c r="I550" s="35" t="s">
        <v>7017</v>
      </c>
      <c r="J550" s="33" t="s">
        <v>1337</v>
      </c>
    </row>
    <row r="551" spans="1:10" x14ac:dyDescent="0.25">
      <c r="A551" s="23" t="s">
        <v>2610</v>
      </c>
      <c r="B551" s="10" t="s">
        <v>2611</v>
      </c>
      <c r="C551" s="23" t="s">
        <v>2531</v>
      </c>
      <c r="D551" s="28" t="s">
        <v>2612</v>
      </c>
      <c r="E551" s="25">
        <v>106</v>
      </c>
      <c r="F551" s="23" t="str">
        <f>VLOOKUP(B551,'[2]справочник кодов нп'!$A:$D,4,0)</f>
        <v>сельские населенные пункты с численностью населения менее 1 000 человек.</v>
      </c>
      <c r="G551" s="23" t="s">
        <v>1385</v>
      </c>
      <c r="H551" s="10" t="s">
        <v>2531</v>
      </c>
      <c r="I551" s="35" t="s">
        <v>7017</v>
      </c>
      <c r="J551" s="33" t="s">
        <v>1337</v>
      </c>
    </row>
    <row r="552" spans="1:10" x14ac:dyDescent="0.25">
      <c r="A552" s="23" t="s">
        <v>2613</v>
      </c>
      <c r="B552" s="10" t="s">
        <v>2614</v>
      </c>
      <c r="C552" s="23" t="s">
        <v>2531</v>
      </c>
      <c r="D552" s="28" t="s">
        <v>2615</v>
      </c>
      <c r="E552" s="25">
        <v>106</v>
      </c>
      <c r="F552" s="23" t="str">
        <f>VLOOKUP(B552,'[2]справочник кодов нп'!$A:$D,4,0)</f>
        <v>сельские населенные пункты с численностью населения менее 1 000 человек.</v>
      </c>
      <c r="G552" s="23" t="s">
        <v>1385</v>
      </c>
      <c r="H552" s="10" t="s">
        <v>2531</v>
      </c>
      <c r="I552" s="35" t="s">
        <v>7017</v>
      </c>
      <c r="J552" s="33" t="s">
        <v>1337</v>
      </c>
    </row>
    <row r="553" spans="1:10" x14ac:dyDescent="0.25">
      <c r="A553" s="23" t="s">
        <v>2616</v>
      </c>
      <c r="B553" s="10" t="s">
        <v>2617</v>
      </c>
      <c r="C553" s="23" t="s">
        <v>2531</v>
      </c>
      <c r="D553" s="28" t="s">
        <v>2618</v>
      </c>
      <c r="E553" s="25">
        <v>106</v>
      </c>
      <c r="F553" s="23" t="str">
        <f>VLOOKUP(B553,'[2]справочник кодов нп'!$A:$D,4,0)</f>
        <v>сельские населенные пункты с численностью населения менее 1 000 человек.</v>
      </c>
      <c r="G553" s="23" t="s">
        <v>1385</v>
      </c>
      <c r="H553" s="10" t="s">
        <v>2531</v>
      </c>
      <c r="I553" s="35" t="s">
        <v>7017</v>
      </c>
      <c r="J553" s="33" t="s">
        <v>1337</v>
      </c>
    </row>
    <row r="554" spans="1:10" x14ac:dyDescent="0.25">
      <c r="A554" s="23" t="s">
        <v>5021</v>
      </c>
      <c r="B554" s="10" t="s">
        <v>5022</v>
      </c>
      <c r="C554" s="23" t="s">
        <v>2531</v>
      </c>
      <c r="D554" s="28" t="s">
        <v>5023</v>
      </c>
      <c r="E554" s="25">
        <v>106</v>
      </c>
      <c r="F554" s="23" t="str">
        <f>VLOOKUP(B554,'[2]справочник кодов нп'!$A:$D,4,0)</f>
        <v>сельские населенные пункты с численностью населения менее 1 000 человек.</v>
      </c>
      <c r="G554" s="23" t="s">
        <v>1385</v>
      </c>
      <c r="H554" s="10" t="s">
        <v>2531</v>
      </c>
      <c r="I554" s="35" t="s">
        <v>7017</v>
      </c>
      <c r="J554" s="33" t="s">
        <v>1337</v>
      </c>
    </row>
    <row r="555" spans="1:10" x14ac:dyDescent="0.25">
      <c r="A555" s="23" t="s">
        <v>5024</v>
      </c>
      <c r="B555" s="10" t="s">
        <v>5025</v>
      </c>
      <c r="C555" s="23" t="s">
        <v>2531</v>
      </c>
      <c r="D555" s="28" t="s">
        <v>5026</v>
      </c>
      <c r="E555" s="25">
        <v>106</v>
      </c>
      <c r="F555" s="23" t="str">
        <f>VLOOKUP(B555,'[2]справочник кодов нп'!$A:$D,4,0)</f>
        <v>сельские населенные пункты с численностью населения менее 1 000 человек.</v>
      </c>
      <c r="G555" s="23" t="s">
        <v>1385</v>
      </c>
      <c r="H555" s="10" t="s">
        <v>2531</v>
      </c>
      <c r="I555" s="35" t="s">
        <v>7017</v>
      </c>
      <c r="J555" s="33" t="s">
        <v>1337</v>
      </c>
    </row>
    <row r="556" spans="1:10" x14ac:dyDescent="0.25">
      <c r="A556" s="23" t="s">
        <v>5027</v>
      </c>
      <c r="B556" s="10" t="s">
        <v>5028</v>
      </c>
      <c r="C556" s="23" t="s">
        <v>2531</v>
      </c>
      <c r="D556" s="28" t="s">
        <v>5029</v>
      </c>
      <c r="E556" s="25">
        <v>106</v>
      </c>
      <c r="F556" s="23" t="str">
        <f>VLOOKUP(B556,'[2]справочник кодов нп'!$A:$D,4,0)</f>
        <v>сельские населенные пункты с численностью населения менее 1 000 человек.</v>
      </c>
      <c r="G556" s="23" t="s">
        <v>1385</v>
      </c>
      <c r="H556" s="10" t="s">
        <v>2531</v>
      </c>
      <c r="I556" s="35" t="s">
        <v>7017</v>
      </c>
      <c r="J556" s="33" t="s">
        <v>1337</v>
      </c>
    </row>
    <row r="557" spans="1:10" x14ac:dyDescent="0.25">
      <c r="A557" s="23" t="s">
        <v>5448</v>
      </c>
      <c r="B557" s="10" t="s">
        <v>5449</v>
      </c>
      <c r="C557" s="23" t="s">
        <v>2531</v>
      </c>
      <c r="D557" s="28" t="s">
        <v>5450</v>
      </c>
      <c r="E557" s="25">
        <v>106</v>
      </c>
      <c r="F557" s="23" t="str">
        <f>VLOOKUP(B557,'[2]справочник кодов нп'!$A:$D,4,0)</f>
        <v>сельские населенные пункты с численностью населения менее 1 000 человек.</v>
      </c>
      <c r="G557" s="23" t="s">
        <v>1385</v>
      </c>
      <c r="H557" s="10" t="s">
        <v>2531</v>
      </c>
      <c r="I557" s="35" t="s">
        <v>7017</v>
      </c>
      <c r="J557" s="33" t="s">
        <v>1337</v>
      </c>
    </row>
    <row r="558" spans="1:10" x14ac:dyDescent="0.25">
      <c r="A558" s="23" t="s">
        <v>5688</v>
      </c>
      <c r="B558" s="10" t="s">
        <v>5689</v>
      </c>
      <c r="C558" s="23" t="s">
        <v>2531</v>
      </c>
      <c r="D558" s="28" t="s">
        <v>5690</v>
      </c>
      <c r="E558" s="25">
        <v>106</v>
      </c>
      <c r="F558" s="23" t="str">
        <f>VLOOKUP(B558,'[2]справочник кодов нп'!$A:$D,4,0)</f>
        <v>сельские населенные пункты с численностью населения менее 1 000 человек.</v>
      </c>
      <c r="G558" s="23" t="s">
        <v>1385</v>
      </c>
      <c r="H558" s="10" t="s">
        <v>2531</v>
      </c>
      <c r="I558" s="35" t="s">
        <v>7017</v>
      </c>
      <c r="J558" s="33" t="s">
        <v>1337</v>
      </c>
    </row>
    <row r="559" spans="1:10" x14ac:dyDescent="0.25">
      <c r="A559" s="23" t="s">
        <v>5691</v>
      </c>
      <c r="B559" s="10" t="s">
        <v>5692</v>
      </c>
      <c r="C559" s="23" t="s">
        <v>2531</v>
      </c>
      <c r="D559" s="28" t="s">
        <v>5693</v>
      </c>
      <c r="E559" s="25">
        <v>106</v>
      </c>
      <c r="F559" s="23" t="str">
        <f>VLOOKUP(B559,'[2]справочник кодов нп'!$A:$D,4,0)</f>
        <v>сельские населенные пункты с численностью населения менее 1 000 человек.</v>
      </c>
      <c r="G559" s="23" t="s">
        <v>1385</v>
      </c>
      <c r="H559" s="10" t="s">
        <v>2531</v>
      </c>
      <c r="I559" s="35" t="s">
        <v>7017</v>
      </c>
      <c r="J559" s="33" t="s">
        <v>1337</v>
      </c>
    </row>
    <row r="560" spans="1:10" x14ac:dyDescent="0.25">
      <c r="A560" s="23" t="s">
        <v>5694</v>
      </c>
      <c r="B560" s="10" t="s">
        <v>5695</v>
      </c>
      <c r="C560" s="23" t="s">
        <v>2531</v>
      </c>
      <c r="D560" s="28" t="s">
        <v>5050</v>
      </c>
      <c r="E560" s="25">
        <v>106</v>
      </c>
      <c r="F560" s="23" t="str">
        <f>VLOOKUP(B560,'[2]справочник кодов нп'!$A:$D,4,0)</f>
        <v>сельские населенные пункты с численностью населения менее 1 000 человек.</v>
      </c>
      <c r="G560" s="23" t="s">
        <v>1385</v>
      </c>
      <c r="H560" s="10" t="s">
        <v>2531</v>
      </c>
      <c r="I560" s="35" t="s">
        <v>7017</v>
      </c>
      <c r="J560" s="33" t="s">
        <v>1337</v>
      </c>
    </row>
    <row r="561" spans="1:10" x14ac:dyDescent="0.25">
      <c r="A561" s="23" t="s">
        <v>5696</v>
      </c>
      <c r="B561" s="10" t="s">
        <v>5697</v>
      </c>
      <c r="C561" s="23" t="s">
        <v>2531</v>
      </c>
      <c r="D561" s="28" t="s">
        <v>2679</v>
      </c>
      <c r="E561" s="25">
        <v>106</v>
      </c>
      <c r="F561" s="23" t="str">
        <f>VLOOKUP(B561,'[2]справочник кодов нп'!$A:$D,4,0)</f>
        <v>сельские населенные пункты с численностью населения менее 1 000 человек.</v>
      </c>
      <c r="G561" s="23" t="s">
        <v>1385</v>
      </c>
      <c r="H561" s="10" t="s">
        <v>2531</v>
      </c>
      <c r="I561" s="35" t="s">
        <v>7017</v>
      </c>
      <c r="J561" s="33" t="s">
        <v>1337</v>
      </c>
    </row>
    <row r="562" spans="1:10" x14ac:dyDescent="0.25">
      <c r="A562" s="23" t="s">
        <v>5698</v>
      </c>
      <c r="B562" s="10" t="s">
        <v>5699</v>
      </c>
      <c r="C562" s="23" t="s">
        <v>2531</v>
      </c>
      <c r="D562" s="28" t="s">
        <v>5700</v>
      </c>
      <c r="E562" s="25">
        <v>106</v>
      </c>
      <c r="F562" s="23" t="str">
        <f>VLOOKUP(B562,'[2]справочник кодов нп'!$A:$D,4,0)</f>
        <v>сельские населенные пункты с численностью населения менее 1 000 человек.</v>
      </c>
      <c r="G562" s="23" t="s">
        <v>1385</v>
      </c>
      <c r="H562" s="10" t="s">
        <v>2531</v>
      </c>
      <c r="I562" s="35" t="s">
        <v>7017</v>
      </c>
      <c r="J562" s="33" t="s">
        <v>1337</v>
      </c>
    </row>
    <row r="563" spans="1:10" x14ac:dyDescent="0.25">
      <c r="A563" s="23" t="s">
        <v>5701</v>
      </c>
      <c r="B563" s="10" t="s">
        <v>5702</v>
      </c>
      <c r="C563" s="23" t="s">
        <v>2531</v>
      </c>
      <c r="D563" s="28" t="s">
        <v>4758</v>
      </c>
      <c r="E563" s="25">
        <v>106</v>
      </c>
      <c r="F563" s="23" t="str">
        <f>VLOOKUP(B563,'[2]справочник кодов нп'!$A:$D,4,0)</f>
        <v>сельские населенные пункты с численностью населения менее 1 000 человек.</v>
      </c>
      <c r="G563" s="23" t="s">
        <v>1385</v>
      </c>
      <c r="H563" s="10" t="s">
        <v>2531</v>
      </c>
      <c r="I563" s="35" t="s">
        <v>7017</v>
      </c>
      <c r="J563" s="33" t="s">
        <v>1337</v>
      </c>
    </row>
    <row r="564" spans="1:10" x14ac:dyDescent="0.25">
      <c r="A564" s="23" t="s">
        <v>5703</v>
      </c>
      <c r="B564" s="10" t="s">
        <v>5704</v>
      </c>
      <c r="C564" s="23" t="s">
        <v>2531</v>
      </c>
      <c r="D564" s="28" t="s">
        <v>5705</v>
      </c>
      <c r="E564" s="25">
        <v>106</v>
      </c>
      <c r="F564" s="23" t="str">
        <f>VLOOKUP(B564,'[2]справочник кодов нп'!$A:$D,4,0)</f>
        <v>сельские населенные пункты с численностью населения менее 1 000 человек.</v>
      </c>
      <c r="G564" s="23" t="s">
        <v>1385</v>
      </c>
      <c r="H564" s="10" t="s">
        <v>2531</v>
      </c>
      <c r="I564" s="35" t="s">
        <v>7017</v>
      </c>
      <c r="J564" s="33" t="s">
        <v>1337</v>
      </c>
    </row>
    <row r="565" spans="1:10" x14ac:dyDescent="0.25">
      <c r="A565" s="23" t="s">
        <v>6700</v>
      </c>
      <c r="B565" s="10" t="s">
        <v>6701</v>
      </c>
      <c r="C565" s="23" t="s">
        <v>2531</v>
      </c>
      <c r="D565" s="28" t="s">
        <v>2685</v>
      </c>
      <c r="E565" s="25">
        <v>106</v>
      </c>
      <c r="F565" s="23" t="str">
        <f>VLOOKUP(B565,'[2]справочник кодов нп'!$A:$D,4,0)</f>
        <v>сельские населенные пункты с численностью населения менее 1 000 человек.</v>
      </c>
      <c r="G565" s="23" t="s">
        <v>1385</v>
      </c>
      <c r="H565" s="10" t="s">
        <v>2531</v>
      </c>
      <c r="I565" s="35" t="s">
        <v>7017</v>
      </c>
      <c r="J565" s="33" t="s">
        <v>1337</v>
      </c>
    </row>
    <row r="566" spans="1:10" x14ac:dyDescent="0.25">
      <c r="A566" s="23" t="s">
        <v>6764</v>
      </c>
      <c r="B566" s="10" t="s">
        <v>6765</v>
      </c>
      <c r="C566" s="23" t="s">
        <v>2531</v>
      </c>
      <c r="D566" s="28" t="s">
        <v>6766</v>
      </c>
      <c r="E566" s="25">
        <v>106</v>
      </c>
      <c r="F566" s="23" t="str">
        <f>VLOOKUP(B566,'[2]справочник кодов нп'!$A:$D,4,0)</f>
        <v>сельские населенные пункты с численностью населения менее 1 000 человек.</v>
      </c>
      <c r="G566" s="23" t="s">
        <v>1385</v>
      </c>
      <c r="H566" s="10" t="s">
        <v>2531</v>
      </c>
      <c r="I566" s="35" t="s">
        <v>7017</v>
      </c>
      <c r="J566" s="33" t="s">
        <v>1337</v>
      </c>
    </row>
    <row r="567" spans="1:10" x14ac:dyDescent="0.25">
      <c r="A567" s="23" t="s">
        <v>6784</v>
      </c>
      <c r="B567" s="10" t="s">
        <v>6785</v>
      </c>
      <c r="C567" s="23" t="s">
        <v>2531</v>
      </c>
      <c r="D567" s="28" t="s">
        <v>6786</v>
      </c>
      <c r="E567" s="25">
        <v>106</v>
      </c>
      <c r="F567" s="23" t="str">
        <f>VLOOKUP(B567,'[2]справочник кодов нп'!$A:$D,4,0)</f>
        <v>городские населенные пункты с численностью населения менее 50 000 человек;</v>
      </c>
      <c r="G567" s="23" t="s">
        <v>1385</v>
      </c>
      <c r="H567" s="10" t="s">
        <v>2531</v>
      </c>
      <c r="I567" s="35" t="s">
        <v>7017</v>
      </c>
      <c r="J567" s="33" t="s">
        <v>1337</v>
      </c>
    </row>
    <row r="568" spans="1:10" x14ac:dyDescent="0.25">
      <c r="A568" s="23" t="s">
        <v>6887</v>
      </c>
      <c r="B568" s="10" t="s">
        <v>6888</v>
      </c>
      <c r="C568" s="23" t="s">
        <v>2531</v>
      </c>
      <c r="D568" s="28" t="s">
        <v>6846</v>
      </c>
      <c r="E568" s="25">
        <v>106</v>
      </c>
      <c r="F568" s="23" t="str">
        <f>VLOOKUP(B568,'[2]справочник кодов нп'!$A:$D,4,0)</f>
        <v>межселенная территория</v>
      </c>
      <c r="G568" s="23" t="s">
        <v>1385</v>
      </c>
      <c r="H568" s="10" t="s">
        <v>2531</v>
      </c>
      <c r="I568" s="35" t="s">
        <v>7019</v>
      </c>
      <c r="J568" s="33" t="s">
        <v>1337</v>
      </c>
    </row>
    <row r="569" spans="1:10" x14ac:dyDescent="0.25">
      <c r="A569" s="23" t="s">
        <v>1564</v>
      </c>
      <c r="B569" s="10" t="s">
        <v>1565</v>
      </c>
      <c r="C569" s="23" t="s">
        <v>1566</v>
      </c>
      <c r="D569" s="28" t="s">
        <v>1567</v>
      </c>
      <c r="E569" s="25">
        <v>106</v>
      </c>
      <c r="F569" s="23" t="str">
        <f>VLOOKUP(B569,'[2]справочник кодов нп'!$A:$D,4,0)</f>
        <v>сельские населенные пункты с численностью населения менее 1 000 человек.</v>
      </c>
      <c r="G569" s="23" t="s">
        <v>1385</v>
      </c>
      <c r="H569" s="10" t="s">
        <v>1566</v>
      </c>
      <c r="I569" s="35" t="s">
        <v>7017</v>
      </c>
      <c r="J569" s="33" t="s">
        <v>1337</v>
      </c>
    </row>
    <row r="570" spans="1:10" x14ac:dyDescent="0.25">
      <c r="A570" s="23" t="s">
        <v>3413</v>
      </c>
      <c r="B570" s="10" t="s">
        <v>3414</v>
      </c>
      <c r="C570" s="23" t="s">
        <v>1566</v>
      </c>
      <c r="D570" s="28" t="s">
        <v>3415</v>
      </c>
      <c r="E570" s="25">
        <v>106</v>
      </c>
      <c r="F570" s="23" t="str">
        <f>VLOOKUP(B570,'[2]справочник кодов нп'!$A:$D,4,0)</f>
        <v>сельские населенные пункты с численностью населения менее 1 000 человек.</v>
      </c>
      <c r="G570" s="23" t="s">
        <v>1385</v>
      </c>
      <c r="H570" s="10" t="s">
        <v>1566</v>
      </c>
      <c r="I570" s="35" t="s">
        <v>7017</v>
      </c>
      <c r="J570" s="33" t="s">
        <v>1337</v>
      </c>
    </row>
    <row r="571" spans="1:10" x14ac:dyDescent="0.25">
      <c r="A571" s="23" t="s">
        <v>3429</v>
      </c>
      <c r="B571" s="10" t="s">
        <v>3430</v>
      </c>
      <c r="C571" s="23" t="s">
        <v>1566</v>
      </c>
      <c r="D571" s="28" t="s">
        <v>3431</v>
      </c>
      <c r="E571" s="25">
        <v>106</v>
      </c>
      <c r="F571" s="23" t="str">
        <f>VLOOKUP(B571,'[2]справочник кодов нп'!$A:$D,4,0)</f>
        <v>сельские населенные пункты с численностью населения менее 1 000 человек.</v>
      </c>
      <c r="G571" s="23" t="s">
        <v>1385</v>
      </c>
      <c r="H571" s="10" t="s">
        <v>1566</v>
      </c>
      <c r="I571" s="35" t="s">
        <v>7017</v>
      </c>
      <c r="J571" s="33" t="s">
        <v>1337</v>
      </c>
    </row>
    <row r="572" spans="1:10" x14ac:dyDescent="0.25">
      <c r="A572" s="23" t="s">
        <v>5510</v>
      </c>
      <c r="B572" s="10" t="s">
        <v>5511</v>
      </c>
      <c r="C572" s="23" t="s">
        <v>1566</v>
      </c>
      <c r="D572" s="28" t="s">
        <v>5512</v>
      </c>
      <c r="E572" s="25">
        <v>106</v>
      </c>
      <c r="F572" s="23" t="str">
        <f>VLOOKUP(B572,'[2]справочник кодов нп'!$A:$D,4,0)</f>
        <v>городские населенные пункты с численностью населения менее 50 000 человек;</v>
      </c>
      <c r="G572" s="23" t="s">
        <v>1385</v>
      </c>
      <c r="H572" s="10" t="s">
        <v>1566</v>
      </c>
      <c r="I572" s="35" t="s">
        <v>7017</v>
      </c>
      <c r="J572" s="33" t="s">
        <v>1337</v>
      </c>
    </row>
    <row r="573" spans="1:10" x14ac:dyDescent="0.25">
      <c r="A573" s="23" t="s">
        <v>6889</v>
      </c>
      <c r="B573" s="10" t="s">
        <v>6890</v>
      </c>
      <c r="C573" s="23" t="s">
        <v>1566</v>
      </c>
      <c r="D573" s="28" t="s">
        <v>6846</v>
      </c>
      <c r="E573" s="25">
        <v>106</v>
      </c>
      <c r="F573" s="23" t="str">
        <f>VLOOKUP(B573,'[2]справочник кодов нп'!$A:$D,4,0)</f>
        <v>межселенная территория</v>
      </c>
      <c r="G573" s="23" t="s">
        <v>1385</v>
      </c>
      <c r="H573" s="10" t="s">
        <v>1566</v>
      </c>
      <c r="I573" s="35" t="s">
        <v>7019</v>
      </c>
      <c r="J573" s="33" t="s">
        <v>1337</v>
      </c>
    </row>
    <row r="574" spans="1:10" x14ac:dyDescent="0.25">
      <c r="A574" s="23" t="s">
        <v>4479</v>
      </c>
      <c r="B574" s="10" t="s">
        <v>4480</v>
      </c>
      <c r="C574" s="23" t="s">
        <v>4481</v>
      </c>
      <c r="D574" s="28" t="s">
        <v>4482</v>
      </c>
      <c r="E574" s="25">
        <v>106</v>
      </c>
      <c r="F574" s="23" t="str">
        <f>VLOOKUP(B574,'[2]справочник кодов нп'!$A:$D,4,0)</f>
        <v>сельские населенные пункты с численностью населения менее 1 000 человек.</v>
      </c>
      <c r="G574" s="23" t="s">
        <v>1385</v>
      </c>
      <c r="H574" s="10" t="s">
        <v>4481</v>
      </c>
      <c r="I574" s="35" t="s">
        <v>7017</v>
      </c>
      <c r="J574" s="33" t="s">
        <v>1337</v>
      </c>
    </row>
    <row r="575" spans="1:10" x14ac:dyDescent="0.25">
      <c r="A575" s="23" t="s">
        <v>4483</v>
      </c>
      <c r="B575" s="10" t="s">
        <v>4484</v>
      </c>
      <c r="C575" s="23" t="s">
        <v>4481</v>
      </c>
      <c r="D575" s="28" t="s">
        <v>4485</v>
      </c>
      <c r="E575" s="25">
        <v>106</v>
      </c>
      <c r="F575" s="23" t="str">
        <f>VLOOKUP(B575,'[2]справочник кодов нп'!$A:$D,4,0)</f>
        <v>сельские населенные пункты с численностью населения менее 1 000 человек.</v>
      </c>
      <c r="G575" s="23" t="s">
        <v>1385</v>
      </c>
      <c r="H575" s="10" t="s">
        <v>4481</v>
      </c>
      <c r="I575" s="35" t="s">
        <v>7017</v>
      </c>
      <c r="J575" s="33" t="s">
        <v>1337</v>
      </c>
    </row>
    <row r="576" spans="1:10" x14ac:dyDescent="0.25">
      <c r="A576" s="23" t="s">
        <v>4942</v>
      </c>
      <c r="B576" s="10" t="s">
        <v>4943</v>
      </c>
      <c r="C576" s="23" t="s">
        <v>4481</v>
      </c>
      <c r="D576" s="28" t="s">
        <v>4944</v>
      </c>
      <c r="E576" s="25">
        <v>106</v>
      </c>
      <c r="F576" s="23" t="str">
        <f>VLOOKUP(B576,'[2]справочник кодов нп'!$A:$D,4,0)</f>
        <v>городские населенные пункты с численностью населения менее 50 000 человек;</v>
      </c>
      <c r="G576" s="23" t="s">
        <v>1385</v>
      </c>
      <c r="H576" s="10" t="s">
        <v>4481</v>
      </c>
      <c r="I576" s="35" t="s">
        <v>7017</v>
      </c>
      <c r="J576" s="45" t="s">
        <v>1341</v>
      </c>
    </row>
    <row r="577" spans="1:10" x14ac:dyDescent="0.25">
      <c r="A577" s="23" t="s">
        <v>6559</v>
      </c>
      <c r="B577" s="10" t="s">
        <v>6560</v>
      </c>
      <c r="C577" s="23" t="s">
        <v>4481</v>
      </c>
      <c r="D577" s="28" t="s">
        <v>6561</v>
      </c>
      <c r="E577" s="25">
        <v>106</v>
      </c>
      <c r="F577" s="23" t="str">
        <f>VLOOKUP(B577,'[2]справочник кодов нп'!$A:$D,4,0)</f>
        <v>сельские населенные пункты с численностью населения более 1 000 человек;</v>
      </c>
      <c r="G577" s="23" t="s">
        <v>1385</v>
      </c>
      <c r="H577" s="10" t="s">
        <v>4481</v>
      </c>
      <c r="I577" s="35" t="s">
        <v>7017</v>
      </c>
      <c r="J577" s="33" t="s">
        <v>1337</v>
      </c>
    </row>
    <row r="578" spans="1:10" x14ac:dyDescent="0.25">
      <c r="A578" s="23" t="s">
        <v>6736</v>
      </c>
      <c r="B578" s="10" t="s">
        <v>6737</v>
      </c>
      <c r="C578" s="23" t="s">
        <v>4481</v>
      </c>
      <c r="D578" s="28" t="s">
        <v>6738</v>
      </c>
      <c r="E578" s="25">
        <v>106</v>
      </c>
      <c r="F578" s="23" t="str">
        <f>VLOOKUP(B578,'[2]справочник кодов нп'!$A:$D,4,0)</f>
        <v>сельские населенные пункты с численностью населения менее 1 000 человек.</v>
      </c>
      <c r="G578" s="23" t="s">
        <v>1385</v>
      </c>
      <c r="H578" s="10" t="s">
        <v>4481</v>
      </c>
      <c r="I578" s="35" t="s">
        <v>7017</v>
      </c>
      <c r="J578" s="33" t="s">
        <v>1337</v>
      </c>
    </row>
    <row r="579" spans="1:10" x14ac:dyDescent="0.25">
      <c r="A579" s="23" t="s">
        <v>6891</v>
      </c>
      <c r="B579" s="10" t="s">
        <v>6892</v>
      </c>
      <c r="C579" s="23" t="s">
        <v>4481</v>
      </c>
      <c r="D579" s="28" t="s">
        <v>6846</v>
      </c>
      <c r="E579" s="25">
        <v>106</v>
      </c>
      <c r="F579" s="23" t="str">
        <f>VLOOKUP(B579,'[2]справочник кодов нп'!$A:$D,4,0)</f>
        <v>межселенная территория</v>
      </c>
      <c r="G579" s="23" t="s">
        <v>1385</v>
      </c>
      <c r="H579" s="10" t="s">
        <v>4481</v>
      </c>
      <c r="I579" s="35" t="s">
        <v>7019</v>
      </c>
      <c r="J579" s="33" t="s">
        <v>1337</v>
      </c>
    </row>
    <row r="580" spans="1:10" x14ac:dyDescent="0.25">
      <c r="A580" s="23" t="s">
        <v>6893</v>
      </c>
      <c r="B580" s="10" t="s">
        <v>6894</v>
      </c>
      <c r="C580" s="23" t="s">
        <v>6895</v>
      </c>
      <c r="D580" s="28" t="s">
        <v>6896</v>
      </c>
      <c r="E580" s="25">
        <v>106</v>
      </c>
      <c r="F580" s="23" t="str">
        <f>VLOOKUP(B580,'[2]справочник кодов нп'!$A:$D,4,0)</f>
        <v>городские населенные пункты с численностью населения менее 50 000 человек;</v>
      </c>
      <c r="G580" s="23" t="s">
        <v>1385</v>
      </c>
      <c r="H580" s="10" t="s">
        <v>6895</v>
      </c>
      <c r="I580" s="35" t="s">
        <v>7017</v>
      </c>
      <c r="J580" s="33" t="s">
        <v>1337</v>
      </c>
    </row>
    <row r="581" spans="1:10" x14ac:dyDescent="0.25">
      <c r="A581" s="26" t="s">
        <v>6992</v>
      </c>
      <c r="B581" s="10" t="s">
        <v>6894</v>
      </c>
      <c r="C581" s="28" t="s">
        <v>6895</v>
      </c>
      <c r="D581" s="28" t="s">
        <v>6846</v>
      </c>
      <c r="E581" s="25">
        <v>106</v>
      </c>
      <c r="F581" s="23" t="str">
        <f>VLOOKUP(B581,'[2]справочник кодов нп'!$A:$D,4,0)</f>
        <v>городские населенные пункты с численностью населения менее 50 000 человек;</v>
      </c>
      <c r="G581" s="23" t="s">
        <v>1385</v>
      </c>
      <c r="H581" s="10" t="s">
        <v>6895</v>
      </c>
      <c r="I581" s="35" t="s">
        <v>7019</v>
      </c>
      <c r="J581" s="33" t="s">
        <v>1337</v>
      </c>
    </row>
    <row r="582" spans="1:10" x14ac:dyDescent="0.25">
      <c r="A582" s="23" t="s">
        <v>4547</v>
      </c>
      <c r="B582" s="10" t="s">
        <v>4548</v>
      </c>
      <c r="C582" s="23" t="s">
        <v>4549</v>
      </c>
      <c r="D582" s="28" t="s">
        <v>4550</v>
      </c>
      <c r="E582" s="25">
        <v>106</v>
      </c>
      <c r="F582" s="23" t="str">
        <f>VLOOKUP(B582,'[2]справочник кодов нп'!$A:$D,4,0)</f>
        <v>сельские населенные пункты с численностью населения менее 1 000 человек.</v>
      </c>
      <c r="G582" s="23" t="s">
        <v>1385</v>
      </c>
      <c r="H582" s="10" t="s">
        <v>4549</v>
      </c>
      <c r="I582" s="35" t="s">
        <v>7017</v>
      </c>
      <c r="J582" s="33" t="s">
        <v>1337</v>
      </c>
    </row>
    <row r="583" spans="1:10" x14ac:dyDescent="0.25">
      <c r="A583" s="23" t="s">
        <v>4551</v>
      </c>
      <c r="B583" s="10" t="s">
        <v>4552</v>
      </c>
      <c r="C583" s="23" t="s">
        <v>4549</v>
      </c>
      <c r="D583" s="28" t="s">
        <v>4553</v>
      </c>
      <c r="E583" s="25">
        <v>106</v>
      </c>
      <c r="F583" s="23" t="str">
        <f>VLOOKUP(B583,'[2]справочник кодов нп'!$A:$D,4,0)</f>
        <v>сельские населенные пункты с численностью населения менее 1 000 человек.</v>
      </c>
      <c r="G583" s="23" t="s">
        <v>1385</v>
      </c>
      <c r="H583" s="10" t="s">
        <v>4549</v>
      </c>
      <c r="I583" s="35" t="s">
        <v>7017</v>
      </c>
      <c r="J583" s="33" t="s">
        <v>1337</v>
      </c>
    </row>
    <row r="584" spans="1:10" x14ac:dyDescent="0.25">
      <c r="A584" s="23" t="s">
        <v>4554</v>
      </c>
      <c r="B584" s="10" t="s">
        <v>4555</v>
      </c>
      <c r="C584" s="23" t="s">
        <v>4549</v>
      </c>
      <c r="D584" s="28" t="s">
        <v>4556</v>
      </c>
      <c r="E584" s="25">
        <v>106</v>
      </c>
      <c r="F584" s="23" t="str">
        <f>VLOOKUP(B584,'[2]справочник кодов нп'!$A:$D,4,0)</f>
        <v>сельские населенные пункты с численностью населения менее 1 000 человек.</v>
      </c>
      <c r="G584" s="23" t="s">
        <v>1385</v>
      </c>
      <c r="H584" s="10" t="s">
        <v>4549</v>
      </c>
      <c r="I584" s="35" t="s">
        <v>7017</v>
      </c>
      <c r="J584" s="33" t="s">
        <v>1337</v>
      </c>
    </row>
    <row r="585" spans="1:10" x14ac:dyDescent="0.25">
      <c r="A585" s="23" t="s">
        <v>4557</v>
      </c>
      <c r="B585" s="10" t="s">
        <v>4558</v>
      </c>
      <c r="C585" s="23" t="s">
        <v>4549</v>
      </c>
      <c r="D585" s="28" t="s">
        <v>4559</v>
      </c>
      <c r="E585" s="25">
        <v>106</v>
      </c>
      <c r="F585" s="23" t="str">
        <f>VLOOKUP(B585,'[2]справочник кодов нп'!$A:$D,4,0)</f>
        <v>сельские населенные пункты с численностью населения менее 1 000 человек.</v>
      </c>
      <c r="G585" s="23" t="s">
        <v>1385</v>
      </c>
      <c r="H585" s="10" t="s">
        <v>4549</v>
      </c>
      <c r="I585" s="35" t="s">
        <v>7017</v>
      </c>
      <c r="J585" s="33" t="s">
        <v>1337</v>
      </c>
    </row>
    <row r="586" spans="1:10" x14ac:dyDescent="0.25">
      <c r="A586" s="23" t="s">
        <v>4560</v>
      </c>
      <c r="B586" s="10" t="s">
        <v>4561</v>
      </c>
      <c r="C586" s="23" t="s">
        <v>4549</v>
      </c>
      <c r="D586" s="28" t="s">
        <v>4562</v>
      </c>
      <c r="E586" s="25">
        <v>106</v>
      </c>
      <c r="F586" s="23" t="str">
        <f>VLOOKUP(B586,'[2]справочник кодов нп'!$A:$D,4,0)</f>
        <v>сельские населенные пункты с численностью населения менее 1 000 человек.</v>
      </c>
      <c r="G586" s="23" t="s">
        <v>1385</v>
      </c>
      <c r="H586" s="10" t="s">
        <v>4549</v>
      </c>
      <c r="I586" s="35" t="s">
        <v>7017</v>
      </c>
      <c r="J586" s="33" t="s">
        <v>1337</v>
      </c>
    </row>
    <row r="587" spans="1:10" x14ac:dyDescent="0.25">
      <c r="A587" s="23" t="s">
        <v>4563</v>
      </c>
      <c r="B587" s="10" t="s">
        <v>4564</v>
      </c>
      <c r="C587" s="23" t="s">
        <v>4549</v>
      </c>
      <c r="D587" s="28" t="s">
        <v>4565</v>
      </c>
      <c r="E587" s="25">
        <v>106</v>
      </c>
      <c r="F587" s="23" t="str">
        <f>VLOOKUP(B587,'[2]справочник кодов нп'!$A:$D,4,0)</f>
        <v>сельские населенные пункты с численностью населения менее 1 000 человек.</v>
      </c>
      <c r="G587" s="23" t="s">
        <v>1385</v>
      </c>
      <c r="H587" s="10" t="s">
        <v>4549</v>
      </c>
      <c r="I587" s="35" t="s">
        <v>7017</v>
      </c>
      <c r="J587" s="33" t="s">
        <v>1337</v>
      </c>
    </row>
    <row r="588" spans="1:10" x14ac:dyDescent="0.25">
      <c r="A588" s="23" t="s">
        <v>6487</v>
      </c>
      <c r="B588" s="10" t="s">
        <v>6488</v>
      </c>
      <c r="C588" s="23" t="s">
        <v>4549</v>
      </c>
      <c r="D588" s="28" t="s">
        <v>6489</v>
      </c>
      <c r="E588" s="25">
        <v>106</v>
      </c>
      <c r="F588" s="23" t="str">
        <f>VLOOKUP(B588,'[2]справочник кодов нп'!$A:$D,4,0)</f>
        <v>городские населенные пункты с численностью населения менее 50 000 человек;</v>
      </c>
      <c r="G588" s="23" t="s">
        <v>1385</v>
      </c>
      <c r="H588" s="10" t="s">
        <v>4549</v>
      </c>
      <c r="I588" s="35" t="s">
        <v>7017</v>
      </c>
      <c r="J588" s="33" t="s">
        <v>1337</v>
      </c>
    </row>
    <row r="589" spans="1:10" x14ac:dyDescent="0.25">
      <c r="A589" s="23" t="s">
        <v>6897</v>
      </c>
      <c r="B589" s="10" t="s">
        <v>6898</v>
      </c>
      <c r="C589" s="23" t="s">
        <v>4549</v>
      </c>
      <c r="D589" s="28" t="s">
        <v>6846</v>
      </c>
      <c r="E589" s="25">
        <v>106</v>
      </c>
      <c r="F589" s="23" t="str">
        <f>VLOOKUP(B589,'[2]справочник кодов нп'!$A:$D,4,0)</f>
        <v>межселенная территория</v>
      </c>
      <c r="G589" s="23" t="s">
        <v>1385</v>
      </c>
      <c r="H589" s="10" t="s">
        <v>4549</v>
      </c>
      <c r="I589" s="35" t="s">
        <v>7019</v>
      </c>
      <c r="J589" s="33" t="s">
        <v>1337</v>
      </c>
    </row>
    <row r="590" spans="1:10" x14ac:dyDescent="0.25">
      <c r="A590" s="23" t="s">
        <v>4588</v>
      </c>
      <c r="B590" s="10" t="s">
        <v>4589</v>
      </c>
      <c r="C590" s="23" t="s">
        <v>4590</v>
      </c>
      <c r="D590" s="28" t="s">
        <v>4591</v>
      </c>
      <c r="E590" s="25">
        <v>105</v>
      </c>
      <c r="F590" s="23" t="str">
        <f>VLOOKUP(B590,'[2]справочник кодов нп'!$A:$D,4,0)</f>
        <v>сельские населенные пункты с численностью населения менее 1 000 человек.</v>
      </c>
      <c r="G590" s="27" t="s">
        <v>1448</v>
      </c>
      <c r="H590" s="10" t="s">
        <v>4590</v>
      </c>
      <c r="I590" s="35" t="s">
        <v>7017</v>
      </c>
      <c r="J590" s="33" t="s">
        <v>1337</v>
      </c>
    </row>
    <row r="591" spans="1:10" x14ac:dyDescent="0.25">
      <c r="A591" s="23" t="s">
        <v>4592</v>
      </c>
      <c r="B591" s="10" t="s">
        <v>4593</v>
      </c>
      <c r="C591" s="23" t="s">
        <v>4590</v>
      </c>
      <c r="D591" s="28" t="s">
        <v>4594</v>
      </c>
      <c r="E591" s="25">
        <v>105</v>
      </c>
      <c r="F591" s="23" t="str">
        <f>VLOOKUP(B591,'[2]справочник кодов нп'!$A:$D,4,0)</f>
        <v>сельские населенные пункты с численностью населения менее 1 000 человек.</v>
      </c>
      <c r="G591" s="27" t="s">
        <v>1448</v>
      </c>
      <c r="H591" s="10" t="s">
        <v>4590</v>
      </c>
      <c r="I591" s="35" t="s">
        <v>7017</v>
      </c>
      <c r="J591" s="33" t="s">
        <v>1337</v>
      </c>
    </row>
    <row r="592" spans="1:10" x14ac:dyDescent="0.25">
      <c r="A592" s="23" t="s">
        <v>4595</v>
      </c>
      <c r="B592" s="10" t="s">
        <v>4596</v>
      </c>
      <c r="C592" s="23" t="s">
        <v>4590</v>
      </c>
      <c r="D592" s="28" t="s">
        <v>4597</v>
      </c>
      <c r="E592" s="25">
        <v>105</v>
      </c>
      <c r="F592" s="23" t="str">
        <f>VLOOKUP(B592,'[2]справочник кодов нп'!$A:$D,4,0)</f>
        <v>сельские населенные пункты с численностью населения менее 1 000 человек.</v>
      </c>
      <c r="G592" s="27" t="s">
        <v>1448</v>
      </c>
      <c r="H592" s="10" t="s">
        <v>4590</v>
      </c>
      <c r="I592" s="35" t="s">
        <v>7017</v>
      </c>
      <c r="J592" s="33" t="s">
        <v>1337</v>
      </c>
    </row>
    <row r="593" spans="1:10" x14ac:dyDescent="0.25">
      <c r="A593" s="23" t="s">
        <v>5341</v>
      </c>
      <c r="B593" s="10" t="s">
        <v>5342</v>
      </c>
      <c r="C593" s="23" t="s">
        <v>4590</v>
      </c>
      <c r="D593" s="28" t="s">
        <v>5343</v>
      </c>
      <c r="E593" s="25">
        <v>105</v>
      </c>
      <c r="F593" s="23" t="str">
        <f>VLOOKUP(B593,'[2]справочник кодов нп'!$A:$D,4,0)</f>
        <v>сельские населенные пункты с численностью населения менее 1 000 человек.</v>
      </c>
      <c r="G593" s="27" t="s">
        <v>1448</v>
      </c>
      <c r="H593" s="10" t="s">
        <v>4590</v>
      </c>
      <c r="I593" s="35" t="s">
        <v>7017</v>
      </c>
      <c r="J593" s="33" t="s">
        <v>1337</v>
      </c>
    </row>
    <row r="594" spans="1:10" x14ac:dyDescent="0.25">
      <c r="A594" s="23" t="s">
        <v>5415</v>
      </c>
      <c r="B594" s="10" t="s">
        <v>5416</v>
      </c>
      <c r="C594" s="23" t="s">
        <v>4590</v>
      </c>
      <c r="D594" s="28" t="s">
        <v>5417</v>
      </c>
      <c r="E594" s="25">
        <v>105</v>
      </c>
      <c r="F594" s="23" t="s">
        <v>1447</v>
      </c>
      <c r="G594" s="27" t="s">
        <v>1448</v>
      </c>
      <c r="H594" s="10" t="s">
        <v>4590</v>
      </c>
      <c r="I594" s="35" t="s">
        <v>7017</v>
      </c>
      <c r="J594" s="33" t="s">
        <v>1337</v>
      </c>
    </row>
    <row r="595" spans="1:10" x14ac:dyDescent="0.25">
      <c r="A595" s="23" t="s">
        <v>6899</v>
      </c>
      <c r="B595" s="10" t="s">
        <v>6900</v>
      </c>
      <c r="C595" s="23" t="s">
        <v>4590</v>
      </c>
      <c r="D595" s="28" t="s">
        <v>6846</v>
      </c>
      <c r="E595" s="25">
        <v>105</v>
      </c>
      <c r="F595" s="23" t="str">
        <f>VLOOKUP(B595,'[2]справочник кодов нп'!$A:$D,4,0)</f>
        <v>межселенная территория</v>
      </c>
      <c r="G595" s="27" t="s">
        <v>1448</v>
      </c>
      <c r="H595" s="10" t="s">
        <v>4590</v>
      </c>
      <c r="I595" s="35" t="s">
        <v>7019</v>
      </c>
      <c r="J595" s="33" t="s">
        <v>1337</v>
      </c>
    </row>
    <row r="596" spans="1:10" x14ac:dyDescent="0.25">
      <c r="A596" s="23" t="s">
        <v>1571</v>
      </c>
      <c r="B596" s="10" t="s">
        <v>1572</v>
      </c>
      <c r="C596" s="23" t="s">
        <v>1573</v>
      </c>
      <c r="D596" s="28" t="s">
        <v>1474</v>
      </c>
      <c r="E596" s="25">
        <v>106</v>
      </c>
      <c r="F596" s="23" t="str">
        <f>VLOOKUP(B596,'[2]справочник кодов нп'!$A:$D,4,0)</f>
        <v>сельские населенные пункты с численностью населения менее 1 000 человек.</v>
      </c>
      <c r="G596" s="23" t="s">
        <v>1385</v>
      </c>
      <c r="H596" s="10" t="s">
        <v>1573</v>
      </c>
      <c r="I596" s="35" t="s">
        <v>7017</v>
      </c>
      <c r="J596" s="33" t="s">
        <v>1337</v>
      </c>
    </row>
    <row r="597" spans="1:10" x14ac:dyDescent="0.25">
      <c r="A597" s="23" t="s">
        <v>4598</v>
      </c>
      <c r="B597" s="10" t="s">
        <v>4599</v>
      </c>
      <c r="C597" s="23" t="s">
        <v>1573</v>
      </c>
      <c r="D597" s="28" t="s">
        <v>4600</v>
      </c>
      <c r="E597" s="25">
        <v>106</v>
      </c>
      <c r="F597" s="23" t="str">
        <f>VLOOKUP(B597,'[2]справочник кодов нп'!$A:$D,4,0)</f>
        <v>сельские населенные пункты с численностью населения менее 1 000 человек.</v>
      </c>
      <c r="G597" s="23" t="s">
        <v>1385</v>
      </c>
      <c r="H597" s="10" t="s">
        <v>1573</v>
      </c>
      <c r="I597" s="35" t="s">
        <v>7017</v>
      </c>
      <c r="J597" s="33" t="s">
        <v>1337</v>
      </c>
    </row>
    <row r="598" spans="1:10" x14ac:dyDescent="0.25">
      <c r="A598" s="23" t="s">
        <v>4601</v>
      </c>
      <c r="B598" s="10" t="s">
        <v>4602</v>
      </c>
      <c r="C598" s="23" t="s">
        <v>1573</v>
      </c>
      <c r="D598" s="28" t="s">
        <v>4603</v>
      </c>
      <c r="E598" s="25">
        <v>106</v>
      </c>
      <c r="F598" s="23" t="str">
        <f>VLOOKUP(B598,'[2]справочник кодов нп'!$A:$D,4,0)</f>
        <v>сельские населенные пункты с численностью населения менее 1 000 человек.</v>
      </c>
      <c r="G598" s="23" t="s">
        <v>1385</v>
      </c>
      <c r="H598" s="10" t="s">
        <v>1573</v>
      </c>
      <c r="I598" s="35" t="s">
        <v>7017</v>
      </c>
      <c r="J598" s="33" t="s">
        <v>1337</v>
      </c>
    </row>
    <row r="599" spans="1:10" x14ac:dyDescent="0.25">
      <c r="A599" s="23" t="s">
        <v>4604</v>
      </c>
      <c r="B599" s="10" t="s">
        <v>4605</v>
      </c>
      <c r="C599" s="23" t="s">
        <v>1573</v>
      </c>
      <c r="D599" s="28" t="s">
        <v>4606</v>
      </c>
      <c r="E599" s="25">
        <v>106</v>
      </c>
      <c r="F599" s="23" t="str">
        <f>VLOOKUP(B599,'[2]справочник кодов нп'!$A:$D,4,0)</f>
        <v>сельские населенные пункты с численностью населения менее 1 000 человек.</v>
      </c>
      <c r="G599" s="23" t="s">
        <v>1385</v>
      </c>
      <c r="H599" s="10" t="s">
        <v>1573</v>
      </c>
      <c r="I599" s="35" t="s">
        <v>7017</v>
      </c>
      <c r="J599" s="33" t="s">
        <v>1337</v>
      </c>
    </row>
    <row r="600" spans="1:10" x14ac:dyDescent="0.25">
      <c r="A600" s="23" t="s">
        <v>4607</v>
      </c>
      <c r="B600" s="10" t="s">
        <v>4608</v>
      </c>
      <c r="C600" s="23" t="s">
        <v>1573</v>
      </c>
      <c r="D600" s="28" t="s">
        <v>4609</v>
      </c>
      <c r="E600" s="25">
        <v>106</v>
      </c>
      <c r="F600" s="23" t="str">
        <f>VLOOKUP(B600,'[2]справочник кодов нп'!$A:$D,4,0)</f>
        <v>сельские населенные пункты с численностью населения менее 1 000 человек.</v>
      </c>
      <c r="G600" s="23" t="s">
        <v>1385</v>
      </c>
      <c r="H600" s="10" t="s">
        <v>1573</v>
      </c>
      <c r="I600" s="35" t="s">
        <v>7017</v>
      </c>
      <c r="J600" s="33" t="s">
        <v>1337</v>
      </c>
    </row>
    <row r="601" spans="1:10" x14ac:dyDescent="0.25">
      <c r="A601" s="23" t="s">
        <v>4610</v>
      </c>
      <c r="B601" s="10" t="s">
        <v>4611</v>
      </c>
      <c r="C601" s="23" t="s">
        <v>1573</v>
      </c>
      <c r="D601" s="28" t="s">
        <v>4612</v>
      </c>
      <c r="E601" s="25">
        <v>106</v>
      </c>
      <c r="F601" s="23" t="str">
        <f>VLOOKUP(B601,'[2]справочник кодов нп'!$A:$D,4,0)</f>
        <v>сельские населенные пункты с численностью населения менее 1 000 человек.</v>
      </c>
      <c r="G601" s="23" t="s">
        <v>1385</v>
      </c>
      <c r="H601" s="10" t="s">
        <v>1573</v>
      </c>
      <c r="I601" s="35" t="s">
        <v>7017</v>
      </c>
      <c r="J601" s="33" t="s">
        <v>1337</v>
      </c>
    </row>
    <row r="602" spans="1:10" x14ac:dyDescent="0.25">
      <c r="A602" s="23" t="s">
        <v>4613</v>
      </c>
      <c r="B602" s="10" t="s">
        <v>4614</v>
      </c>
      <c r="C602" s="23" t="s">
        <v>1573</v>
      </c>
      <c r="D602" s="28" t="s">
        <v>4615</v>
      </c>
      <c r="E602" s="25">
        <v>106</v>
      </c>
      <c r="F602" s="23" t="str">
        <f>VLOOKUP(B602,'[2]справочник кодов нп'!$A:$D,4,0)</f>
        <v>сельские населенные пункты с численностью населения менее 1 000 человек.</v>
      </c>
      <c r="G602" s="23" t="s">
        <v>1385</v>
      </c>
      <c r="H602" s="10" t="s">
        <v>1573</v>
      </c>
      <c r="I602" s="35" t="s">
        <v>7017</v>
      </c>
      <c r="J602" s="33" t="s">
        <v>1337</v>
      </c>
    </row>
    <row r="603" spans="1:10" x14ac:dyDescent="0.25">
      <c r="A603" s="23" t="s">
        <v>4616</v>
      </c>
      <c r="B603" s="10" t="s">
        <v>4617</v>
      </c>
      <c r="C603" s="23" t="s">
        <v>1573</v>
      </c>
      <c r="D603" s="28" t="s">
        <v>4618</v>
      </c>
      <c r="E603" s="25">
        <v>106</v>
      </c>
      <c r="F603" s="23" t="str">
        <f>VLOOKUP(B603,'[2]справочник кодов нп'!$A:$D,4,0)</f>
        <v>городские населенные пункты с численностью населения менее 50 000 человек;</v>
      </c>
      <c r="G603" s="23" t="s">
        <v>1385</v>
      </c>
      <c r="H603" s="10" t="s">
        <v>1573</v>
      </c>
      <c r="I603" s="35" t="s">
        <v>7017</v>
      </c>
      <c r="J603" s="33" t="s">
        <v>1337</v>
      </c>
    </row>
    <row r="604" spans="1:10" x14ac:dyDescent="0.25">
      <c r="A604" s="23" t="s">
        <v>4619</v>
      </c>
      <c r="B604" s="10" t="s">
        <v>4620</v>
      </c>
      <c r="C604" s="23" t="s">
        <v>1573</v>
      </c>
      <c r="D604" s="28" t="s">
        <v>4621</v>
      </c>
      <c r="E604" s="25">
        <v>106</v>
      </c>
      <c r="F604" s="23" t="str">
        <f>VLOOKUP(B604,'[2]справочник кодов нп'!$A:$D,4,0)</f>
        <v>сельские населенные пункты с численностью населения менее 1 000 человек.</v>
      </c>
      <c r="G604" s="23" t="s">
        <v>1385</v>
      </c>
      <c r="H604" s="10" t="s">
        <v>1573</v>
      </c>
      <c r="I604" s="35" t="s">
        <v>7017</v>
      </c>
      <c r="J604" s="33" t="s">
        <v>1337</v>
      </c>
    </row>
    <row r="605" spans="1:10" x14ac:dyDescent="0.25">
      <c r="A605" s="23" t="s">
        <v>4622</v>
      </c>
      <c r="B605" s="10" t="s">
        <v>4623</v>
      </c>
      <c r="C605" s="23" t="s">
        <v>1573</v>
      </c>
      <c r="D605" s="28" t="s">
        <v>4624</v>
      </c>
      <c r="E605" s="25">
        <v>106</v>
      </c>
      <c r="F605" s="23" t="str">
        <f>VLOOKUP(B605,'[2]справочник кодов нп'!$A:$D,4,0)</f>
        <v>сельские населенные пункты с численностью населения менее 1 000 человек.</v>
      </c>
      <c r="G605" s="23" t="s">
        <v>1385</v>
      </c>
      <c r="H605" s="10" t="s">
        <v>1573</v>
      </c>
      <c r="I605" s="35" t="s">
        <v>7017</v>
      </c>
      <c r="J605" s="33" t="s">
        <v>1337</v>
      </c>
    </row>
    <row r="606" spans="1:10" x14ac:dyDescent="0.25">
      <c r="A606" s="23" t="s">
        <v>6901</v>
      </c>
      <c r="B606" s="10" t="s">
        <v>6902</v>
      </c>
      <c r="C606" s="23" t="s">
        <v>1573</v>
      </c>
      <c r="D606" s="28" t="s">
        <v>6846</v>
      </c>
      <c r="E606" s="25">
        <v>106</v>
      </c>
      <c r="F606" s="23" t="str">
        <f>VLOOKUP(B606,'[2]справочник кодов нп'!$A:$D,4,0)</f>
        <v>межселенная территория</v>
      </c>
      <c r="G606" s="23" t="s">
        <v>1385</v>
      </c>
      <c r="H606" s="10" t="s">
        <v>1573</v>
      </c>
      <c r="I606" s="35" t="s">
        <v>7019</v>
      </c>
      <c r="J606" s="33" t="s">
        <v>1337</v>
      </c>
    </row>
    <row r="607" spans="1:10" x14ac:dyDescent="0.25">
      <c r="A607" s="23" t="s">
        <v>2243</v>
      </c>
      <c r="B607" s="10" t="s">
        <v>2244</v>
      </c>
      <c r="C607" s="23" t="s">
        <v>2245</v>
      </c>
      <c r="D607" s="28" t="s">
        <v>2246</v>
      </c>
      <c r="E607" s="25">
        <v>106</v>
      </c>
      <c r="F607" s="23" t="str">
        <f>VLOOKUP(B607,'[2]справочник кодов нп'!$A:$D,4,0)</f>
        <v>сельские населенные пункты с численностью населения менее 1 000 человек.</v>
      </c>
      <c r="G607" s="23" t="s">
        <v>1385</v>
      </c>
      <c r="H607" s="10" t="s">
        <v>2245</v>
      </c>
      <c r="I607" s="35" t="s">
        <v>7017</v>
      </c>
      <c r="J607" s="33" t="s">
        <v>1337</v>
      </c>
    </row>
    <row r="608" spans="1:10" x14ac:dyDescent="0.25">
      <c r="A608" s="23" t="s">
        <v>2250</v>
      </c>
      <c r="B608" s="10" t="s">
        <v>2251</v>
      </c>
      <c r="C608" s="23" t="s">
        <v>2245</v>
      </c>
      <c r="D608" s="28" t="s">
        <v>2252</v>
      </c>
      <c r="E608" s="25">
        <v>106</v>
      </c>
      <c r="F608" s="23" t="str">
        <f>VLOOKUP(B608,'[2]справочник кодов нп'!$A:$D,4,0)</f>
        <v>сельские населенные пункты с численностью населения менее 1 000 человек.</v>
      </c>
      <c r="G608" s="23" t="s">
        <v>1385</v>
      </c>
      <c r="H608" s="10" t="s">
        <v>2245</v>
      </c>
      <c r="I608" s="35" t="s">
        <v>7017</v>
      </c>
      <c r="J608" s="33" t="s">
        <v>1337</v>
      </c>
    </row>
    <row r="609" spans="1:10" x14ac:dyDescent="0.25">
      <c r="A609" s="23" t="s">
        <v>4952</v>
      </c>
      <c r="B609" s="10" t="s">
        <v>4953</v>
      </c>
      <c r="C609" s="23" t="s">
        <v>2245</v>
      </c>
      <c r="D609" s="28" t="s">
        <v>4954</v>
      </c>
      <c r="E609" s="25">
        <v>106</v>
      </c>
      <c r="F609" s="23" t="str">
        <f>VLOOKUP(B609,'[2]справочник кодов нп'!$A:$D,4,0)</f>
        <v>городские населенные пункты с численностью населения менее 50 000 человек;</v>
      </c>
      <c r="G609" s="23" t="s">
        <v>1385</v>
      </c>
      <c r="H609" s="10" t="s">
        <v>2245</v>
      </c>
      <c r="I609" s="35" t="s">
        <v>7017</v>
      </c>
      <c r="J609" s="33" t="s">
        <v>1337</v>
      </c>
    </row>
    <row r="610" spans="1:10" x14ac:dyDescent="0.25">
      <c r="A610" s="23" t="s">
        <v>5231</v>
      </c>
      <c r="B610" s="10" t="s">
        <v>5232</v>
      </c>
      <c r="C610" s="23" t="s">
        <v>2245</v>
      </c>
      <c r="D610" s="28" t="s">
        <v>5233</v>
      </c>
      <c r="E610" s="25">
        <v>106</v>
      </c>
      <c r="F610" s="23" t="str">
        <f>VLOOKUP(B610,'[2]справочник кодов нп'!$A:$D,4,0)</f>
        <v>сельские населенные пункты с численностью населения менее 1 000 человек.</v>
      </c>
      <c r="G610" s="23" t="s">
        <v>1385</v>
      </c>
      <c r="H610" s="10" t="s">
        <v>2245</v>
      </c>
      <c r="I610" s="35" t="s">
        <v>7017</v>
      </c>
      <c r="J610" s="33" t="s">
        <v>1337</v>
      </c>
    </row>
    <row r="611" spans="1:10" x14ac:dyDescent="0.25">
      <c r="A611" s="23" t="s">
        <v>5234</v>
      </c>
      <c r="B611" s="10" t="s">
        <v>5235</v>
      </c>
      <c r="C611" s="23" t="s">
        <v>2245</v>
      </c>
      <c r="D611" s="28" t="s">
        <v>5236</v>
      </c>
      <c r="E611" s="25">
        <v>106</v>
      </c>
      <c r="F611" s="23" t="str">
        <f>VLOOKUP(B611,'[2]справочник кодов нп'!$A:$D,4,0)</f>
        <v>сельские населенные пункты с численностью населения менее 1 000 человек.</v>
      </c>
      <c r="G611" s="23" t="s">
        <v>1385</v>
      </c>
      <c r="H611" s="10" t="s">
        <v>2245</v>
      </c>
      <c r="I611" s="35" t="s">
        <v>7017</v>
      </c>
      <c r="J611" s="33" t="s">
        <v>1337</v>
      </c>
    </row>
    <row r="612" spans="1:10" x14ac:dyDescent="0.25">
      <c r="A612" s="23" t="s">
        <v>6903</v>
      </c>
      <c r="B612" s="10" t="s">
        <v>6904</v>
      </c>
      <c r="C612" s="23" t="s">
        <v>2245</v>
      </c>
      <c r="D612" s="28" t="s">
        <v>6846</v>
      </c>
      <c r="E612" s="25">
        <v>106</v>
      </c>
      <c r="F612" s="23" t="str">
        <f>VLOOKUP(B612,'[2]справочник кодов нп'!$A:$D,4,0)</f>
        <v>межселенная территория</v>
      </c>
      <c r="G612" s="23" t="s">
        <v>1385</v>
      </c>
      <c r="H612" s="10" t="s">
        <v>2245</v>
      </c>
      <c r="I612" s="35" t="s">
        <v>7019</v>
      </c>
      <c r="J612" s="33" t="s">
        <v>1337</v>
      </c>
    </row>
    <row r="613" spans="1:10" x14ac:dyDescent="0.25">
      <c r="A613" s="23" t="s">
        <v>1453</v>
      </c>
      <c r="B613" s="10" t="s">
        <v>1454</v>
      </c>
      <c r="C613" s="23" t="s">
        <v>1455</v>
      </c>
      <c r="D613" s="28" t="s">
        <v>1456</v>
      </c>
      <c r="E613" s="25">
        <v>106</v>
      </c>
      <c r="F613" s="23" t="str">
        <f>VLOOKUP(B613,'[2]справочник кодов нп'!$A:$D,4,0)</f>
        <v>городские населенные пункты с численностью населения менее 50 000 человек;</v>
      </c>
      <c r="G613" s="23" t="s">
        <v>1385</v>
      </c>
      <c r="H613" s="10" t="s">
        <v>1455</v>
      </c>
      <c r="I613" s="35" t="s">
        <v>7017</v>
      </c>
      <c r="J613" s="33" t="s">
        <v>1337</v>
      </c>
    </row>
    <row r="614" spans="1:10" x14ac:dyDescent="0.25">
      <c r="A614" s="23" t="s">
        <v>4649</v>
      </c>
      <c r="B614" s="10" t="s">
        <v>4650</v>
      </c>
      <c r="C614" s="23" t="s">
        <v>1455</v>
      </c>
      <c r="D614" s="28" t="s">
        <v>4651</v>
      </c>
      <c r="E614" s="25">
        <v>106</v>
      </c>
      <c r="F614" s="23" t="str">
        <f>VLOOKUP(B614,'[2]справочник кодов нп'!$A:$D,4,0)</f>
        <v>сельские населенные пункты с численностью населения менее 1 000 человек.</v>
      </c>
      <c r="G614" s="23" t="s">
        <v>1385</v>
      </c>
      <c r="H614" s="10" t="s">
        <v>1455</v>
      </c>
      <c r="I614" s="35" t="s">
        <v>7017</v>
      </c>
      <c r="J614" s="33" t="s">
        <v>1337</v>
      </c>
    </row>
    <row r="615" spans="1:10" x14ac:dyDescent="0.25">
      <c r="A615" s="23" t="s">
        <v>4652</v>
      </c>
      <c r="B615" s="10" t="s">
        <v>4653</v>
      </c>
      <c r="C615" s="23" t="s">
        <v>1455</v>
      </c>
      <c r="D615" s="28" t="s">
        <v>4654</v>
      </c>
      <c r="E615" s="25">
        <v>106</v>
      </c>
      <c r="F615" s="23" t="str">
        <f>VLOOKUP(B615,'[2]справочник кодов нп'!$A:$D,4,0)</f>
        <v>сельские населенные пункты с численностью населения менее 1 000 человек.</v>
      </c>
      <c r="G615" s="23" t="s">
        <v>1385</v>
      </c>
      <c r="H615" s="10" t="s">
        <v>1455</v>
      </c>
      <c r="I615" s="35" t="s">
        <v>7017</v>
      </c>
      <c r="J615" s="33" t="s">
        <v>1337</v>
      </c>
    </row>
    <row r="616" spans="1:10" x14ac:dyDescent="0.25">
      <c r="A616" s="23" t="s">
        <v>4655</v>
      </c>
      <c r="B616" s="10" t="s">
        <v>4656</v>
      </c>
      <c r="C616" s="23" t="s">
        <v>1455</v>
      </c>
      <c r="D616" s="28" t="s">
        <v>4657</v>
      </c>
      <c r="E616" s="25">
        <v>106</v>
      </c>
      <c r="F616" s="23" t="str">
        <f>VLOOKUP(B616,'[2]справочник кодов нп'!$A:$D,4,0)</f>
        <v>сельские населенные пункты с численностью населения менее 1 000 человек.</v>
      </c>
      <c r="G616" s="23" t="s">
        <v>1385</v>
      </c>
      <c r="H616" s="10" t="s">
        <v>1455</v>
      </c>
      <c r="I616" s="35" t="s">
        <v>7017</v>
      </c>
      <c r="J616" s="33" t="s">
        <v>1337</v>
      </c>
    </row>
    <row r="617" spans="1:10" x14ac:dyDescent="0.25">
      <c r="A617" s="23" t="s">
        <v>4658</v>
      </c>
      <c r="B617" s="10" t="s">
        <v>4659</v>
      </c>
      <c r="C617" s="23" t="s">
        <v>1455</v>
      </c>
      <c r="D617" s="28" t="s">
        <v>4660</v>
      </c>
      <c r="E617" s="25">
        <v>106</v>
      </c>
      <c r="F617" s="23" t="str">
        <f>VLOOKUP(B617,'[2]справочник кодов нп'!$A:$D,4,0)</f>
        <v>сельские населенные пункты с численностью населения менее 1 000 человек.</v>
      </c>
      <c r="G617" s="23" t="s">
        <v>1385</v>
      </c>
      <c r="H617" s="10" t="s">
        <v>1455</v>
      </c>
      <c r="I617" s="35" t="s">
        <v>7017</v>
      </c>
      <c r="J617" s="33" t="s">
        <v>1337</v>
      </c>
    </row>
    <row r="618" spans="1:10" x14ac:dyDescent="0.25">
      <c r="A618" s="23" t="s">
        <v>6905</v>
      </c>
      <c r="B618" s="10" t="s">
        <v>6906</v>
      </c>
      <c r="C618" s="23" t="s">
        <v>1455</v>
      </c>
      <c r="D618" s="28" t="s">
        <v>6846</v>
      </c>
      <c r="E618" s="25">
        <v>106</v>
      </c>
      <c r="F618" s="23" t="str">
        <f>VLOOKUP(B618,'[2]справочник кодов нп'!$A:$D,4,0)</f>
        <v>межселенная территория</v>
      </c>
      <c r="G618" s="23" t="s">
        <v>1385</v>
      </c>
      <c r="H618" s="10" t="s">
        <v>1455</v>
      </c>
      <c r="I618" s="35" t="s">
        <v>7019</v>
      </c>
      <c r="J618" s="33" t="s">
        <v>1337</v>
      </c>
    </row>
    <row r="619" spans="1:10" x14ac:dyDescent="0.25">
      <c r="A619" s="23" t="s">
        <v>4806</v>
      </c>
      <c r="B619" s="10" t="s">
        <v>4807</v>
      </c>
      <c r="C619" s="23" t="s">
        <v>4808</v>
      </c>
      <c r="D619" s="28" t="s">
        <v>4809</v>
      </c>
      <c r="E619" s="25">
        <v>106</v>
      </c>
      <c r="F619" s="23" t="str">
        <f>VLOOKUP(B619,'[2]справочник кодов нп'!$A:$D,4,0)</f>
        <v>сельские населенные пункты с численностью населения менее 1 000 человек.</v>
      </c>
      <c r="G619" s="23" t="s">
        <v>1385</v>
      </c>
      <c r="H619" s="10" t="s">
        <v>4808</v>
      </c>
      <c r="I619" s="35" t="s">
        <v>7017</v>
      </c>
      <c r="J619" s="33" t="s">
        <v>1337</v>
      </c>
    </row>
    <row r="620" spans="1:10" x14ac:dyDescent="0.25">
      <c r="A620" s="23" t="s">
        <v>4810</v>
      </c>
      <c r="B620" s="10" t="s">
        <v>4811</v>
      </c>
      <c r="C620" s="23" t="s">
        <v>4808</v>
      </c>
      <c r="D620" s="28" t="s">
        <v>4812</v>
      </c>
      <c r="E620" s="25">
        <v>106</v>
      </c>
      <c r="F620" s="23" t="str">
        <f>VLOOKUP(B620,'[2]справочник кодов нп'!$A:$D,4,0)</f>
        <v>городские населенные пункты с численностью населения менее 50 000 человек;</v>
      </c>
      <c r="G620" s="23" t="s">
        <v>1385</v>
      </c>
      <c r="H620" s="10" t="s">
        <v>4808</v>
      </c>
      <c r="I620" s="35" t="s">
        <v>7017</v>
      </c>
      <c r="J620" s="33" t="s">
        <v>1337</v>
      </c>
    </row>
    <row r="621" spans="1:10" x14ac:dyDescent="0.25">
      <c r="A621" s="23" t="s">
        <v>6562</v>
      </c>
      <c r="B621" s="10" t="s">
        <v>6563</v>
      </c>
      <c r="C621" s="23" t="s">
        <v>4808</v>
      </c>
      <c r="D621" s="28" t="s">
        <v>6564</v>
      </c>
      <c r="E621" s="25">
        <v>106</v>
      </c>
      <c r="F621" s="23" t="str">
        <f>VLOOKUP(B621,'[2]справочник кодов нп'!$A:$D,4,0)</f>
        <v>сельские населенные пункты с численностью населения менее 1 000 человек.</v>
      </c>
      <c r="G621" s="23" t="s">
        <v>1385</v>
      </c>
      <c r="H621" s="10" t="s">
        <v>4808</v>
      </c>
      <c r="I621" s="35" t="s">
        <v>7017</v>
      </c>
      <c r="J621" s="33" t="s">
        <v>1337</v>
      </c>
    </row>
    <row r="622" spans="1:10" x14ac:dyDescent="0.25">
      <c r="A622" s="23" t="s">
        <v>6565</v>
      </c>
      <c r="B622" s="10" t="s">
        <v>6566</v>
      </c>
      <c r="C622" s="23" t="s">
        <v>4808</v>
      </c>
      <c r="D622" s="28" t="s">
        <v>6567</v>
      </c>
      <c r="E622" s="25">
        <v>106</v>
      </c>
      <c r="F622" s="23" t="str">
        <f>VLOOKUP(B622,'[2]справочник кодов нп'!$A:$D,4,0)</f>
        <v>сельские населенные пункты с численностью населения менее 1 000 человек.</v>
      </c>
      <c r="G622" s="23" t="s">
        <v>1385</v>
      </c>
      <c r="H622" s="10" t="s">
        <v>4808</v>
      </c>
      <c r="I622" s="35" t="s">
        <v>7017</v>
      </c>
      <c r="J622" s="33" t="s">
        <v>1337</v>
      </c>
    </row>
    <row r="623" spans="1:10" x14ac:dyDescent="0.25">
      <c r="A623" s="23" t="s">
        <v>6907</v>
      </c>
      <c r="B623" s="10" t="s">
        <v>6908</v>
      </c>
      <c r="C623" s="23" t="s">
        <v>4808</v>
      </c>
      <c r="D623" s="28" t="s">
        <v>6846</v>
      </c>
      <c r="E623" s="25">
        <v>106</v>
      </c>
      <c r="F623" s="23" t="str">
        <f>VLOOKUP(B623,'[2]справочник кодов нп'!$A:$D,4,0)</f>
        <v>межселенная территория</v>
      </c>
      <c r="G623" s="23" t="s">
        <v>1385</v>
      </c>
      <c r="H623" s="10" t="s">
        <v>4808</v>
      </c>
      <c r="I623" s="35" t="s">
        <v>7019</v>
      </c>
      <c r="J623" s="33" t="s">
        <v>1337</v>
      </c>
    </row>
    <row r="624" spans="1:10" x14ac:dyDescent="0.25">
      <c r="A624" s="23" t="s">
        <v>4673</v>
      </c>
      <c r="B624" s="10" t="s">
        <v>4674</v>
      </c>
      <c r="C624" s="23" t="s">
        <v>4675</v>
      </c>
      <c r="D624" s="28" t="s">
        <v>4676</v>
      </c>
      <c r="E624" s="25">
        <v>105</v>
      </c>
      <c r="F624" s="23" t="str">
        <f>VLOOKUP(B624,'[2]справочник кодов нп'!$A:$D,4,0)</f>
        <v>сельские населенные пункты с численностью населения менее 1 000 человек.</v>
      </c>
      <c r="G624" s="27" t="s">
        <v>1448</v>
      </c>
      <c r="H624" s="10" t="s">
        <v>4675</v>
      </c>
      <c r="I624" s="35" t="s">
        <v>7017</v>
      </c>
      <c r="J624" s="33" t="s">
        <v>1337</v>
      </c>
    </row>
    <row r="625" spans="1:10" x14ac:dyDescent="0.25">
      <c r="A625" s="23" t="s">
        <v>4677</v>
      </c>
      <c r="B625" s="10" t="s">
        <v>4678</v>
      </c>
      <c r="C625" s="23" t="s">
        <v>4675</v>
      </c>
      <c r="D625" s="28" t="s">
        <v>4679</v>
      </c>
      <c r="E625" s="25">
        <v>105</v>
      </c>
      <c r="F625" s="23" t="str">
        <f>VLOOKUP(B625,'[2]справочник кодов нп'!$A:$D,4,0)</f>
        <v>сельские населенные пункты с численностью населения менее 1 000 человек.</v>
      </c>
      <c r="G625" s="27" t="s">
        <v>1448</v>
      </c>
      <c r="H625" s="10" t="s">
        <v>4675</v>
      </c>
      <c r="I625" s="35" t="s">
        <v>7017</v>
      </c>
      <c r="J625" s="33" t="s">
        <v>1337</v>
      </c>
    </row>
    <row r="626" spans="1:10" x14ac:dyDescent="0.25">
      <c r="A626" s="23" t="s">
        <v>4680</v>
      </c>
      <c r="B626" s="10" t="s">
        <v>4681</v>
      </c>
      <c r="C626" s="23" t="s">
        <v>4675</v>
      </c>
      <c r="D626" s="28" t="s">
        <v>4682</v>
      </c>
      <c r="E626" s="25">
        <v>105</v>
      </c>
      <c r="F626" s="23" t="str">
        <f>VLOOKUP(B626,'[2]справочник кодов нп'!$A:$D,4,0)</f>
        <v>сельские населенные пункты с численностью населения менее 1 000 человек.</v>
      </c>
      <c r="G626" s="27" t="s">
        <v>1448</v>
      </c>
      <c r="H626" s="10" t="s">
        <v>4675</v>
      </c>
      <c r="I626" s="35" t="s">
        <v>7017</v>
      </c>
      <c r="J626" s="33" t="s">
        <v>1337</v>
      </c>
    </row>
    <row r="627" spans="1:10" x14ac:dyDescent="0.25">
      <c r="A627" s="23" t="s">
        <v>4683</v>
      </c>
      <c r="B627" s="10" t="s">
        <v>4684</v>
      </c>
      <c r="C627" s="23" t="s">
        <v>4675</v>
      </c>
      <c r="D627" s="28" t="s">
        <v>4685</v>
      </c>
      <c r="E627" s="25">
        <v>105</v>
      </c>
      <c r="F627" s="23" t="str">
        <f>VLOOKUP(B627,'[2]справочник кодов нп'!$A:$D,4,0)</f>
        <v>сельские населенные пункты с численностью населения менее 1 000 человек.</v>
      </c>
      <c r="G627" s="27" t="s">
        <v>1448</v>
      </c>
      <c r="H627" s="10" t="s">
        <v>4675</v>
      </c>
      <c r="I627" s="35" t="s">
        <v>7017</v>
      </c>
      <c r="J627" s="33" t="s">
        <v>1337</v>
      </c>
    </row>
    <row r="628" spans="1:10" x14ac:dyDescent="0.25">
      <c r="A628" s="23" t="s">
        <v>4686</v>
      </c>
      <c r="B628" s="10" t="s">
        <v>4687</v>
      </c>
      <c r="C628" s="23" t="s">
        <v>4675</v>
      </c>
      <c r="D628" s="28" t="s">
        <v>4688</v>
      </c>
      <c r="E628" s="25">
        <v>105</v>
      </c>
      <c r="F628" s="23" t="str">
        <f>VLOOKUP(B628,'[2]справочник кодов нп'!$A:$D,4,0)</f>
        <v>сельские населенные пункты с численностью населения менее 1 000 человек.</v>
      </c>
      <c r="G628" s="27" t="s">
        <v>1448</v>
      </c>
      <c r="H628" s="10" t="s">
        <v>4675</v>
      </c>
      <c r="I628" s="35" t="s">
        <v>7017</v>
      </c>
      <c r="J628" s="33" t="s">
        <v>1337</v>
      </c>
    </row>
    <row r="629" spans="1:10" x14ac:dyDescent="0.25">
      <c r="A629" s="23" t="s">
        <v>4689</v>
      </c>
      <c r="B629" s="10" t="s">
        <v>4690</v>
      </c>
      <c r="C629" s="23" t="s">
        <v>4675</v>
      </c>
      <c r="D629" s="28" t="s">
        <v>4691</v>
      </c>
      <c r="E629" s="25">
        <v>105</v>
      </c>
      <c r="F629" s="23" t="str">
        <f>VLOOKUP(B629,'[2]справочник кодов нп'!$A:$D,4,0)</f>
        <v>сельские населенные пункты с численностью населения менее 1 000 человек.</v>
      </c>
      <c r="G629" s="27" t="s">
        <v>1448</v>
      </c>
      <c r="H629" s="10" t="s">
        <v>4675</v>
      </c>
      <c r="I629" s="35" t="s">
        <v>7017</v>
      </c>
      <c r="J629" s="33" t="s">
        <v>1337</v>
      </c>
    </row>
    <row r="630" spans="1:10" x14ac:dyDescent="0.25">
      <c r="A630" s="23" t="s">
        <v>4692</v>
      </c>
      <c r="B630" s="10" t="s">
        <v>4693</v>
      </c>
      <c r="C630" s="23" t="s">
        <v>4675</v>
      </c>
      <c r="D630" s="28" t="s">
        <v>4694</v>
      </c>
      <c r="E630" s="25">
        <v>105</v>
      </c>
      <c r="F630" s="23" t="str">
        <f>VLOOKUP(B630,'[2]справочник кодов нп'!$A:$D,4,0)</f>
        <v>сельские населенные пункты с численностью населения менее 1 000 человек.</v>
      </c>
      <c r="G630" s="27" t="s">
        <v>1448</v>
      </c>
      <c r="H630" s="10" t="s">
        <v>4675</v>
      </c>
      <c r="I630" s="35" t="s">
        <v>7017</v>
      </c>
      <c r="J630" s="33" t="s">
        <v>1337</v>
      </c>
    </row>
    <row r="631" spans="1:10" x14ac:dyDescent="0.25">
      <c r="A631" s="23" t="s">
        <v>4695</v>
      </c>
      <c r="B631" s="10" t="s">
        <v>4696</v>
      </c>
      <c r="C631" s="23" t="s">
        <v>4675</v>
      </c>
      <c r="D631" s="28" t="s">
        <v>4697</v>
      </c>
      <c r="E631" s="25">
        <v>105</v>
      </c>
      <c r="F631" s="23" t="str">
        <f>VLOOKUP(B631,'[2]справочник кодов нп'!$A:$D,4,0)</f>
        <v>сельские населенные пункты с численностью населения менее 1 000 человек.</v>
      </c>
      <c r="G631" s="27" t="s">
        <v>1448</v>
      </c>
      <c r="H631" s="10" t="s">
        <v>4675</v>
      </c>
      <c r="I631" s="35" t="s">
        <v>7017</v>
      </c>
      <c r="J631" s="33" t="s">
        <v>1337</v>
      </c>
    </row>
    <row r="632" spans="1:10" x14ac:dyDescent="0.25">
      <c r="A632" s="23" t="s">
        <v>4698</v>
      </c>
      <c r="B632" s="10" t="s">
        <v>4699</v>
      </c>
      <c r="C632" s="23" t="s">
        <v>4675</v>
      </c>
      <c r="D632" s="28" t="s">
        <v>4700</v>
      </c>
      <c r="E632" s="25">
        <v>105</v>
      </c>
      <c r="F632" s="23" t="str">
        <f>VLOOKUP(B632,'[2]справочник кодов нп'!$A:$D,4,0)</f>
        <v>сельские населенные пункты с численностью населения менее 1 000 человек.</v>
      </c>
      <c r="G632" s="27" t="s">
        <v>1448</v>
      </c>
      <c r="H632" s="10" t="s">
        <v>4675</v>
      </c>
      <c r="I632" s="35" t="s">
        <v>7017</v>
      </c>
      <c r="J632" s="33" t="s">
        <v>1337</v>
      </c>
    </row>
    <row r="633" spans="1:10" x14ac:dyDescent="0.25">
      <c r="A633" s="23" t="s">
        <v>4866</v>
      </c>
      <c r="B633" s="10" t="s">
        <v>4867</v>
      </c>
      <c r="C633" s="23" t="s">
        <v>4675</v>
      </c>
      <c r="D633" s="28" t="s">
        <v>4868</v>
      </c>
      <c r="E633" s="25">
        <v>105</v>
      </c>
      <c r="F633" s="23" t="str">
        <f>VLOOKUP(B633,'[2]справочник кодов нп'!$A:$D,4,0)</f>
        <v>сельские населенные пункты с численностью населения менее 1 000 человек.</v>
      </c>
      <c r="G633" s="27" t="s">
        <v>1448</v>
      </c>
      <c r="H633" s="10" t="s">
        <v>4675</v>
      </c>
      <c r="I633" s="35" t="s">
        <v>7017</v>
      </c>
      <c r="J633" s="33" t="s">
        <v>1337</v>
      </c>
    </row>
    <row r="634" spans="1:10" x14ac:dyDescent="0.25">
      <c r="A634" s="23" t="s">
        <v>5163</v>
      </c>
      <c r="B634" s="10" t="s">
        <v>5164</v>
      </c>
      <c r="C634" s="23" t="s">
        <v>4675</v>
      </c>
      <c r="D634" s="28" t="s">
        <v>5165</v>
      </c>
      <c r="E634" s="25">
        <v>105</v>
      </c>
      <c r="F634" s="23" t="str">
        <f>VLOOKUP(B634,'[2]справочник кодов нп'!$A:$D,4,0)</f>
        <v>сельские населенные пункты с численностью населения менее 1 000 человек.</v>
      </c>
      <c r="G634" s="27" t="s">
        <v>1448</v>
      </c>
      <c r="H634" s="10" t="s">
        <v>4675</v>
      </c>
      <c r="I634" s="35" t="s">
        <v>7017</v>
      </c>
      <c r="J634" s="33" t="s">
        <v>1337</v>
      </c>
    </row>
    <row r="635" spans="1:10" x14ac:dyDescent="0.25">
      <c r="A635" s="23" t="s">
        <v>5344</v>
      </c>
      <c r="B635" s="10" t="s">
        <v>5345</v>
      </c>
      <c r="C635" s="23" t="s">
        <v>4675</v>
      </c>
      <c r="D635" s="28" t="s">
        <v>5346</v>
      </c>
      <c r="E635" s="25">
        <v>105</v>
      </c>
      <c r="F635" s="23" t="str">
        <f>VLOOKUP(B635,'[2]справочник кодов нп'!$A:$D,4,0)</f>
        <v>сельские населенные пункты с численностью населения менее 1 000 человек.</v>
      </c>
      <c r="G635" s="27" t="s">
        <v>1448</v>
      </c>
      <c r="H635" s="10" t="s">
        <v>4675</v>
      </c>
      <c r="I635" s="35" t="s">
        <v>7017</v>
      </c>
      <c r="J635" s="33" t="s">
        <v>1337</v>
      </c>
    </row>
    <row r="636" spans="1:10" x14ac:dyDescent="0.25">
      <c r="A636" s="23" t="s">
        <v>5347</v>
      </c>
      <c r="B636" s="10" t="s">
        <v>5348</v>
      </c>
      <c r="C636" s="23" t="s">
        <v>4675</v>
      </c>
      <c r="D636" s="28" t="s">
        <v>5349</v>
      </c>
      <c r="E636" s="25">
        <v>105</v>
      </c>
      <c r="F636" s="23" t="str">
        <f>VLOOKUP(B636,'[2]справочник кодов нп'!$A:$D,4,0)</f>
        <v>сельские населенные пункты с численностью населения менее 1 000 человек.</v>
      </c>
      <c r="G636" s="27" t="s">
        <v>1448</v>
      </c>
      <c r="H636" s="10" t="s">
        <v>4675</v>
      </c>
      <c r="I636" s="35" t="s">
        <v>7017</v>
      </c>
      <c r="J636" s="33" t="s">
        <v>1337</v>
      </c>
    </row>
    <row r="637" spans="1:10" x14ac:dyDescent="0.25">
      <c r="A637" s="23" t="s">
        <v>5371</v>
      </c>
      <c r="B637" s="10" t="s">
        <v>5372</v>
      </c>
      <c r="C637" s="23" t="s">
        <v>4675</v>
      </c>
      <c r="D637" s="28" t="s">
        <v>5373</v>
      </c>
      <c r="E637" s="25">
        <v>105</v>
      </c>
      <c r="F637" s="23" t="str">
        <f>VLOOKUP(B637,'[2]справочник кодов нп'!$A:$D,4,0)</f>
        <v>сельские населенные пункты с численностью населения менее 1 000 человек.</v>
      </c>
      <c r="G637" s="27" t="s">
        <v>1448</v>
      </c>
      <c r="H637" s="10" t="s">
        <v>4675</v>
      </c>
      <c r="I637" s="35" t="s">
        <v>7017</v>
      </c>
      <c r="J637" s="33" t="s">
        <v>1337</v>
      </c>
    </row>
    <row r="638" spans="1:10" x14ac:dyDescent="0.25">
      <c r="A638" s="23" t="s">
        <v>5374</v>
      </c>
      <c r="B638" s="10" t="s">
        <v>5375</v>
      </c>
      <c r="C638" s="23" t="s">
        <v>4675</v>
      </c>
      <c r="D638" s="28" t="s">
        <v>5376</v>
      </c>
      <c r="E638" s="25">
        <v>105</v>
      </c>
      <c r="F638" s="23" t="str">
        <f>VLOOKUP(B638,'[2]справочник кодов нп'!$A:$D,4,0)</f>
        <v>сельские населенные пункты с численностью населения менее 1 000 человек.</v>
      </c>
      <c r="G638" s="27" t="s">
        <v>1448</v>
      </c>
      <c r="H638" s="10" t="s">
        <v>4675</v>
      </c>
      <c r="I638" s="35" t="s">
        <v>7017</v>
      </c>
      <c r="J638" s="33" t="s">
        <v>1337</v>
      </c>
    </row>
    <row r="639" spans="1:10" x14ac:dyDescent="0.25">
      <c r="A639" s="23" t="s">
        <v>5377</v>
      </c>
      <c r="B639" s="10" t="s">
        <v>5378</v>
      </c>
      <c r="C639" s="23" t="s">
        <v>4675</v>
      </c>
      <c r="D639" s="28" t="s">
        <v>5379</v>
      </c>
      <c r="E639" s="25">
        <v>105</v>
      </c>
      <c r="F639" s="23" t="str">
        <f>VLOOKUP(B639,'[2]справочник кодов нп'!$A:$D,4,0)</f>
        <v>сельские населенные пункты с численностью населения менее 1 000 человек.</v>
      </c>
      <c r="G639" s="27" t="s">
        <v>1448</v>
      </c>
      <c r="H639" s="10" t="s">
        <v>4675</v>
      </c>
      <c r="I639" s="35" t="s">
        <v>7017</v>
      </c>
      <c r="J639" s="33" t="s">
        <v>1337</v>
      </c>
    </row>
    <row r="640" spans="1:10" x14ac:dyDescent="0.25">
      <c r="A640" s="23" t="s">
        <v>5491</v>
      </c>
      <c r="B640" s="10" t="s">
        <v>5492</v>
      </c>
      <c r="C640" s="23" t="s">
        <v>4675</v>
      </c>
      <c r="D640" s="28" t="s">
        <v>5493</v>
      </c>
      <c r="E640" s="25">
        <v>105</v>
      </c>
      <c r="F640" s="23" t="str">
        <f>VLOOKUP(B640,'[2]справочник кодов нп'!$A:$D,4,0)</f>
        <v>сельские населенные пункты с численностью населения менее 1 000 человек.</v>
      </c>
      <c r="G640" s="27" t="s">
        <v>1448</v>
      </c>
      <c r="H640" s="10" t="s">
        <v>4675</v>
      </c>
      <c r="I640" s="35" t="s">
        <v>7017</v>
      </c>
      <c r="J640" s="33" t="s">
        <v>1337</v>
      </c>
    </row>
    <row r="641" spans="1:10" x14ac:dyDescent="0.25">
      <c r="A641" s="23" t="s">
        <v>5494</v>
      </c>
      <c r="B641" s="10" t="s">
        <v>5495</v>
      </c>
      <c r="C641" s="23" t="s">
        <v>4675</v>
      </c>
      <c r="D641" s="28" t="s">
        <v>5496</v>
      </c>
      <c r="E641" s="25">
        <v>104</v>
      </c>
      <c r="F641" s="23" t="s">
        <v>1497</v>
      </c>
      <c r="G641" s="23" t="s">
        <v>5497</v>
      </c>
      <c r="H641" s="10" t="s">
        <v>1497</v>
      </c>
      <c r="I641" s="35" t="s">
        <v>7017</v>
      </c>
      <c r="J641" s="45" t="s">
        <v>1341</v>
      </c>
    </row>
    <row r="642" spans="1:10" x14ac:dyDescent="0.25">
      <c r="A642" s="23" t="s">
        <v>6336</v>
      </c>
      <c r="B642" s="10" t="s">
        <v>6337</v>
      </c>
      <c r="C642" s="23" t="s">
        <v>4675</v>
      </c>
      <c r="D642" s="28" t="s">
        <v>6338</v>
      </c>
      <c r="E642" s="25">
        <v>105</v>
      </c>
      <c r="F642" s="23" t="str">
        <f>VLOOKUP(B642,'[2]справочник кодов нп'!$A:$D,4,0)</f>
        <v>сельские населенные пункты с численностью населения менее 1 000 человек.</v>
      </c>
      <c r="G642" s="27" t="s">
        <v>1448</v>
      </c>
      <c r="H642" s="10" t="s">
        <v>4675</v>
      </c>
      <c r="I642" s="35" t="s">
        <v>7017</v>
      </c>
      <c r="J642" s="33" t="s">
        <v>1337</v>
      </c>
    </row>
    <row r="643" spans="1:10" x14ac:dyDescent="0.25">
      <c r="A643" s="23" t="s">
        <v>6339</v>
      </c>
      <c r="B643" s="10" t="s">
        <v>6340</v>
      </c>
      <c r="C643" s="23" t="s">
        <v>4675</v>
      </c>
      <c r="D643" s="28" t="s">
        <v>6341</v>
      </c>
      <c r="E643" s="25">
        <v>105</v>
      </c>
      <c r="F643" s="23" t="str">
        <f>VLOOKUP(B643,'[2]справочник кодов нп'!$A:$D,4,0)</f>
        <v>сельские населенные пункты с численностью населения менее 1 000 человек.</v>
      </c>
      <c r="G643" s="27" t="s">
        <v>1448</v>
      </c>
      <c r="H643" s="10" t="s">
        <v>4675</v>
      </c>
      <c r="I643" s="35" t="s">
        <v>7017</v>
      </c>
      <c r="J643" s="33" t="s">
        <v>1337</v>
      </c>
    </row>
    <row r="644" spans="1:10" x14ac:dyDescent="0.25">
      <c r="A644" s="23" t="s">
        <v>6342</v>
      </c>
      <c r="B644" s="10" t="s">
        <v>6343</v>
      </c>
      <c r="C644" s="23" t="s">
        <v>4675</v>
      </c>
      <c r="D644" s="28" t="s">
        <v>6344</v>
      </c>
      <c r="E644" s="25">
        <v>105</v>
      </c>
      <c r="F644" s="23" t="str">
        <f>VLOOKUP(B644,'[2]справочник кодов нп'!$A:$D,4,0)</f>
        <v>сельские населенные пункты с численностью населения менее 1 000 человек.</v>
      </c>
      <c r="G644" s="27" t="s">
        <v>1448</v>
      </c>
      <c r="H644" s="10" t="s">
        <v>4675</v>
      </c>
      <c r="I644" s="35" t="s">
        <v>7017</v>
      </c>
      <c r="J644" s="33" t="s">
        <v>1337</v>
      </c>
    </row>
    <row r="645" spans="1:10" x14ac:dyDescent="0.25">
      <c r="A645" s="23" t="s">
        <v>6345</v>
      </c>
      <c r="B645" s="10" t="s">
        <v>6346</v>
      </c>
      <c r="C645" s="23" t="s">
        <v>4675</v>
      </c>
      <c r="D645" s="28" t="s">
        <v>6347</v>
      </c>
      <c r="E645" s="25">
        <v>105</v>
      </c>
      <c r="F645" s="23" t="str">
        <f>VLOOKUP(B645,'[2]справочник кодов нп'!$A:$D,4,0)</f>
        <v>сельские населенные пункты с численностью населения менее 1 000 человек.</v>
      </c>
      <c r="G645" s="27" t="s">
        <v>1448</v>
      </c>
      <c r="H645" s="10" t="s">
        <v>4675</v>
      </c>
      <c r="I645" s="35" t="s">
        <v>7017</v>
      </c>
      <c r="J645" s="33" t="s">
        <v>1337</v>
      </c>
    </row>
    <row r="646" spans="1:10" x14ac:dyDescent="0.25">
      <c r="A646" s="23" t="s">
        <v>6348</v>
      </c>
      <c r="B646" s="10" t="s">
        <v>6349</v>
      </c>
      <c r="C646" s="23" t="s">
        <v>4675</v>
      </c>
      <c r="D646" s="28" t="s">
        <v>6350</v>
      </c>
      <c r="E646" s="25">
        <v>105</v>
      </c>
      <c r="F646" s="23" t="str">
        <f>VLOOKUP(B646,'[2]справочник кодов нп'!$A:$D,4,0)</f>
        <v>сельские населенные пункты с численностью населения менее 1 000 человек.</v>
      </c>
      <c r="G646" s="27" t="s">
        <v>1448</v>
      </c>
      <c r="H646" s="10" t="s">
        <v>4675</v>
      </c>
      <c r="I646" s="35" t="s">
        <v>7017</v>
      </c>
      <c r="J646" s="33" t="s">
        <v>1337</v>
      </c>
    </row>
    <row r="647" spans="1:10" x14ac:dyDescent="0.25">
      <c r="A647" s="23" t="s">
        <v>6351</v>
      </c>
      <c r="B647" s="10" t="s">
        <v>6352</v>
      </c>
      <c r="C647" s="23" t="s">
        <v>4675</v>
      </c>
      <c r="D647" s="28" t="s">
        <v>6353</v>
      </c>
      <c r="E647" s="25">
        <v>105</v>
      </c>
      <c r="F647" s="23" t="str">
        <f>VLOOKUP(B647,'[2]справочник кодов нп'!$A:$D,4,0)</f>
        <v>сельские населенные пункты с численностью населения менее 1 000 человек.</v>
      </c>
      <c r="G647" s="27" t="s">
        <v>1448</v>
      </c>
      <c r="H647" s="10" t="s">
        <v>4675</v>
      </c>
      <c r="I647" s="35" t="s">
        <v>7017</v>
      </c>
      <c r="J647" s="33" t="s">
        <v>1337</v>
      </c>
    </row>
    <row r="648" spans="1:10" x14ac:dyDescent="0.25">
      <c r="A648" s="23" t="s">
        <v>6354</v>
      </c>
      <c r="B648" s="10" t="s">
        <v>6355</v>
      </c>
      <c r="C648" s="23" t="s">
        <v>4675</v>
      </c>
      <c r="D648" s="28" t="s">
        <v>6356</v>
      </c>
      <c r="E648" s="25">
        <v>105</v>
      </c>
      <c r="F648" s="23" t="str">
        <f>VLOOKUP(B648,'[2]справочник кодов нп'!$A:$D,4,0)</f>
        <v>сельские населенные пункты с численностью населения менее 1 000 человек.</v>
      </c>
      <c r="G648" s="27" t="s">
        <v>1448</v>
      </c>
      <c r="H648" s="10" t="s">
        <v>4675</v>
      </c>
      <c r="I648" s="35" t="s">
        <v>7017</v>
      </c>
      <c r="J648" s="33" t="s">
        <v>1337</v>
      </c>
    </row>
    <row r="649" spans="1:10" x14ac:dyDescent="0.25">
      <c r="A649" s="23" t="s">
        <v>6808</v>
      </c>
      <c r="B649" s="10" t="s">
        <v>6809</v>
      </c>
      <c r="C649" s="23" t="s">
        <v>4675</v>
      </c>
      <c r="D649" s="28" t="s">
        <v>6810</v>
      </c>
      <c r="E649" s="25">
        <v>105</v>
      </c>
      <c r="F649" s="23" t="str">
        <f>VLOOKUP(B649,'[2]справочник кодов нп'!$A:$D,4,0)</f>
        <v>сельские населенные пункты с численностью населения менее 1 000 человек.</v>
      </c>
      <c r="G649" s="27" t="s">
        <v>1448</v>
      </c>
      <c r="H649" s="10" t="s">
        <v>4675</v>
      </c>
      <c r="I649" s="35" t="s">
        <v>7017</v>
      </c>
      <c r="J649" s="33" t="s">
        <v>1337</v>
      </c>
    </row>
    <row r="650" spans="1:10" x14ac:dyDescent="0.25">
      <c r="A650" s="23" t="s">
        <v>6811</v>
      </c>
      <c r="B650" s="10" t="s">
        <v>6812</v>
      </c>
      <c r="C650" s="23" t="s">
        <v>4675</v>
      </c>
      <c r="D650" s="28" t="s">
        <v>6813</v>
      </c>
      <c r="E650" s="25">
        <v>105</v>
      </c>
      <c r="F650" s="23" t="str">
        <f>VLOOKUP(B650,'[2]справочник кодов нп'!$A:$D,4,0)</f>
        <v>сельские населенные пункты с численностью населения менее 1 000 человек.</v>
      </c>
      <c r="G650" s="27" t="s">
        <v>1448</v>
      </c>
      <c r="H650" s="10" t="s">
        <v>4675</v>
      </c>
      <c r="I650" s="35" t="s">
        <v>7017</v>
      </c>
      <c r="J650" s="33" t="s">
        <v>1337</v>
      </c>
    </row>
    <row r="651" spans="1:10" x14ac:dyDescent="0.25">
      <c r="A651" s="23" t="s">
        <v>6814</v>
      </c>
      <c r="B651" s="10" t="s">
        <v>6815</v>
      </c>
      <c r="C651" s="23" t="s">
        <v>4675</v>
      </c>
      <c r="D651" s="28" t="s">
        <v>6816</v>
      </c>
      <c r="E651" s="25">
        <v>105</v>
      </c>
      <c r="F651" s="23" t="str">
        <f>VLOOKUP(B651,'[2]справочник кодов нп'!$A:$D,4,0)</f>
        <v>сельские населенные пункты с численностью населения менее 1 000 человек.</v>
      </c>
      <c r="G651" s="27" t="s">
        <v>1448</v>
      </c>
      <c r="H651" s="10" t="s">
        <v>4675</v>
      </c>
      <c r="I651" s="35" t="s">
        <v>7017</v>
      </c>
      <c r="J651" s="33" t="s">
        <v>1337</v>
      </c>
    </row>
    <row r="652" spans="1:10" x14ac:dyDescent="0.25">
      <c r="A652" s="23" t="s">
        <v>6817</v>
      </c>
      <c r="B652" s="10" t="s">
        <v>6818</v>
      </c>
      <c r="C652" s="23" t="s">
        <v>4675</v>
      </c>
      <c r="D652" s="28" t="s">
        <v>6819</v>
      </c>
      <c r="E652" s="25">
        <v>105</v>
      </c>
      <c r="F652" s="23" t="str">
        <f>VLOOKUP(B652,'[2]справочник кодов нп'!$A:$D,4,0)</f>
        <v>сельские населенные пункты с численностью населения менее 1 000 человек.</v>
      </c>
      <c r="G652" s="27" t="s">
        <v>1448</v>
      </c>
      <c r="H652" s="10" t="s">
        <v>4675</v>
      </c>
      <c r="I652" s="35" t="s">
        <v>7017</v>
      </c>
      <c r="J652" s="33" t="s">
        <v>1337</v>
      </c>
    </row>
    <row r="653" spans="1:10" x14ac:dyDescent="0.25">
      <c r="A653" s="23" t="s">
        <v>6820</v>
      </c>
      <c r="B653" s="10" t="s">
        <v>6821</v>
      </c>
      <c r="C653" s="23" t="s">
        <v>4675</v>
      </c>
      <c r="D653" s="28" t="s">
        <v>6822</v>
      </c>
      <c r="E653" s="25">
        <v>105</v>
      </c>
      <c r="F653" s="23" t="str">
        <f>VLOOKUP(B653,'[2]справочник кодов нп'!$A:$D,4,0)</f>
        <v>сельские населенные пункты с численностью населения менее 1 000 человек.</v>
      </c>
      <c r="G653" s="27" t="s">
        <v>1448</v>
      </c>
      <c r="H653" s="10" t="s">
        <v>4675</v>
      </c>
      <c r="I653" s="35" t="s">
        <v>7017</v>
      </c>
      <c r="J653" s="33" t="s">
        <v>1337</v>
      </c>
    </row>
    <row r="654" spans="1:10" x14ac:dyDescent="0.25">
      <c r="A654" s="23" t="s">
        <v>6909</v>
      </c>
      <c r="B654" s="10" t="s">
        <v>6910</v>
      </c>
      <c r="C654" s="23" t="s">
        <v>4675</v>
      </c>
      <c r="D654" s="28" t="s">
        <v>6846</v>
      </c>
      <c r="E654" s="25">
        <v>105</v>
      </c>
      <c r="F654" s="23" t="str">
        <f>VLOOKUP(B654,'[2]справочник кодов нп'!$A:$D,4,0)</f>
        <v>межселенная территория</v>
      </c>
      <c r="G654" s="27" t="s">
        <v>1448</v>
      </c>
      <c r="H654" s="10" t="s">
        <v>4675</v>
      </c>
      <c r="I654" s="35" t="s">
        <v>7019</v>
      </c>
      <c r="J654" s="33" t="s">
        <v>1337</v>
      </c>
    </row>
    <row r="655" spans="1:10" x14ac:dyDescent="0.25">
      <c r="A655" s="23" t="s">
        <v>3416</v>
      </c>
      <c r="B655" s="10" t="s">
        <v>3417</v>
      </c>
      <c r="C655" s="23" t="s">
        <v>3418</v>
      </c>
      <c r="D655" s="28" t="s">
        <v>3419</v>
      </c>
      <c r="E655" s="25">
        <v>105</v>
      </c>
      <c r="F655" s="23" t="str">
        <f>VLOOKUP(B655,'[2]справочник кодов нп'!$A:$D,4,0)</f>
        <v>сельские населенные пункты с численностью населения менее 1 000 человек.</v>
      </c>
      <c r="G655" s="27" t="s">
        <v>1448</v>
      </c>
      <c r="H655" s="10" t="s">
        <v>3418</v>
      </c>
      <c r="I655" s="35" t="s">
        <v>7017</v>
      </c>
      <c r="J655" s="33" t="s">
        <v>1337</v>
      </c>
    </row>
    <row r="656" spans="1:10" x14ac:dyDescent="0.25">
      <c r="A656" s="23" t="s">
        <v>3420</v>
      </c>
      <c r="B656" s="10" t="s">
        <v>3421</v>
      </c>
      <c r="C656" s="23" t="s">
        <v>3418</v>
      </c>
      <c r="D656" s="28" t="s">
        <v>3422</v>
      </c>
      <c r="E656" s="25">
        <v>105</v>
      </c>
      <c r="F656" s="23" t="str">
        <f>VLOOKUP(B656,'[2]справочник кодов нп'!$A:$D,4,0)</f>
        <v>сельские населенные пункты с численностью населения менее 1 000 человек.</v>
      </c>
      <c r="G656" s="27" t="s">
        <v>1448</v>
      </c>
      <c r="H656" s="10" t="s">
        <v>3418</v>
      </c>
      <c r="I656" s="35" t="s">
        <v>7017</v>
      </c>
      <c r="J656" s="33" t="s">
        <v>1337</v>
      </c>
    </row>
    <row r="657" spans="1:10" x14ac:dyDescent="0.25">
      <c r="A657" s="23" t="s">
        <v>3423</v>
      </c>
      <c r="B657" s="10" t="s">
        <v>3424</v>
      </c>
      <c r="C657" s="23" t="s">
        <v>3418</v>
      </c>
      <c r="D657" s="28" t="s">
        <v>3425</v>
      </c>
      <c r="E657" s="25">
        <v>105</v>
      </c>
      <c r="F657" s="23" t="str">
        <f>VLOOKUP(B657,'[2]справочник кодов нп'!$A:$D,4,0)</f>
        <v>сельские населенные пункты с численностью населения менее 1 000 человек.</v>
      </c>
      <c r="G657" s="27" t="s">
        <v>1448</v>
      </c>
      <c r="H657" s="10" t="s">
        <v>3418</v>
      </c>
      <c r="I657" s="35" t="s">
        <v>7017</v>
      </c>
      <c r="J657" s="33" t="s">
        <v>1337</v>
      </c>
    </row>
    <row r="658" spans="1:10" x14ac:dyDescent="0.25">
      <c r="A658" s="23" t="s">
        <v>3426</v>
      </c>
      <c r="B658" s="10" t="s">
        <v>3427</v>
      </c>
      <c r="C658" s="23" t="s">
        <v>3418</v>
      </c>
      <c r="D658" s="28" t="s">
        <v>3428</v>
      </c>
      <c r="E658" s="25">
        <v>105</v>
      </c>
      <c r="F658" s="23" t="str">
        <f>VLOOKUP(B658,'[2]справочник кодов нп'!$A:$D,4,0)</f>
        <v>сельские населенные пункты с численностью населения менее 1 000 человек.</v>
      </c>
      <c r="G658" s="27" t="s">
        <v>1448</v>
      </c>
      <c r="H658" s="10" t="s">
        <v>3418</v>
      </c>
      <c r="I658" s="35" t="s">
        <v>7017</v>
      </c>
      <c r="J658" s="33" t="s">
        <v>1337</v>
      </c>
    </row>
    <row r="659" spans="1:10" x14ac:dyDescent="0.25">
      <c r="A659" s="23" t="s">
        <v>5539</v>
      </c>
      <c r="B659" s="10" t="s">
        <v>5540</v>
      </c>
      <c r="C659" s="23" t="s">
        <v>3418</v>
      </c>
      <c r="D659" s="28" t="s">
        <v>5541</v>
      </c>
      <c r="E659" s="25">
        <v>105</v>
      </c>
      <c r="F659" s="23" t="str">
        <f>VLOOKUP(B659,'[2]справочник кодов нп'!$A:$D,4,0)</f>
        <v>сельские населенные пункты с численностью населения менее 1 000 человек.</v>
      </c>
      <c r="G659" s="27" t="s">
        <v>1448</v>
      </c>
      <c r="H659" s="10" t="s">
        <v>3418</v>
      </c>
      <c r="I659" s="35" t="s">
        <v>7017</v>
      </c>
      <c r="J659" s="33" t="s">
        <v>1337</v>
      </c>
    </row>
    <row r="660" spans="1:10" x14ac:dyDescent="0.25">
      <c r="A660" s="23" t="s">
        <v>6475</v>
      </c>
      <c r="B660" s="10" t="s">
        <v>6476</v>
      </c>
      <c r="C660" s="23" t="s">
        <v>3418</v>
      </c>
      <c r="D660" s="28" t="s">
        <v>6477</v>
      </c>
      <c r="E660" s="25">
        <v>105</v>
      </c>
      <c r="F660" s="23" t="str">
        <f>VLOOKUP(B660,'[2]справочник кодов нп'!$A:$D,4,0)</f>
        <v>сельские населенные пункты с численностью населения менее 1 000 человек.</v>
      </c>
      <c r="G660" s="27" t="s">
        <v>1448</v>
      </c>
      <c r="H660" s="10" t="s">
        <v>3418</v>
      </c>
      <c r="I660" s="35" t="s">
        <v>7017</v>
      </c>
      <c r="J660" s="33" t="s">
        <v>1337</v>
      </c>
    </row>
    <row r="661" spans="1:10" x14ac:dyDescent="0.25">
      <c r="A661" s="23" t="s">
        <v>6568</v>
      </c>
      <c r="B661" s="10" t="s">
        <v>6569</v>
      </c>
      <c r="C661" s="23" t="s">
        <v>3418</v>
      </c>
      <c r="D661" s="28" t="s">
        <v>6570</v>
      </c>
      <c r="E661" s="25">
        <v>105</v>
      </c>
      <c r="F661" s="23" t="str">
        <f>VLOOKUP(B661,'[2]справочник кодов нп'!$A:$D,4,0)</f>
        <v>сельские населенные пункты с численностью населения менее 1 000 человек.</v>
      </c>
      <c r="G661" s="27" t="s">
        <v>1448</v>
      </c>
      <c r="H661" s="10" t="s">
        <v>3418</v>
      </c>
      <c r="I661" s="35" t="s">
        <v>7017</v>
      </c>
      <c r="J661" s="33" t="s">
        <v>1337</v>
      </c>
    </row>
    <row r="662" spans="1:10" x14ac:dyDescent="0.25">
      <c r="A662" s="23" t="s">
        <v>6571</v>
      </c>
      <c r="B662" s="10" t="s">
        <v>6572</v>
      </c>
      <c r="C662" s="23" t="s">
        <v>3418</v>
      </c>
      <c r="D662" s="28" t="s">
        <v>6573</v>
      </c>
      <c r="E662" s="25">
        <v>105</v>
      </c>
      <c r="F662" s="23" t="s">
        <v>1447</v>
      </c>
      <c r="G662" s="27" t="s">
        <v>1448</v>
      </c>
      <c r="H662" s="10" t="s">
        <v>3418</v>
      </c>
      <c r="I662" s="35" t="s">
        <v>7017</v>
      </c>
      <c r="J662" s="33" t="s">
        <v>1337</v>
      </c>
    </row>
    <row r="663" spans="1:10" x14ac:dyDescent="0.25">
      <c r="A663" s="23" t="s">
        <v>6911</v>
      </c>
      <c r="B663" s="10" t="s">
        <v>6912</v>
      </c>
      <c r="C663" s="23" t="s">
        <v>3418</v>
      </c>
      <c r="D663" s="28" t="s">
        <v>6846</v>
      </c>
      <c r="E663" s="25">
        <v>105</v>
      </c>
      <c r="F663" s="23" t="str">
        <f>VLOOKUP(B663,'[2]справочник кодов нп'!$A:$D,4,0)</f>
        <v>межселенная территория</v>
      </c>
      <c r="G663" s="27" t="s">
        <v>1448</v>
      </c>
      <c r="H663" s="10" t="s">
        <v>3418</v>
      </c>
      <c r="I663" s="35" t="s">
        <v>7019</v>
      </c>
      <c r="J663" s="33" t="s">
        <v>1337</v>
      </c>
    </row>
    <row r="664" spans="1:10" x14ac:dyDescent="0.25">
      <c r="A664" s="23" t="s">
        <v>5467</v>
      </c>
      <c r="B664" s="10" t="s">
        <v>5468</v>
      </c>
      <c r="C664" s="23" t="s">
        <v>5469</v>
      </c>
      <c r="D664" s="28" t="s">
        <v>5470</v>
      </c>
      <c r="E664" s="25">
        <v>106</v>
      </c>
      <c r="F664" s="23" t="str">
        <f>VLOOKUP(B664,'[2]справочник кодов нп'!$A:$D,4,0)</f>
        <v>городские населенные пункты с численностью населения менее 50 000 человек;</v>
      </c>
      <c r="G664" s="23" t="s">
        <v>1385</v>
      </c>
      <c r="H664" s="10" t="s">
        <v>5469</v>
      </c>
      <c r="I664" s="35" t="s">
        <v>7017</v>
      </c>
      <c r="J664" s="33" t="s">
        <v>1337</v>
      </c>
    </row>
    <row r="665" spans="1:10" x14ac:dyDescent="0.25">
      <c r="A665" s="23" t="s">
        <v>6913</v>
      </c>
      <c r="B665" s="10" t="s">
        <v>6914</v>
      </c>
      <c r="C665" s="23" t="s">
        <v>5469</v>
      </c>
      <c r="D665" s="28" t="s">
        <v>6846</v>
      </c>
      <c r="E665" s="25">
        <v>106</v>
      </c>
      <c r="F665" s="23" t="str">
        <f>VLOOKUP(B665,'[2]справочник кодов нп'!$A:$D,4,0)</f>
        <v>межселенная территория</v>
      </c>
      <c r="G665" s="23" t="s">
        <v>1385</v>
      </c>
      <c r="H665" s="10" t="s">
        <v>5469</v>
      </c>
      <c r="I665" s="35" t="s">
        <v>7019</v>
      </c>
      <c r="J665" s="33" t="s">
        <v>1337</v>
      </c>
    </row>
    <row r="666" spans="1:10" x14ac:dyDescent="0.25">
      <c r="A666" s="23" t="s">
        <v>1386</v>
      </c>
      <c r="B666" s="10" t="s">
        <v>1387</v>
      </c>
      <c r="C666" s="23" t="s">
        <v>1388</v>
      </c>
      <c r="D666" s="28" t="s">
        <v>1389</v>
      </c>
      <c r="E666" s="25">
        <v>106</v>
      </c>
      <c r="F666" s="23" t="str">
        <f>VLOOKUP(B666,'[2]справочник кодов нп'!$A:$D,4,0)</f>
        <v>сельские населенные пункты с численностью населения менее 1 000 человек.</v>
      </c>
      <c r="G666" s="23" t="s">
        <v>1385</v>
      </c>
      <c r="H666" s="10" t="s">
        <v>1388</v>
      </c>
      <c r="I666" s="35" t="s">
        <v>7017</v>
      </c>
      <c r="J666" s="33" t="s">
        <v>1337</v>
      </c>
    </row>
    <row r="667" spans="1:10" x14ac:dyDescent="0.25">
      <c r="A667" s="23" t="s">
        <v>4723</v>
      </c>
      <c r="B667" s="10" t="s">
        <v>4724</v>
      </c>
      <c r="C667" s="23" t="s">
        <v>1388</v>
      </c>
      <c r="D667" s="28" t="s">
        <v>4725</v>
      </c>
      <c r="E667" s="25">
        <v>106</v>
      </c>
      <c r="F667" s="23" t="str">
        <f>VLOOKUP(B667,'[2]справочник кодов нп'!$A:$D,4,0)</f>
        <v>сельские населенные пункты с численностью населения менее 1 000 человек.</v>
      </c>
      <c r="G667" s="23" t="s">
        <v>1385</v>
      </c>
      <c r="H667" s="10" t="s">
        <v>1388</v>
      </c>
      <c r="I667" s="35" t="s">
        <v>7017</v>
      </c>
      <c r="J667" s="33" t="s">
        <v>1337</v>
      </c>
    </row>
    <row r="668" spans="1:10" x14ac:dyDescent="0.25">
      <c r="A668" s="23" t="s">
        <v>4726</v>
      </c>
      <c r="B668" s="10" t="s">
        <v>4727</v>
      </c>
      <c r="C668" s="23" t="s">
        <v>1388</v>
      </c>
      <c r="D668" s="28" t="s">
        <v>4728</v>
      </c>
      <c r="E668" s="25">
        <v>106</v>
      </c>
      <c r="F668" s="23" t="str">
        <f>VLOOKUP(B668,'[2]справочник кодов нп'!$A:$D,4,0)</f>
        <v>сельские населенные пункты с численностью населения менее 1 000 человек.</v>
      </c>
      <c r="G668" s="23" t="s">
        <v>1385</v>
      </c>
      <c r="H668" s="10" t="s">
        <v>1388</v>
      </c>
      <c r="I668" s="35" t="s">
        <v>7017</v>
      </c>
      <c r="J668" s="33" t="s">
        <v>1337</v>
      </c>
    </row>
    <row r="669" spans="1:10" x14ac:dyDescent="0.25">
      <c r="A669" s="23" t="s">
        <v>6384</v>
      </c>
      <c r="B669" s="10" t="s">
        <v>6385</v>
      </c>
      <c r="C669" s="23" t="s">
        <v>1388</v>
      </c>
      <c r="D669" s="28" t="s">
        <v>6386</v>
      </c>
      <c r="E669" s="25">
        <v>106</v>
      </c>
      <c r="F669" s="23" t="str">
        <f>VLOOKUP(B669,'[2]справочник кодов нп'!$A:$D,4,0)</f>
        <v>городские населенные пункты с численностью населения менее 50 000 человек;</v>
      </c>
      <c r="G669" s="23" t="s">
        <v>1385</v>
      </c>
      <c r="H669" s="10" t="s">
        <v>1388</v>
      </c>
      <c r="I669" s="35" t="s">
        <v>7017</v>
      </c>
      <c r="J669" s="33" t="s">
        <v>1337</v>
      </c>
    </row>
    <row r="670" spans="1:10" x14ac:dyDescent="0.25">
      <c r="A670" s="23" t="s">
        <v>6915</v>
      </c>
      <c r="B670" s="10" t="s">
        <v>6916</v>
      </c>
      <c r="C670" s="23" t="s">
        <v>1388</v>
      </c>
      <c r="D670" s="28" t="s">
        <v>6846</v>
      </c>
      <c r="E670" s="25">
        <v>106</v>
      </c>
      <c r="F670" s="23" t="str">
        <f>VLOOKUP(B670,'[2]справочник кодов нп'!$A:$D,4,0)</f>
        <v>межселенная территория</v>
      </c>
      <c r="G670" s="23" t="s">
        <v>1385</v>
      </c>
      <c r="H670" s="10" t="s">
        <v>1388</v>
      </c>
      <c r="I670" s="35" t="s">
        <v>7019</v>
      </c>
      <c r="J670" s="33" t="s">
        <v>1337</v>
      </c>
    </row>
    <row r="671" spans="1:10" x14ac:dyDescent="0.25">
      <c r="A671" s="23" t="s">
        <v>1417</v>
      </c>
      <c r="B671" s="10" t="s">
        <v>1418</v>
      </c>
      <c r="C671" s="23" t="s">
        <v>1419</v>
      </c>
      <c r="D671" s="28" t="s">
        <v>1420</v>
      </c>
      <c r="E671" s="25">
        <v>106</v>
      </c>
      <c r="F671" s="23" t="str">
        <f>VLOOKUP(B671,'[2]справочник кодов нп'!$A:$D,4,0)</f>
        <v>сельские населенные пункты с численностью населения менее 1 000 человек.</v>
      </c>
      <c r="G671" s="23" t="s">
        <v>1385</v>
      </c>
      <c r="H671" s="49" t="s">
        <v>8452</v>
      </c>
      <c r="I671" s="35" t="s">
        <v>7017</v>
      </c>
      <c r="J671" s="33" t="s">
        <v>1337</v>
      </c>
    </row>
    <row r="672" spans="1:10" x14ac:dyDescent="0.25">
      <c r="A672" s="23" t="s">
        <v>4813</v>
      </c>
      <c r="B672" s="10" t="s">
        <v>4814</v>
      </c>
      <c r="C672" s="23" t="s">
        <v>1419</v>
      </c>
      <c r="D672" s="28" t="s">
        <v>4815</v>
      </c>
      <c r="E672" s="25">
        <v>106</v>
      </c>
      <c r="F672" s="23" t="str">
        <f>VLOOKUP(B672,'[2]справочник кодов нп'!$A:$D,4,0)</f>
        <v>сельские населенные пункты с численностью населения менее 1 000 человек.</v>
      </c>
      <c r="G672" s="45" t="s">
        <v>1385</v>
      </c>
      <c r="H672" s="49" t="s">
        <v>8452</v>
      </c>
      <c r="I672" s="35" t="s">
        <v>7017</v>
      </c>
      <c r="J672" s="33" t="s">
        <v>1337</v>
      </c>
    </row>
    <row r="673" spans="1:10" x14ac:dyDescent="0.25">
      <c r="A673" s="23" t="s">
        <v>4816</v>
      </c>
      <c r="B673" s="10" t="s">
        <v>4817</v>
      </c>
      <c r="C673" s="23" t="s">
        <v>1419</v>
      </c>
      <c r="D673" s="28" t="s">
        <v>4818</v>
      </c>
      <c r="E673" s="25">
        <v>106</v>
      </c>
      <c r="F673" s="23" t="str">
        <f>VLOOKUP(B673,'[2]справочник кодов нп'!$A:$D,4,0)</f>
        <v>сельские населенные пункты с численностью населения менее 1 000 человек.</v>
      </c>
      <c r="G673" s="45" t="s">
        <v>1385</v>
      </c>
      <c r="H673" s="49" t="s">
        <v>8452</v>
      </c>
      <c r="I673" s="35" t="s">
        <v>7017</v>
      </c>
      <c r="J673" s="33" t="s">
        <v>1337</v>
      </c>
    </row>
    <row r="674" spans="1:10" x14ac:dyDescent="0.25">
      <c r="A674" s="23" t="s">
        <v>6826</v>
      </c>
      <c r="B674" s="10" t="s">
        <v>6827</v>
      </c>
      <c r="C674" s="23" t="s">
        <v>1419</v>
      </c>
      <c r="D674" s="28" t="s">
        <v>6828</v>
      </c>
      <c r="E674" s="25">
        <v>106</v>
      </c>
      <c r="F674" s="23" t="str">
        <f>VLOOKUP(B674,'[2]справочник кодов нп'!$A:$D,4,0)</f>
        <v>городские населенные пункты с численностью населения менее 50 000 человек;</v>
      </c>
      <c r="G674" s="45" t="s">
        <v>1385</v>
      </c>
      <c r="H674" s="49" t="s">
        <v>8452</v>
      </c>
      <c r="I674" s="35" t="s">
        <v>7017</v>
      </c>
      <c r="J674" s="33" t="s">
        <v>1337</v>
      </c>
    </row>
    <row r="675" spans="1:10" x14ac:dyDescent="0.25">
      <c r="A675" s="23" t="s">
        <v>6917</v>
      </c>
      <c r="B675" s="10" t="s">
        <v>6918</v>
      </c>
      <c r="C675" s="23" t="s">
        <v>1419</v>
      </c>
      <c r="D675" s="28" t="s">
        <v>6846</v>
      </c>
      <c r="E675" s="25">
        <v>106</v>
      </c>
      <c r="F675" s="23" t="str">
        <f>VLOOKUP(B675,'[2]справочник кодов нп'!$A:$D,4,0)</f>
        <v>межселенная территория</v>
      </c>
      <c r="G675" s="45" t="s">
        <v>1385</v>
      </c>
      <c r="H675" s="49" t="s">
        <v>8452</v>
      </c>
      <c r="I675" s="35" t="s">
        <v>7019</v>
      </c>
      <c r="J675" s="33" t="s">
        <v>1337</v>
      </c>
    </row>
    <row r="676" spans="1:10" x14ac:dyDescent="0.25">
      <c r="A676" s="23" t="s">
        <v>4729</v>
      </c>
      <c r="B676" s="10" t="s">
        <v>4730</v>
      </c>
      <c r="C676" s="23" t="s">
        <v>4731</v>
      </c>
      <c r="D676" s="28" t="s">
        <v>4732</v>
      </c>
      <c r="E676" s="25">
        <v>106</v>
      </c>
      <c r="F676" s="23" t="str">
        <f>VLOOKUP(B676,'[2]справочник кодов нп'!$A:$D,4,0)</f>
        <v>сельские населенные пункты с численностью населения менее 1 000 человек.</v>
      </c>
      <c r="G676" s="23" t="s">
        <v>1385</v>
      </c>
      <c r="H676" s="10" t="s">
        <v>4731</v>
      </c>
      <c r="I676" s="35" t="s">
        <v>7017</v>
      </c>
      <c r="J676" s="33" t="s">
        <v>1337</v>
      </c>
    </row>
    <row r="677" spans="1:10" x14ac:dyDescent="0.25">
      <c r="A677" s="23" t="s">
        <v>4733</v>
      </c>
      <c r="B677" s="10" t="s">
        <v>4734</v>
      </c>
      <c r="C677" s="23" t="s">
        <v>4731</v>
      </c>
      <c r="D677" s="28" t="s">
        <v>2747</v>
      </c>
      <c r="E677" s="25">
        <v>106</v>
      </c>
      <c r="F677" s="23" t="str">
        <f>VLOOKUP(B677,'[2]справочник кодов нп'!$A:$D,4,0)</f>
        <v>сельские населенные пункты с численностью населения более 1 000 человек;</v>
      </c>
      <c r="G677" s="23" t="s">
        <v>1385</v>
      </c>
      <c r="H677" s="10" t="s">
        <v>4731</v>
      </c>
      <c r="I677" s="35" t="s">
        <v>7017</v>
      </c>
      <c r="J677" s="33" t="s">
        <v>1337</v>
      </c>
    </row>
    <row r="678" spans="1:10" x14ac:dyDescent="0.25">
      <c r="A678" s="23" t="s">
        <v>4735</v>
      </c>
      <c r="B678" s="10" t="s">
        <v>4736</v>
      </c>
      <c r="C678" s="23" t="s">
        <v>4731</v>
      </c>
      <c r="D678" s="28" t="s">
        <v>4737</v>
      </c>
      <c r="E678" s="25">
        <v>106</v>
      </c>
      <c r="F678" s="23" t="str">
        <f>VLOOKUP(B678,'[2]справочник кодов нп'!$A:$D,4,0)</f>
        <v>сельские населенные пункты с численностью населения менее 1 000 человек.</v>
      </c>
      <c r="G678" s="23" t="s">
        <v>1385</v>
      </c>
      <c r="H678" s="10" t="s">
        <v>4731</v>
      </c>
      <c r="I678" s="35" t="s">
        <v>7017</v>
      </c>
      <c r="J678" s="33" t="s">
        <v>1337</v>
      </c>
    </row>
    <row r="679" spans="1:10" x14ac:dyDescent="0.25">
      <c r="A679" s="23" t="s">
        <v>4738</v>
      </c>
      <c r="B679" s="10" t="s">
        <v>4739</v>
      </c>
      <c r="C679" s="23" t="s">
        <v>4731</v>
      </c>
      <c r="D679" s="28" t="s">
        <v>4740</v>
      </c>
      <c r="E679" s="25">
        <v>106</v>
      </c>
      <c r="F679" s="23" t="str">
        <f>VLOOKUP(B679,'[2]справочник кодов нп'!$A:$D,4,0)</f>
        <v>сельские населенные пункты с численностью населения менее 1 000 человек.</v>
      </c>
      <c r="G679" s="23" t="s">
        <v>1385</v>
      </c>
      <c r="H679" s="10" t="s">
        <v>4731</v>
      </c>
      <c r="I679" s="35" t="s">
        <v>7017</v>
      </c>
      <c r="J679" s="33" t="s">
        <v>1337</v>
      </c>
    </row>
    <row r="680" spans="1:10" x14ac:dyDescent="0.25">
      <c r="A680" s="23" t="s">
        <v>4741</v>
      </c>
      <c r="B680" s="10" t="s">
        <v>4742</v>
      </c>
      <c r="C680" s="23" t="s">
        <v>4731</v>
      </c>
      <c r="D680" s="28" t="s">
        <v>4743</v>
      </c>
      <c r="E680" s="25">
        <v>106</v>
      </c>
      <c r="F680" s="23" t="str">
        <f>VLOOKUP(B680,'[2]справочник кодов нп'!$A:$D,4,0)</f>
        <v>сельские населенные пункты с численностью населения менее 1 000 человек.</v>
      </c>
      <c r="G680" s="23" t="s">
        <v>1385</v>
      </c>
      <c r="H680" s="10" t="s">
        <v>4731</v>
      </c>
      <c r="I680" s="35" t="s">
        <v>7017</v>
      </c>
      <c r="J680" s="33" t="s">
        <v>1337</v>
      </c>
    </row>
    <row r="681" spans="1:10" x14ac:dyDescent="0.25">
      <c r="A681" s="23" t="s">
        <v>4744</v>
      </c>
      <c r="B681" s="10" t="s">
        <v>4745</v>
      </c>
      <c r="C681" s="23" t="s">
        <v>4731</v>
      </c>
      <c r="D681" s="28" t="s">
        <v>4746</v>
      </c>
      <c r="E681" s="25">
        <v>106</v>
      </c>
      <c r="F681" s="23" t="str">
        <f>VLOOKUP(B681,'[2]справочник кодов нп'!$A:$D,4,0)</f>
        <v>сельские населенные пункты с численностью населения менее 1 000 человек.</v>
      </c>
      <c r="G681" s="23" t="s">
        <v>1385</v>
      </c>
      <c r="H681" s="10" t="s">
        <v>4731</v>
      </c>
      <c r="I681" s="35" t="s">
        <v>7017</v>
      </c>
      <c r="J681" s="33" t="s">
        <v>1337</v>
      </c>
    </row>
    <row r="682" spans="1:10" x14ac:dyDescent="0.25">
      <c r="A682" s="23" t="s">
        <v>4747</v>
      </c>
      <c r="B682" s="10" t="s">
        <v>4748</v>
      </c>
      <c r="C682" s="23" t="s">
        <v>4731</v>
      </c>
      <c r="D682" s="28" t="s">
        <v>4749</v>
      </c>
      <c r="E682" s="25">
        <v>106</v>
      </c>
      <c r="F682" s="23" t="str">
        <f>VLOOKUP(B682,'[2]справочник кодов нп'!$A:$D,4,0)</f>
        <v>сельские населенные пункты с численностью населения менее 1 000 человек.</v>
      </c>
      <c r="G682" s="23" t="s">
        <v>1385</v>
      </c>
      <c r="H682" s="10" t="s">
        <v>4731</v>
      </c>
      <c r="I682" s="35" t="s">
        <v>7017</v>
      </c>
      <c r="J682" s="33" t="s">
        <v>1337</v>
      </c>
    </row>
    <row r="683" spans="1:10" x14ac:dyDescent="0.25">
      <c r="A683" s="23" t="s">
        <v>4750</v>
      </c>
      <c r="B683" s="10" t="s">
        <v>4751</v>
      </c>
      <c r="C683" s="23" t="s">
        <v>4731</v>
      </c>
      <c r="D683" s="28" t="s">
        <v>4752</v>
      </c>
      <c r="E683" s="25">
        <v>106</v>
      </c>
      <c r="F683" s="23" t="str">
        <f>VLOOKUP(B683,'[2]справочник кодов нп'!$A:$D,4,0)</f>
        <v>сельские населенные пункты с численностью населения менее 1 000 человек.</v>
      </c>
      <c r="G683" s="23" t="s">
        <v>1385</v>
      </c>
      <c r="H683" s="10" t="s">
        <v>4731</v>
      </c>
      <c r="I683" s="35" t="s">
        <v>7017</v>
      </c>
      <c r="J683" s="33" t="s">
        <v>1337</v>
      </c>
    </row>
    <row r="684" spans="1:10" x14ac:dyDescent="0.25">
      <c r="A684" s="23" t="s">
        <v>4753</v>
      </c>
      <c r="B684" s="10" t="s">
        <v>4754</v>
      </c>
      <c r="C684" s="23" t="s">
        <v>4731</v>
      </c>
      <c r="D684" s="28" t="s">
        <v>4755</v>
      </c>
      <c r="E684" s="25">
        <v>106</v>
      </c>
      <c r="F684" s="23" t="str">
        <f>VLOOKUP(B684,'[2]справочник кодов нп'!$A:$D,4,0)</f>
        <v>сельские населенные пункты с численностью населения более 1 000 человек;</v>
      </c>
      <c r="G684" s="23" t="s">
        <v>1385</v>
      </c>
      <c r="H684" s="10" t="s">
        <v>4731</v>
      </c>
      <c r="I684" s="35" t="s">
        <v>7017</v>
      </c>
      <c r="J684" s="33" t="s">
        <v>1337</v>
      </c>
    </row>
    <row r="685" spans="1:10" x14ac:dyDescent="0.25">
      <c r="A685" s="23" t="s">
        <v>4756</v>
      </c>
      <c r="B685" s="10" t="s">
        <v>4757</v>
      </c>
      <c r="C685" s="23" t="s">
        <v>4731</v>
      </c>
      <c r="D685" s="28" t="s">
        <v>4758</v>
      </c>
      <c r="E685" s="25">
        <v>106</v>
      </c>
      <c r="F685" s="23" t="str">
        <f>VLOOKUP(B685,'[2]справочник кодов нп'!$A:$D,4,0)</f>
        <v>сельские населенные пункты с численностью населения менее 1 000 человек.</v>
      </c>
      <c r="G685" s="23" t="s">
        <v>1385</v>
      </c>
      <c r="H685" s="10" t="s">
        <v>4731</v>
      </c>
      <c r="I685" s="35" t="s">
        <v>7017</v>
      </c>
      <c r="J685" s="33" t="s">
        <v>1337</v>
      </c>
    </row>
    <row r="686" spans="1:10" x14ac:dyDescent="0.25">
      <c r="A686" s="23" t="s">
        <v>4759</v>
      </c>
      <c r="B686" s="10" t="s">
        <v>4760</v>
      </c>
      <c r="C686" s="23" t="s">
        <v>4731</v>
      </c>
      <c r="D686" s="28" t="s">
        <v>4761</v>
      </c>
      <c r="E686" s="25">
        <v>106</v>
      </c>
      <c r="F686" s="23" t="str">
        <f>VLOOKUP(B686,'[2]справочник кодов нп'!$A:$D,4,0)</f>
        <v>сельские населенные пункты с численностью населения менее 1 000 человек.</v>
      </c>
      <c r="G686" s="23" t="s">
        <v>1385</v>
      </c>
      <c r="H686" s="10" t="s">
        <v>4731</v>
      </c>
      <c r="I686" s="35" t="s">
        <v>7017</v>
      </c>
      <c r="J686" s="33" t="s">
        <v>1337</v>
      </c>
    </row>
    <row r="687" spans="1:10" x14ac:dyDescent="0.25">
      <c r="A687" s="23" t="s">
        <v>4762</v>
      </c>
      <c r="B687" s="10" t="s">
        <v>4763</v>
      </c>
      <c r="C687" s="23" t="s">
        <v>4731</v>
      </c>
      <c r="D687" s="28" t="s">
        <v>4764</v>
      </c>
      <c r="E687" s="25">
        <v>106</v>
      </c>
      <c r="F687" s="23" t="str">
        <f>VLOOKUP(B687,'[2]справочник кодов нп'!$A:$D,4,0)</f>
        <v>сельские населенные пункты с численностью населения менее 1 000 человек.</v>
      </c>
      <c r="G687" s="23" t="s">
        <v>1385</v>
      </c>
      <c r="H687" s="10" t="s">
        <v>4731</v>
      </c>
      <c r="I687" s="35" t="s">
        <v>7017</v>
      </c>
      <c r="J687" s="33" t="s">
        <v>1337</v>
      </c>
    </row>
    <row r="688" spans="1:10" x14ac:dyDescent="0.25">
      <c r="A688" s="23" t="s">
        <v>4765</v>
      </c>
      <c r="B688" s="10" t="s">
        <v>4766</v>
      </c>
      <c r="C688" s="23" t="s">
        <v>4731</v>
      </c>
      <c r="D688" s="28" t="s">
        <v>4767</v>
      </c>
      <c r="E688" s="25">
        <v>106</v>
      </c>
      <c r="F688" s="23" t="str">
        <f>VLOOKUP(B688,'[2]справочник кодов нп'!$A:$D,4,0)</f>
        <v>сельские населенные пункты с численностью населения менее 1 000 человек.</v>
      </c>
      <c r="G688" s="23" t="s">
        <v>1385</v>
      </c>
      <c r="H688" s="10" t="s">
        <v>4731</v>
      </c>
      <c r="I688" s="35" t="s">
        <v>7017</v>
      </c>
      <c r="J688" s="33" t="s">
        <v>1337</v>
      </c>
    </row>
    <row r="689" spans="1:10" x14ac:dyDescent="0.25">
      <c r="A689" s="23" t="s">
        <v>4768</v>
      </c>
      <c r="B689" s="10" t="s">
        <v>4769</v>
      </c>
      <c r="C689" s="23" t="s">
        <v>4731</v>
      </c>
      <c r="D689" s="28" t="s">
        <v>4770</v>
      </c>
      <c r="E689" s="25">
        <v>106</v>
      </c>
      <c r="F689" s="23" t="str">
        <f>VLOOKUP(B689,'[2]справочник кодов нп'!$A:$D,4,0)</f>
        <v>сельские населенные пункты с численностью населения менее 1 000 человек.</v>
      </c>
      <c r="G689" s="23" t="s">
        <v>1385</v>
      </c>
      <c r="H689" s="10" t="s">
        <v>4731</v>
      </c>
      <c r="I689" s="35" t="s">
        <v>7017</v>
      </c>
      <c r="J689" s="33" t="s">
        <v>1337</v>
      </c>
    </row>
    <row r="690" spans="1:10" x14ac:dyDescent="0.25">
      <c r="A690" s="23" t="s">
        <v>4771</v>
      </c>
      <c r="B690" s="10" t="s">
        <v>4772</v>
      </c>
      <c r="C690" s="23" t="s">
        <v>4731</v>
      </c>
      <c r="D690" s="28" t="s">
        <v>4773</v>
      </c>
      <c r="E690" s="25">
        <v>106</v>
      </c>
      <c r="F690" s="23" t="str">
        <f>VLOOKUP(B690,'[2]справочник кодов нп'!$A:$D,4,0)</f>
        <v>сельские населенные пункты с численностью населения более 1 000 человек;</v>
      </c>
      <c r="G690" s="23" t="s">
        <v>1385</v>
      </c>
      <c r="H690" s="10" t="s">
        <v>4731</v>
      </c>
      <c r="I690" s="35" t="s">
        <v>7017</v>
      </c>
      <c r="J690" s="33" t="s">
        <v>1337</v>
      </c>
    </row>
    <row r="691" spans="1:10" x14ac:dyDescent="0.25">
      <c r="A691" s="23" t="s">
        <v>4774</v>
      </c>
      <c r="B691" s="10" t="s">
        <v>4775</v>
      </c>
      <c r="C691" s="23" t="s">
        <v>4731</v>
      </c>
      <c r="D691" s="28" t="s">
        <v>4776</v>
      </c>
      <c r="E691" s="25">
        <v>106</v>
      </c>
      <c r="F691" s="23" t="str">
        <f>VLOOKUP(B691,'[2]справочник кодов нп'!$A:$D,4,0)</f>
        <v>сельские населенные пункты с численностью населения менее 1 000 человек.</v>
      </c>
      <c r="G691" s="23" t="s">
        <v>1385</v>
      </c>
      <c r="H691" s="10" t="s">
        <v>4731</v>
      </c>
      <c r="I691" s="35" t="s">
        <v>7017</v>
      </c>
      <c r="J691" s="33" t="s">
        <v>1337</v>
      </c>
    </row>
    <row r="692" spans="1:10" x14ac:dyDescent="0.25">
      <c r="A692" s="23" t="s">
        <v>4777</v>
      </c>
      <c r="B692" s="10" t="s">
        <v>4778</v>
      </c>
      <c r="C692" s="23" t="s">
        <v>4731</v>
      </c>
      <c r="D692" s="28" t="s">
        <v>4779</v>
      </c>
      <c r="E692" s="25">
        <v>106</v>
      </c>
      <c r="F692" s="23" t="str">
        <f>VLOOKUP(B692,'[2]справочник кодов нп'!$A:$D,4,0)</f>
        <v>сельские населенные пункты с численностью населения менее 1 000 человек.</v>
      </c>
      <c r="G692" s="23" t="s">
        <v>1385</v>
      </c>
      <c r="H692" s="10" t="s">
        <v>4731</v>
      </c>
      <c r="I692" s="35" t="s">
        <v>7017</v>
      </c>
      <c r="J692" s="33" t="s">
        <v>1337</v>
      </c>
    </row>
    <row r="693" spans="1:10" x14ac:dyDescent="0.25">
      <c r="A693" s="23" t="s">
        <v>4780</v>
      </c>
      <c r="B693" s="10" t="s">
        <v>4781</v>
      </c>
      <c r="C693" s="23" t="s">
        <v>4731</v>
      </c>
      <c r="D693" s="28" t="s">
        <v>4782</v>
      </c>
      <c r="E693" s="25">
        <v>106</v>
      </c>
      <c r="F693" s="23" t="str">
        <f>VLOOKUP(B693,'[2]справочник кодов нп'!$A:$D,4,0)</f>
        <v>сельские населенные пункты с численностью населения менее 1 000 человек.</v>
      </c>
      <c r="G693" s="23" t="s">
        <v>1385</v>
      </c>
      <c r="H693" s="10" t="s">
        <v>4731</v>
      </c>
      <c r="I693" s="35" t="s">
        <v>7017</v>
      </c>
      <c r="J693" s="33" t="s">
        <v>1337</v>
      </c>
    </row>
    <row r="694" spans="1:10" x14ac:dyDescent="0.25">
      <c r="A694" s="23" t="s">
        <v>4783</v>
      </c>
      <c r="B694" s="10" t="s">
        <v>4784</v>
      </c>
      <c r="C694" s="23" t="s">
        <v>4731</v>
      </c>
      <c r="D694" s="28" t="s">
        <v>4785</v>
      </c>
      <c r="E694" s="25">
        <v>106</v>
      </c>
      <c r="F694" s="23" t="str">
        <f>VLOOKUP(B694,'[2]справочник кодов нп'!$A:$D,4,0)</f>
        <v>сельские населенные пункты с численностью населения менее 1 000 человек.</v>
      </c>
      <c r="G694" s="23" t="s">
        <v>1385</v>
      </c>
      <c r="H694" s="10" t="s">
        <v>4731</v>
      </c>
      <c r="I694" s="35" t="s">
        <v>7017</v>
      </c>
      <c r="J694" s="33" t="s">
        <v>1337</v>
      </c>
    </row>
    <row r="695" spans="1:10" x14ac:dyDescent="0.25">
      <c r="A695" s="23" t="s">
        <v>4786</v>
      </c>
      <c r="B695" s="10" t="s">
        <v>4787</v>
      </c>
      <c r="C695" s="23" t="s">
        <v>4731</v>
      </c>
      <c r="D695" s="28" t="s">
        <v>4788</v>
      </c>
      <c r="E695" s="25">
        <v>106</v>
      </c>
      <c r="F695" s="23" t="str">
        <f>VLOOKUP(B695,'[2]справочник кодов нп'!$A:$D,4,0)</f>
        <v>сельские населенные пункты с численностью населения менее 1 000 человек.</v>
      </c>
      <c r="G695" s="23" t="s">
        <v>1385</v>
      </c>
      <c r="H695" s="10" t="s">
        <v>4731</v>
      </c>
      <c r="I695" s="35" t="s">
        <v>7017</v>
      </c>
      <c r="J695" s="33" t="s">
        <v>1337</v>
      </c>
    </row>
    <row r="696" spans="1:10" x14ac:dyDescent="0.25">
      <c r="A696" s="23" t="s">
        <v>4789</v>
      </c>
      <c r="B696" s="10" t="s">
        <v>4790</v>
      </c>
      <c r="C696" s="23" t="s">
        <v>4731</v>
      </c>
      <c r="D696" s="28" t="s">
        <v>4791</v>
      </c>
      <c r="E696" s="25">
        <v>106</v>
      </c>
      <c r="F696" s="23" t="str">
        <f>VLOOKUP(B696,'[2]справочник кодов нп'!$A:$D,4,0)</f>
        <v>сельские населенные пункты с численностью населения более 1 000 человек;</v>
      </c>
      <c r="G696" s="23" t="s">
        <v>1385</v>
      </c>
      <c r="H696" s="10" t="s">
        <v>4731</v>
      </c>
      <c r="I696" s="35" t="s">
        <v>7017</v>
      </c>
      <c r="J696" s="33" t="s">
        <v>1337</v>
      </c>
    </row>
    <row r="697" spans="1:10" x14ac:dyDescent="0.25">
      <c r="A697" s="23" t="s">
        <v>4792</v>
      </c>
      <c r="B697" s="10" t="s">
        <v>4793</v>
      </c>
      <c r="C697" s="23" t="s">
        <v>4731</v>
      </c>
      <c r="D697" s="28" t="s">
        <v>4794</v>
      </c>
      <c r="E697" s="25">
        <v>106</v>
      </c>
      <c r="F697" s="23" t="str">
        <f>VLOOKUP(B697,'[2]справочник кодов нп'!$A:$D,4,0)</f>
        <v>сельские населенные пункты с численностью населения более 1 000 человек;</v>
      </c>
      <c r="G697" s="23" t="s">
        <v>1385</v>
      </c>
      <c r="H697" s="10" t="s">
        <v>4731</v>
      </c>
      <c r="I697" s="35" t="s">
        <v>7017</v>
      </c>
      <c r="J697" s="33" t="s">
        <v>1337</v>
      </c>
    </row>
    <row r="698" spans="1:10" x14ac:dyDescent="0.25">
      <c r="A698" s="23" t="s">
        <v>4795</v>
      </c>
      <c r="B698" s="10" t="s">
        <v>4796</v>
      </c>
      <c r="C698" s="23" t="s">
        <v>4731</v>
      </c>
      <c r="D698" s="28" t="s">
        <v>4797</v>
      </c>
      <c r="E698" s="25">
        <v>106</v>
      </c>
      <c r="F698" s="23" t="str">
        <f>VLOOKUP(B698,'[2]справочник кодов нп'!$A:$D,4,0)</f>
        <v>сельские населенные пункты с численностью населения менее 1 000 человек.</v>
      </c>
      <c r="G698" s="23" t="s">
        <v>1385</v>
      </c>
      <c r="H698" s="10" t="s">
        <v>4731</v>
      </c>
      <c r="I698" s="35" t="s">
        <v>7017</v>
      </c>
      <c r="J698" s="33" t="s">
        <v>1337</v>
      </c>
    </row>
    <row r="699" spans="1:10" x14ac:dyDescent="0.25">
      <c r="A699" s="23" t="s">
        <v>4869</v>
      </c>
      <c r="B699" s="10" t="s">
        <v>4870</v>
      </c>
      <c r="C699" s="23" t="s">
        <v>4731</v>
      </c>
      <c r="D699" s="28" t="s">
        <v>4871</v>
      </c>
      <c r="E699" s="25">
        <v>106</v>
      </c>
      <c r="F699" s="23" t="str">
        <f>VLOOKUP(B699,'[2]справочник кодов нп'!$A:$D,4,0)</f>
        <v>сельские населенные пункты с численностью населения менее 1 000 человек.</v>
      </c>
      <c r="G699" s="23" t="s">
        <v>1385</v>
      </c>
      <c r="H699" s="10" t="s">
        <v>4731</v>
      </c>
      <c r="I699" s="35" t="s">
        <v>7017</v>
      </c>
      <c r="J699" s="33" t="s">
        <v>1337</v>
      </c>
    </row>
    <row r="700" spans="1:10" x14ac:dyDescent="0.25">
      <c r="A700" s="23" t="s">
        <v>5483</v>
      </c>
      <c r="B700" s="10" t="s">
        <v>5484</v>
      </c>
      <c r="C700" s="23" t="s">
        <v>4731</v>
      </c>
      <c r="D700" s="28" t="s">
        <v>5485</v>
      </c>
      <c r="E700" s="25">
        <v>106</v>
      </c>
      <c r="F700" s="23" t="str">
        <f>VLOOKUP(B700,'[2]справочник кодов нп'!$A:$D,4,0)</f>
        <v>городские населенные пункты с численностью населения менее 50 000 человек;</v>
      </c>
      <c r="G700" s="23" t="s">
        <v>1385</v>
      </c>
      <c r="H700" s="10" t="s">
        <v>4731</v>
      </c>
      <c r="I700" s="35" t="s">
        <v>7017</v>
      </c>
      <c r="J700" s="33" t="s">
        <v>1337</v>
      </c>
    </row>
    <row r="701" spans="1:10" x14ac:dyDescent="0.25">
      <c r="A701" s="23" t="s">
        <v>5536</v>
      </c>
      <c r="B701" s="10" t="s">
        <v>5537</v>
      </c>
      <c r="C701" s="23" t="s">
        <v>4731</v>
      </c>
      <c r="D701" s="28" t="s">
        <v>5538</v>
      </c>
      <c r="E701" s="25">
        <v>106</v>
      </c>
      <c r="F701" s="23" t="str">
        <f>VLOOKUP(B701,'[2]справочник кодов нп'!$A:$D,4,0)</f>
        <v>сельские населенные пункты с численностью населения более 1 000 человек;</v>
      </c>
      <c r="G701" s="23" t="s">
        <v>1385</v>
      </c>
      <c r="H701" s="10" t="s">
        <v>4731</v>
      </c>
      <c r="I701" s="35" t="s">
        <v>7017</v>
      </c>
      <c r="J701" s="33" t="s">
        <v>1337</v>
      </c>
    </row>
    <row r="702" spans="1:10" x14ac:dyDescent="0.25">
      <c r="A702" s="23" t="s">
        <v>6919</v>
      </c>
      <c r="B702" s="10" t="s">
        <v>6920</v>
      </c>
      <c r="C702" s="23" t="s">
        <v>4731</v>
      </c>
      <c r="D702" s="28" t="s">
        <v>6846</v>
      </c>
      <c r="E702" s="25">
        <v>106</v>
      </c>
      <c r="F702" s="23" t="str">
        <f>VLOOKUP(B702,'[2]справочник кодов нп'!$A:$D,4,0)</f>
        <v>межселенная территория</v>
      </c>
      <c r="G702" s="23" t="s">
        <v>1385</v>
      </c>
      <c r="H702" s="10" t="s">
        <v>4731</v>
      </c>
      <c r="I702" s="35" t="s">
        <v>7019</v>
      </c>
      <c r="J702" s="33" t="s">
        <v>1337</v>
      </c>
    </row>
    <row r="703" spans="1:10" x14ac:dyDescent="0.25">
      <c r="A703" s="23" t="s">
        <v>4486</v>
      </c>
      <c r="B703" s="10" t="s">
        <v>4487</v>
      </c>
      <c r="C703" s="23" t="s">
        <v>4488</v>
      </c>
      <c r="D703" s="28" t="s">
        <v>4489</v>
      </c>
      <c r="E703" s="25">
        <v>106</v>
      </c>
      <c r="F703" s="23" t="str">
        <f>VLOOKUP(B703,'[2]справочник кодов нп'!$A:$D,4,0)</f>
        <v>сельские населенные пункты с численностью населения менее 1 000 человек.</v>
      </c>
      <c r="G703" s="23" t="s">
        <v>1385</v>
      </c>
      <c r="H703" s="10" t="s">
        <v>4488</v>
      </c>
      <c r="I703" s="35" t="s">
        <v>7017</v>
      </c>
      <c r="J703" s="33" t="s">
        <v>1337</v>
      </c>
    </row>
    <row r="704" spans="1:10" x14ac:dyDescent="0.25">
      <c r="A704" s="23" t="s">
        <v>4490</v>
      </c>
      <c r="B704" s="10" t="s">
        <v>4491</v>
      </c>
      <c r="C704" s="23" t="s">
        <v>4488</v>
      </c>
      <c r="D704" s="28" t="s">
        <v>4492</v>
      </c>
      <c r="E704" s="25">
        <v>106</v>
      </c>
      <c r="F704" s="23" t="str">
        <f>VLOOKUP(B704,'[2]справочник кодов нп'!$A:$D,4,0)</f>
        <v>сельские населенные пункты с численностью населения менее 1 000 человек.</v>
      </c>
      <c r="G704" s="23" t="s">
        <v>1385</v>
      </c>
      <c r="H704" s="10" t="s">
        <v>4488</v>
      </c>
      <c r="I704" s="35" t="s">
        <v>7017</v>
      </c>
      <c r="J704" s="33" t="s">
        <v>1337</v>
      </c>
    </row>
    <row r="705" spans="1:10" x14ac:dyDescent="0.25">
      <c r="A705" s="23" t="s">
        <v>4493</v>
      </c>
      <c r="B705" s="10" t="s">
        <v>4494</v>
      </c>
      <c r="C705" s="23" t="s">
        <v>4488</v>
      </c>
      <c r="D705" s="28" t="s">
        <v>4495</v>
      </c>
      <c r="E705" s="25">
        <v>106</v>
      </c>
      <c r="F705" s="23" t="str">
        <f>VLOOKUP(B705,'[2]справочник кодов нп'!$A:$D,4,0)</f>
        <v>сельские населенные пункты с численностью населения менее 1 000 человек.</v>
      </c>
      <c r="G705" s="23" t="s">
        <v>1385</v>
      </c>
      <c r="H705" s="10" t="s">
        <v>4488</v>
      </c>
      <c r="I705" s="35" t="s">
        <v>7017</v>
      </c>
      <c r="J705" s="33" t="s">
        <v>1337</v>
      </c>
    </row>
    <row r="706" spans="1:10" x14ac:dyDescent="0.25">
      <c r="A706" s="23" t="s">
        <v>4496</v>
      </c>
      <c r="B706" s="10" t="s">
        <v>4497</v>
      </c>
      <c r="C706" s="23" t="s">
        <v>4488</v>
      </c>
      <c r="D706" s="28" t="s">
        <v>4498</v>
      </c>
      <c r="E706" s="25">
        <v>106</v>
      </c>
      <c r="F706" s="23" t="str">
        <f>VLOOKUP(B706,'[2]справочник кодов нп'!$A:$D,4,0)</f>
        <v>сельские населенные пункты с численностью населения менее 1 000 человек.</v>
      </c>
      <c r="G706" s="23" t="s">
        <v>1385</v>
      </c>
      <c r="H706" s="10" t="s">
        <v>4488</v>
      </c>
      <c r="I706" s="35" t="s">
        <v>7017</v>
      </c>
      <c r="J706" s="33" t="s">
        <v>1337</v>
      </c>
    </row>
    <row r="707" spans="1:10" x14ac:dyDescent="0.25">
      <c r="A707" s="23" t="s">
        <v>4499</v>
      </c>
      <c r="B707" s="10" t="s">
        <v>4500</v>
      </c>
      <c r="C707" s="23" t="s">
        <v>4488</v>
      </c>
      <c r="D707" s="28" t="s">
        <v>4501</v>
      </c>
      <c r="E707" s="25">
        <v>106</v>
      </c>
      <c r="F707" s="23" t="str">
        <f>VLOOKUP(B707,'[2]справочник кодов нп'!$A:$D,4,0)</f>
        <v>сельские населенные пункты с численностью населения менее 1 000 человек.</v>
      </c>
      <c r="G707" s="23" t="s">
        <v>1385</v>
      </c>
      <c r="H707" s="10" t="s">
        <v>4488</v>
      </c>
      <c r="I707" s="35" t="s">
        <v>7017</v>
      </c>
      <c r="J707" s="33" t="s">
        <v>1337</v>
      </c>
    </row>
    <row r="708" spans="1:10" x14ac:dyDescent="0.25">
      <c r="A708" s="23" t="s">
        <v>4502</v>
      </c>
      <c r="B708" s="10" t="s">
        <v>4503</v>
      </c>
      <c r="C708" s="23" t="s">
        <v>4488</v>
      </c>
      <c r="D708" s="28" t="s">
        <v>4504</v>
      </c>
      <c r="E708" s="25">
        <v>106</v>
      </c>
      <c r="F708" s="23" t="str">
        <f>VLOOKUP(B708,'[2]справочник кодов нп'!$A:$D,4,0)</f>
        <v>сельские населенные пункты с численностью населения менее 1 000 человек.</v>
      </c>
      <c r="G708" s="23" t="s">
        <v>1385</v>
      </c>
      <c r="H708" s="10" t="s">
        <v>4488</v>
      </c>
      <c r="I708" s="35" t="s">
        <v>7017</v>
      </c>
      <c r="J708" s="33" t="s">
        <v>1337</v>
      </c>
    </row>
    <row r="709" spans="1:10" x14ac:dyDescent="0.25">
      <c r="A709" s="23" t="s">
        <v>4505</v>
      </c>
      <c r="B709" s="10" t="s">
        <v>4506</v>
      </c>
      <c r="C709" s="23" t="s">
        <v>4488</v>
      </c>
      <c r="D709" s="28" t="s">
        <v>4507</v>
      </c>
      <c r="E709" s="25">
        <v>106</v>
      </c>
      <c r="F709" s="23" t="str">
        <f>VLOOKUP(B709,'[2]справочник кодов нп'!$A:$D,4,0)</f>
        <v>сельские населенные пункты с численностью населения менее 1 000 человек.</v>
      </c>
      <c r="G709" s="23" t="s">
        <v>1385</v>
      </c>
      <c r="H709" s="10" t="s">
        <v>4488</v>
      </c>
      <c r="I709" s="35" t="s">
        <v>7017</v>
      </c>
      <c r="J709" s="33" t="s">
        <v>1337</v>
      </c>
    </row>
    <row r="710" spans="1:10" x14ac:dyDescent="0.25">
      <c r="A710" s="23" t="s">
        <v>4508</v>
      </c>
      <c r="B710" s="10" t="s">
        <v>4509</v>
      </c>
      <c r="C710" s="23" t="s">
        <v>4488</v>
      </c>
      <c r="D710" s="28" t="s">
        <v>4510</v>
      </c>
      <c r="E710" s="25">
        <v>106</v>
      </c>
      <c r="F710" s="23" t="str">
        <f>VLOOKUP(B710,'[2]справочник кодов нп'!$A:$D,4,0)</f>
        <v>сельские населенные пункты с численностью населения менее 1 000 человек.</v>
      </c>
      <c r="G710" s="23" t="s">
        <v>1385</v>
      </c>
      <c r="H710" s="10" t="s">
        <v>4488</v>
      </c>
      <c r="I710" s="35" t="s">
        <v>7017</v>
      </c>
      <c r="J710" s="33" t="s">
        <v>1337</v>
      </c>
    </row>
    <row r="711" spans="1:10" x14ac:dyDescent="0.25">
      <c r="A711" s="23" t="s">
        <v>4511</v>
      </c>
      <c r="B711" s="10" t="s">
        <v>4512</v>
      </c>
      <c r="C711" s="23" t="s">
        <v>4488</v>
      </c>
      <c r="D711" s="28" t="s">
        <v>4513</v>
      </c>
      <c r="E711" s="25">
        <v>106</v>
      </c>
      <c r="F711" s="23" t="str">
        <f>VLOOKUP(B711,'[2]справочник кодов нп'!$A:$D,4,0)</f>
        <v>сельские населенные пункты с численностью населения менее 1 000 человек.</v>
      </c>
      <c r="G711" s="23" t="s">
        <v>1385</v>
      </c>
      <c r="H711" s="10" t="s">
        <v>4488</v>
      </c>
      <c r="I711" s="35" t="s">
        <v>7017</v>
      </c>
      <c r="J711" s="33" t="s">
        <v>1337</v>
      </c>
    </row>
    <row r="712" spans="1:10" x14ac:dyDescent="0.25">
      <c r="A712" s="23" t="s">
        <v>4514</v>
      </c>
      <c r="B712" s="10" t="s">
        <v>4515</v>
      </c>
      <c r="C712" s="23" t="s">
        <v>4488</v>
      </c>
      <c r="D712" s="28" t="s">
        <v>4516</v>
      </c>
      <c r="E712" s="25">
        <v>106</v>
      </c>
      <c r="F712" s="23" t="str">
        <f>VLOOKUP(B712,'[2]справочник кодов нп'!$A:$D,4,0)</f>
        <v>сельские населенные пункты с численностью населения менее 1 000 человек.</v>
      </c>
      <c r="G712" s="23" t="s">
        <v>1385</v>
      </c>
      <c r="H712" s="10" t="s">
        <v>4488</v>
      </c>
      <c r="I712" s="35" t="s">
        <v>7017</v>
      </c>
      <c r="J712" s="33" t="s">
        <v>1337</v>
      </c>
    </row>
    <row r="713" spans="1:10" x14ac:dyDescent="0.25">
      <c r="A713" s="23" t="s">
        <v>4517</v>
      </c>
      <c r="B713" s="10" t="s">
        <v>4518</v>
      </c>
      <c r="C713" s="23" t="s">
        <v>4488</v>
      </c>
      <c r="D713" s="28" t="s">
        <v>4519</v>
      </c>
      <c r="E713" s="25">
        <v>106</v>
      </c>
      <c r="F713" s="23" t="str">
        <f>VLOOKUP(B713,'[2]справочник кодов нп'!$A:$D,4,0)</f>
        <v>сельские населенные пункты с численностью населения менее 1 000 человек.</v>
      </c>
      <c r="G713" s="23" t="s">
        <v>1385</v>
      </c>
      <c r="H713" s="10" t="s">
        <v>4488</v>
      </c>
      <c r="I713" s="35" t="s">
        <v>7017</v>
      </c>
      <c r="J713" s="33" t="s">
        <v>1337</v>
      </c>
    </row>
    <row r="714" spans="1:10" x14ac:dyDescent="0.25">
      <c r="A714" s="23" t="s">
        <v>4520</v>
      </c>
      <c r="B714" s="10" t="s">
        <v>4521</v>
      </c>
      <c r="C714" s="23" t="s">
        <v>4488</v>
      </c>
      <c r="D714" s="28" t="s">
        <v>4522</v>
      </c>
      <c r="E714" s="25">
        <v>106</v>
      </c>
      <c r="F714" s="23" t="str">
        <f>VLOOKUP(B714,'[2]справочник кодов нп'!$A:$D,4,0)</f>
        <v>сельские населенные пункты с численностью населения менее 1 000 человек.</v>
      </c>
      <c r="G714" s="23" t="s">
        <v>1385</v>
      </c>
      <c r="H714" s="10" t="s">
        <v>4488</v>
      </c>
      <c r="I714" s="35" t="s">
        <v>7017</v>
      </c>
      <c r="J714" s="33" t="s">
        <v>1337</v>
      </c>
    </row>
    <row r="715" spans="1:10" x14ac:dyDescent="0.25">
      <c r="A715" s="23" t="s">
        <v>4523</v>
      </c>
      <c r="B715" s="10" t="s">
        <v>4524</v>
      </c>
      <c r="C715" s="23" t="s">
        <v>4488</v>
      </c>
      <c r="D715" s="28" t="s">
        <v>4525</v>
      </c>
      <c r="E715" s="25">
        <v>106</v>
      </c>
      <c r="F715" s="23" t="str">
        <f>VLOOKUP(B715,'[2]справочник кодов нп'!$A:$D,4,0)</f>
        <v>сельские населенные пункты с численностью населения менее 1 000 человек.</v>
      </c>
      <c r="G715" s="23" t="s">
        <v>1385</v>
      </c>
      <c r="H715" s="10" t="s">
        <v>4488</v>
      </c>
      <c r="I715" s="35" t="s">
        <v>7017</v>
      </c>
      <c r="J715" s="33" t="s">
        <v>1337</v>
      </c>
    </row>
    <row r="716" spans="1:10" x14ac:dyDescent="0.25">
      <c r="A716" s="23" t="s">
        <v>4526</v>
      </c>
      <c r="B716" s="10" t="s">
        <v>4527</v>
      </c>
      <c r="C716" s="23" t="s">
        <v>4488</v>
      </c>
      <c r="D716" s="28" t="s">
        <v>4528</v>
      </c>
      <c r="E716" s="25">
        <v>106</v>
      </c>
      <c r="F716" s="23" t="str">
        <f>VLOOKUP(B716,'[2]справочник кодов нп'!$A:$D,4,0)</f>
        <v>сельские населенные пункты с численностью населения менее 1 000 человек.</v>
      </c>
      <c r="G716" s="23" t="s">
        <v>1385</v>
      </c>
      <c r="H716" s="10" t="s">
        <v>4488</v>
      </c>
      <c r="I716" s="35" t="s">
        <v>7017</v>
      </c>
      <c r="J716" s="33" t="s">
        <v>1337</v>
      </c>
    </row>
    <row r="717" spans="1:10" x14ac:dyDescent="0.25">
      <c r="A717" s="23" t="s">
        <v>4529</v>
      </c>
      <c r="B717" s="10" t="s">
        <v>4530</v>
      </c>
      <c r="C717" s="23" t="s">
        <v>4488</v>
      </c>
      <c r="D717" s="28" t="s">
        <v>4531</v>
      </c>
      <c r="E717" s="25">
        <v>106</v>
      </c>
      <c r="F717" s="23" t="str">
        <f>VLOOKUP(B717,'[2]справочник кодов нп'!$A:$D,4,0)</f>
        <v>сельские населенные пункты с численностью населения менее 1 000 человек.</v>
      </c>
      <c r="G717" s="23" t="s">
        <v>1385</v>
      </c>
      <c r="H717" s="10" t="s">
        <v>4488</v>
      </c>
      <c r="I717" s="35" t="s">
        <v>7017</v>
      </c>
      <c r="J717" s="33" t="s">
        <v>1337</v>
      </c>
    </row>
    <row r="718" spans="1:10" x14ac:dyDescent="0.25">
      <c r="A718" s="23" t="s">
        <v>4532</v>
      </c>
      <c r="B718" s="10" t="s">
        <v>4533</v>
      </c>
      <c r="C718" s="23" t="s">
        <v>4488</v>
      </c>
      <c r="D718" s="28" t="s">
        <v>4534</v>
      </c>
      <c r="E718" s="25">
        <v>106</v>
      </c>
      <c r="F718" s="23" t="str">
        <f>VLOOKUP(B718,'[2]справочник кодов нп'!$A:$D,4,0)</f>
        <v>сельские населенные пункты с численностью населения менее 1 000 человек.</v>
      </c>
      <c r="G718" s="23" t="s">
        <v>1385</v>
      </c>
      <c r="H718" s="10" t="s">
        <v>4488</v>
      </c>
      <c r="I718" s="35" t="s">
        <v>7017</v>
      </c>
      <c r="J718" s="33" t="s">
        <v>1337</v>
      </c>
    </row>
    <row r="719" spans="1:10" x14ac:dyDescent="0.25">
      <c r="A719" s="23" t="s">
        <v>4535</v>
      </c>
      <c r="B719" s="10" t="s">
        <v>4536</v>
      </c>
      <c r="C719" s="23" t="s">
        <v>4488</v>
      </c>
      <c r="D719" s="28" t="s">
        <v>4537</v>
      </c>
      <c r="E719" s="25">
        <v>106</v>
      </c>
      <c r="F719" s="23" t="str">
        <f>VLOOKUP(B719,'[2]справочник кодов нп'!$A:$D,4,0)</f>
        <v>сельские населенные пункты с численностью населения менее 1 000 человек.</v>
      </c>
      <c r="G719" s="23" t="s">
        <v>1385</v>
      </c>
      <c r="H719" s="10" t="s">
        <v>4488</v>
      </c>
      <c r="I719" s="35" t="s">
        <v>7017</v>
      </c>
      <c r="J719" s="33" t="s">
        <v>1337</v>
      </c>
    </row>
    <row r="720" spans="1:10" x14ac:dyDescent="0.25">
      <c r="A720" s="23" t="s">
        <v>4538</v>
      </c>
      <c r="B720" s="10" t="s">
        <v>4539</v>
      </c>
      <c r="C720" s="23" t="s">
        <v>4488</v>
      </c>
      <c r="D720" s="28" t="s">
        <v>4540</v>
      </c>
      <c r="E720" s="25">
        <v>106</v>
      </c>
      <c r="F720" s="23" t="str">
        <f>VLOOKUP(B720,'[2]справочник кодов нп'!$A:$D,4,0)</f>
        <v>сельские населенные пункты с численностью населения менее 1 000 человек.</v>
      </c>
      <c r="G720" s="23" t="s">
        <v>1385</v>
      </c>
      <c r="H720" s="10" t="s">
        <v>4488</v>
      </c>
      <c r="I720" s="35" t="s">
        <v>7017</v>
      </c>
      <c r="J720" s="33" t="s">
        <v>1337</v>
      </c>
    </row>
    <row r="721" spans="1:10" x14ac:dyDescent="0.25">
      <c r="A721" s="23" t="s">
        <v>4845</v>
      </c>
      <c r="B721" s="10" t="s">
        <v>4846</v>
      </c>
      <c r="C721" s="23" t="s">
        <v>4488</v>
      </c>
      <c r="D721" s="28" t="s">
        <v>4847</v>
      </c>
      <c r="E721" s="25">
        <v>106</v>
      </c>
      <c r="F721" s="23" t="str">
        <f>VLOOKUP(B721,'[2]справочник кодов нп'!$A:$D,4,0)</f>
        <v>сельские населенные пункты с численностью населения менее 1 000 человек.</v>
      </c>
      <c r="G721" s="23" t="s">
        <v>1385</v>
      </c>
      <c r="H721" s="10" t="s">
        <v>4488</v>
      </c>
      <c r="I721" s="35" t="s">
        <v>7017</v>
      </c>
      <c r="J721" s="33" t="s">
        <v>1337</v>
      </c>
    </row>
    <row r="722" spans="1:10" x14ac:dyDescent="0.25">
      <c r="A722" s="23" t="s">
        <v>4857</v>
      </c>
      <c r="B722" s="10" t="s">
        <v>4858</v>
      </c>
      <c r="C722" s="23" t="s">
        <v>4488</v>
      </c>
      <c r="D722" s="28" t="s">
        <v>4859</v>
      </c>
      <c r="E722" s="25">
        <v>106</v>
      </c>
      <c r="F722" s="23" t="str">
        <f>VLOOKUP(B722,'[2]справочник кодов нп'!$A:$D,4,0)</f>
        <v>сельские населенные пункты с численностью населения менее 1 000 человек.</v>
      </c>
      <c r="G722" s="23" t="s">
        <v>1385</v>
      </c>
      <c r="H722" s="10" t="s">
        <v>4488</v>
      </c>
      <c r="I722" s="35" t="s">
        <v>7017</v>
      </c>
      <c r="J722" s="33" t="s">
        <v>1337</v>
      </c>
    </row>
    <row r="723" spans="1:10" x14ac:dyDescent="0.25">
      <c r="A723" s="23" t="s">
        <v>4970</v>
      </c>
      <c r="B723" s="10" t="s">
        <v>4971</v>
      </c>
      <c r="C723" s="23" t="s">
        <v>4488</v>
      </c>
      <c r="D723" s="28" t="s">
        <v>4972</v>
      </c>
      <c r="E723" s="25">
        <v>106</v>
      </c>
      <c r="F723" s="23" t="str">
        <f>VLOOKUP(B723,'[2]справочник кодов нп'!$A:$D,4,0)</f>
        <v>сельские населенные пункты с численностью населения менее 1 000 человек.</v>
      </c>
      <c r="G723" s="23" t="s">
        <v>1385</v>
      </c>
      <c r="H723" s="10" t="s">
        <v>4488</v>
      </c>
      <c r="I723" s="35" t="s">
        <v>7017</v>
      </c>
      <c r="J723" s="33" t="s">
        <v>1337</v>
      </c>
    </row>
    <row r="724" spans="1:10" x14ac:dyDescent="0.25">
      <c r="A724" s="23" t="s">
        <v>5418</v>
      </c>
      <c r="B724" s="10" t="s">
        <v>5419</v>
      </c>
      <c r="C724" s="23" t="s">
        <v>4488</v>
      </c>
      <c r="D724" s="28" t="s">
        <v>5420</v>
      </c>
      <c r="E724" s="25">
        <v>106</v>
      </c>
      <c r="F724" s="23" t="str">
        <f>VLOOKUP(B724,'[2]справочник кодов нп'!$A:$D,4,0)</f>
        <v>сельские населенные пункты с численностью населения менее 1 000 человек.</v>
      </c>
      <c r="G724" s="23" t="s">
        <v>1385</v>
      </c>
      <c r="H724" s="10" t="s">
        <v>4488</v>
      </c>
      <c r="I724" s="35" t="s">
        <v>7017</v>
      </c>
      <c r="J724" s="33" t="s">
        <v>1337</v>
      </c>
    </row>
    <row r="725" spans="1:10" x14ac:dyDescent="0.25">
      <c r="A725" s="23" t="s">
        <v>5421</v>
      </c>
      <c r="B725" s="10" t="s">
        <v>5422</v>
      </c>
      <c r="C725" s="23" t="s">
        <v>4488</v>
      </c>
      <c r="D725" s="28" t="s">
        <v>5423</v>
      </c>
      <c r="E725" s="25">
        <v>106</v>
      </c>
      <c r="F725" s="23" t="str">
        <f>VLOOKUP(B725,'[2]справочник кодов нп'!$A:$D,4,0)</f>
        <v>сельские населенные пункты с численностью населения менее 1 000 человек.</v>
      </c>
      <c r="G725" s="23" t="s">
        <v>1385</v>
      </c>
      <c r="H725" s="10" t="s">
        <v>4488</v>
      </c>
      <c r="I725" s="35" t="s">
        <v>7017</v>
      </c>
      <c r="J725" s="33" t="s">
        <v>1337</v>
      </c>
    </row>
    <row r="726" spans="1:10" x14ac:dyDescent="0.25">
      <c r="A726" s="23" t="s">
        <v>5424</v>
      </c>
      <c r="B726" s="10" t="s">
        <v>5425</v>
      </c>
      <c r="C726" s="23" t="s">
        <v>4488</v>
      </c>
      <c r="D726" s="28" t="s">
        <v>5426</v>
      </c>
      <c r="E726" s="25">
        <v>106</v>
      </c>
      <c r="F726" s="23" t="str">
        <f>VLOOKUP(B726,'[2]справочник кодов нп'!$A:$D,4,0)</f>
        <v>сельские населенные пункты с численностью населения менее 1 000 человек.</v>
      </c>
      <c r="G726" s="23" t="s">
        <v>1385</v>
      </c>
      <c r="H726" s="10" t="s">
        <v>4488</v>
      </c>
      <c r="I726" s="35" t="s">
        <v>7017</v>
      </c>
      <c r="J726" s="33" t="s">
        <v>1337</v>
      </c>
    </row>
    <row r="727" spans="1:10" x14ac:dyDescent="0.25">
      <c r="A727" s="23" t="s">
        <v>6313</v>
      </c>
      <c r="B727" s="10" t="s">
        <v>6314</v>
      </c>
      <c r="C727" s="23" t="s">
        <v>4488</v>
      </c>
      <c r="D727" s="28" t="s">
        <v>6315</v>
      </c>
      <c r="E727" s="25">
        <v>106</v>
      </c>
      <c r="F727" s="23" t="str">
        <f>VLOOKUP(B727,'[2]справочник кодов нп'!$A:$D,4,0)</f>
        <v>сельские населенные пункты с численностью населения менее 1 000 человек.</v>
      </c>
      <c r="G727" s="23" t="s">
        <v>1385</v>
      </c>
      <c r="H727" s="10" t="s">
        <v>4488</v>
      </c>
      <c r="I727" s="35" t="s">
        <v>7017</v>
      </c>
      <c r="J727" s="33" t="s">
        <v>1337</v>
      </c>
    </row>
    <row r="728" spans="1:10" x14ac:dyDescent="0.25">
      <c r="A728" s="23" t="s">
        <v>6316</v>
      </c>
      <c r="B728" s="10" t="s">
        <v>6317</v>
      </c>
      <c r="C728" s="23" t="s">
        <v>4488</v>
      </c>
      <c r="D728" s="28" t="s">
        <v>6318</v>
      </c>
      <c r="E728" s="25">
        <v>106</v>
      </c>
      <c r="F728" s="23" t="str">
        <f>VLOOKUP(B728,'[2]справочник кодов нп'!$A:$D,4,0)</f>
        <v>сельские населенные пункты с численностью населения менее 1 000 человек.</v>
      </c>
      <c r="G728" s="23" t="s">
        <v>1385</v>
      </c>
      <c r="H728" s="10" t="s">
        <v>4488</v>
      </c>
      <c r="I728" s="35" t="s">
        <v>7017</v>
      </c>
      <c r="J728" s="33" t="s">
        <v>1337</v>
      </c>
    </row>
    <row r="729" spans="1:10" x14ac:dyDescent="0.25">
      <c r="A729" s="23" t="s">
        <v>6319</v>
      </c>
      <c r="B729" s="10" t="s">
        <v>6320</v>
      </c>
      <c r="C729" s="23" t="s">
        <v>4488</v>
      </c>
      <c r="D729" s="28" t="s">
        <v>6321</v>
      </c>
      <c r="E729" s="25">
        <v>106</v>
      </c>
      <c r="F729" s="23" t="str">
        <f>VLOOKUP(B729,'[2]справочник кодов нп'!$A:$D,4,0)</f>
        <v>сельские населенные пункты с численностью населения менее 1 000 человек.</v>
      </c>
      <c r="G729" s="23" t="s">
        <v>1385</v>
      </c>
      <c r="H729" s="10" t="s">
        <v>4488</v>
      </c>
      <c r="I729" s="35" t="s">
        <v>7017</v>
      </c>
      <c r="J729" s="33" t="s">
        <v>1337</v>
      </c>
    </row>
    <row r="730" spans="1:10" x14ac:dyDescent="0.25">
      <c r="A730" s="23" t="s">
        <v>6574</v>
      </c>
      <c r="B730" s="10" t="s">
        <v>6575</v>
      </c>
      <c r="C730" s="23" t="s">
        <v>4488</v>
      </c>
      <c r="D730" s="28" t="s">
        <v>6576</v>
      </c>
      <c r="E730" s="25">
        <v>106</v>
      </c>
      <c r="F730" s="23" t="str">
        <f>VLOOKUP(B730,'[2]справочник кодов нп'!$A:$D,4,0)</f>
        <v>городские населенные пункты с численностью населения менее 50 000 человек;</v>
      </c>
      <c r="G730" s="23" t="s">
        <v>1385</v>
      </c>
      <c r="H730" s="10" t="s">
        <v>4488</v>
      </c>
      <c r="I730" s="35" t="s">
        <v>7017</v>
      </c>
      <c r="J730" s="33" t="s">
        <v>1337</v>
      </c>
    </row>
    <row r="731" spans="1:10" x14ac:dyDescent="0.25">
      <c r="A731" s="23" t="s">
        <v>6921</v>
      </c>
      <c r="B731" s="10" t="s">
        <v>6922</v>
      </c>
      <c r="C731" s="23" t="s">
        <v>4488</v>
      </c>
      <c r="D731" s="28" t="s">
        <v>6846</v>
      </c>
      <c r="E731" s="25">
        <v>106</v>
      </c>
      <c r="F731" s="23" t="str">
        <f>VLOOKUP(B731,'[2]справочник кодов нп'!$A:$D,4,0)</f>
        <v>межселенная территория</v>
      </c>
      <c r="G731" s="23" t="s">
        <v>1385</v>
      </c>
      <c r="H731" s="10" t="s">
        <v>4488</v>
      </c>
      <c r="I731" s="35" t="s">
        <v>7019</v>
      </c>
      <c r="J731" s="33" t="s">
        <v>1337</v>
      </c>
    </row>
    <row r="732" spans="1:10" x14ac:dyDescent="0.25">
      <c r="A732" s="23" t="s">
        <v>1390</v>
      </c>
      <c r="B732" s="10" t="s">
        <v>1391</v>
      </c>
      <c r="C732" s="23" t="s">
        <v>1392</v>
      </c>
      <c r="D732" s="28" t="s">
        <v>1393</v>
      </c>
      <c r="E732" s="25">
        <v>106</v>
      </c>
      <c r="F732" s="23" t="str">
        <f>VLOOKUP(B732,'[2]справочник кодов нп'!$A:$D,4,0)</f>
        <v>городские населенные пункты с численностью населения менее 50 000 человек;</v>
      </c>
      <c r="G732" s="23" t="s">
        <v>1385</v>
      </c>
      <c r="H732" s="10" t="s">
        <v>1392</v>
      </c>
      <c r="I732" s="35" t="s">
        <v>7017</v>
      </c>
      <c r="J732" s="33" t="s">
        <v>1337</v>
      </c>
    </row>
    <row r="733" spans="1:10" x14ac:dyDescent="0.25">
      <c r="A733" s="23" t="s">
        <v>1486</v>
      </c>
      <c r="B733" s="10" t="s">
        <v>1487</v>
      </c>
      <c r="C733" s="23" t="s">
        <v>1392</v>
      </c>
      <c r="D733" s="28" t="s">
        <v>1488</v>
      </c>
      <c r="E733" s="25">
        <v>106</v>
      </c>
      <c r="F733" s="23" t="str">
        <f>VLOOKUP(B733,'[2]справочник кодов нп'!$A:$D,4,0)</f>
        <v>сельские населенные пункты с численностью населения менее 1 000 человек.</v>
      </c>
      <c r="G733" s="23" t="s">
        <v>1385</v>
      </c>
      <c r="H733" s="10" t="s">
        <v>1392</v>
      </c>
      <c r="I733" s="35" t="s">
        <v>7017</v>
      </c>
      <c r="J733" s="33" t="s">
        <v>1337</v>
      </c>
    </row>
    <row r="734" spans="1:10" x14ac:dyDescent="0.25">
      <c r="A734" s="23" t="s">
        <v>1519</v>
      </c>
      <c r="B734" s="10" t="s">
        <v>1520</v>
      </c>
      <c r="C734" s="23" t="s">
        <v>1392</v>
      </c>
      <c r="D734" s="28" t="s">
        <v>1521</v>
      </c>
      <c r="E734" s="25">
        <v>106</v>
      </c>
      <c r="F734" s="23" t="str">
        <f>VLOOKUP(B734,'[2]справочник кодов нп'!$A:$D,4,0)</f>
        <v>сельские населенные пункты с численностью населения менее 1 000 человек.</v>
      </c>
      <c r="G734" s="23" t="s">
        <v>1385</v>
      </c>
      <c r="H734" s="10" t="s">
        <v>1392</v>
      </c>
      <c r="I734" s="35" t="s">
        <v>7017</v>
      </c>
      <c r="J734" s="33" t="s">
        <v>1337</v>
      </c>
    </row>
    <row r="735" spans="1:10" x14ac:dyDescent="0.25">
      <c r="A735" s="23" t="s">
        <v>2619</v>
      </c>
      <c r="B735" s="10" t="s">
        <v>2620</v>
      </c>
      <c r="C735" s="23" t="s">
        <v>1392</v>
      </c>
      <c r="D735" s="28" t="s">
        <v>2621</v>
      </c>
      <c r="E735" s="25">
        <v>106</v>
      </c>
      <c r="F735" s="23" t="str">
        <f>VLOOKUP(B735,'[2]справочник кодов нп'!$A:$D,4,0)</f>
        <v>сельские населенные пункты с численностью населения менее 1 000 человек.</v>
      </c>
      <c r="G735" s="23" t="s">
        <v>1385</v>
      </c>
      <c r="H735" s="10" t="s">
        <v>1392</v>
      </c>
      <c r="I735" s="35" t="s">
        <v>7017</v>
      </c>
      <c r="J735" s="33" t="s">
        <v>1337</v>
      </c>
    </row>
    <row r="736" spans="1:10" x14ac:dyDescent="0.25">
      <c r="A736" s="23" t="s">
        <v>2622</v>
      </c>
      <c r="B736" s="10" t="s">
        <v>2623</v>
      </c>
      <c r="C736" s="23" t="s">
        <v>1392</v>
      </c>
      <c r="D736" s="28" t="s">
        <v>2624</v>
      </c>
      <c r="E736" s="25">
        <v>106</v>
      </c>
      <c r="F736" s="23" t="str">
        <f>VLOOKUP(B736,'[2]справочник кодов нп'!$A:$D,4,0)</f>
        <v>сельские населенные пункты с численностью населения менее 1 000 человек.</v>
      </c>
      <c r="G736" s="23" t="s">
        <v>1385</v>
      </c>
      <c r="H736" s="10" t="s">
        <v>1392</v>
      </c>
      <c r="I736" s="35" t="s">
        <v>7017</v>
      </c>
      <c r="J736" s="33" t="s">
        <v>1337</v>
      </c>
    </row>
    <row r="737" spans="1:10" x14ac:dyDescent="0.25">
      <c r="A737" s="23" t="s">
        <v>2625</v>
      </c>
      <c r="B737" s="10" t="s">
        <v>2626</v>
      </c>
      <c r="C737" s="23" t="s">
        <v>1392</v>
      </c>
      <c r="D737" s="28" t="s">
        <v>2627</v>
      </c>
      <c r="E737" s="25">
        <v>106</v>
      </c>
      <c r="F737" s="23" t="str">
        <f>VLOOKUP(B737,'[2]справочник кодов нп'!$A:$D,4,0)</f>
        <v>сельские населенные пункты с численностью населения менее 1 000 человек.</v>
      </c>
      <c r="G737" s="23" t="s">
        <v>1385</v>
      </c>
      <c r="H737" s="10" t="s">
        <v>1392</v>
      </c>
      <c r="I737" s="35" t="s">
        <v>7017</v>
      </c>
      <c r="J737" s="33" t="s">
        <v>1337</v>
      </c>
    </row>
    <row r="738" spans="1:10" x14ac:dyDescent="0.25">
      <c r="A738" s="23" t="s">
        <v>2628</v>
      </c>
      <c r="B738" s="10" t="s">
        <v>2629</v>
      </c>
      <c r="C738" s="23" t="s">
        <v>1392</v>
      </c>
      <c r="D738" s="28" t="s">
        <v>2630</v>
      </c>
      <c r="E738" s="25">
        <v>106</v>
      </c>
      <c r="F738" s="23" t="str">
        <f>VLOOKUP(B738,'[2]справочник кодов нп'!$A:$D,4,0)</f>
        <v>сельские населенные пункты с численностью населения менее 1 000 человек.</v>
      </c>
      <c r="G738" s="23" t="s">
        <v>1385</v>
      </c>
      <c r="H738" s="10" t="s">
        <v>1392</v>
      </c>
      <c r="I738" s="35" t="s">
        <v>7017</v>
      </c>
      <c r="J738" s="33" t="s">
        <v>1337</v>
      </c>
    </row>
    <row r="739" spans="1:10" x14ac:dyDescent="0.25">
      <c r="A739" s="23" t="s">
        <v>2631</v>
      </c>
      <c r="B739" s="10" t="s">
        <v>2632</v>
      </c>
      <c r="C739" s="23" t="s">
        <v>1392</v>
      </c>
      <c r="D739" s="28" t="s">
        <v>2633</v>
      </c>
      <c r="E739" s="25">
        <v>106</v>
      </c>
      <c r="F739" s="23" t="str">
        <f>VLOOKUP(B739,'[2]справочник кодов нп'!$A:$D,4,0)</f>
        <v>сельские населенные пункты с численностью населения менее 1 000 человек.</v>
      </c>
      <c r="G739" s="23" t="s">
        <v>1385</v>
      </c>
      <c r="H739" s="10" t="s">
        <v>1392</v>
      </c>
      <c r="I739" s="35" t="s">
        <v>7017</v>
      </c>
      <c r="J739" s="33" t="s">
        <v>1337</v>
      </c>
    </row>
    <row r="740" spans="1:10" x14ac:dyDescent="0.25">
      <c r="A740" s="23" t="s">
        <v>2634</v>
      </c>
      <c r="B740" s="10" t="s">
        <v>2635</v>
      </c>
      <c r="C740" s="23" t="s">
        <v>1392</v>
      </c>
      <c r="D740" s="28" t="s">
        <v>2636</v>
      </c>
      <c r="E740" s="25">
        <v>106</v>
      </c>
      <c r="F740" s="23" t="str">
        <f>VLOOKUP(B740,'[2]справочник кодов нп'!$A:$D,4,0)</f>
        <v>сельские населенные пункты с численностью населения менее 1 000 человек.</v>
      </c>
      <c r="G740" s="23" t="s">
        <v>1385</v>
      </c>
      <c r="H740" s="10" t="s">
        <v>1392</v>
      </c>
      <c r="I740" s="35" t="s">
        <v>7017</v>
      </c>
      <c r="J740" s="33" t="s">
        <v>1337</v>
      </c>
    </row>
    <row r="741" spans="1:10" x14ac:dyDescent="0.25">
      <c r="A741" s="23" t="s">
        <v>2637</v>
      </c>
      <c r="B741" s="10" t="s">
        <v>2638</v>
      </c>
      <c r="C741" s="23" t="s">
        <v>1392</v>
      </c>
      <c r="D741" s="28" t="s">
        <v>2639</v>
      </c>
      <c r="E741" s="25">
        <v>106</v>
      </c>
      <c r="F741" s="23" t="str">
        <f>VLOOKUP(B741,'[2]справочник кодов нп'!$A:$D,4,0)</f>
        <v>сельские населенные пункты с численностью населения менее 1 000 человек.</v>
      </c>
      <c r="G741" s="23" t="s">
        <v>1385</v>
      </c>
      <c r="H741" s="10" t="s">
        <v>1392</v>
      </c>
      <c r="I741" s="35" t="s">
        <v>7017</v>
      </c>
      <c r="J741" s="33" t="s">
        <v>1337</v>
      </c>
    </row>
    <row r="742" spans="1:10" x14ac:dyDescent="0.25">
      <c r="A742" s="23" t="s">
        <v>2640</v>
      </c>
      <c r="B742" s="10" t="s">
        <v>2641</v>
      </c>
      <c r="C742" s="23" t="s">
        <v>1392</v>
      </c>
      <c r="D742" s="28" t="s">
        <v>2642</v>
      </c>
      <c r="E742" s="25">
        <v>106</v>
      </c>
      <c r="F742" s="23" t="str">
        <f>VLOOKUP(B742,'[2]справочник кодов нп'!$A:$D,4,0)</f>
        <v>сельские населенные пункты с численностью населения менее 1 000 человек.</v>
      </c>
      <c r="G742" s="23" t="s">
        <v>1385</v>
      </c>
      <c r="H742" s="10" t="s">
        <v>1392</v>
      </c>
      <c r="I742" s="35" t="s">
        <v>7017</v>
      </c>
      <c r="J742" s="33" t="s">
        <v>1337</v>
      </c>
    </row>
    <row r="743" spans="1:10" x14ac:dyDescent="0.25">
      <c r="A743" s="23" t="s">
        <v>2643</v>
      </c>
      <c r="B743" s="10" t="s">
        <v>2644</v>
      </c>
      <c r="C743" s="23" t="s">
        <v>1392</v>
      </c>
      <c r="D743" s="28" t="s">
        <v>2645</v>
      </c>
      <c r="E743" s="25">
        <v>106</v>
      </c>
      <c r="F743" s="23" t="str">
        <f>VLOOKUP(B743,'[2]справочник кодов нп'!$A:$D,4,0)</f>
        <v>сельские населенные пункты с численностью населения менее 1 000 человек.</v>
      </c>
      <c r="G743" s="23" t="s">
        <v>1385</v>
      </c>
      <c r="H743" s="10" t="s">
        <v>1392</v>
      </c>
      <c r="I743" s="35" t="s">
        <v>7017</v>
      </c>
      <c r="J743" s="33" t="s">
        <v>1337</v>
      </c>
    </row>
    <row r="744" spans="1:10" x14ac:dyDescent="0.25">
      <c r="A744" s="23" t="s">
        <v>2646</v>
      </c>
      <c r="B744" s="10" t="s">
        <v>2647</v>
      </c>
      <c r="C744" s="23" t="s">
        <v>1392</v>
      </c>
      <c r="D744" s="28" t="s">
        <v>2648</v>
      </c>
      <c r="E744" s="25">
        <v>106</v>
      </c>
      <c r="F744" s="23" t="str">
        <f>VLOOKUP(B744,'[2]справочник кодов нп'!$A:$D,4,0)</f>
        <v>сельские населенные пункты с численностью населения менее 1 000 человек.</v>
      </c>
      <c r="G744" s="23" t="s">
        <v>1385</v>
      </c>
      <c r="H744" s="10" t="s">
        <v>1392</v>
      </c>
      <c r="I744" s="35" t="s">
        <v>7017</v>
      </c>
      <c r="J744" s="33" t="s">
        <v>1337</v>
      </c>
    </row>
    <row r="745" spans="1:10" x14ac:dyDescent="0.25">
      <c r="A745" s="23" t="s">
        <v>2649</v>
      </c>
      <c r="B745" s="10" t="s">
        <v>2650</v>
      </c>
      <c r="C745" s="23" t="s">
        <v>1392</v>
      </c>
      <c r="D745" s="28" t="s">
        <v>2651</v>
      </c>
      <c r="E745" s="25">
        <v>106</v>
      </c>
      <c r="F745" s="23" t="str">
        <f>VLOOKUP(B745,'[2]справочник кодов нп'!$A:$D,4,0)</f>
        <v>сельские населенные пункты с численностью населения менее 1 000 человек.</v>
      </c>
      <c r="G745" s="23" t="s">
        <v>1385</v>
      </c>
      <c r="H745" s="10" t="s">
        <v>1392</v>
      </c>
      <c r="I745" s="35" t="s">
        <v>7017</v>
      </c>
      <c r="J745" s="33" t="s">
        <v>1337</v>
      </c>
    </row>
    <row r="746" spans="1:10" x14ac:dyDescent="0.25">
      <c r="A746" s="23" t="s">
        <v>2652</v>
      </c>
      <c r="B746" s="10" t="s">
        <v>2653</v>
      </c>
      <c r="C746" s="23" t="s">
        <v>1392</v>
      </c>
      <c r="D746" s="28" t="s">
        <v>2654</v>
      </c>
      <c r="E746" s="25">
        <v>106</v>
      </c>
      <c r="F746" s="23" t="str">
        <f>VLOOKUP(B746,'[2]справочник кодов нп'!$A:$D,4,0)</f>
        <v>сельские населенные пункты с численностью населения менее 1 000 человек.</v>
      </c>
      <c r="G746" s="23" t="s">
        <v>1385</v>
      </c>
      <c r="H746" s="10" t="s">
        <v>1392</v>
      </c>
      <c r="I746" s="35" t="s">
        <v>7017</v>
      </c>
      <c r="J746" s="33" t="s">
        <v>1337</v>
      </c>
    </row>
    <row r="747" spans="1:10" x14ac:dyDescent="0.25">
      <c r="A747" s="23" t="s">
        <v>2655</v>
      </c>
      <c r="B747" s="10" t="s">
        <v>2656</v>
      </c>
      <c r="C747" s="23" t="s">
        <v>1392</v>
      </c>
      <c r="D747" s="28" t="s">
        <v>2657</v>
      </c>
      <c r="E747" s="25">
        <v>106</v>
      </c>
      <c r="F747" s="23" t="str">
        <f>VLOOKUP(B747,'[2]справочник кодов нп'!$A:$D,4,0)</f>
        <v>сельские населенные пункты с численностью населения менее 1 000 человек.</v>
      </c>
      <c r="G747" s="23" t="s">
        <v>1385</v>
      </c>
      <c r="H747" s="10" t="s">
        <v>1392</v>
      </c>
      <c r="I747" s="35" t="s">
        <v>7017</v>
      </c>
      <c r="J747" s="33" t="s">
        <v>1337</v>
      </c>
    </row>
    <row r="748" spans="1:10" x14ac:dyDescent="0.25">
      <c r="A748" s="23" t="s">
        <v>2658</v>
      </c>
      <c r="B748" s="10" t="s">
        <v>2659</v>
      </c>
      <c r="C748" s="23" t="s">
        <v>1392</v>
      </c>
      <c r="D748" s="28" t="s">
        <v>2660</v>
      </c>
      <c r="E748" s="25">
        <v>106</v>
      </c>
      <c r="F748" s="23" t="str">
        <f>VLOOKUP(B748,'[2]справочник кодов нп'!$A:$D,4,0)</f>
        <v>сельские населенные пункты с численностью населения менее 1 000 человек.</v>
      </c>
      <c r="G748" s="23" t="s">
        <v>1385</v>
      </c>
      <c r="H748" s="10" t="s">
        <v>1392</v>
      </c>
      <c r="I748" s="35" t="s">
        <v>7017</v>
      </c>
      <c r="J748" s="33" t="s">
        <v>1337</v>
      </c>
    </row>
    <row r="749" spans="1:10" x14ac:dyDescent="0.25">
      <c r="A749" s="23" t="s">
        <v>2661</v>
      </c>
      <c r="B749" s="10" t="s">
        <v>2662</v>
      </c>
      <c r="C749" s="23" t="s">
        <v>1392</v>
      </c>
      <c r="D749" s="28" t="s">
        <v>2333</v>
      </c>
      <c r="E749" s="25">
        <v>106</v>
      </c>
      <c r="F749" s="23" t="str">
        <f>VLOOKUP(B749,'[2]справочник кодов нп'!$A:$D,4,0)</f>
        <v>сельские населенные пункты с численностью населения менее 1 000 человек.</v>
      </c>
      <c r="G749" s="23" t="s">
        <v>1385</v>
      </c>
      <c r="H749" s="10" t="s">
        <v>1392</v>
      </c>
      <c r="I749" s="35" t="s">
        <v>7017</v>
      </c>
      <c r="J749" s="33" t="s">
        <v>1337</v>
      </c>
    </row>
    <row r="750" spans="1:10" x14ac:dyDescent="0.25">
      <c r="A750" s="23" t="s">
        <v>2663</v>
      </c>
      <c r="B750" s="10" t="s">
        <v>2664</v>
      </c>
      <c r="C750" s="23" t="s">
        <v>1392</v>
      </c>
      <c r="D750" s="28" t="s">
        <v>1745</v>
      </c>
      <c r="E750" s="25">
        <v>106</v>
      </c>
      <c r="F750" s="23" t="str">
        <f>VLOOKUP(B750,'[2]справочник кодов нп'!$A:$D,4,0)</f>
        <v>сельские населенные пункты с численностью населения менее 1 000 человек.</v>
      </c>
      <c r="G750" s="23" t="s">
        <v>1385</v>
      </c>
      <c r="H750" s="10" t="s">
        <v>1392</v>
      </c>
      <c r="I750" s="35" t="s">
        <v>7017</v>
      </c>
      <c r="J750" s="33" t="s">
        <v>1337</v>
      </c>
    </row>
    <row r="751" spans="1:10" x14ac:dyDescent="0.25">
      <c r="A751" s="23" t="s">
        <v>2665</v>
      </c>
      <c r="B751" s="10" t="s">
        <v>2666</v>
      </c>
      <c r="C751" s="23" t="s">
        <v>1392</v>
      </c>
      <c r="D751" s="28" t="s">
        <v>2667</v>
      </c>
      <c r="E751" s="25">
        <v>106</v>
      </c>
      <c r="F751" s="23" t="str">
        <f>VLOOKUP(B751,'[2]справочник кодов нп'!$A:$D,4,0)</f>
        <v>сельские населенные пункты с численностью населения менее 1 000 человек.</v>
      </c>
      <c r="G751" s="23" t="s">
        <v>1385</v>
      </c>
      <c r="H751" s="10" t="s">
        <v>1392</v>
      </c>
      <c r="I751" s="35" t="s">
        <v>7017</v>
      </c>
      <c r="J751" s="33" t="s">
        <v>1337</v>
      </c>
    </row>
    <row r="752" spans="1:10" x14ac:dyDescent="0.25">
      <c r="A752" s="23" t="s">
        <v>2668</v>
      </c>
      <c r="B752" s="10" t="s">
        <v>2669</v>
      </c>
      <c r="C752" s="23" t="s">
        <v>1392</v>
      </c>
      <c r="D752" s="28" t="s">
        <v>2670</v>
      </c>
      <c r="E752" s="25">
        <v>106</v>
      </c>
      <c r="F752" s="23" t="str">
        <f>VLOOKUP(B752,'[2]справочник кодов нп'!$A:$D,4,0)</f>
        <v>сельские населенные пункты с численностью населения менее 1 000 человек.</v>
      </c>
      <c r="G752" s="23" t="s">
        <v>1385</v>
      </c>
      <c r="H752" s="10" t="s">
        <v>1392</v>
      </c>
      <c r="I752" s="35" t="s">
        <v>7017</v>
      </c>
      <c r="J752" s="33" t="s">
        <v>1337</v>
      </c>
    </row>
    <row r="753" spans="1:10" x14ac:dyDescent="0.25">
      <c r="A753" s="23" t="s">
        <v>2671</v>
      </c>
      <c r="B753" s="10" t="s">
        <v>2672</v>
      </c>
      <c r="C753" s="23" t="s">
        <v>1392</v>
      </c>
      <c r="D753" s="28" t="s">
        <v>2673</v>
      </c>
      <c r="E753" s="25">
        <v>106</v>
      </c>
      <c r="F753" s="23" t="str">
        <f>VLOOKUP(B753,'[2]справочник кодов нп'!$A:$D,4,0)</f>
        <v>сельские населенные пункты с численностью населения менее 1 000 человек.</v>
      </c>
      <c r="G753" s="23" t="s">
        <v>1385</v>
      </c>
      <c r="H753" s="10" t="s">
        <v>1392</v>
      </c>
      <c r="I753" s="35" t="s">
        <v>7017</v>
      </c>
      <c r="J753" s="33" t="s">
        <v>1337</v>
      </c>
    </row>
    <row r="754" spans="1:10" x14ac:dyDescent="0.25">
      <c r="A754" s="23" t="s">
        <v>2674</v>
      </c>
      <c r="B754" s="10" t="s">
        <v>2675</v>
      </c>
      <c r="C754" s="23" t="s">
        <v>1392</v>
      </c>
      <c r="D754" s="28" t="s">
        <v>2676</v>
      </c>
      <c r="E754" s="25">
        <v>106</v>
      </c>
      <c r="F754" s="23" t="str">
        <f>VLOOKUP(B754,'[2]справочник кодов нп'!$A:$D,4,0)</f>
        <v>сельские населенные пункты с численностью населения менее 1 000 человек.</v>
      </c>
      <c r="G754" s="23" t="s">
        <v>1385</v>
      </c>
      <c r="H754" s="10" t="s">
        <v>1392</v>
      </c>
      <c r="I754" s="35" t="s">
        <v>7017</v>
      </c>
      <c r="J754" s="33" t="s">
        <v>1337</v>
      </c>
    </row>
    <row r="755" spans="1:10" x14ac:dyDescent="0.25">
      <c r="A755" s="23" t="s">
        <v>2677</v>
      </c>
      <c r="B755" s="10" t="s">
        <v>2678</v>
      </c>
      <c r="C755" s="23" t="s">
        <v>1392</v>
      </c>
      <c r="D755" s="28" t="s">
        <v>2679</v>
      </c>
      <c r="E755" s="25">
        <v>106</v>
      </c>
      <c r="F755" s="23" t="str">
        <f>VLOOKUP(B755,'[2]справочник кодов нп'!$A:$D,4,0)</f>
        <v>сельские населенные пункты с численностью населения менее 1 000 человек.</v>
      </c>
      <c r="G755" s="23" t="s">
        <v>1385</v>
      </c>
      <c r="H755" s="10" t="s">
        <v>1392</v>
      </c>
      <c r="I755" s="35" t="s">
        <v>7017</v>
      </c>
      <c r="J755" s="33" t="s">
        <v>1337</v>
      </c>
    </row>
    <row r="756" spans="1:10" x14ac:dyDescent="0.25">
      <c r="A756" s="23" t="s">
        <v>2680</v>
      </c>
      <c r="B756" s="10" t="s">
        <v>2681</v>
      </c>
      <c r="C756" s="23" t="s">
        <v>1392</v>
      </c>
      <c r="D756" s="28" t="s">
        <v>2682</v>
      </c>
      <c r="E756" s="25">
        <v>106</v>
      </c>
      <c r="F756" s="23" t="str">
        <f>VLOOKUP(B756,'[2]справочник кодов нп'!$A:$D,4,0)</f>
        <v>сельские населенные пункты с численностью населения менее 1 000 человек.</v>
      </c>
      <c r="G756" s="23" t="s">
        <v>1385</v>
      </c>
      <c r="H756" s="10" t="s">
        <v>1392</v>
      </c>
      <c r="I756" s="35" t="s">
        <v>7017</v>
      </c>
      <c r="J756" s="33" t="s">
        <v>1337</v>
      </c>
    </row>
    <row r="757" spans="1:10" x14ac:dyDescent="0.25">
      <c r="A757" s="23" t="s">
        <v>2683</v>
      </c>
      <c r="B757" s="10" t="s">
        <v>2684</v>
      </c>
      <c r="C757" s="23" t="s">
        <v>1392</v>
      </c>
      <c r="D757" s="28" t="s">
        <v>2685</v>
      </c>
      <c r="E757" s="25">
        <v>106</v>
      </c>
      <c r="F757" s="23" t="str">
        <f>VLOOKUP(B757,'[2]справочник кодов нп'!$A:$D,4,0)</f>
        <v>сельские населенные пункты с численностью населения менее 1 000 человек.</v>
      </c>
      <c r="G757" s="23" t="s">
        <v>1385</v>
      </c>
      <c r="H757" s="10" t="s">
        <v>1392</v>
      </c>
      <c r="I757" s="35" t="s">
        <v>7017</v>
      </c>
      <c r="J757" s="33" t="s">
        <v>1337</v>
      </c>
    </row>
    <row r="758" spans="1:10" x14ac:dyDescent="0.25">
      <c r="A758" s="23" t="s">
        <v>2686</v>
      </c>
      <c r="B758" s="10" t="s">
        <v>2687</v>
      </c>
      <c r="C758" s="23" t="s">
        <v>1392</v>
      </c>
      <c r="D758" s="28" t="s">
        <v>2688</v>
      </c>
      <c r="E758" s="25">
        <v>106</v>
      </c>
      <c r="F758" s="23" t="str">
        <f>VLOOKUP(B758,'[2]справочник кодов нп'!$A:$D,4,0)</f>
        <v>сельские населенные пункты с численностью населения менее 1 000 человек.</v>
      </c>
      <c r="G758" s="23" t="s">
        <v>1385</v>
      </c>
      <c r="H758" s="10" t="s">
        <v>1392</v>
      </c>
      <c r="I758" s="35" t="s">
        <v>7017</v>
      </c>
      <c r="J758" s="33" t="s">
        <v>1337</v>
      </c>
    </row>
    <row r="759" spans="1:10" x14ac:dyDescent="0.25">
      <c r="A759" s="23" t="s">
        <v>2689</v>
      </c>
      <c r="B759" s="10" t="s">
        <v>2690</v>
      </c>
      <c r="C759" s="23" t="s">
        <v>1392</v>
      </c>
      <c r="D759" s="28" t="s">
        <v>2691</v>
      </c>
      <c r="E759" s="25">
        <v>106</v>
      </c>
      <c r="F759" s="23" t="str">
        <f>VLOOKUP(B759,'[2]справочник кодов нп'!$A:$D,4,0)</f>
        <v>сельские населенные пункты с численностью населения менее 1 000 человек.</v>
      </c>
      <c r="G759" s="23" t="s">
        <v>1385</v>
      </c>
      <c r="H759" s="10" t="s">
        <v>1392</v>
      </c>
      <c r="I759" s="35" t="s">
        <v>7017</v>
      </c>
      <c r="J759" s="33" t="s">
        <v>1337</v>
      </c>
    </row>
    <row r="760" spans="1:10" x14ac:dyDescent="0.25">
      <c r="A760" s="23" t="s">
        <v>2692</v>
      </c>
      <c r="B760" s="10" t="s">
        <v>2693</v>
      </c>
      <c r="C760" s="23" t="s">
        <v>1392</v>
      </c>
      <c r="D760" s="28" t="s">
        <v>2694</v>
      </c>
      <c r="E760" s="25">
        <v>106</v>
      </c>
      <c r="F760" s="23" t="str">
        <f>VLOOKUP(B760,'[2]справочник кодов нп'!$A:$D,4,0)</f>
        <v>сельские населенные пункты с численностью населения менее 1 000 человек.</v>
      </c>
      <c r="G760" s="23" t="s">
        <v>1385</v>
      </c>
      <c r="H760" s="10" t="s">
        <v>1392</v>
      </c>
      <c r="I760" s="35" t="s">
        <v>7017</v>
      </c>
      <c r="J760" s="33" t="s">
        <v>1337</v>
      </c>
    </row>
    <row r="761" spans="1:10" x14ac:dyDescent="0.25">
      <c r="A761" s="23" t="s">
        <v>2695</v>
      </c>
      <c r="B761" s="10" t="s">
        <v>2696</v>
      </c>
      <c r="C761" s="23" t="s">
        <v>1392</v>
      </c>
      <c r="D761" s="28" t="s">
        <v>2697</v>
      </c>
      <c r="E761" s="25">
        <v>106</v>
      </c>
      <c r="F761" s="23" t="str">
        <f>VLOOKUP(B761,'[2]справочник кодов нп'!$A:$D,4,0)</f>
        <v>сельские населенные пункты с численностью населения менее 1 000 человек.</v>
      </c>
      <c r="G761" s="23" t="s">
        <v>1385</v>
      </c>
      <c r="H761" s="10" t="s">
        <v>1392</v>
      </c>
      <c r="I761" s="35" t="s">
        <v>7017</v>
      </c>
      <c r="J761" s="33" t="s">
        <v>1337</v>
      </c>
    </row>
    <row r="762" spans="1:10" x14ac:dyDescent="0.25">
      <c r="A762" s="23" t="s">
        <v>2698</v>
      </c>
      <c r="B762" s="10" t="s">
        <v>2699</v>
      </c>
      <c r="C762" s="23" t="s">
        <v>1392</v>
      </c>
      <c r="D762" s="28" t="s">
        <v>2558</v>
      </c>
      <c r="E762" s="25">
        <v>106</v>
      </c>
      <c r="F762" s="23" t="str">
        <f>VLOOKUP(B762,'[2]справочник кодов нп'!$A:$D,4,0)</f>
        <v>сельские населенные пункты с численностью населения менее 1 000 человек.</v>
      </c>
      <c r="G762" s="23" t="s">
        <v>1385</v>
      </c>
      <c r="H762" s="10" t="s">
        <v>1392</v>
      </c>
      <c r="I762" s="35" t="s">
        <v>7017</v>
      </c>
      <c r="J762" s="33" t="s">
        <v>1337</v>
      </c>
    </row>
    <row r="763" spans="1:10" x14ac:dyDescent="0.25">
      <c r="A763" s="23" t="s">
        <v>2700</v>
      </c>
      <c r="B763" s="10" t="s">
        <v>2701</v>
      </c>
      <c r="C763" s="23" t="s">
        <v>1392</v>
      </c>
      <c r="D763" s="28" t="s">
        <v>2702</v>
      </c>
      <c r="E763" s="25">
        <v>106</v>
      </c>
      <c r="F763" s="23" t="str">
        <f>VLOOKUP(B763,'[2]справочник кодов нп'!$A:$D,4,0)</f>
        <v>сельские населенные пункты с численностью населения менее 1 000 человек.</v>
      </c>
      <c r="G763" s="23" t="s">
        <v>1385</v>
      </c>
      <c r="H763" s="10" t="s">
        <v>1392</v>
      </c>
      <c r="I763" s="35" t="s">
        <v>7017</v>
      </c>
      <c r="J763" s="33" t="s">
        <v>1337</v>
      </c>
    </row>
    <row r="764" spans="1:10" x14ac:dyDescent="0.25">
      <c r="A764" s="23" t="s">
        <v>2703</v>
      </c>
      <c r="B764" s="10" t="s">
        <v>2704</v>
      </c>
      <c r="C764" s="23" t="s">
        <v>1392</v>
      </c>
      <c r="D764" s="28" t="s">
        <v>2705</v>
      </c>
      <c r="E764" s="25">
        <v>106</v>
      </c>
      <c r="F764" s="23" t="str">
        <f>VLOOKUP(B764,'[2]справочник кодов нп'!$A:$D,4,0)</f>
        <v>сельские населенные пункты с численностью населения менее 1 000 человек.</v>
      </c>
      <c r="G764" s="23" t="s">
        <v>1385</v>
      </c>
      <c r="H764" s="10" t="s">
        <v>1392</v>
      </c>
      <c r="I764" s="35" t="s">
        <v>7017</v>
      </c>
      <c r="J764" s="33" t="s">
        <v>1337</v>
      </c>
    </row>
    <row r="765" spans="1:10" x14ac:dyDescent="0.25">
      <c r="A765" s="23" t="s">
        <v>2706</v>
      </c>
      <c r="B765" s="10" t="s">
        <v>2707</v>
      </c>
      <c r="C765" s="23" t="s">
        <v>1392</v>
      </c>
      <c r="D765" s="28" t="s">
        <v>2708</v>
      </c>
      <c r="E765" s="25">
        <v>106</v>
      </c>
      <c r="F765" s="23" t="str">
        <f>VLOOKUP(B765,'[2]справочник кодов нп'!$A:$D,4,0)</f>
        <v>сельские населенные пункты с численностью населения менее 1 000 человек.</v>
      </c>
      <c r="G765" s="23" t="s">
        <v>1385</v>
      </c>
      <c r="H765" s="10" t="s">
        <v>1392</v>
      </c>
      <c r="I765" s="35" t="s">
        <v>7017</v>
      </c>
      <c r="J765" s="33" t="s">
        <v>1337</v>
      </c>
    </row>
    <row r="766" spans="1:10" x14ac:dyDescent="0.25">
      <c r="A766" s="23" t="s">
        <v>2709</v>
      </c>
      <c r="B766" s="10" t="s">
        <v>2710</v>
      </c>
      <c r="C766" s="23" t="s">
        <v>1392</v>
      </c>
      <c r="D766" s="28" t="s">
        <v>2711</v>
      </c>
      <c r="E766" s="25">
        <v>106</v>
      </c>
      <c r="F766" s="23" t="str">
        <f>VLOOKUP(B766,'[2]справочник кодов нп'!$A:$D,4,0)</f>
        <v>сельские населенные пункты с численностью населения менее 1 000 человек.</v>
      </c>
      <c r="G766" s="23" t="s">
        <v>1385</v>
      </c>
      <c r="H766" s="10" t="s">
        <v>1392</v>
      </c>
      <c r="I766" s="35" t="s">
        <v>7017</v>
      </c>
      <c r="J766" s="33" t="s">
        <v>1337</v>
      </c>
    </row>
    <row r="767" spans="1:10" x14ac:dyDescent="0.25">
      <c r="A767" s="23" t="s">
        <v>2712</v>
      </c>
      <c r="B767" s="10" t="s">
        <v>2713</v>
      </c>
      <c r="C767" s="23" t="s">
        <v>1392</v>
      </c>
      <c r="D767" s="28" t="s">
        <v>2714</v>
      </c>
      <c r="E767" s="25">
        <v>106</v>
      </c>
      <c r="F767" s="23" t="str">
        <f>VLOOKUP(B767,'[2]справочник кодов нп'!$A:$D,4,0)</f>
        <v>сельские населенные пункты с численностью населения менее 1 000 человек.</v>
      </c>
      <c r="G767" s="23" t="s">
        <v>1385</v>
      </c>
      <c r="H767" s="10" t="s">
        <v>1392</v>
      </c>
      <c r="I767" s="35" t="s">
        <v>7017</v>
      </c>
      <c r="J767" s="33" t="s">
        <v>1337</v>
      </c>
    </row>
    <row r="768" spans="1:10" x14ac:dyDescent="0.25">
      <c r="A768" s="23" t="s">
        <v>2715</v>
      </c>
      <c r="B768" s="10" t="s">
        <v>2716</v>
      </c>
      <c r="C768" s="23" t="s">
        <v>1392</v>
      </c>
      <c r="D768" s="28" t="s">
        <v>2717</v>
      </c>
      <c r="E768" s="25">
        <v>106</v>
      </c>
      <c r="F768" s="23" t="str">
        <f>VLOOKUP(B768,'[2]справочник кодов нп'!$A:$D,4,0)</f>
        <v>сельские населенные пункты с численностью населения менее 1 000 человек.</v>
      </c>
      <c r="G768" s="23" t="s">
        <v>1385</v>
      </c>
      <c r="H768" s="10" t="s">
        <v>1392</v>
      </c>
      <c r="I768" s="35" t="s">
        <v>7017</v>
      </c>
      <c r="J768" s="33" t="s">
        <v>1337</v>
      </c>
    </row>
    <row r="769" spans="1:10" x14ac:dyDescent="0.25">
      <c r="A769" s="23" t="s">
        <v>2718</v>
      </c>
      <c r="B769" s="10" t="s">
        <v>2719</v>
      </c>
      <c r="C769" s="23" t="s">
        <v>1392</v>
      </c>
      <c r="D769" s="28" t="s">
        <v>2720</v>
      </c>
      <c r="E769" s="25">
        <v>106</v>
      </c>
      <c r="F769" s="23" t="str">
        <f>VLOOKUP(B769,'[2]справочник кодов нп'!$A:$D,4,0)</f>
        <v>сельские населенные пункты с численностью населения менее 1 000 человек.</v>
      </c>
      <c r="G769" s="23" t="s">
        <v>1385</v>
      </c>
      <c r="H769" s="10" t="s">
        <v>1392</v>
      </c>
      <c r="I769" s="35" t="s">
        <v>7017</v>
      </c>
      <c r="J769" s="33" t="s">
        <v>1337</v>
      </c>
    </row>
    <row r="770" spans="1:10" x14ac:dyDescent="0.25">
      <c r="A770" s="23" t="s">
        <v>2721</v>
      </c>
      <c r="B770" s="10" t="s">
        <v>2722</v>
      </c>
      <c r="C770" s="23" t="s">
        <v>1392</v>
      </c>
      <c r="D770" s="28" t="s">
        <v>2723</v>
      </c>
      <c r="E770" s="25">
        <v>106</v>
      </c>
      <c r="F770" s="23" t="str">
        <f>VLOOKUP(B770,'[2]справочник кодов нп'!$A:$D,4,0)</f>
        <v>сельские населенные пункты с численностью населения менее 1 000 человек.</v>
      </c>
      <c r="G770" s="23" t="s">
        <v>1385</v>
      </c>
      <c r="H770" s="10" t="s">
        <v>1392</v>
      </c>
      <c r="I770" s="35" t="s">
        <v>7017</v>
      </c>
      <c r="J770" s="33" t="s">
        <v>1337</v>
      </c>
    </row>
    <row r="771" spans="1:10" x14ac:dyDescent="0.25">
      <c r="A771" s="23" t="s">
        <v>2724</v>
      </c>
      <c r="B771" s="10" t="s">
        <v>2725</v>
      </c>
      <c r="C771" s="23" t="s">
        <v>1392</v>
      </c>
      <c r="D771" s="28" t="s">
        <v>2726</v>
      </c>
      <c r="E771" s="25">
        <v>106</v>
      </c>
      <c r="F771" s="23" t="str">
        <f>VLOOKUP(B771,'[2]справочник кодов нп'!$A:$D,4,0)</f>
        <v>сельские населенные пункты с численностью населения менее 1 000 человек.</v>
      </c>
      <c r="G771" s="23" t="s">
        <v>1385</v>
      </c>
      <c r="H771" s="10" t="s">
        <v>1392</v>
      </c>
      <c r="I771" s="35" t="s">
        <v>7017</v>
      </c>
      <c r="J771" s="33" t="s">
        <v>1337</v>
      </c>
    </row>
    <row r="772" spans="1:10" x14ac:dyDescent="0.25">
      <c r="A772" s="23" t="s">
        <v>2727</v>
      </c>
      <c r="B772" s="10" t="s">
        <v>2728</v>
      </c>
      <c r="C772" s="23" t="s">
        <v>1392</v>
      </c>
      <c r="D772" s="28" t="s">
        <v>2729</v>
      </c>
      <c r="E772" s="25">
        <v>106</v>
      </c>
      <c r="F772" s="23" t="str">
        <f>VLOOKUP(B772,'[2]справочник кодов нп'!$A:$D,4,0)</f>
        <v>сельские населенные пункты с численностью населения менее 1 000 человек.</v>
      </c>
      <c r="G772" s="23" t="s">
        <v>1385</v>
      </c>
      <c r="H772" s="10" t="s">
        <v>1392</v>
      </c>
      <c r="I772" s="35" t="s">
        <v>7017</v>
      </c>
      <c r="J772" s="33" t="s">
        <v>1337</v>
      </c>
    </row>
    <row r="773" spans="1:10" x14ac:dyDescent="0.25">
      <c r="A773" s="23" t="s">
        <v>2730</v>
      </c>
      <c r="B773" s="10" t="s">
        <v>2731</v>
      </c>
      <c r="C773" s="23" t="s">
        <v>1392</v>
      </c>
      <c r="D773" s="28" t="s">
        <v>2732</v>
      </c>
      <c r="E773" s="25">
        <v>106</v>
      </c>
      <c r="F773" s="23" t="str">
        <f>VLOOKUP(B773,'[2]справочник кодов нп'!$A:$D,4,0)</f>
        <v>сельские населенные пункты с численностью населения менее 1 000 человек.</v>
      </c>
      <c r="G773" s="23" t="s">
        <v>1385</v>
      </c>
      <c r="H773" s="10" t="s">
        <v>1392</v>
      </c>
      <c r="I773" s="35" t="s">
        <v>7017</v>
      </c>
      <c r="J773" s="33" t="s">
        <v>1337</v>
      </c>
    </row>
    <row r="774" spans="1:10" x14ac:dyDescent="0.25">
      <c r="A774" s="23" t="s">
        <v>2733</v>
      </c>
      <c r="B774" s="10" t="s">
        <v>2734</v>
      </c>
      <c r="C774" s="23" t="s">
        <v>1392</v>
      </c>
      <c r="D774" s="28" t="s">
        <v>2735</v>
      </c>
      <c r="E774" s="25">
        <v>106</v>
      </c>
      <c r="F774" s="23" t="str">
        <f>VLOOKUP(B774,'[2]справочник кодов нп'!$A:$D,4,0)</f>
        <v>сельские населенные пункты с численностью населения менее 1 000 человек.</v>
      </c>
      <c r="G774" s="23" t="s">
        <v>1385</v>
      </c>
      <c r="H774" s="10" t="s">
        <v>1392</v>
      </c>
      <c r="I774" s="35" t="s">
        <v>7017</v>
      </c>
      <c r="J774" s="33" t="s">
        <v>1337</v>
      </c>
    </row>
    <row r="775" spans="1:10" x14ac:dyDescent="0.25">
      <c r="A775" s="23" t="s">
        <v>2736</v>
      </c>
      <c r="B775" s="10" t="s">
        <v>2737</v>
      </c>
      <c r="C775" s="23" t="s">
        <v>1392</v>
      </c>
      <c r="D775" s="28" t="s">
        <v>2738</v>
      </c>
      <c r="E775" s="25">
        <v>106</v>
      </c>
      <c r="F775" s="23" t="str">
        <f>VLOOKUP(B775,'[2]справочник кодов нп'!$A:$D,4,0)</f>
        <v>сельские населенные пункты с численностью населения менее 1 000 человек.</v>
      </c>
      <c r="G775" s="23" t="s">
        <v>1385</v>
      </c>
      <c r="H775" s="10" t="s">
        <v>1392</v>
      </c>
      <c r="I775" s="35" t="s">
        <v>7017</v>
      </c>
      <c r="J775" s="33" t="s">
        <v>1337</v>
      </c>
    </row>
    <row r="776" spans="1:10" x14ac:dyDescent="0.25">
      <c r="A776" s="23" t="s">
        <v>2739</v>
      </c>
      <c r="B776" s="10" t="s">
        <v>2740</v>
      </c>
      <c r="C776" s="23" t="s">
        <v>1392</v>
      </c>
      <c r="D776" s="28" t="s">
        <v>2741</v>
      </c>
      <c r="E776" s="25">
        <v>106</v>
      </c>
      <c r="F776" s="23" t="str">
        <f>VLOOKUP(B776,'[2]справочник кодов нп'!$A:$D,4,0)</f>
        <v>сельские населенные пункты с численностью населения менее 1 000 человек.</v>
      </c>
      <c r="G776" s="45" t="s">
        <v>1385</v>
      </c>
      <c r="H776" s="10" t="s">
        <v>1392</v>
      </c>
      <c r="I776" s="35" t="s">
        <v>7017</v>
      </c>
      <c r="J776" s="33" t="s">
        <v>1337</v>
      </c>
    </row>
    <row r="777" spans="1:10" x14ac:dyDescent="0.25">
      <c r="A777" s="23" t="s">
        <v>2742</v>
      </c>
      <c r="B777" s="10" t="s">
        <v>2743</v>
      </c>
      <c r="C777" s="23" t="s">
        <v>1392</v>
      </c>
      <c r="D777" s="28" t="s">
        <v>2744</v>
      </c>
      <c r="E777" s="25">
        <v>106</v>
      </c>
      <c r="F777" s="23" t="str">
        <f>VLOOKUP(B777,'[2]справочник кодов нп'!$A:$D,4,0)</f>
        <v>сельские населенные пункты с численностью населения менее 1 000 человек.</v>
      </c>
      <c r="G777" s="45" t="s">
        <v>1385</v>
      </c>
      <c r="H777" s="10" t="s">
        <v>1392</v>
      </c>
      <c r="I777" s="35" t="s">
        <v>7017</v>
      </c>
      <c r="J777" s="33" t="s">
        <v>1337</v>
      </c>
    </row>
    <row r="778" spans="1:10" x14ac:dyDescent="0.25">
      <c r="A778" s="23" t="s">
        <v>2745</v>
      </c>
      <c r="B778" s="10" t="s">
        <v>2746</v>
      </c>
      <c r="C778" s="23" t="s">
        <v>1392</v>
      </c>
      <c r="D778" s="28" t="s">
        <v>2747</v>
      </c>
      <c r="E778" s="25">
        <v>106</v>
      </c>
      <c r="F778" s="23" t="str">
        <f>VLOOKUP(B778,'[2]справочник кодов нп'!$A:$D,4,0)</f>
        <v>сельские населенные пункты с численностью населения менее 1 000 человек.</v>
      </c>
      <c r="G778" s="45" t="s">
        <v>1385</v>
      </c>
      <c r="H778" s="10" t="s">
        <v>1392</v>
      </c>
      <c r="I778" s="35" t="s">
        <v>7017</v>
      </c>
      <c r="J778" s="33" t="s">
        <v>1337</v>
      </c>
    </row>
    <row r="779" spans="1:10" x14ac:dyDescent="0.25">
      <c r="A779" s="23" t="s">
        <v>2748</v>
      </c>
      <c r="B779" s="10" t="s">
        <v>2749</v>
      </c>
      <c r="C779" s="23" t="s">
        <v>1392</v>
      </c>
      <c r="D779" s="28" t="s">
        <v>2750</v>
      </c>
      <c r="E779" s="25">
        <v>106</v>
      </c>
      <c r="F779" s="23" t="str">
        <f>VLOOKUP(B779,'[2]справочник кодов нп'!$A:$D,4,0)</f>
        <v>сельские населенные пункты с численностью населения менее 1 000 человек.</v>
      </c>
      <c r="G779" s="45" t="s">
        <v>1385</v>
      </c>
      <c r="H779" s="10" t="s">
        <v>1392</v>
      </c>
      <c r="I779" s="35" t="s">
        <v>7017</v>
      </c>
      <c r="J779" s="33" t="s">
        <v>1337</v>
      </c>
    </row>
    <row r="780" spans="1:10" x14ac:dyDescent="0.25">
      <c r="A780" s="23" t="s">
        <v>2751</v>
      </c>
      <c r="B780" s="10" t="s">
        <v>2752</v>
      </c>
      <c r="C780" s="23" t="s">
        <v>1392</v>
      </c>
      <c r="D780" s="28" t="s">
        <v>2753</v>
      </c>
      <c r="E780" s="25">
        <v>106</v>
      </c>
      <c r="F780" s="23" t="str">
        <f>VLOOKUP(B780,'[2]справочник кодов нп'!$A:$D,4,0)</f>
        <v>сельские населенные пункты с численностью населения менее 1 000 человек.</v>
      </c>
      <c r="G780" s="45" t="s">
        <v>1385</v>
      </c>
      <c r="H780" s="10" t="s">
        <v>1392</v>
      </c>
      <c r="I780" s="35" t="s">
        <v>7017</v>
      </c>
      <c r="J780" s="33" t="s">
        <v>1337</v>
      </c>
    </row>
    <row r="781" spans="1:10" x14ac:dyDescent="0.25">
      <c r="A781" s="23" t="s">
        <v>2754</v>
      </c>
      <c r="B781" s="10" t="s">
        <v>2755</v>
      </c>
      <c r="C781" s="23" t="s">
        <v>1392</v>
      </c>
      <c r="D781" s="28" t="s">
        <v>2756</v>
      </c>
      <c r="E781" s="25">
        <v>106</v>
      </c>
      <c r="F781" s="23" t="str">
        <f>VLOOKUP(B781,'[2]справочник кодов нп'!$A:$D,4,0)</f>
        <v>сельские населенные пункты с численностью населения менее 1 000 человек.</v>
      </c>
      <c r="G781" s="45" t="s">
        <v>1385</v>
      </c>
      <c r="H781" s="10" t="s">
        <v>1392</v>
      </c>
      <c r="I781" s="35" t="s">
        <v>7017</v>
      </c>
      <c r="J781" s="33" t="s">
        <v>1337</v>
      </c>
    </row>
    <row r="782" spans="1:10" x14ac:dyDescent="0.25">
      <c r="A782" s="23" t="s">
        <v>2757</v>
      </c>
      <c r="B782" s="10" t="s">
        <v>2758</v>
      </c>
      <c r="C782" s="23" t="s">
        <v>1392</v>
      </c>
      <c r="D782" s="28" t="s">
        <v>2759</v>
      </c>
      <c r="E782" s="25">
        <v>106</v>
      </c>
      <c r="F782" s="23" t="str">
        <f>VLOOKUP(B782,'[2]справочник кодов нп'!$A:$D,4,0)</f>
        <v>сельские населенные пункты с численностью населения менее 1 000 человек.</v>
      </c>
      <c r="G782" s="45" t="s">
        <v>1385</v>
      </c>
      <c r="H782" s="10" t="s">
        <v>1392</v>
      </c>
      <c r="I782" s="35" t="s">
        <v>7017</v>
      </c>
      <c r="J782" s="33" t="s">
        <v>1337</v>
      </c>
    </row>
    <row r="783" spans="1:10" x14ac:dyDescent="0.25">
      <c r="A783" s="23" t="s">
        <v>2760</v>
      </c>
      <c r="B783" s="10" t="s">
        <v>2761</v>
      </c>
      <c r="C783" s="23" t="s">
        <v>1392</v>
      </c>
      <c r="D783" s="28" t="s">
        <v>2762</v>
      </c>
      <c r="E783" s="25">
        <v>106</v>
      </c>
      <c r="F783" s="23" t="str">
        <f>VLOOKUP(B783,'[2]справочник кодов нп'!$A:$D,4,0)</f>
        <v>сельские населенные пункты с численностью населения менее 1 000 человек.</v>
      </c>
      <c r="G783" s="45" t="s">
        <v>1385</v>
      </c>
      <c r="H783" s="10" t="s">
        <v>1392</v>
      </c>
      <c r="I783" s="35" t="s">
        <v>7017</v>
      </c>
      <c r="J783" s="33" t="s">
        <v>1337</v>
      </c>
    </row>
    <row r="784" spans="1:10" x14ac:dyDescent="0.25">
      <c r="A784" s="23" t="s">
        <v>2763</v>
      </c>
      <c r="B784" s="10" t="s">
        <v>2764</v>
      </c>
      <c r="C784" s="23" t="s">
        <v>1392</v>
      </c>
      <c r="D784" s="28" t="s">
        <v>2765</v>
      </c>
      <c r="E784" s="25">
        <v>106</v>
      </c>
      <c r="F784" s="23" t="str">
        <f>VLOOKUP(B784,'[2]справочник кодов нп'!$A:$D,4,0)</f>
        <v>сельские населенные пункты с численностью населения менее 1 000 человек.</v>
      </c>
      <c r="G784" s="45" t="s">
        <v>1385</v>
      </c>
      <c r="H784" s="10" t="s">
        <v>1392</v>
      </c>
      <c r="I784" s="35" t="s">
        <v>7017</v>
      </c>
      <c r="J784" s="33" t="s">
        <v>1337</v>
      </c>
    </row>
    <row r="785" spans="1:10" x14ac:dyDescent="0.25">
      <c r="A785" s="23" t="s">
        <v>2766</v>
      </c>
      <c r="B785" s="10" t="s">
        <v>2767</v>
      </c>
      <c r="C785" s="23" t="s">
        <v>1392</v>
      </c>
      <c r="D785" s="28" t="s">
        <v>2768</v>
      </c>
      <c r="E785" s="25">
        <v>106</v>
      </c>
      <c r="F785" s="23" t="str">
        <f>VLOOKUP(B785,'[2]справочник кодов нп'!$A:$D,4,0)</f>
        <v>сельские населенные пункты с численностью населения менее 1 000 человек.</v>
      </c>
      <c r="G785" s="45" t="s">
        <v>1385</v>
      </c>
      <c r="H785" s="10" t="s">
        <v>1392</v>
      </c>
      <c r="I785" s="35" t="s">
        <v>7017</v>
      </c>
      <c r="J785" s="33" t="s">
        <v>1337</v>
      </c>
    </row>
    <row r="786" spans="1:10" x14ac:dyDescent="0.25">
      <c r="A786" s="23" t="s">
        <v>2769</v>
      </c>
      <c r="B786" s="10" t="s">
        <v>2770</v>
      </c>
      <c r="C786" s="23" t="s">
        <v>1392</v>
      </c>
      <c r="D786" s="28" t="s">
        <v>2771</v>
      </c>
      <c r="E786" s="25">
        <v>106</v>
      </c>
      <c r="F786" s="23" t="str">
        <f>VLOOKUP(B786,'[2]справочник кодов нп'!$A:$D,4,0)</f>
        <v>сельские населенные пункты с численностью населения менее 1 000 человек.</v>
      </c>
      <c r="G786" s="45" t="s">
        <v>1385</v>
      </c>
      <c r="H786" s="10" t="s">
        <v>1392</v>
      </c>
      <c r="I786" s="35" t="s">
        <v>7017</v>
      </c>
      <c r="J786" s="33" t="s">
        <v>1337</v>
      </c>
    </row>
    <row r="787" spans="1:10" x14ac:dyDescent="0.25">
      <c r="A787" s="23" t="s">
        <v>2772</v>
      </c>
      <c r="B787" s="10" t="s">
        <v>2773</v>
      </c>
      <c r="C787" s="23" t="s">
        <v>1392</v>
      </c>
      <c r="D787" s="28" t="s">
        <v>1814</v>
      </c>
      <c r="E787" s="25">
        <v>106</v>
      </c>
      <c r="F787" s="23" t="str">
        <f>VLOOKUP(B787,'[2]справочник кодов нп'!$A:$D,4,0)</f>
        <v>сельские населенные пункты с численностью населения менее 1 000 человек.</v>
      </c>
      <c r="G787" s="45" t="s">
        <v>1385</v>
      </c>
      <c r="H787" s="10" t="s">
        <v>1392</v>
      </c>
      <c r="I787" s="35" t="s">
        <v>7017</v>
      </c>
      <c r="J787" s="33" t="s">
        <v>1337</v>
      </c>
    </row>
    <row r="788" spans="1:10" x14ac:dyDescent="0.25">
      <c r="A788" s="23" t="s">
        <v>2774</v>
      </c>
      <c r="B788" s="10" t="s">
        <v>2775</v>
      </c>
      <c r="C788" s="23" t="s">
        <v>1392</v>
      </c>
      <c r="D788" s="28" t="s">
        <v>2776</v>
      </c>
      <c r="E788" s="25">
        <v>106</v>
      </c>
      <c r="F788" s="23" t="str">
        <f>VLOOKUP(B788,'[2]справочник кодов нп'!$A:$D,4,0)</f>
        <v>сельские населенные пункты с численностью населения менее 1 000 человек.</v>
      </c>
      <c r="G788" s="45" t="s">
        <v>1385</v>
      </c>
      <c r="H788" s="10" t="s">
        <v>1392</v>
      </c>
      <c r="I788" s="35" t="s">
        <v>7017</v>
      </c>
      <c r="J788" s="33" t="s">
        <v>1337</v>
      </c>
    </row>
    <row r="789" spans="1:10" x14ac:dyDescent="0.25">
      <c r="A789" s="23" t="s">
        <v>2777</v>
      </c>
      <c r="B789" s="10" t="s">
        <v>2778</v>
      </c>
      <c r="C789" s="23" t="s">
        <v>1392</v>
      </c>
      <c r="D789" s="28" t="s">
        <v>2779</v>
      </c>
      <c r="E789" s="25">
        <v>106</v>
      </c>
      <c r="F789" s="23" t="str">
        <f>VLOOKUP(B789,'[2]справочник кодов нп'!$A:$D,4,0)</f>
        <v>сельские населенные пункты с численностью населения менее 1 000 человек.</v>
      </c>
      <c r="G789" s="45" t="s">
        <v>1385</v>
      </c>
      <c r="H789" s="10" t="s">
        <v>1392</v>
      </c>
      <c r="I789" s="35" t="s">
        <v>7017</v>
      </c>
      <c r="J789" s="33" t="s">
        <v>1337</v>
      </c>
    </row>
    <row r="790" spans="1:10" x14ac:dyDescent="0.25">
      <c r="A790" s="23" t="s">
        <v>2780</v>
      </c>
      <c r="B790" s="10" t="s">
        <v>2781</v>
      </c>
      <c r="C790" s="23" t="s">
        <v>1392</v>
      </c>
      <c r="D790" s="28" t="s">
        <v>2782</v>
      </c>
      <c r="E790" s="25">
        <v>106</v>
      </c>
      <c r="F790" s="23" t="str">
        <f>VLOOKUP(B790,'[2]справочник кодов нп'!$A:$D,4,0)</f>
        <v>сельские населенные пункты с численностью населения менее 1 000 человек.</v>
      </c>
      <c r="G790" s="45" t="s">
        <v>1385</v>
      </c>
      <c r="H790" s="10" t="s">
        <v>1392</v>
      </c>
      <c r="I790" s="35" t="s">
        <v>7017</v>
      </c>
      <c r="J790" s="33" t="s">
        <v>1337</v>
      </c>
    </row>
    <row r="791" spans="1:10" x14ac:dyDescent="0.25">
      <c r="A791" s="23" t="s">
        <v>2783</v>
      </c>
      <c r="B791" s="10" t="s">
        <v>2784</v>
      </c>
      <c r="C791" s="23" t="s">
        <v>1392</v>
      </c>
      <c r="D791" s="28" t="s">
        <v>2785</v>
      </c>
      <c r="E791" s="25">
        <v>106</v>
      </c>
      <c r="F791" s="23" t="str">
        <f>VLOOKUP(B791,'[2]справочник кодов нп'!$A:$D,4,0)</f>
        <v>сельские населенные пункты с численностью населения менее 1 000 человек.</v>
      </c>
      <c r="G791" s="45" t="s">
        <v>1385</v>
      </c>
      <c r="H791" s="10" t="s">
        <v>1392</v>
      </c>
      <c r="I791" s="35" t="s">
        <v>7017</v>
      </c>
      <c r="J791" s="33" t="s">
        <v>1337</v>
      </c>
    </row>
    <row r="792" spans="1:10" x14ac:dyDescent="0.25">
      <c r="A792" s="23" t="s">
        <v>2786</v>
      </c>
      <c r="B792" s="10" t="s">
        <v>2787</v>
      </c>
      <c r="C792" s="23" t="s">
        <v>1392</v>
      </c>
      <c r="D792" s="28" t="s">
        <v>2788</v>
      </c>
      <c r="E792" s="25">
        <v>106</v>
      </c>
      <c r="F792" s="23" t="str">
        <f>VLOOKUP(B792,'[2]справочник кодов нп'!$A:$D,4,0)</f>
        <v>сельские населенные пункты с численностью населения менее 1 000 человек.</v>
      </c>
      <c r="G792" s="45" t="s">
        <v>1385</v>
      </c>
      <c r="H792" s="10" t="s">
        <v>1392</v>
      </c>
      <c r="I792" s="35" t="s">
        <v>7017</v>
      </c>
      <c r="J792" s="33" t="s">
        <v>1337</v>
      </c>
    </row>
    <row r="793" spans="1:10" x14ac:dyDescent="0.25">
      <c r="A793" s="23" t="s">
        <v>2789</v>
      </c>
      <c r="B793" s="10" t="s">
        <v>2790</v>
      </c>
      <c r="C793" s="23" t="s">
        <v>1392</v>
      </c>
      <c r="D793" s="28" t="s">
        <v>2791</v>
      </c>
      <c r="E793" s="25">
        <v>106</v>
      </c>
      <c r="F793" s="23" t="str">
        <f>VLOOKUP(B793,'[2]справочник кодов нп'!$A:$D,4,0)</f>
        <v>сельские населенные пункты с численностью населения менее 1 000 человек.</v>
      </c>
      <c r="G793" s="45" t="s">
        <v>1385</v>
      </c>
      <c r="H793" s="10" t="s">
        <v>1392</v>
      </c>
      <c r="I793" s="35" t="s">
        <v>7017</v>
      </c>
      <c r="J793" s="33" t="s">
        <v>1337</v>
      </c>
    </row>
    <row r="794" spans="1:10" x14ac:dyDescent="0.25">
      <c r="A794" s="23" t="s">
        <v>4541</v>
      </c>
      <c r="B794" s="10" t="s">
        <v>4542</v>
      </c>
      <c r="C794" s="23" t="s">
        <v>1392</v>
      </c>
      <c r="D794" s="28" t="s">
        <v>4543</v>
      </c>
      <c r="E794" s="25">
        <v>106</v>
      </c>
      <c r="F794" s="23" t="str">
        <f>VLOOKUP(B794,'[2]справочник кодов нп'!$A:$D,4,0)</f>
        <v>сельские населенные пункты с численностью населения менее 1 000 человек.</v>
      </c>
      <c r="G794" s="45" t="s">
        <v>1385</v>
      </c>
      <c r="H794" s="10" t="s">
        <v>1392</v>
      </c>
      <c r="I794" s="35" t="s">
        <v>7017</v>
      </c>
      <c r="J794" s="33" t="s">
        <v>1337</v>
      </c>
    </row>
    <row r="795" spans="1:10" x14ac:dyDescent="0.25">
      <c r="A795" s="23" t="s">
        <v>4825</v>
      </c>
      <c r="B795" s="10" t="s">
        <v>4826</v>
      </c>
      <c r="C795" s="23" t="s">
        <v>1392</v>
      </c>
      <c r="D795" s="28" t="s">
        <v>4827</v>
      </c>
      <c r="E795" s="25">
        <v>106</v>
      </c>
      <c r="F795" s="23" t="str">
        <f>VLOOKUP(B795,'[2]справочник кодов нп'!$A:$D,4,0)</f>
        <v>сельские населенные пункты с численностью населения менее 1 000 человек.</v>
      </c>
      <c r="G795" s="45" t="s">
        <v>1385</v>
      </c>
      <c r="H795" s="10" t="s">
        <v>1392</v>
      </c>
      <c r="I795" s="35" t="s">
        <v>7017</v>
      </c>
      <c r="J795" s="33" t="s">
        <v>1337</v>
      </c>
    </row>
    <row r="796" spans="1:10" x14ac:dyDescent="0.25">
      <c r="A796" s="23" t="s">
        <v>4917</v>
      </c>
      <c r="B796" s="10" t="s">
        <v>4918</v>
      </c>
      <c r="C796" s="23" t="s">
        <v>1392</v>
      </c>
      <c r="D796" s="28" t="s">
        <v>4919</v>
      </c>
      <c r="E796" s="25">
        <v>106</v>
      </c>
      <c r="F796" s="23" t="str">
        <f>VLOOKUP(B796,'[2]справочник кодов нп'!$A:$D,4,0)</f>
        <v>сельские населенные пункты с численностью населения менее 1 000 человек.</v>
      </c>
      <c r="G796" s="45" t="s">
        <v>1385</v>
      </c>
      <c r="H796" s="10" t="s">
        <v>1392</v>
      </c>
      <c r="I796" s="35" t="s">
        <v>7017</v>
      </c>
      <c r="J796" s="33" t="s">
        <v>1337</v>
      </c>
    </row>
    <row r="797" spans="1:10" x14ac:dyDescent="0.25">
      <c r="A797" s="23" t="s">
        <v>5042</v>
      </c>
      <c r="B797" s="10" t="s">
        <v>5043</v>
      </c>
      <c r="C797" s="23" t="s">
        <v>1392</v>
      </c>
      <c r="D797" s="28" t="s">
        <v>5044</v>
      </c>
      <c r="E797" s="25">
        <v>106</v>
      </c>
      <c r="F797" s="23" t="str">
        <f>VLOOKUP(B797,'[2]справочник кодов нп'!$A:$D,4,0)</f>
        <v>сельские населенные пункты с численностью населения менее 1 000 человек.</v>
      </c>
      <c r="G797" s="23" t="s">
        <v>1385</v>
      </c>
      <c r="H797" s="10" t="s">
        <v>1392</v>
      </c>
      <c r="I797" s="35" t="s">
        <v>7017</v>
      </c>
      <c r="J797" s="33" t="s">
        <v>1337</v>
      </c>
    </row>
    <row r="798" spans="1:10" x14ac:dyDescent="0.25">
      <c r="A798" s="23" t="s">
        <v>5045</v>
      </c>
      <c r="B798" s="10" t="s">
        <v>5046</v>
      </c>
      <c r="C798" s="23" t="s">
        <v>1392</v>
      </c>
      <c r="D798" s="28" t="s">
        <v>5047</v>
      </c>
      <c r="E798" s="25">
        <v>106</v>
      </c>
      <c r="F798" s="23" t="str">
        <f>VLOOKUP(B798,'[2]справочник кодов нп'!$A:$D,4,0)</f>
        <v>сельские населенные пункты с численностью населения менее 1 000 человек.</v>
      </c>
      <c r="G798" s="23" t="s">
        <v>1385</v>
      </c>
      <c r="H798" s="10" t="s">
        <v>1392</v>
      </c>
      <c r="I798" s="35" t="s">
        <v>7017</v>
      </c>
      <c r="J798" s="33" t="s">
        <v>1337</v>
      </c>
    </row>
    <row r="799" spans="1:10" x14ac:dyDescent="0.25">
      <c r="A799" s="23" t="s">
        <v>5048</v>
      </c>
      <c r="B799" s="10" t="s">
        <v>5049</v>
      </c>
      <c r="C799" s="23" t="s">
        <v>1392</v>
      </c>
      <c r="D799" s="28" t="s">
        <v>5050</v>
      </c>
      <c r="E799" s="25">
        <v>106</v>
      </c>
      <c r="F799" s="23" t="str">
        <f>VLOOKUP(B799,'[2]справочник кодов нп'!$A:$D,4,0)</f>
        <v>сельские населенные пункты с численностью населения менее 1 000 человек.</v>
      </c>
      <c r="G799" s="23" t="s">
        <v>1385</v>
      </c>
      <c r="H799" s="10" t="s">
        <v>1392</v>
      </c>
      <c r="I799" s="35" t="s">
        <v>7017</v>
      </c>
      <c r="J799" s="33" t="s">
        <v>1337</v>
      </c>
    </row>
    <row r="800" spans="1:10" x14ac:dyDescent="0.25">
      <c r="A800" s="23" t="s">
        <v>5051</v>
      </c>
      <c r="B800" s="10" t="s">
        <v>5052</v>
      </c>
      <c r="C800" s="23" t="s">
        <v>1392</v>
      </c>
      <c r="D800" s="28" t="s">
        <v>5053</v>
      </c>
      <c r="E800" s="25">
        <v>106</v>
      </c>
      <c r="F800" s="23" t="str">
        <f>VLOOKUP(B800,'[2]справочник кодов нп'!$A:$D,4,0)</f>
        <v>сельские населенные пункты с численностью населения менее 1 000 человек.</v>
      </c>
      <c r="G800" s="23" t="s">
        <v>1385</v>
      </c>
      <c r="H800" s="10" t="s">
        <v>1392</v>
      </c>
      <c r="I800" s="35" t="s">
        <v>7017</v>
      </c>
      <c r="J800" s="33" t="s">
        <v>1337</v>
      </c>
    </row>
    <row r="801" spans="1:10" x14ac:dyDescent="0.25">
      <c r="A801" s="23" t="s">
        <v>5054</v>
      </c>
      <c r="B801" s="10" t="s">
        <v>5055</v>
      </c>
      <c r="C801" s="23" t="s">
        <v>1392</v>
      </c>
      <c r="D801" s="28" t="s">
        <v>5056</v>
      </c>
      <c r="E801" s="25">
        <v>106</v>
      </c>
      <c r="F801" s="23" t="str">
        <f>VLOOKUP(B801,'[2]справочник кодов нп'!$A:$D,4,0)</f>
        <v>сельские населенные пункты с численностью населения более 1 000 человек;</v>
      </c>
      <c r="G801" s="23" t="s">
        <v>1385</v>
      </c>
      <c r="H801" s="10" t="s">
        <v>1392</v>
      </c>
      <c r="I801" s="35" t="s">
        <v>7017</v>
      </c>
      <c r="J801" s="33" t="s">
        <v>1337</v>
      </c>
    </row>
    <row r="802" spans="1:10" x14ac:dyDescent="0.25">
      <c r="A802" s="23" t="s">
        <v>5189</v>
      </c>
      <c r="B802" s="10" t="s">
        <v>5190</v>
      </c>
      <c r="C802" s="23" t="s">
        <v>1392</v>
      </c>
      <c r="D802" s="28" t="s">
        <v>5191</v>
      </c>
      <c r="E802" s="25">
        <v>106</v>
      </c>
      <c r="F802" s="23" t="str">
        <f>VLOOKUP(B802,'[2]справочник кодов нп'!$A:$D,4,0)</f>
        <v>сельские населенные пункты с численностью населения более 1 000 человек;</v>
      </c>
      <c r="G802" s="23" t="s">
        <v>1385</v>
      </c>
      <c r="H802" s="10" t="s">
        <v>1392</v>
      </c>
      <c r="I802" s="35" t="s">
        <v>7017</v>
      </c>
      <c r="J802" s="33" t="s">
        <v>1337</v>
      </c>
    </row>
    <row r="803" spans="1:10" x14ac:dyDescent="0.25">
      <c r="A803" s="23" t="s">
        <v>5192</v>
      </c>
      <c r="B803" s="10" t="s">
        <v>5193</v>
      </c>
      <c r="C803" s="23" t="s">
        <v>1392</v>
      </c>
      <c r="D803" s="28" t="s">
        <v>5194</v>
      </c>
      <c r="E803" s="25">
        <v>106</v>
      </c>
      <c r="F803" s="23" t="str">
        <f>VLOOKUP(B803,'[2]справочник кодов нп'!$A:$D,4,0)</f>
        <v>сельские населенные пункты с численностью населения более 1 000 человек;</v>
      </c>
      <c r="G803" s="23" t="s">
        <v>1385</v>
      </c>
      <c r="H803" s="10" t="s">
        <v>1392</v>
      </c>
      <c r="I803" s="35" t="s">
        <v>7017</v>
      </c>
      <c r="J803" s="33" t="s">
        <v>1337</v>
      </c>
    </row>
    <row r="804" spans="1:10" x14ac:dyDescent="0.25">
      <c r="A804" s="23" t="s">
        <v>5457</v>
      </c>
      <c r="B804" s="10" t="s">
        <v>5458</v>
      </c>
      <c r="C804" s="23" t="s">
        <v>1392</v>
      </c>
      <c r="D804" s="28" t="s">
        <v>5459</v>
      </c>
      <c r="E804" s="25">
        <v>106</v>
      </c>
      <c r="F804" s="23" t="str">
        <f>VLOOKUP(B804,'[2]справочник кодов нп'!$A:$D,4,0)</f>
        <v>сельские населенные пункты с численностью населения менее 1 000 человек.</v>
      </c>
      <c r="G804" s="23" t="s">
        <v>1385</v>
      </c>
      <c r="H804" s="10" t="s">
        <v>1392</v>
      </c>
      <c r="I804" s="35" t="s">
        <v>7017</v>
      </c>
      <c r="J804" s="33" t="s">
        <v>1337</v>
      </c>
    </row>
    <row r="805" spans="1:10" x14ac:dyDescent="0.25">
      <c r="A805" s="23" t="s">
        <v>5460</v>
      </c>
      <c r="B805" s="10" t="s">
        <v>5461</v>
      </c>
      <c r="C805" s="23" t="s">
        <v>1392</v>
      </c>
      <c r="D805" s="28" t="s">
        <v>2182</v>
      </c>
      <c r="E805" s="25">
        <v>106</v>
      </c>
      <c r="F805" s="23" t="str">
        <f>VLOOKUP(B805,'[2]справочник кодов нп'!$A:$D,4,0)</f>
        <v>сельские населенные пункты с численностью населения менее 1 000 человек.</v>
      </c>
      <c r="G805" s="23" t="s">
        <v>1385</v>
      </c>
      <c r="H805" s="10" t="s">
        <v>1392</v>
      </c>
      <c r="I805" s="35" t="s">
        <v>7017</v>
      </c>
      <c r="J805" s="33" t="s">
        <v>1337</v>
      </c>
    </row>
    <row r="806" spans="1:10" x14ac:dyDescent="0.25">
      <c r="A806" s="23" t="s">
        <v>5462</v>
      </c>
      <c r="B806" s="10" t="s">
        <v>5463</v>
      </c>
      <c r="C806" s="23" t="s">
        <v>1392</v>
      </c>
      <c r="D806" s="28" t="s">
        <v>2826</v>
      </c>
      <c r="E806" s="25">
        <v>106</v>
      </c>
      <c r="F806" s="23" t="str">
        <f>VLOOKUP(B806,'[2]справочник кодов нп'!$A:$D,4,0)</f>
        <v>сельские населенные пункты с численностью населения менее 1 000 человек.</v>
      </c>
      <c r="G806" s="23" t="s">
        <v>1385</v>
      </c>
      <c r="H806" s="10" t="s">
        <v>1392</v>
      </c>
      <c r="I806" s="35" t="s">
        <v>7017</v>
      </c>
      <c r="J806" s="33" t="s">
        <v>1337</v>
      </c>
    </row>
    <row r="807" spans="1:10" x14ac:dyDescent="0.25">
      <c r="A807" s="23" t="s">
        <v>5464</v>
      </c>
      <c r="B807" s="10" t="s">
        <v>5465</v>
      </c>
      <c r="C807" s="23" t="s">
        <v>1392</v>
      </c>
      <c r="D807" s="28" t="s">
        <v>5466</v>
      </c>
      <c r="E807" s="25">
        <v>106</v>
      </c>
      <c r="F807" s="23" t="str">
        <f>VLOOKUP(B807,'[2]справочник кодов нп'!$A:$D,4,0)</f>
        <v>сельские населенные пункты с численностью населения менее 1 000 человек.</v>
      </c>
      <c r="G807" s="23" t="s">
        <v>1385</v>
      </c>
      <c r="H807" s="10" t="s">
        <v>1392</v>
      </c>
      <c r="I807" s="35" t="s">
        <v>7017</v>
      </c>
      <c r="J807" s="33" t="s">
        <v>1337</v>
      </c>
    </row>
    <row r="808" spans="1:10" x14ac:dyDescent="0.25">
      <c r="A808" s="23" t="s">
        <v>5769</v>
      </c>
      <c r="B808" s="10" t="s">
        <v>5770</v>
      </c>
      <c r="C808" s="23" t="s">
        <v>1392</v>
      </c>
      <c r="D808" s="28" t="s">
        <v>3030</v>
      </c>
      <c r="E808" s="25">
        <v>106</v>
      </c>
      <c r="F808" s="23" t="str">
        <f>VLOOKUP(B808,'[2]справочник кодов нп'!$A:$D,4,0)</f>
        <v>сельские населенные пункты с численностью населения менее 1 000 человек.</v>
      </c>
      <c r="G808" s="23" t="s">
        <v>1385</v>
      </c>
      <c r="H808" s="10" t="s">
        <v>1392</v>
      </c>
      <c r="I808" s="35" t="s">
        <v>7017</v>
      </c>
      <c r="J808" s="33" t="s">
        <v>1337</v>
      </c>
    </row>
    <row r="809" spans="1:10" x14ac:dyDescent="0.25">
      <c r="A809" s="23" t="s">
        <v>5771</v>
      </c>
      <c r="B809" s="10" t="s">
        <v>5772</v>
      </c>
      <c r="C809" s="23" t="s">
        <v>1392</v>
      </c>
      <c r="D809" s="28" t="s">
        <v>5773</v>
      </c>
      <c r="E809" s="25">
        <v>106</v>
      </c>
      <c r="F809" s="23" t="str">
        <f>VLOOKUP(B809,'[2]справочник кодов нп'!$A:$D,4,0)</f>
        <v>сельские населенные пункты с численностью населения менее 1 000 человек.</v>
      </c>
      <c r="G809" s="23" t="s">
        <v>1385</v>
      </c>
      <c r="H809" s="10" t="s">
        <v>1392</v>
      </c>
      <c r="I809" s="35" t="s">
        <v>7017</v>
      </c>
      <c r="J809" s="33" t="s">
        <v>1337</v>
      </c>
    </row>
    <row r="810" spans="1:10" x14ac:dyDescent="0.25">
      <c r="A810" s="23" t="s">
        <v>5774</v>
      </c>
      <c r="B810" s="10" t="s">
        <v>5775</v>
      </c>
      <c r="C810" s="23" t="s">
        <v>1392</v>
      </c>
      <c r="D810" s="28" t="s">
        <v>5776</v>
      </c>
      <c r="E810" s="25">
        <v>106</v>
      </c>
      <c r="F810" s="23" t="str">
        <f>VLOOKUP(B810,'[2]справочник кодов нп'!$A:$D,4,0)</f>
        <v>сельские населенные пункты с численностью населения менее 1 000 человек.</v>
      </c>
      <c r="G810" s="23" t="s">
        <v>1385</v>
      </c>
      <c r="H810" s="10" t="s">
        <v>1392</v>
      </c>
      <c r="I810" s="35" t="s">
        <v>7017</v>
      </c>
      <c r="J810" s="33" t="s">
        <v>1337</v>
      </c>
    </row>
    <row r="811" spans="1:10" x14ac:dyDescent="0.25">
      <c r="A811" s="23" t="s">
        <v>5777</v>
      </c>
      <c r="B811" s="10" t="s">
        <v>5778</v>
      </c>
      <c r="C811" s="23" t="s">
        <v>1392</v>
      </c>
      <c r="D811" s="28" t="s">
        <v>5779</v>
      </c>
      <c r="E811" s="25">
        <v>106</v>
      </c>
      <c r="F811" s="23" t="str">
        <f>VLOOKUP(B811,'[2]справочник кодов нп'!$A:$D,4,0)</f>
        <v>сельские населенные пункты с численностью населения менее 1 000 человек.</v>
      </c>
      <c r="G811" s="23" t="s">
        <v>1385</v>
      </c>
      <c r="H811" s="10" t="s">
        <v>1392</v>
      </c>
      <c r="I811" s="35" t="s">
        <v>7017</v>
      </c>
      <c r="J811" s="33" t="s">
        <v>1337</v>
      </c>
    </row>
    <row r="812" spans="1:10" x14ac:dyDescent="0.25">
      <c r="A812" s="23" t="s">
        <v>5780</v>
      </c>
      <c r="B812" s="10" t="s">
        <v>5781</v>
      </c>
      <c r="C812" s="23" t="s">
        <v>1392</v>
      </c>
      <c r="D812" s="28" t="s">
        <v>5782</v>
      </c>
      <c r="E812" s="25">
        <v>106</v>
      </c>
      <c r="F812" s="23" t="str">
        <f>VLOOKUP(B812,'[2]справочник кодов нп'!$A:$D,4,0)</f>
        <v>сельские населенные пункты с численностью населения менее 1 000 человек.</v>
      </c>
      <c r="G812" s="23" t="s">
        <v>1385</v>
      </c>
      <c r="H812" s="10" t="s">
        <v>1392</v>
      </c>
      <c r="I812" s="35" t="s">
        <v>7017</v>
      </c>
      <c r="J812" s="33" t="s">
        <v>1337</v>
      </c>
    </row>
    <row r="813" spans="1:10" x14ac:dyDescent="0.25">
      <c r="A813" s="23" t="s">
        <v>5783</v>
      </c>
      <c r="B813" s="10" t="s">
        <v>5784</v>
      </c>
      <c r="C813" s="23" t="s">
        <v>1392</v>
      </c>
      <c r="D813" s="28" t="s">
        <v>5785</v>
      </c>
      <c r="E813" s="25">
        <v>106</v>
      </c>
      <c r="F813" s="23" t="str">
        <f>VLOOKUP(B813,'[2]справочник кодов нп'!$A:$D,4,0)</f>
        <v>сельские населенные пункты с численностью населения менее 1 000 человек.</v>
      </c>
      <c r="G813" s="23" t="s">
        <v>1385</v>
      </c>
      <c r="H813" s="10" t="s">
        <v>1392</v>
      </c>
      <c r="I813" s="35" t="s">
        <v>7017</v>
      </c>
      <c r="J813" s="33" t="s">
        <v>1337</v>
      </c>
    </row>
    <row r="814" spans="1:10" x14ac:dyDescent="0.25">
      <c r="A814" s="23" t="s">
        <v>5786</v>
      </c>
      <c r="B814" s="10" t="s">
        <v>5787</v>
      </c>
      <c r="C814" s="23" t="s">
        <v>1392</v>
      </c>
      <c r="D814" s="28" t="s">
        <v>5788</v>
      </c>
      <c r="E814" s="25">
        <v>106</v>
      </c>
      <c r="F814" s="23" t="str">
        <f>VLOOKUP(B814,'[2]справочник кодов нп'!$A:$D,4,0)</f>
        <v>сельские населенные пункты с численностью населения менее 1 000 человек.</v>
      </c>
      <c r="G814" s="23" t="s">
        <v>1385</v>
      </c>
      <c r="H814" s="10" t="s">
        <v>1392</v>
      </c>
      <c r="I814" s="35" t="s">
        <v>7017</v>
      </c>
      <c r="J814" s="33" t="s">
        <v>1337</v>
      </c>
    </row>
    <row r="815" spans="1:10" x14ac:dyDescent="0.25">
      <c r="A815" s="23" t="s">
        <v>5789</v>
      </c>
      <c r="B815" s="10" t="s">
        <v>5790</v>
      </c>
      <c r="C815" s="23" t="s">
        <v>1392</v>
      </c>
      <c r="D815" s="28" t="s">
        <v>5791</v>
      </c>
      <c r="E815" s="25">
        <v>106</v>
      </c>
      <c r="F815" s="23" t="str">
        <f>VLOOKUP(B815,'[2]справочник кодов нп'!$A:$D,4,0)</f>
        <v>сельские населенные пункты с численностью населения менее 1 000 человек.</v>
      </c>
      <c r="G815" s="23" t="s">
        <v>1385</v>
      </c>
      <c r="H815" s="10" t="s">
        <v>1392</v>
      </c>
      <c r="I815" s="35" t="s">
        <v>7017</v>
      </c>
      <c r="J815" s="33" t="s">
        <v>1337</v>
      </c>
    </row>
    <row r="816" spans="1:10" x14ac:dyDescent="0.25">
      <c r="A816" s="23" t="s">
        <v>5792</v>
      </c>
      <c r="B816" s="10" t="s">
        <v>5793</v>
      </c>
      <c r="C816" s="23" t="s">
        <v>1392</v>
      </c>
      <c r="D816" s="28" t="s">
        <v>5794</v>
      </c>
      <c r="E816" s="25">
        <v>106</v>
      </c>
      <c r="F816" s="23" t="str">
        <f>VLOOKUP(B816,'[2]справочник кодов нп'!$A:$D,4,0)</f>
        <v>сельские населенные пункты с численностью населения менее 1 000 человек.</v>
      </c>
      <c r="G816" s="23" t="s">
        <v>1385</v>
      </c>
      <c r="H816" s="10" t="s">
        <v>1392</v>
      </c>
      <c r="I816" s="35" t="s">
        <v>7017</v>
      </c>
      <c r="J816" s="33" t="s">
        <v>1337</v>
      </c>
    </row>
    <row r="817" spans="1:10" x14ac:dyDescent="0.25">
      <c r="A817" s="23" t="s">
        <v>5795</v>
      </c>
      <c r="B817" s="10" t="s">
        <v>5796</v>
      </c>
      <c r="C817" s="23" t="s">
        <v>1392</v>
      </c>
      <c r="D817" s="28" t="s">
        <v>5797</v>
      </c>
      <c r="E817" s="25">
        <v>106</v>
      </c>
      <c r="F817" s="23" t="str">
        <f>VLOOKUP(B817,'[2]справочник кодов нп'!$A:$D,4,0)</f>
        <v>сельские населенные пункты с численностью населения менее 1 000 человек.</v>
      </c>
      <c r="G817" s="23" t="s">
        <v>1385</v>
      </c>
      <c r="H817" s="10" t="s">
        <v>1392</v>
      </c>
      <c r="I817" s="35" t="s">
        <v>7017</v>
      </c>
      <c r="J817" s="33" t="s">
        <v>1337</v>
      </c>
    </row>
    <row r="818" spans="1:10" x14ac:dyDescent="0.25">
      <c r="A818" s="23" t="s">
        <v>5798</v>
      </c>
      <c r="B818" s="10" t="s">
        <v>5799</v>
      </c>
      <c r="C818" s="23" t="s">
        <v>1392</v>
      </c>
      <c r="D818" s="28" t="s">
        <v>5800</v>
      </c>
      <c r="E818" s="25">
        <v>106</v>
      </c>
      <c r="F818" s="23" t="str">
        <f>VLOOKUP(B818,'[2]справочник кодов нп'!$A:$D,4,0)</f>
        <v>сельские населенные пункты с численностью населения менее 1 000 человек.</v>
      </c>
      <c r="G818" s="23" t="s">
        <v>1385</v>
      </c>
      <c r="H818" s="10" t="s">
        <v>1392</v>
      </c>
      <c r="I818" s="35" t="s">
        <v>7017</v>
      </c>
      <c r="J818" s="33" t="s">
        <v>1337</v>
      </c>
    </row>
    <row r="819" spans="1:10" x14ac:dyDescent="0.25">
      <c r="A819" s="23" t="s">
        <v>5801</v>
      </c>
      <c r="B819" s="10" t="s">
        <v>5802</v>
      </c>
      <c r="C819" s="23" t="s">
        <v>1392</v>
      </c>
      <c r="D819" s="28" t="s">
        <v>5803</v>
      </c>
      <c r="E819" s="25">
        <v>106</v>
      </c>
      <c r="F819" s="23" t="str">
        <f>VLOOKUP(B819,'[2]справочник кодов нп'!$A:$D,4,0)</f>
        <v>сельские населенные пункты с численностью населения менее 1 000 человек.</v>
      </c>
      <c r="G819" s="23" t="s">
        <v>1385</v>
      </c>
      <c r="H819" s="10" t="s">
        <v>1392</v>
      </c>
      <c r="I819" s="35" t="s">
        <v>7017</v>
      </c>
      <c r="J819" s="33" t="s">
        <v>1337</v>
      </c>
    </row>
    <row r="820" spans="1:10" x14ac:dyDescent="0.25">
      <c r="A820" s="23" t="s">
        <v>5804</v>
      </c>
      <c r="B820" s="10" t="s">
        <v>5805</v>
      </c>
      <c r="C820" s="23" t="s">
        <v>1392</v>
      </c>
      <c r="D820" s="28" t="s">
        <v>5806</v>
      </c>
      <c r="E820" s="25">
        <v>106</v>
      </c>
      <c r="F820" s="23" t="str">
        <f>VLOOKUP(B820,'[2]справочник кодов нп'!$A:$D,4,0)</f>
        <v>сельские населенные пункты с численностью населения менее 1 000 человек.</v>
      </c>
      <c r="G820" s="23" t="s">
        <v>1385</v>
      </c>
      <c r="H820" s="10" t="s">
        <v>1392</v>
      </c>
      <c r="I820" s="35" t="s">
        <v>7017</v>
      </c>
      <c r="J820" s="33" t="s">
        <v>1337</v>
      </c>
    </row>
    <row r="821" spans="1:10" x14ac:dyDescent="0.25">
      <c r="A821" s="23" t="s">
        <v>5807</v>
      </c>
      <c r="B821" s="10" t="s">
        <v>5808</v>
      </c>
      <c r="C821" s="23" t="s">
        <v>1392</v>
      </c>
      <c r="D821" s="28" t="s">
        <v>5809</v>
      </c>
      <c r="E821" s="25">
        <v>106</v>
      </c>
      <c r="F821" s="23" t="str">
        <f>VLOOKUP(B821,'[2]справочник кодов нп'!$A:$D,4,0)</f>
        <v>сельские населенные пункты с численностью населения менее 1 000 человек.</v>
      </c>
      <c r="G821" s="23" t="s">
        <v>1385</v>
      </c>
      <c r="H821" s="10" t="s">
        <v>1392</v>
      </c>
      <c r="I821" s="35" t="s">
        <v>7017</v>
      </c>
      <c r="J821" s="33" t="s">
        <v>1337</v>
      </c>
    </row>
    <row r="822" spans="1:10" x14ac:dyDescent="0.25">
      <c r="A822" s="23" t="s">
        <v>5810</v>
      </c>
      <c r="B822" s="10" t="s">
        <v>5811</v>
      </c>
      <c r="C822" s="23" t="s">
        <v>1392</v>
      </c>
      <c r="D822" s="28" t="s">
        <v>5812</v>
      </c>
      <c r="E822" s="25">
        <v>106</v>
      </c>
      <c r="F822" s="23" t="str">
        <f>VLOOKUP(B822,'[2]справочник кодов нп'!$A:$D,4,0)</f>
        <v>сельские населенные пункты с численностью населения менее 1 000 человек.</v>
      </c>
      <c r="G822" s="23" t="s">
        <v>1385</v>
      </c>
      <c r="H822" s="10" t="s">
        <v>1392</v>
      </c>
      <c r="I822" s="35" t="s">
        <v>7017</v>
      </c>
      <c r="J822" s="33" t="s">
        <v>1337</v>
      </c>
    </row>
    <row r="823" spans="1:10" x14ac:dyDescent="0.25">
      <c r="A823" s="23" t="s">
        <v>5813</v>
      </c>
      <c r="B823" s="10" t="s">
        <v>5814</v>
      </c>
      <c r="C823" s="23" t="s">
        <v>1392</v>
      </c>
      <c r="D823" s="28" t="s">
        <v>5815</v>
      </c>
      <c r="E823" s="25">
        <v>106</v>
      </c>
      <c r="F823" s="23" t="str">
        <f>VLOOKUP(B823,'[2]справочник кодов нп'!$A:$D,4,0)</f>
        <v>сельские населенные пункты с численностью населения менее 1 000 человек.</v>
      </c>
      <c r="G823" s="23" t="s">
        <v>1385</v>
      </c>
      <c r="H823" s="10" t="s">
        <v>1392</v>
      </c>
      <c r="I823" s="35" t="s">
        <v>7017</v>
      </c>
      <c r="J823" s="33" t="s">
        <v>1337</v>
      </c>
    </row>
    <row r="824" spans="1:10" x14ac:dyDescent="0.25">
      <c r="A824" s="23" t="s">
        <v>5816</v>
      </c>
      <c r="B824" s="10" t="s">
        <v>5817</v>
      </c>
      <c r="C824" s="23" t="s">
        <v>1392</v>
      </c>
      <c r="D824" s="28" t="s">
        <v>5818</v>
      </c>
      <c r="E824" s="25">
        <v>106</v>
      </c>
      <c r="F824" s="23" t="str">
        <f>VLOOKUP(B824,'[2]справочник кодов нп'!$A:$D,4,0)</f>
        <v>сельские населенные пункты с численностью населения менее 1 000 человек.</v>
      </c>
      <c r="G824" s="23" t="s">
        <v>1385</v>
      </c>
      <c r="H824" s="10" t="s">
        <v>1392</v>
      </c>
      <c r="I824" s="35" t="s">
        <v>7017</v>
      </c>
      <c r="J824" s="33" t="s">
        <v>1337</v>
      </c>
    </row>
    <row r="825" spans="1:10" x14ac:dyDescent="0.25">
      <c r="A825" s="23" t="s">
        <v>5819</v>
      </c>
      <c r="B825" s="10" t="s">
        <v>5820</v>
      </c>
      <c r="C825" s="23" t="s">
        <v>1392</v>
      </c>
      <c r="D825" s="28" t="s">
        <v>1887</v>
      </c>
      <c r="E825" s="25">
        <v>106</v>
      </c>
      <c r="F825" s="23" t="str">
        <f>VLOOKUP(B825,'[2]справочник кодов нп'!$A:$D,4,0)</f>
        <v>сельские населенные пункты с численностью населения менее 1 000 человек.</v>
      </c>
      <c r="G825" s="23" t="s">
        <v>1385</v>
      </c>
      <c r="H825" s="10" t="s">
        <v>1392</v>
      </c>
      <c r="I825" s="35" t="s">
        <v>7017</v>
      </c>
      <c r="J825" s="33" t="s">
        <v>1337</v>
      </c>
    </row>
    <row r="826" spans="1:10" x14ac:dyDescent="0.25">
      <c r="A826" s="23" t="s">
        <v>5821</v>
      </c>
      <c r="B826" s="10" t="s">
        <v>5822</v>
      </c>
      <c r="C826" s="23" t="s">
        <v>1392</v>
      </c>
      <c r="D826" s="28" t="s">
        <v>2309</v>
      </c>
      <c r="E826" s="25">
        <v>106</v>
      </c>
      <c r="F826" s="23" t="str">
        <f>VLOOKUP(B826,'[2]справочник кодов нп'!$A:$D,4,0)</f>
        <v>сельские населенные пункты с численностью населения менее 1 000 человек.</v>
      </c>
      <c r="G826" s="23" t="s">
        <v>1385</v>
      </c>
      <c r="H826" s="10" t="s">
        <v>1392</v>
      </c>
      <c r="I826" s="35" t="s">
        <v>7017</v>
      </c>
      <c r="J826" s="33" t="s">
        <v>1337</v>
      </c>
    </row>
    <row r="827" spans="1:10" x14ac:dyDescent="0.25">
      <c r="A827" s="23" t="s">
        <v>5823</v>
      </c>
      <c r="B827" s="10" t="s">
        <v>5824</v>
      </c>
      <c r="C827" s="23" t="s">
        <v>1392</v>
      </c>
      <c r="D827" s="28" t="s">
        <v>5825</v>
      </c>
      <c r="E827" s="25">
        <v>106</v>
      </c>
      <c r="F827" s="23" t="str">
        <f>VLOOKUP(B827,'[2]справочник кодов нп'!$A:$D,4,0)</f>
        <v>сельские населенные пункты с численностью населения менее 1 000 человек.</v>
      </c>
      <c r="G827" s="23" t="s">
        <v>1385</v>
      </c>
      <c r="H827" s="10" t="s">
        <v>1392</v>
      </c>
      <c r="I827" s="35" t="s">
        <v>7017</v>
      </c>
      <c r="J827" s="33" t="s">
        <v>1337</v>
      </c>
    </row>
    <row r="828" spans="1:10" x14ac:dyDescent="0.25">
      <c r="A828" s="23" t="s">
        <v>5826</v>
      </c>
      <c r="B828" s="10" t="s">
        <v>5827</v>
      </c>
      <c r="C828" s="23" t="s">
        <v>1392</v>
      </c>
      <c r="D828" s="28" t="s">
        <v>5828</v>
      </c>
      <c r="E828" s="25">
        <v>106</v>
      </c>
      <c r="F828" s="23" t="str">
        <f>VLOOKUP(B828,'[2]справочник кодов нп'!$A:$D,4,0)</f>
        <v>сельские населенные пункты с численностью населения менее 1 000 человек.</v>
      </c>
      <c r="G828" s="23" t="s">
        <v>1385</v>
      </c>
      <c r="H828" s="10" t="s">
        <v>1392</v>
      </c>
      <c r="I828" s="35" t="s">
        <v>7017</v>
      </c>
      <c r="J828" s="33" t="s">
        <v>1337</v>
      </c>
    </row>
    <row r="829" spans="1:10" x14ac:dyDescent="0.25">
      <c r="A829" s="23" t="s">
        <v>5829</v>
      </c>
      <c r="B829" s="10" t="s">
        <v>5830</v>
      </c>
      <c r="C829" s="23" t="s">
        <v>1392</v>
      </c>
      <c r="D829" s="28" t="s">
        <v>1808</v>
      </c>
      <c r="E829" s="25">
        <v>106</v>
      </c>
      <c r="F829" s="23" t="str">
        <f>VLOOKUP(B829,'[2]справочник кодов нп'!$A:$D,4,0)</f>
        <v>сельские населенные пункты с численностью населения менее 1 000 человек.</v>
      </c>
      <c r="G829" s="23" t="s">
        <v>1385</v>
      </c>
      <c r="H829" s="10" t="s">
        <v>1392</v>
      </c>
      <c r="I829" s="35" t="s">
        <v>7017</v>
      </c>
      <c r="J829" s="33" t="s">
        <v>1337</v>
      </c>
    </row>
    <row r="830" spans="1:10" x14ac:dyDescent="0.25">
      <c r="A830" s="23" t="s">
        <v>5831</v>
      </c>
      <c r="B830" s="10" t="s">
        <v>5832</v>
      </c>
      <c r="C830" s="23" t="s">
        <v>1392</v>
      </c>
      <c r="D830" s="28" t="s">
        <v>5003</v>
      </c>
      <c r="E830" s="25">
        <v>106</v>
      </c>
      <c r="F830" s="23" t="str">
        <f>VLOOKUP(B830,'[2]справочник кодов нп'!$A:$D,4,0)</f>
        <v>сельские населенные пункты с численностью населения менее 1 000 человек.</v>
      </c>
      <c r="G830" s="23" t="s">
        <v>1385</v>
      </c>
      <c r="H830" s="10" t="s">
        <v>1392</v>
      </c>
      <c r="I830" s="35" t="s">
        <v>7017</v>
      </c>
      <c r="J830" s="33" t="s">
        <v>1337</v>
      </c>
    </row>
    <row r="831" spans="1:10" x14ac:dyDescent="0.25">
      <c r="A831" s="23" t="s">
        <v>5833</v>
      </c>
      <c r="B831" s="10" t="s">
        <v>5834</v>
      </c>
      <c r="C831" s="23" t="s">
        <v>1392</v>
      </c>
      <c r="D831" s="28" t="s">
        <v>5835</v>
      </c>
      <c r="E831" s="25">
        <v>106</v>
      </c>
      <c r="F831" s="23" t="str">
        <f>VLOOKUP(B831,'[2]справочник кодов нп'!$A:$D,4,0)</f>
        <v>сельские населенные пункты с численностью населения менее 1 000 человек.</v>
      </c>
      <c r="G831" s="23" t="s">
        <v>1385</v>
      </c>
      <c r="H831" s="10" t="s">
        <v>1392</v>
      </c>
      <c r="I831" s="35" t="s">
        <v>7017</v>
      </c>
      <c r="J831" s="33" t="s">
        <v>1337</v>
      </c>
    </row>
    <row r="832" spans="1:10" x14ac:dyDescent="0.25">
      <c r="A832" s="23" t="s">
        <v>5836</v>
      </c>
      <c r="B832" s="10" t="s">
        <v>5837</v>
      </c>
      <c r="C832" s="23" t="s">
        <v>1392</v>
      </c>
      <c r="D832" s="28" t="s">
        <v>5838</v>
      </c>
      <c r="E832" s="25">
        <v>106</v>
      </c>
      <c r="F832" s="23" t="str">
        <f>VLOOKUP(B832,'[2]справочник кодов нп'!$A:$D,4,0)</f>
        <v>сельские населенные пункты с численностью населения менее 1 000 человек.</v>
      </c>
      <c r="G832" s="23" t="s">
        <v>1385</v>
      </c>
      <c r="H832" s="10" t="s">
        <v>1392</v>
      </c>
      <c r="I832" s="35" t="s">
        <v>7017</v>
      </c>
      <c r="J832" s="33" t="s">
        <v>1337</v>
      </c>
    </row>
    <row r="833" spans="1:10" x14ac:dyDescent="0.25">
      <c r="A833" s="23" t="s">
        <v>6410</v>
      </c>
      <c r="B833" s="10" t="s">
        <v>6411</v>
      </c>
      <c r="C833" s="23" t="s">
        <v>1392</v>
      </c>
      <c r="D833" s="28" t="s">
        <v>6412</v>
      </c>
      <c r="E833" s="25">
        <v>106</v>
      </c>
      <c r="F833" s="23" t="str">
        <f>VLOOKUP(B833,'[2]справочник кодов нп'!$A:$D,4,0)</f>
        <v>сельские населенные пункты с численностью населения менее 1 000 человек.</v>
      </c>
      <c r="G833" s="23" t="s">
        <v>1385</v>
      </c>
      <c r="H833" s="10" t="s">
        <v>1392</v>
      </c>
      <c r="I833" s="35" t="s">
        <v>7017</v>
      </c>
      <c r="J833" s="33" t="s">
        <v>1337</v>
      </c>
    </row>
    <row r="834" spans="1:10" x14ac:dyDescent="0.25">
      <c r="A834" s="23" t="s">
        <v>6767</v>
      </c>
      <c r="B834" s="10" t="s">
        <v>6768</v>
      </c>
      <c r="C834" s="23" t="s">
        <v>1392</v>
      </c>
      <c r="D834" s="28" t="s">
        <v>6769</v>
      </c>
      <c r="E834" s="25">
        <v>106</v>
      </c>
      <c r="F834" s="23" t="str">
        <f>VLOOKUP(B834,'[2]справочник кодов нп'!$A:$D,4,0)</f>
        <v>сельские населенные пункты с численностью населения менее 1 000 человек.</v>
      </c>
      <c r="G834" s="23" t="s">
        <v>1385</v>
      </c>
      <c r="H834" s="10" t="s">
        <v>1392</v>
      </c>
      <c r="I834" s="35" t="s">
        <v>7017</v>
      </c>
      <c r="J834" s="33" t="s">
        <v>1337</v>
      </c>
    </row>
    <row r="835" spans="1:10" x14ac:dyDescent="0.25">
      <c r="A835" s="23" t="s">
        <v>6923</v>
      </c>
      <c r="B835" s="10" t="s">
        <v>6924</v>
      </c>
      <c r="C835" s="23" t="s">
        <v>1392</v>
      </c>
      <c r="D835" s="28" t="s">
        <v>6846</v>
      </c>
      <c r="E835" s="25">
        <v>106</v>
      </c>
      <c r="F835" s="23" t="str">
        <f>VLOOKUP(B835,'[2]справочник кодов нп'!$A:$D,4,0)</f>
        <v>межселенная территория</v>
      </c>
      <c r="G835" s="23" t="s">
        <v>1385</v>
      </c>
      <c r="H835" s="10" t="s">
        <v>1392</v>
      </c>
      <c r="I835" s="35" t="s">
        <v>7019</v>
      </c>
      <c r="J835" s="33" t="s">
        <v>1337</v>
      </c>
    </row>
    <row r="836" spans="1:10" x14ac:dyDescent="0.25">
      <c r="A836" s="23" t="s">
        <v>1402</v>
      </c>
      <c r="B836" s="10" t="s">
        <v>1403</v>
      </c>
      <c r="C836" s="23" t="s">
        <v>1404</v>
      </c>
      <c r="D836" s="28" t="s">
        <v>1405</v>
      </c>
      <c r="E836" s="25">
        <v>106</v>
      </c>
      <c r="F836" s="23" t="str">
        <f>VLOOKUP(B836,'[2]справочник кодов нп'!$A:$D,4,0)</f>
        <v>городские населенные пункты с численностью населения менее 50 000 человек;</v>
      </c>
      <c r="G836" s="23" t="s">
        <v>1385</v>
      </c>
      <c r="H836" s="10" t="s">
        <v>1404</v>
      </c>
      <c r="I836" s="35" t="s">
        <v>7017</v>
      </c>
      <c r="J836" s="33" t="s">
        <v>1337</v>
      </c>
    </row>
    <row r="837" spans="1:10" x14ac:dyDescent="0.25">
      <c r="A837" s="23" t="s">
        <v>2792</v>
      </c>
      <c r="B837" s="10" t="s">
        <v>2793</v>
      </c>
      <c r="C837" s="23" t="s">
        <v>1404</v>
      </c>
      <c r="D837" s="28" t="s">
        <v>2794</v>
      </c>
      <c r="E837" s="25">
        <v>106</v>
      </c>
      <c r="F837" s="23" t="str">
        <f>VLOOKUP(B837,'[2]справочник кодов нп'!$A:$D,4,0)</f>
        <v>сельские населенные пункты с численностью населения менее 1 000 человек.</v>
      </c>
      <c r="G837" s="23" t="s">
        <v>1385</v>
      </c>
      <c r="H837" s="10" t="s">
        <v>1404</v>
      </c>
      <c r="I837" s="35" t="s">
        <v>7017</v>
      </c>
      <c r="J837" s="33" t="s">
        <v>1337</v>
      </c>
    </row>
    <row r="838" spans="1:10" x14ac:dyDescent="0.25">
      <c r="A838" s="23" t="s">
        <v>2795</v>
      </c>
      <c r="B838" s="10" t="s">
        <v>2796</v>
      </c>
      <c r="C838" s="23" t="s">
        <v>1404</v>
      </c>
      <c r="D838" s="28" t="s">
        <v>2797</v>
      </c>
      <c r="E838" s="25">
        <v>106</v>
      </c>
      <c r="F838" s="23" t="str">
        <f>VLOOKUP(B838,'[2]справочник кодов нп'!$A:$D,4,0)</f>
        <v>сельские населенные пункты с численностью населения менее 1 000 человек.</v>
      </c>
      <c r="G838" s="23" t="s">
        <v>1385</v>
      </c>
      <c r="H838" s="10" t="s">
        <v>1404</v>
      </c>
      <c r="I838" s="35" t="s">
        <v>7017</v>
      </c>
      <c r="J838" s="33" t="s">
        <v>1337</v>
      </c>
    </row>
    <row r="839" spans="1:10" x14ac:dyDescent="0.25">
      <c r="A839" s="23" t="s">
        <v>2798</v>
      </c>
      <c r="B839" s="10" t="s">
        <v>2799</v>
      </c>
      <c r="C839" s="23" t="s">
        <v>1404</v>
      </c>
      <c r="D839" s="28" t="s">
        <v>2800</v>
      </c>
      <c r="E839" s="25">
        <v>106</v>
      </c>
      <c r="F839" s="23" t="str">
        <f>VLOOKUP(B839,'[2]справочник кодов нп'!$A:$D,4,0)</f>
        <v>сельские населенные пункты с численностью населения менее 1 000 человек.</v>
      </c>
      <c r="G839" s="23" t="s">
        <v>1385</v>
      </c>
      <c r="H839" s="10" t="s">
        <v>1404</v>
      </c>
      <c r="I839" s="35" t="s">
        <v>7017</v>
      </c>
      <c r="J839" s="33" t="s">
        <v>1337</v>
      </c>
    </row>
    <row r="840" spans="1:10" x14ac:dyDescent="0.25">
      <c r="A840" s="23" t="s">
        <v>2801</v>
      </c>
      <c r="B840" s="10" t="s">
        <v>2802</v>
      </c>
      <c r="C840" s="23" t="s">
        <v>1404</v>
      </c>
      <c r="D840" s="28" t="s">
        <v>2803</v>
      </c>
      <c r="E840" s="25">
        <v>106</v>
      </c>
      <c r="F840" s="23" t="str">
        <f>VLOOKUP(B840,'[2]справочник кодов нп'!$A:$D,4,0)</f>
        <v>сельские населенные пункты с численностью населения менее 1 000 человек.</v>
      </c>
      <c r="G840" s="23" t="s">
        <v>1385</v>
      </c>
      <c r="H840" s="10" t="s">
        <v>1404</v>
      </c>
      <c r="I840" s="35" t="s">
        <v>7017</v>
      </c>
      <c r="J840" s="33" t="s">
        <v>1337</v>
      </c>
    </row>
    <row r="841" spans="1:10" x14ac:dyDescent="0.25">
      <c r="A841" s="23" t="s">
        <v>2804</v>
      </c>
      <c r="B841" s="10" t="s">
        <v>2805</v>
      </c>
      <c r="C841" s="23" t="s">
        <v>1404</v>
      </c>
      <c r="D841" s="28" t="s">
        <v>2806</v>
      </c>
      <c r="E841" s="25">
        <v>106</v>
      </c>
      <c r="F841" s="23" t="str">
        <f>VLOOKUP(B841,'[2]справочник кодов нп'!$A:$D,4,0)</f>
        <v>сельские населенные пункты с численностью населения более 1 000 человек;</v>
      </c>
      <c r="G841" s="23" t="s">
        <v>1385</v>
      </c>
      <c r="H841" s="10" t="s">
        <v>1404</v>
      </c>
      <c r="I841" s="35" t="s">
        <v>7017</v>
      </c>
      <c r="J841" s="33" t="s">
        <v>1337</v>
      </c>
    </row>
    <row r="842" spans="1:10" x14ac:dyDescent="0.25">
      <c r="A842" s="23" t="s">
        <v>2807</v>
      </c>
      <c r="B842" s="10" t="s">
        <v>2808</v>
      </c>
      <c r="C842" s="23" t="s">
        <v>1404</v>
      </c>
      <c r="D842" s="28" t="s">
        <v>2809</v>
      </c>
      <c r="E842" s="25">
        <v>106</v>
      </c>
      <c r="F842" s="23" t="str">
        <f>VLOOKUP(B842,'[2]справочник кодов нп'!$A:$D,4,0)</f>
        <v>сельские населенные пункты с численностью населения менее 1 000 человек.</v>
      </c>
      <c r="G842" s="23" t="s">
        <v>1385</v>
      </c>
      <c r="H842" s="10" t="s">
        <v>1404</v>
      </c>
      <c r="I842" s="35" t="s">
        <v>7017</v>
      </c>
      <c r="J842" s="33" t="s">
        <v>1337</v>
      </c>
    </row>
    <row r="843" spans="1:10" x14ac:dyDescent="0.25">
      <c r="A843" s="23" t="s">
        <v>2810</v>
      </c>
      <c r="B843" s="10" t="s">
        <v>2811</v>
      </c>
      <c r="C843" s="23" t="s">
        <v>1404</v>
      </c>
      <c r="D843" s="28" t="s">
        <v>2812</v>
      </c>
      <c r="E843" s="25">
        <v>106</v>
      </c>
      <c r="F843" s="23" t="str">
        <f>VLOOKUP(B843,'[2]справочник кодов нп'!$A:$D,4,0)</f>
        <v>сельские населенные пункты с численностью населения менее 1 000 человек.</v>
      </c>
      <c r="G843" s="23" t="s">
        <v>1385</v>
      </c>
      <c r="H843" s="10" t="s">
        <v>1404</v>
      </c>
      <c r="I843" s="35" t="s">
        <v>7017</v>
      </c>
      <c r="J843" s="33" t="s">
        <v>1337</v>
      </c>
    </row>
    <row r="844" spans="1:10" x14ac:dyDescent="0.25">
      <c r="A844" s="23" t="s">
        <v>2813</v>
      </c>
      <c r="B844" s="10" t="s">
        <v>2814</v>
      </c>
      <c r="C844" s="23" t="s">
        <v>1404</v>
      </c>
      <c r="D844" s="28" t="s">
        <v>2375</v>
      </c>
      <c r="E844" s="25">
        <v>106</v>
      </c>
      <c r="F844" s="23" t="str">
        <f>VLOOKUP(B844,'[2]справочник кодов нп'!$A:$D,4,0)</f>
        <v>сельские населенные пункты с численностью населения менее 1 000 человек.</v>
      </c>
      <c r="G844" s="23" t="s">
        <v>1385</v>
      </c>
      <c r="H844" s="10" t="s">
        <v>1404</v>
      </c>
      <c r="I844" s="35" t="s">
        <v>7017</v>
      </c>
      <c r="J844" s="33" t="s">
        <v>1337</v>
      </c>
    </row>
    <row r="845" spans="1:10" x14ac:dyDescent="0.25">
      <c r="A845" s="23" t="s">
        <v>2815</v>
      </c>
      <c r="B845" s="10" t="s">
        <v>2816</v>
      </c>
      <c r="C845" s="23" t="s">
        <v>1404</v>
      </c>
      <c r="D845" s="28" t="s">
        <v>2817</v>
      </c>
      <c r="E845" s="25">
        <v>106</v>
      </c>
      <c r="F845" s="23" t="str">
        <f>VLOOKUP(B845,'[2]справочник кодов нп'!$A:$D,4,0)</f>
        <v>сельские населенные пункты с численностью населения менее 1 000 человек.</v>
      </c>
      <c r="G845" s="23" t="s">
        <v>1385</v>
      </c>
      <c r="H845" s="10" t="s">
        <v>1404</v>
      </c>
      <c r="I845" s="35" t="s">
        <v>7017</v>
      </c>
      <c r="J845" s="33" t="s">
        <v>1337</v>
      </c>
    </row>
    <row r="846" spans="1:10" x14ac:dyDescent="0.25">
      <c r="A846" s="23" t="s">
        <v>2818</v>
      </c>
      <c r="B846" s="10" t="s">
        <v>2819</v>
      </c>
      <c r="C846" s="23" t="s">
        <v>1404</v>
      </c>
      <c r="D846" s="28" t="s">
        <v>2820</v>
      </c>
      <c r="E846" s="25">
        <v>106</v>
      </c>
      <c r="F846" s="23" t="str">
        <f>VLOOKUP(B846,'[2]справочник кодов нп'!$A:$D,4,0)</f>
        <v>сельские населенные пункты с численностью населения менее 1 000 человек.</v>
      </c>
      <c r="G846" s="23" t="s">
        <v>1385</v>
      </c>
      <c r="H846" s="10" t="s">
        <v>1404</v>
      </c>
      <c r="I846" s="35" t="s">
        <v>7017</v>
      </c>
      <c r="J846" s="33" t="s">
        <v>1337</v>
      </c>
    </row>
    <row r="847" spans="1:10" x14ac:dyDescent="0.25">
      <c r="A847" s="23" t="s">
        <v>2821</v>
      </c>
      <c r="B847" s="10" t="s">
        <v>2822</v>
      </c>
      <c r="C847" s="23" t="s">
        <v>1404</v>
      </c>
      <c r="D847" s="28" t="s">
        <v>2823</v>
      </c>
      <c r="E847" s="25">
        <v>106</v>
      </c>
      <c r="F847" s="23" t="str">
        <f>VLOOKUP(B847,'[2]справочник кодов нп'!$A:$D,4,0)</f>
        <v>сельские населенные пункты с численностью населения менее 1 000 человек.</v>
      </c>
      <c r="G847" s="23" t="s">
        <v>1385</v>
      </c>
      <c r="H847" s="10" t="s">
        <v>1404</v>
      </c>
      <c r="I847" s="35" t="s">
        <v>7017</v>
      </c>
      <c r="J847" s="33" t="s">
        <v>1337</v>
      </c>
    </row>
    <row r="848" spans="1:10" x14ac:dyDescent="0.25">
      <c r="A848" s="23" t="s">
        <v>4848</v>
      </c>
      <c r="B848" s="10" t="s">
        <v>4849</v>
      </c>
      <c r="C848" s="23" t="s">
        <v>1404</v>
      </c>
      <c r="D848" s="28" t="s">
        <v>4850</v>
      </c>
      <c r="E848" s="25">
        <v>106</v>
      </c>
      <c r="F848" s="23" t="str">
        <f>VLOOKUP(B848,'[2]справочник кодов нп'!$A:$D,4,0)</f>
        <v>сельские населенные пункты с численностью населения более 1 000 человек;</v>
      </c>
      <c r="G848" s="23" t="s">
        <v>1385</v>
      </c>
      <c r="H848" s="10" t="s">
        <v>1404</v>
      </c>
      <c r="I848" s="35" t="s">
        <v>7017</v>
      </c>
      <c r="J848" s="33" t="s">
        <v>1337</v>
      </c>
    </row>
    <row r="849" spans="1:10" x14ac:dyDescent="0.25">
      <c r="A849" s="23" t="s">
        <v>4872</v>
      </c>
      <c r="B849" s="10" t="s">
        <v>4873</v>
      </c>
      <c r="C849" s="23" t="s">
        <v>1404</v>
      </c>
      <c r="D849" s="28" t="s">
        <v>4874</v>
      </c>
      <c r="E849" s="25">
        <v>106</v>
      </c>
      <c r="F849" s="23" t="str">
        <f>VLOOKUP(B849,'[2]справочник кодов нп'!$A:$D,4,0)</f>
        <v>сельские населенные пункты с численностью населения менее 1 000 человек.</v>
      </c>
      <c r="G849" s="23" t="s">
        <v>1385</v>
      </c>
      <c r="H849" s="10" t="s">
        <v>1404</v>
      </c>
      <c r="I849" s="35" t="s">
        <v>7017</v>
      </c>
      <c r="J849" s="33" t="s">
        <v>1337</v>
      </c>
    </row>
    <row r="850" spans="1:10" x14ac:dyDescent="0.25">
      <c r="A850" s="23" t="s">
        <v>4945</v>
      </c>
      <c r="B850" s="10" t="s">
        <v>4946</v>
      </c>
      <c r="C850" s="23" t="s">
        <v>1404</v>
      </c>
      <c r="D850" s="28" t="s">
        <v>4947</v>
      </c>
      <c r="E850" s="25">
        <v>106</v>
      </c>
      <c r="F850" s="23" t="str">
        <f>VLOOKUP(B850,'[2]справочник кодов нп'!$A:$D,4,0)</f>
        <v>сельские населенные пункты с численностью населения менее 1 000 человек.</v>
      </c>
      <c r="G850" s="23" t="s">
        <v>1385</v>
      </c>
      <c r="H850" s="10" t="s">
        <v>1404</v>
      </c>
      <c r="I850" s="35" t="s">
        <v>7017</v>
      </c>
      <c r="J850" s="33" t="s">
        <v>1337</v>
      </c>
    </row>
    <row r="851" spans="1:10" x14ac:dyDescent="0.25">
      <c r="A851" s="23" t="s">
        <v>5057</v>
      </c>
      <c r="B851" s="10" t="s">
        <v>5058</v>
      </c>
      <c r="C851" s="23" t="s">
        <v>1404</v>
      </c>
      <c r="D851" s="28" t="s">
        <v>3481</v>
      </c>
      <c r="E851" s="25">
        <v>106</v>
      </c>
      <c r="F851" s="23" t="str">
        <f>VLOOKUP(B851,'[2]справочник кодов нп'!$A:$D,4,0)</f>
        <v>сельские населенные пункты с численностью населения более 1 000 человек;</v>
      </c>
      <c r="G851" s="23" t="s">
        <v>1385</v>
      </c>
      <c r="H851" s="10" t="s">
        <v>1404</v>
      </c>
      <c r="I851" s="35" t="s">
        <v>7017</v>
      </c>
      <c r="J851" s="33" t="s">
        <v>1337</v>
      </c>
    </row>
    <row r="852" spans="1:10" x14ac:dyDescent="0.25">
      <c r="A852" s="23" t="s">
        <v>5059</v>
      </c>
      <c r="B852" s="10" t="s">
        <v>5060</v>
      </c>
      <c r="C852" s="23" t="s">
        <v>1404</v>
      </c>
      <c r="D852" s="28" t="s">
        <v>5061</v>
      </c>
      <c r="E852" s="25">
        <v>106</v>
      </c>
      <c r="F852" s="23" t="str">
        <f>VLOOKUP(B852,'[2]справочник кодов нп'!$A:$D,4,0)</f>
        <v>сельские населенные пункты с численностью населения менее 1 000 человек.</v>
      </c>
      <c r="G852" s="23" t="s">
        <v>1385</v>
      </c>
      <c r="H852" s="10" t="s">
        <v>1404</v>
      </c>
      <c r="I852" s="35" t="s">
        <v>7017</v>
      </c>
      <c r="J852" s="33" t="s">
        <v>1337</v>
      </c>
    </row>
    <row r="853" spans="1:10" x14ac:dyDescent="0.25">
      <c r="A853" s="23" t="s">
        <v>5195</v>
      </c>
      <c r="B853" s="10" t="s">
        <v>5196</v>
      </c>
      <c r="C853" s="23" t="s">
        <v>1404</v>
      </c>
      <c r="D853" s="28" t="s">
        <v>5197</v>
      </c>
      <c r="E853" s="25">
        <v>106</v>
      </c>
      <c r="F853" s="23" t="str">
        <f>VLOOKUP(B853,'[2]справочник кодов нп'!$A:$D,4,0)</f>
        <v>сельские населенные пункты с численностью населения менее 1 000 человек.</v>
      </c>
      <c r="G853" s="23" t="s">
        <v>1385</v>
      </c>
      <c r="H853" s="10" t="s">
        <v>1404</v>
      </c>
      <c r="I853" s="35" t="s">
        <v>7017</v>
      </c>
      <c r="J853" s="33" t="s">
        <v>1337</v>
      </c>
    </row>
    <row r="854" spans="1:10" x14ac:dyDescent="0.25">
      <c r="A854" s="23" t="s">
        <v>5198</v>
      </c>
      <c r="B854" s="10" t="s">
        <v>5199</v>
      </c>
      <c r="C854" s="23" t="s">
        <v>1404</v>
      </c>
      <c r="D854" s="28" t="s">
        <v>5200</v>
      </c>
      <c r="E854" s="25">
        <v>106</v>
      </c>
      <c r="F854" s="23" t="str">
        <f>VLOOKUP(B854,'[2]справочник кодов нп'!$A:$D,4,0)</f>
        <v>сельские населенные пункты с численностью населения менее 1 000 человек.</v>
      </c>
      <c r="G854" s="23" t="s">
        <v>1385</v>
      </c>
      <c r="H854" s="10" t="s">
        <v>1404</v>
      </c>
      <c r="I854" s="35" t="s">
        <v>7017</v>
      </c>
      <c r="J854" s="33" t="s">
        <v>1337</v>
      </c>
    </row>
    <row r="855" spans="1:10" x14ac:dyDescent="0.25">
      <c r="A855" s="23" t="s">
        <v>5550</v>
      </c>
      <c r="B855" s="10" t="s">
        <v>5551</v>
      </c>
      <c r="C855" s="23" t="s">
        <v>1404</v>
      </c>
      <c r="D855" s="28" t="s">
        <v>5552</v>
      </c>
      <c r="E855" s="25">
        <v>106</v>
      </c>
      <c r="F855" s="23" t="str">
        <f>VLOOKUP(B855,'[2]справочник кодов нп'!$A:$D,4,0)</f>
        <v>сельские населенные пункты с численностью населения менее 1 000 человек.</v>
      </c>
      <c r="G855" s="23" t="s">
        <v>1385</v>
      </c>
      <c r="H855" s="10" t="s">
        <v>1404</v>
      </c>
      <c r="I855" s="35" t="s">
        <v>7017</v>
      </c>
      <c r="J855" s="33" t="s">
        <v>1337</v>
      </c>
    </row>
    <row r="856" spans="1:10" x14ac:dyDescent="0.25">
      <c r="A856" s="23" t="s">
        <v>5556</v>
      </c>
      <c r="B856" s="10" t="s">
        <v>5557</v>
      </c>
      <c r="C856" s="23" t="s">
        <v>1404</v>
      </c>
      <c r="D856" s="28" t="s">
        <v>2333</v>
      </c>
      <c r="E856" s="25">
        <v>106</v>
      </c>
      <c r="F856" s="23" t="str">
        <f>VLOOKUP(B856,'[2]справочник кодов нп'!$A:$D,4,0)</f>
        <v>сельские населенные пункты с численностью населения менее 1 000 человек.</v>
      </c>
      <c r="G856" s="23" t="s">
        <v>1385</v>
      </c>
      <c r="H856" s="10" t="s">
        <v>1404</v>
      </c>
      <c r="I856" s="35" t="s">
        <v>7017</v>
      </c>
      <c r="J856" s="33" t="s">
        <v>1337</v>
      </c>
    </row>
    <row r="857" spans="1:10" x14ac:dyDescent="0.25">
      <c r="A857" s="23" t="s">
        <v>5839</v>
      </c>
      <c r="B857" s="10" t="s">
        <v>5840</v>
      </c>
      <c r="C857" s="23" t="s">
        <v>1404</v>
      </c>
      <c r="D857" s="28" t="s">
        <v>5841</v>
      </c>
      <c r="E857" s="25">
        <v>106</v>
      </c>
      <c r="F857" s="23" t="str">
        <f>VLOOKUP(B857,'[2]справочник кодов нп'!$A:$D,4,0)</f>
        <v>сельские населенные пункты с численностью населения менее 1 000 человек.</v>
      </c>
      <c r="G857" s="23" t="s">
        <v>1385</v>
      </c>
      <c r="H857" s="10" t="s">
        <v>1404</v>
      </c>
      <c r="I857" s="35" t="s">
        <v>7017</v>
      </c>
      <c r="J857" s="33" t="s">
        <v>1337</v>
      </c>
    </row>
    <row r="858" spans="1:10" x14ac:dyDescent="0.25">
      <c r="A858" s="23" t="s">
        <v>5842</v>
      </c>
      <c r="B858" s="10" t="s">
        <v>5843</v>
      </c>
      <c r="C858" s="23" t="s">
        <v>1404</v>
      </c>
      <c r="D858" s="28" t="s">
        <v>5844</v>
      </c>
      <c r="E858" s="25">
        <v>106</v>
      </c>
      <c r="F858" s="23" t="str">
        <f>VLOOKUP(B858,'[2]справочник кодов нп'!$A:$D,4,0)</f>
        <v>сельские населенные пункты с численностью населения менее 1 000 человек.</v>
      </c>
      <c r="G858" s="23" t="s">
        <v>1385</v>
      </c>
      <c r="H858" s="10" t="s">
        <v>1404</v>
      </c>
      <c r="I858" s="35" t="s">
        <v>7017</v>
      </c>
      <c r="J858" s="33" t="s">
        <v>1337</v>
      </c>
    </row>
    <row r="859" spans="1:10" x14ac:dyDescent="0.25">
      <c r="A859" s="23" t="s">
        <v>5845</v>
      </c>
      <c r="B859" s="10" t="s">
        <v>5846</v>
      </c>
      <c r="C859" s="23" t="s">
        <v>1404</v>
      </c>
      <c r="D859" s="28" t="s">
        <v>5142</v>
      </c>
      <c r="E859" s="25">
        <v>106</v>
      </c>
      <c r="F859" s="23" t="str">
        <f>VLOOKUP(B859,'[2]справочник кодов нп'!$A:$D,4,0)</f>
        <v>сельские населенные пункты с численностью населения менее 1 000 человек.</v>
      </c>
      <c r="G859" s="23" t="s">
        <v>1385</v>
      </c>
      <c r="H859" s="10" t="s">
        <v>1404</v>
      </c>
      <c r="I859" s="35" t="s">
        <v>7017</v>
      </c>
      <c r="J859" s="33" t="s">
        <v>1337</v>
      </c>
    </row>
    <row r="860" spans="1:10" x14ac:dyDescent="0.25">
      <c r="A860" s="23" t="s">
        <v>5847</v>
      </c>
      <c r="B860" s="10" t="s">
        <v>5848</v>
      </c>
      <c r="C860" s="23" t="s">
        <v>1404</v>
      </c>
      <c r="D860" s="28" t="s">
        <v>5849</v>
      </c>
      <c r="E860" s="25">
        <v>106</v>
      </c>
      <c r="F860" s="23" t="str">
        <f>VLOOKUP(B860,'[2]справочник кодов нп'!$A:$D,4,0)</f>
        <v>сельские населенные пункты с численностью населения менее 1 000 человек.</v>
      </c>
      <c r="G860" s="23" t="s">
        <v>1385</v>
      </c>
      <c r="H860" s="10" t="s">
        <v>1404</v>
      </c>
      <c r="I860" s="35" t="s">
        <v>7017</v>
      </c>
      <c r="J860" s="33" t="s">
        <v>1337</v>
      </c>
    </row>
    <row r="861" spans="1:10" x14ac:dyDescent="0.25">
      <c r="A861" s="23" t="s">
        <v>5850</v>
      </c>
      <c r="B861" s="10" t="s">
        <v>5851</v>
      </c>
      <c r="C861" s="23" t="s">
        <v>1404</v>
      </c>
      <c r="D861" s="28" t="s">
        <v>5852</v>
      </c>
      <c r="E861" s="25">
        <v>106</v>
      </c>
      <c r="F861" s="23" t="str">
        <f>VLOOKUP(B861,'[2]справочник кодов нп'!$A:$D,4,0)</f>
        <v>сельские населенные пункты с численностью населения менее 1 000 человек.</v>
      </c>
      <c r="G861" s="23" t="s">
        <v>1385</v>
      </c>
      <c r="H861" s="10" t="s">
        <v>1404</v>
      </c>
      <c r="I861" s="35" t="s">
        <v>7017</v>
      </c>
      <c r="J861" s="33" t="s">
        <v>1337</v>
      </c>
    </row>
    <row r="862" spans="1:10" x14ac:dyDescent="0.25">
      <c r="A862" s="23" t="s">
        <v>5853</v>
      </c>
      <c r="B862" s="10" t="s">
        <v>5854</v>
      </c>
      <c r="C862" s="23" t="s">
        <v>1404</v>
      </c>
      <c r="D862" s="28" t="s">
        <v>5855</v>
      </c>
      <c r="E862" s="25">
        <v>106</v>
      </c>
      <c r="F862" s="23" t="str">
        <f>VLOOKUP(B862,'[2]справочник кодов нп'!$A:$D,4,0)</f>
        <v>сельские населенные пункты с численностью населения менее 1 000 человек.</v>
      </c>
      <c r="G862" s="23" t="s">
        <v>1385</v>
      </c>
      <c r="H862" s="10" t="s">
        <v>1404</v>
      </c>
      <c r="I862" s="35" t="s">
        <v>7017</v>
      </c>
      <c r="J862" s="33" t="s">
        <v>1337</v>
      </c>
    </row>
    <row r="863" spans="1:10" x14ac:dyDescent="0.25">
      <c r="A863" s="23" t="s">
        <v>5856</v>
      </c>
      <c r="B863" s="10" t="s">
        <v>5857</v>
      </c>
      <c r="C863" s="23" t="s">
        <v>1404</v>
      </c>
      <c r="D863" s="28" t="s">
        <v>3808</v>
      </c>
      <c r="E863" s="25">
        <v>106</v>
      </c>
      <c r="F863" s="23" t="str">
        <f>VLOOKUP(B863,'[2]справочник кодов нп'!$A:$D,4,0)</f>
        <v>сельские населенные пункты с численностью населения менее 1 000 человек.</v>
      </c>
      <c r="G863" s="23" t="s">
        <v>1385</v>
      </c>
      <c r="H863" s="10" t="s">
        <v>1404</v>
      </c>
      <c r="I863" s="35" t="s">
        <v>7017</v>
      </c>
      <c r="J863" s="33" t="s">
        <v>1337</v>
      </c>
    </row>
    <row r="864" spans="1:10" x14ac:dyDescent="0.25">
      <c r="A864" s="23" t="s">
        <v>5858</v>
      </c>
      <c r="B864" s="10" t="s">
        <v>5859</v>
      </c>
      <c r="C864" s="23" t="s">
        <v>1404</v>
      </c>
      <c r="D864" s="28" t="s">
        <v>5860</v>
      </c>
      <c r="E864" s="25">
        <v>106</v>
      </c>
      <c r="F864" s="23" t="str">
        <f>VLOOKUP(B864,'[2]справочник кодов нп'!$A:$D,4,0)</f>
        <v>сельские населенные пункты с численностью населения менее 1 000 человек.</v>
      </c>
      <c r="G864" s="23" t="s">
        <v>1385</v>
      </c>
      <c r="H864" s="10" t="s">
        <v>1404</v>
      </c>
      <c r="I864" s="35" t="s">
        <v>7017</v>
      </c>
      <c r="J864" s="33" t="s">
        <v>1337</v>
      </c>
    </row>
    <row r="865" spans="1:10" x14ac:dyDescent="0.25">
      <c r="A865" s="23" t="s">
        <v>5861</v>
      </c>
      <c r="B865" s="10" t="s">
        <v>5862</v>
      </c>
      <c r="C865" s="23" t="s">
        <v>1404</v>
      </c>
      <c r="D865" s="28" t="s">
        <v>5747</v>
      </c>
      <c r="E865" s="25">
        <v>106</v>
      </c>
      <c r="F865" s="23" t="str">
        <f>VLOOKUP(B865,'[2]справочник кодов нп'!$A:$D,4,0)</f>
        <v>сельские населенные пункты с численностью населения менее 1 000 человек.</v>
      </c>
      <c r="G865" s="23" t="s">
        <v>1385</v>
      </c>
      <c r="H865" s="10" t="s">
        <v>1404</v>
      </c>
      <c r="I865" s="35" t="s">
        <v>7017</v>
      </c>
      <c r="J865" s="33" t="s">
        <v>1337</v>
      </c>
    </row>
    <row r="866" spans="1:10" x14ac:dyDescent="0.25">
      <c r="A866" s="23" t="s">
        <v>5863</v>
      </c>
      <c r="B866" s="10" t="s">
        <v>5864</v>
      </c>
      <c r="C866" s="23" t="s">
        <v>1404</v>
      </c>
      <c r="D866" s="28" t="s">
        <v>5865</v>
      </c>
      <c r="E866" s="25">
        <v>106</v>
      </c>
      <c r="F866" s="23" t="str">
        <f>VLOOKUP(B866,'[2]справочник кодов нп'!$A:$D,4,0)</f>
        <v>сельские населенные пункты с численностью населения менее 1 000 человек.</v>
      </c>
      <c r="G866" s="23" t="s">
        <v>1385</v>
      </c>
      <c r="H866" s="10" t="s">
        <v>1404</v>
      </c>
      <c r="I866" s="35" t="s">
        <v>7017</v>
      </c>
      <c r="J866" s="33" t="s">
        <v>1337</v>
      </c>
    </row>
    <row r="867" spans="1:10" x14ac:dyDescent="0.25">
      <c r="A867" s="23" t="s">
        <v>5866</v>
      </c>
      <c r="B867" s="10" t="s">
        <v>5867</v>
      </c>
      <c r="C867" s="23" t="s">
        <v>1404</v>
      </c>
      <c r="D867" s="28" t="s">
        <v>5868</v>
      </c>
      <c r="E867" s="25">
        <v>106</v>
      </c>
      <c r="F867" s="23" t="str">
        <f>VLOOKUP(B867,'[2]справочник кодов нп'!$A:$D,4,0)</f>
        <v>сельские населенные пункты с численностью населения менее 1 000 человек.</v>
      </c>
      <c r="G867" s="23" t="s">
        <v>1385</v>
      </c>
      <c r="H867" s="10" t="s">
        <v>1404</v>
      </c>
      <c r="I867" s="35" t="s">
        <v>7017</v>
      </c>
      <c r="J867" s="33" t="s">
        <v>1337</v>
      </c>
    </row>
    <row r="868" spans="1:10" x14ac:dyDescent="0.25">
      <c r="A868" s="23" t="s">
        <v>5869</v>
      </c>
      <c r="B868" s="10" t="s">
        <v>5870</v>
      </c>
      <c r="C868" s="23" t="s">
        <v>1404</v>
      </c>
      <c r="D868" s="28" t="s">
        <v>2492</v>
      </c>
      <c r="E868" s="25">
        <v>106</v>
      </c>
      <c r="F868" s="23" t="str">
        <f>VLOOKUP(B868,'[2]справочник кодов нп'!$A:$D,4,0)</f>
        <v>сельские населенные пункты с численностью населения менее 1 000 человек.</v>
      </c>
      <c r="G868" s="23" t="s">
        <v>1385</v>
      </c>
      <c r="H868" s="10" t="s">
        <v>1404</v>
      </c>
      <c r="I868" s="35" t="s">
        <v>7017</v>
      </c>
      <c r="J868" s="33" t="s">
        <v>1337</v>
      </c>
    </row>
    <row r="869" spans="1:10" x14ac:dyDescent="0.25">
      <c r="A869" s="23" t="s">
        <v>5871</v>
      </c>
      <c r="B869" s="10" t="s">
        <v>5872</v>
      </c>
      <c r="C869" s="23" t="s">
        <v>1404</v>
      </c>
      <c r="D869" s="28" t="s">
        <v>5873</v>
      </c>
      <c r="E869" s="25">
        <v>106</v>
      </c>
      <c r="F869" s="23" t="str">
        <f>VLOOKUP(B869,'[2]справочник кодов нп'!$A:$D,4,0)</f>
        <v>сельские населенные пункты с численностью населения менее 1 000 человек.</v>
      </c>
      <c r="G869" s="23" t="s">
        <v>1385</v>
      </c>
      <c r="H869" s="10" t="s">
        <v>1404</v>
      </c>
      <c r="I869" s="35" t="s">
        <v>7017</v>
      </c>
      <c r="J869" s="33" t="s">
        <v>1337</v>
      </c>
    </row>
    <row r="870" spans="1:10" x14ac:dyDescent="0.25">
      <c r="A870" s="23" t="s">
        <v>5874</v>
      </c>
      <c r="B870" s="10" t="s">
        <v>5875</v>
      </c>
      <c r="C870" s="23" t="s">
        <v>1404</v>
      </c>
      <c r="D870" s="28" t="s">
        <v>5876</v>
      </c>
      <c r="E870" s="25">
        <v>106</v>
      </c>
      <c r="F870" s="23" t="str">
        <f>VLOOKUP(B870,'[2]справочник кодов нп'!$A:$D,4,0)</f>
        <v>сельские населенные пункты с численностью населения менее 1 000 человек.</v>
      </c>
      <c r="G870" s="23" t="s">
        <v>1385</v>
      </c>
      <c r="H870" s="10" t="s">
        <v>1404</v>
      </c>
      <c r="I870" s="35" t="s">
        <v>7017</v>
      </c>
      <c r="J870" s="33" t="s">
        <v>1337</v>
      </c>
    </row>
    <row r="871" spans="1:10" x14ac:dyDescent="0.25">
      <c r="A871" s="23" t="s">
        <v>5877</v>
      </c>
      <c r="B871" s="10" t="s">
        <v>5878</v>
      </c>
      <c r="C871" s="23" t="s">
        <v>1404</v>
      </c>
      <c r="D871" s="28" t="s">
        <v>5879</v>
      </c>
      <c r="E871" s="25">
        <v>106</v>
      </c>
      <c r="F871" s="23" t="str">
        <f>VLOOKUP(B871,'[2]справочник кодов нп'!$A:$D,4,0)</f>
        <v>сельские населенные пункты с численностью населения менее 1 000 человек.</v>
      </c>
      <c r="G871" s="23" t="s">
        <v>1385</v>
      </c>
      <c r="H871" s="10" t="s">
        <v>1404</v>
      </c>
      <c r="I871" s="35" t="s">
        <v>7017</v>
      </c>
      <c r="J871" s="33" t="s">
        <v>1337</v>
      </c>
    </row>
    <row r="872" spans="1:10" x14ac:dyDescent="0.25">
      <c r="A872" s="23" t="s">
        <v>5880</v>
      </c>
      <c r="B872" s="10" t="s">
        <v>5881</v>
      </c>
      <c r="C872" s="23" t="s">
        <v>1404</v>
      </c>
      <c r="D872" s="28" t="s">
        <v>5882</v>
      </c>
      <c r="E872" s="25">
        <v>106</v>
      </c>
      <c r="F872" s="23" t="str">
        <f>VLOOKUP(B872,'[2]справочник кодов нп'!$A:$D,4,0)</f>
        <v>сельские населенные пункты с численностью населения более 1 000 человек;</v>
      </c>
      <c r="G872" s="23" t="s">
        <v>1385</v>
      </c>
      <c r="H872" s="10" t="s">
        <v>1404</v>
      </c>
      <c r="I872" s="35" t="s">
        <v>7017</v>
      </c>
      <c r="J872" s="33" t="s">
        <v>1337</v>
      </c>
    </row>
    <row r="873" spans="1:10" x14ac:dyDescent="0.25">
      <c r="A873" s="23" t="s">
        <v>5883</v>
      </c>
      <c r="B873" s="10" t="s">
        <v>5884</v>
      </c>
      <c r="C873" s="23" t="s">
        <v>1404</v>
      </c>
      <c r="D873" s="28" t="s">
        <v>5885</v>
      </c>
      <c r="E873" s="25">
        <v>106</v>
      </c>
      <c r="F873" s="23" t="str">
        <f>VLOOKUP(B873,'[2]справочник кодов нп'!$A:$D,4,0)</f>
        <v>сельские населенные пункты с численностью населения менее 1 000 человек.</v>
      </c>
      <c r="G873" s="23" t="s">
        <v>1385</v>
      </c>
      <c r="H873" s="10" t="s">
        <v>1404</v>
      </c>
      <c r="I873" s="35" t="s">
        <v>7017</v>
      </c>
      <c r="J873" s="33" t="s">
        <v>1337</v>
      </c>
    </row>
    <row r="874" spans="1:10" x14ac:dyDescent="0.25">
      <c r="A874" s="23" t="s">
        <v>5886</v>
      </c>
      <c r="B874" s="10" t="s">
        <v>5887</v>
      </c>
      <c r="C874" s="23" t="s">
        <v>1404</v>
      </c>
      <c r="D874" s="28" t="s">
        <v>5888</v>
      </c>
      <c r="E874" s="25">
        <v>106</v>
      </c>
      <c r="F874" s="23" t="str">
        <f>VLOOKUP(B874,'[2]справочник кодов нп'!$A:$D,4,0)</f>
        <v>сельские населенные пункты с численностью населения менее 1 000 человек.</v>
      </c>
      <c r="G874" s="23" t="s">
        <v>1385</v>
      </c>
      <c r="H874" s="10" t="s">
        <v>1404</v>
      </c>
      <c r="I874" s="35" t="s">
        <v>7017</v>
      </c>
      <c r="J874" s="33" t="s">
        <v>1337</v>
      </c>
    </row>
    <row r="875" spans="1:10" x14ac:dyDescent="0.25">
      <c r="A875" s="23" t="s">
        <v>5889</v>
      </c>
      <c r="B875" s="10" t="s">
        <v>5890</v>
      </c>
      <c r="C875" s="23" t="s">
        <v>1404</v>
      </c>
      <c r="D875" s="28" t="s">
        <v>5891</v>
      </c>
      <c r="E875" s="25">
        <v>106</v>
      </c>
      <c r="F875" s="23" t="str">
        <f>VLOOKUP(B875,'[2]справочник кодов нп'!$A:$D,4,0)</f>
        <v>сельские населенные пункты с численностью населения менее 1 000 человек.</v>
      </c>
      <c r="G875" s="23" t="s">
        <v>1385</v>
      </c>
      <c r="H875" s="10" t="s">
        <v>1404</v>
      </c>
      <c r="I875" s="35" t="s">
        <v>7017</v>
      </c>
      <c r="J875" s="33" t="s">
        <v>1337</v>
      </c>
    </row>
    <row r="876" spans="1:10" x14ac:dyDescent="0.25">
      <c r="A876" s="23" t="s">
        <v>5892</v>
      </c>
      <c r="B876" s="10" t="s">
        <v>5893</v>
      </c>
      <c r="C876" s="23" t="s">
        <v>1404</v>
      </c>
      <c r="D876" s="28" t="s">
        <v>5894</v>
      </c>
      <c r="E876" s="25">
        <v>106</v>
      </c>
      <c r="F876" s="23" t="str">
        <f>VLOOKUP(B876,'[2]справочник кодов нп'!$A:$D,4,0)</f>
        <v>сельские населенные пункты с численностью населения менее 1 000 человек.</v>
      </c>
      <c r="G876" s="23" t="s">
        <v>1385</v>
      </c>
      <c r="H876" s="10" t="s">
        <v>1404</v>
      </c>
      <c r="I876" s="35" t="s">
        <v>7017</v>
      </c>
      <c r="J876" s="33" t="s">
        <v>1337</v>
      </c>
    </row>
    <row r="877" spans="1:10" x14ac:dyDescent="0.25">
      <c r="A877" s="23" t="s">
        <v>5895</v>
      </c>
      <c r="B877" s="10" t="s">
        <v>5896</v>
      </c>
      <c r="C877" s="23" t="s">
        <v>1404</v>
      </c>
      <c r="D877" s="28" t="s">
        <v>2423</v>
      </c>
      <c r="E877" s="25">
        <v>106</v>
      </c>
      <c r="F877" s="23" t="str">
        <f>VLOOKUP(B877,'[2]справочник кодов нп'!$A:$D,4,0)</f>
        <v>сельские населенные пункты с численностью населения менее 1 000 человек.</v>
      </c>
      <c r="G877" s="23" t="s">
        <v>1385</v>
      </c>
      <c r="H877" s="10" t="s">
        <v>1404</v>
      </c>
      <c r="I877" s="35" t="s">
        <v>7017</v>
      </c>
      <c r="J877" s="33" t="s">
        <v>1337</v>
      </c>
    </row>
    <row r="878" spans="1:10" x14ac:dyDescent="0.25">
      <c r="A878" s="23" t="s">
        <v>5897</v>
      </c>
      <c r="B878" s="10" t="s">
        <v>5898</v>
      </c>
      <c r="C878" s="23" t="s">
        <v>1404</v>
      </c>
      <c r="D878" s="28" t="s">
        <v>5899</v>
      </c>
      <c r="E878" s="25">
        <v>106</v>
      </c>
      <c r="F878" s="23" t="str">
        <f>VLOOKUP(B878,'[2]справочник кодов нп'!$A:$D,4,0)</f>
        <v>сельские населенные пункты с численностью населения менее 1 000 человек.</v>
      </c>
      <c r="G878" s="23" t="s">
        <v>1385</v>
      </c>
      <c r="H878" s="10" t="s">
        <v>1404</v>
      </c>
      <c r="I878" s="35" t="s">
        <v>7017</v>
      </c>
      <c r="J878" s="33" t="s">
        <v>1337</v>
      </c>
    </row>
    <row r="879" spans="1:10" x14ac:dyDescent="0.25">
      <c r="A879" s="23" t="s">
        <v>5900</v>
      </c>
      <c r="B879" s="10" t="s">
        <v>5901</v>
      </c>
      <c r="C879" s="23" t="s">
        <v>1404</v>
      </c>
      <c r="D879" s="28" t="s">
        <v>5902</v>
      </c>
      <c r="E879" s="25">
        <v>106</v>
      </c>
      <c r="F879" s="23" t="str">
        <f>VLOOKUP(B879,'[2]справочник кодов нп'!$A:$D,4,0)</f>
        <v>сельские населенные пункты с численностью населения менее 1 000 человек.</v>
      </c>
      <c r="G879" s="23" t="s">
        <v>1385</v>
      </c>
      <c r="H879" s="10" t="s">
        <v>1404</v>
      </c>
      <c r="I879" s="35" t="s">
        <v>7017</v>
      </c>
      <c r="J879" s="33" t="s">
        <v>1337</v>
      </c>
    </row>
    <row r="880" spans="1:10" x14ac:dyDescent="0.25">
      <c r="A880" s="23" t="s">
        <v>5903</v>
      </c>
      <c r="B880" s="10" t="s">
        <v>5904</v>
      </c>
      <c r="C880" s="23" t="s">
        <v>1404</v>
      </c>
      <c r="D880" s="28" t="s">
        <v>5905</v>
      </c>
      <c r="E880" s="25">
        <v>106</v>
      </c>
      <c r="F880" s="23" t="str">
        <f>VLOOKUP(B880,'[2]справочник кодов нп'!$A:$D,4,0)</f>
        <v>сельские населенные пункты с численностью населения менее 1 000 человек.</v>
      </c>
      <c r="G880" s="23" t="s">
        <v>1385</v>
      </c>
      <c r="H880" s="10" t="s">
        <v>1404</v>
      </c>
      <c r="I880" s="35" t="s">
        <v>7017</v>
      </c>
      <c r="J880" s="33" t="s">
        <v>1337</v>
      </c>
    </row>
    <row r="881" spans="1:10" x14ac:dyDescent="0.25">
      <c r="A881" s="23" t="s">
        <v>5906</v>
      </c>
      <c r="B881" s="10" t="s">
        <v>5907</v>
      </c>
      <c r="C881" s="23" t="s">
        <v>1404</v>
      </c>
      <c r="D881" s="28" t="s">
        <v>3340</v>
      </c>
      <c r="E881" s="25">
        <v>106</v>
      </c>
      <c r="F881" s="23" t="str">
        <f>VLOOKUP(B881,'[2]справочник кодов нп'!$A:$D,4,0)</f>
        <v>сельские населенные пункты с численностью населения менее 1 000 человек.</v>
      </c>
      <c r="G881" s="23" t="s">
        <v>1385</v>
      </c>
      <c r="H881" s="10" t="s">
        <v>1404</v>
      </c>
      <c r="I881" s="35" t="s">
        <v>7017</v>
      </c>
      <c r="J881" s="33" t="s">
        <v>1337</v>
      </c>
    </row>
    <row r="882" spans="1:10" x14ac:dyDescent="0.25">
      <c r="A882" s="23" t="s">
        <v>5908</v>
      </c>
      <c r="B882" s="10" t="s">
        <v>5909</v>
      </c>
      <c r="C882" s="23" t="s">
        <v>1404</v>
      </c>
      <c r="D882" s="28" t="s">
        <v>5910</v>
      </c>
      <c r="E882" s="25">
        <v>106</v>
      </c>
      <c r="F882" s="23" t="str">
        <f>VLOOKUP(B882,'[2]справочник кодов нп'!$A:$D,4,0)</f>
        <v>сельские населенные пункты с численностью населения менее 1 000 человек.</v>
      </c>
      <c r="G882" s="23" t="s">
        <v>1385</v>
      </c>
      <c r="H882" s="10" t="s">
        <v>1404</v>
      </c>
      <c r="I882" s="35" t="s">
        <v>7017</v>
      </c>
      <c r="J882" s="33" t="s">
        <v>1337</v>
      </c>
    </row>
    <row r="883" spans="1:10" x14ac:dyDescent="0.25">
      <c r="A883" s="23" t="s">
        <v>5911</v>
      </c>
      <c r="B883" s="10" t="s">
        <v>5912</v>
      </c>
      <c r="C883" s="23" t="s">
        <v>1404</v>
      </c>
      <c r="D883" s="28" t="s">
        <v>5913</v>
      </c>
      <c r="E883" s="25">
        <v>106</v>
      </c>
      <c r="F883" s="23" t="str">
        <f>VLOOKUP(B883,'[2]справочник кодов нп'!$A:$D,4,0)</f>
        <v>сельские населенные пункты с численностью населения более 1 000 человек;</v>
      </c>
      <c r="G883" s="23" t="s">
        <v>1385</v>
      </c>
      <c r="H883" s="10" t="s">
        <v>1404</v>
      </c>
      <c r="I883" s="35" t="s">
        <v>7017</v>
      </c>
      <c r="J883" s="33" t="s">
        <v>1337</v>
      </c>
    </row>
    <row r="884" spans="1:10" x14ac:dyDescent="0.25">
      <c r="A884" s="23" t="s">
        <v>5914</v>
      </c>
      <c r="B884" s="10" t="s">
        <v>5915</v>
      </c>
      <c r="C884" s="23" t="s">
        <v>1404</v>
      </c>
      <c r="D884" s="28" t="s">
        <v>3871</v>
      </c>
      <c r="E884" s="25">
        <v>106</v>
      </c>
      <c r="F884" s="23" t="str">
        <f>VLOOKUP(B884,'[2]справочник кодов нп'!$A:$D,4,0)</f>
        <v>сельские населенные пункты с численностью населения менее 1 000 человек.</v>
      </c>
      <c r="G884" s="23" t="s">
        <v>1385</v>
      </c>
      <c r="H884" s="10" t="s">
        <v>1404</v>
      </c>
      <c r="I884" s="35" t="s">
        <v>7017</v>
      </c>
      <c r="J884" s="33" t="s">
        <v>1337</v>
      </c>
    </row>
    <row r="885" spans="1:10" x14ac:dyDescent="0.25">
      <c r="A885" s="23" t="s">
        <v>5916</v>
      </c>
      <c r="B885" s="10" t="s">
        <v>5917</v>
      </c>
      <c r="C885" s="23" t="s">
        <v>1404</v>
      </c>
      <c r="D885" s="28" t="s">
        <v>5918</v>
      </c>
      <c r="E885" s="25">
        <v>106</v>
      </c>
      <c r="F885" s="23" t="str">
        <f>VLOOKUP(B885,'[2]справочник кодов нп'!$A:$D,4,0)</f>
        <v>сельские населенные пункты с численностью населения менее 1 000 человек.</v>
      </c>
      <c r="G885" s="23" t="s">
        <v>1385</v>
      </c>
      <c r="H885" s="10" t="s">
        <v>1404</v>
      </c>
      <c r="I885" s="35" t="s">
        <v>7017</v>
      </c>
      <c r="J885" s="33" t="s">
        <v>1337</v>
      </c>
    </row>
    <row r="886" spans="1:10" x14ac:dyDescent="0.25">
      <c r="A886" s="23" t="s">
        <v>5919</v>
      </c>
      <c r="B886" s="10" t="s">
        <v>5920</v>
      </c>
      <c r="C886" s="23" t="s">
        <v>1404</v>
      </c>
      <c r="D886" s="28" t="s">
        <v>5921</v>
      </c>
      <c r="E886" s="25">
        <v>106</v>
      </c>
      <c r="F886" s="23" t="str">
        <f>VLOOKUP(B886,'[2]справочник кодов нп'!$A:$D,4,0)</f>
        <v>сельские населенные пункты с численностью населения менее 1 000 человек.</v>
      </c>
      <c r="G886" s="23" t="s">
        <v>1385</v>
      </c>
      <c r="H886" s="10" t="s">
        <v>1404</v>
      </c>
      <c r="I886" s="35" t="s">
        <v>7017</v>
      </c>
      <c r="J886" s="33" t="s">
        <v>1337</v>
      </c>
    </row>
    <row r="887" spans="1:10" x14ac:dyDescent="0.25">
      <c r="A887" s="23" t="s">
        <v>5922</v>
      </c>
      <c r="B887" s="10" t="s">
        <v>5923</v>
      </c>
      <c r="C887" s="23" t="s">
        <v>1404</v>
      </c>
      <c r="D887" s="28" t="s">
        <v>5924</v>
      </c>
      <c r="E887" s="25">
        <v>106</v>
      </c>
      <c r="F887" s="23" t="str">
        <f>VLOOKUP(B887,'[2]справочник кодов нп'!$A:$D,4,0)</f>
        <v>сельские населенные пункты с численностью населения менее 1 000 человек.</v>
      </c>
      <c r="G887" s="23" t="s">
        <v>1385</v>
      </c>
      <c r="H887" s="10" t="s">
        <v>1404</v>
      </c>
      <c r="I887" s="35" t="s">
        <v>7017</v>
      </c>
      <c r="J887" s="33" t="s">
        <v>1337</v>
      </c>
    </row>
    <row r="888" spans="1:10" x14ac:dyDescent="0.25">
      <c r="A888" s="23" t="s">
        <v>5925</v>
      </c>
      <c r="B888" s="10" t="s">
        <v>5926</v>
      </c>
      <c r="C888" s="23" t="s">
        <v>1404</v>
      </c>
      <c r="D888" s="28" t="s">
        <v>4146</v>
      </c>
      <c r="E888" s="25">
        <v>106</v>
      </c>
      <c r="F888" s="23" t="str">
        <f>VLOOKUP(B888,'[2]справочник кодов нп'!$A:$D,4,0)</f>
        <v>сельские населенные пункты с численностью населения менее 1 000 человек.</v>
      </c>
      <c r="G888" s="23" t="s">
        <v>1385</v>
      </c>
      <c r="H888" s="10" t="s">
        <v>1404</v>
      </c>
      <c r="I888" s="35" t="s">
        <v>7017</v>
      </c>
      <c r="J888" s="33" t="s">
        <v>1337</v>
      </c>
    </row>
    <row r="889" spans="1:10" x14ac:dyDescent="0.25">
      <c r="A889" s="23" t="s">
        <v>5927</v>
      </c>
      <c r="B889" s="10" t="s">
        <v>5928</v>
      </c>
      <c r="C889" s="23" t="s">
        <v>1404</v>
      </c>
      <c r="D889" s="28" t="s">
        <v>5929</v>
      </c>
      <c r="E889" s="25">
        <v>106</v>
      </c>
      <c r="F889" s="23" t="str">
        <f>VLOOKUP(B889,'[2]справочник кодов нп'!$A:$D,4,0)</f>
        <v>сельские населенные пункты с численностью населения менее 1 000 человек.</v>
      </c>
      <c r="G889" s="23" t="s">
        <v>1385</v>
      </c>
      <c r="H889" s="10" t="s">
        <v>1404</v>
      </c>
      <c r="I889" s="35" t="s">
        <v>7017</v>
      </c>
      <c r="J889" s="33" t="s">
        <v>1337</v>
      </c>
    </row>
    <row r="890" spans="1:10" x14ac:dyDescent="0.25">
      <c r="A890" s="23" t="s">
        <v>5930</v>
      </c>
      <c r="B890" s="10" t="s">
        <v>5931</v>
      </c>
      <c r="C890" s="23" t="s">
        <v>1404</v>
      </c>
      <c r="D890" s="28" t="s">
        <v>5932</v>
      </c>
      <c r="E890" s="25">
        <v>106</v>
      </c>
      <c r="F890" s="23" t="str">
        <f>VLOOKUP(B890,'[2]справочник кодов нп'!$A:$D,4,0)</f>
        <v>сельские населенные пункты с численностью населения менее 1 000 человек.</v>
      </c>
      <c r="G890" s="23" t="s">
        <v>1385</v>
      </c>
      <c r="H890" s="10" t="s">
        <v>1404</v>
      </c>
      <c r="I890" s="35" t="s">
        <v>7017</v>
      </c>
      <c r="J890" s="33" t="s">
        <v>1337</v>
      </c>
    </row>
    <row r="891" spans="1:10" x14ac:dyDescent="0.25">
      <c r="A891" s="23" t="s">
        <v>6413</v>
      </c>
      <c r="B891" s="10" t="s">
        <v>6414</v>
      </c>
      <c r="C891" s="23" t="s">
        <v>1404</v>
      </c>
      <c r="D891" s="28" t="s">
        <v>6415</v>
      </c>
      <c r="E891" s="25">
        <v>106</v>
      </c>
      <c r="F891" s="23" t="str">
        <f>VLOOKUP(B891,'[2]справочник кодов нп'!$A:$D,4,0)</f>
        <v>сельские населенные пункты с численностью населения менее 1 000 человек.</v>
      </c>
      <c r="G891" s="23" t="s">
        <v>1385</v>
      </c>
      <c r="H891" s="10" t="s">
        <v>1404</v>
      </c>
      <c r="I891" s="35" t="s">
        <v>7017</v>
      </c>
      <c r="J891" s="33" t="s">
        <v>1337</v>
      </c>
    </row>
    <row r="892" spans="1:10" x14ac:dyDescent="0.25">
      <c r="A892" s="23" t="s">
        <v>6416</v>
      </c>
      <c r="B892" s="10" t="s">
        <v>6417</v>
      </c>
      <c r="C892" s="23" t="s">
        <v>1404</v>
      </c>
      <c r="D892" s="28" t="s">
        <v>6418</v>
      </c>
      <c r="E892" s="25">
        <v>106</v>
      </c>
      <c r="F892" s="23" t="str">
        <f>VLOOKUP(B892,'[2]справочник кодов нп'!$A:$D,4,0)</f>
        <v>сельские населенные пункты с численностью населения менее 1 000 человек.</v>
      </c>
      <c r="G892" s="23" t="s">
        <v>1385</v>
      </c>
      <c r="H892" s="10" t="s">
        <v>1404</v>
      </c>
      <c r="I892" s="35" t="s">
        <v>7017</v>
      </c>
      <c r="J892" s="33" t="s">
        <v>1337</v>
      </c>
    </row>
    <row r="893" spans="1:10" x14ac:dyDescent="0.25">
      <c r="A893" s="23" t="s">
        <v>6419</v>
      </c>
      <c r="B893" s="10" t="s">
        <v>6420</v>
      </c>
      <c r="C893" s="23" t="s">
        <v>1404</v>
      </c>
      <c r="D893" s="28" t="s">
        <v>1544</v>
      </c>
      <c r="E893" s="25">
        <v>106</v>
      </c>
      <c r="F893" s="23" t="str">
        <f>VLOOKUP(B893,'[2]справочник кодов нп'!$A:$D,4,0)</f>
        <v>сельские населенные пункты с численностью населения менее 1 000 человек.</v>
      </c>
      <c r="G893" s="23" t="s">
        <v>1385</v>
      </c>
      <c r="H893" s="10" t="s">
        <v>1404</v>
      </c>
      <c r="I893" s="35" t="s">
        <v>7017</v>
      </c>
      <c r="J893" s="33" t="s">
        <v>1337</v>
      </c>
    </row>
    <row r="894" spans="1:10" x14ac:dyDescent="0.25">
      <c r="A894" s="23" t="s">
        <v>6421</v>
      </c>
      <c r="B894" s="10" t="s">
        <v>6422</v>
      </c>
      <c r="C894" s="23" t="s">
        <v>1404</v>
      </c>
      <c r="D894" s="28" t="s">
        <v>6423</v>
      </c>
      <c r="E894" s="25">
        <v>106</v>
      </c>
      <c r="F894" s="23" t="str">
        <f>VLOOKUP(B894,'[2]справочник кодов нп'!$A:$D,4,0)</f>
        <v>сельские населенные пункты с численностью населения более 1 000 человек;</v>
      </c>
      <c r="G894" s="23" t="s">
        <v>1385</v>
      </c>
      <c r="H894" s="10" t="s">
        <v>1404</v>
      </c>
      <c r="I894" s="35" t="s">
        <v>7017</v>
      </c>
      <c r="J894" s="33" t="s">
        <v>1337</v>
      </c>
    </row>
    <row r="895" spans="1:10" x14ac:dyDescent="0.25">
      <c r="A895" s="23" t="s">
        <v>6424</v>
      </c>
      <c r="B895" s="10" t="s">
        <v>6425</v>
      </c>
      <c r="C895" s="23" t="s">
        <v>1404</v>
      </c>
      <c r="D895" s="28" t="s">
        <v>6426</v>
      </c>
      <c r="E895" s="25">
        <v>106</v>
      </c>
      <c r="F895" s="23" t="str">
        <f>VLOOKUP(B895,'[2]справочник кодов нп'!$A:$D,4,0)</f>
        <v>сельские населенные пункты с численностью населения более 1 000 человек;</v>
      </c>
      <c r="G895" s="23" t="s">
        <v>1385</v>
      </c>
      <c r="H895" s="10" t="s">
        <v>1404</v>
      </c>
      <c r="I895" s="35" t="s">
        <v>7017</v>
      </c>
      <c r="J895" s="33" t="s">
        <v>1337</v>
      </c>
    </row>
    <row r="896" spans="1:10" x14ac:dyDescent="0.25">
      <c r="A896" s="23" t="s">
        <v>6577</v>
      </c>
      <c r="B896" s="10" t="s">
        <v>6578</v>
      </c>
      <c r="C896" s="23" t="s">
        <v>1404</v>
      </c>
      <c r="D896" s="28" t="s">
        <v>6579</v>
      </c>
      <c r="E896" s="25">
        <v>106</v>
      </c>
      <c r="F896" s="23" t="str">
        <f>VLOOKUP(B896,'[2]справочник кодов нп'!$A:$D,4,0)</f>
        <v>сельские населенные пункты с численностью населения менее 1 000 человек.</v>
      </c>
      <c r="G896" s="23" t="s">
        <v>1385</v>
      </c>
      <c r="H896" s="10" t="s">
        <v>1404</v>
      </c>
      <c r="I896" s="35" t="s">
        <v>7017</v>
      </c>
      <c r="J896" s="33" t="s">
        <v>1337</v>
      </c>
    </row>
    <row r="897" spans="1:10" x14ac:dyDescent="0.25">
      <c r="A897" s="23" t="s">
        <v>6580</v>
      </c>
      <c r="B897" s="10" t="s">
        <v>6581</v>
      </c>
      <c r="C897" s="23" t="s">
        <v>1404</v>
      </c>
      <c r="D897" s="28" t="s">
        <v>6582</v>
      </c>
      <c r="E897" s="25">
        <v>106</v>
      </c>
      <c r="F897" s="23" t="str">
        <f>VLOOKUP(B897,'[2]справочник кодов нп'!$A:$D,4,0)</f>
        <v>сельские населенные пункты с численностью населения более 1 000 человек;</v>
      </c>
      <c r="G897" s="23" t="s">
        <v>1385</v>
      </c>
      <c r="H897" s="10" t="s">
        <v>1404</v>
      </c>
      <c r="I897" s="35" t="s">
        <v>7017</v>
      </c>
      <c r="J897" s="33" t="s">
        <v>1337</v>
      </c>
    </row>
    <row r="898" spans="1:10" x14ac:dyDescent="0.25">
      <c r="A898" s="23" t="s">
        <v>6583</v>
      </c>
      <c r="B898" s="10" t="s">
        <v>6584</v>
      </c>
      <c r="C898" s="23" t="s">
        <v>1404</v>
      </c>
      <c r="D898" s="28" t="s">
        <v>6585</v>
      </c>
      <c r="E898" s="25">
        <v>106</v>
      </c>
      <c r="F898" s="23" t="str">
        <f>VLOOKUP(B898,'[2]справочник кодов нп'!$A:$D,4,0)</f>
        <v>сельские населенные пункты с численностью населения менее 1 000 человек.</v>
      </c>
      <c r="G898" s="23" t="s">
        <v>1385</v>
      </c>
      <c r="H898" s="10" t="s">
        <v>1404</v>
      </c>
      <c r="I898" s="35" t="s">
        <v>7017</v>
      </c>
      <c r="J898" s="33" t="s">
        <v>1337</v>
      </c>
    </row>
    <row r="899" spans="1:10" x14ac:dyDescent="0.25">
      <c r="A899" s="23" t="s">
        <v>6586</v>
      </c>
      <c r="B899" s="10" t="s">
        <v>6587</v>
      </c>
      <c r="C899" s="23" t="s">
        <v>1404</v>
      </c>
      <c r="D899" s="28" t="s">
        <v>6588</v>
      </c>
      <c r="E899" s="25">
        <v>106</v>
      </c>
      <c r="F899" s="23" t="str">
        <f>VLOOKUP(B899,'[2]справочник кодов нп'!$A:$D,4,0)</f>
        <v>сельские населенные пункты с численностью населения более 1 000 человек;</v>
      </c>
      <c r="G899" s="23" t="s">
        <v>1385</v>
      </c>
      <c r="H899" s="10" t="s">
        <v>1404</v>
      </c>
      <c r="I899" s="35" t="s">
        <v>7017</v>
      </c>
      <c r="J899" s="33" t="s">
        <v>1337</v>
      </c>
    </row>
    <row r="900" spans="1:10" x14ac:dyDescent="0.25">
      <c r="A900" s="23" t="s">
        <v>6711</v>
      </c>
      <c r="B900" s="10" t="s">
        <v>6712</v>
      </c>
      <c r="C900" s="23" t="s">
        <v>1404</v>
      </c>
      <c r="D900" s="28" t="s">
        <v>6713</v>
      </c>
      <c r="E900" s="25">
        <v>106</v>
      </c>
      <c r="F900" s="23" t="str">
        <f>VLOOKUP(B900,'[2]справочник кодов нп'!$A:$D,4,0)</f>
        <v>сельские населенные пункты с численностью населения более 1 000 человек;</v>
      </c>
      <c r="G900" s="23" t="s">
        <v>1385</v>
      </c>
      <c r="H900" s="10" t="s">
        <v>1404</v>
      </c>
      <c r="I900" s="35" t="s">
        <v>7017</v>
      </c>
      <c r="J900" s="33" t="s">
        <v>1337</v>
      </c>
    </row>
    <row r="901" spans="1:10" x14ac:dyDescent="0.25">
      <c r="A901" s="23" t="s">
        <v>6925</v>
      </c>
      <c r="B901" s="10" t="s">
        <v>6926</v>
      </c>
      <c r="C901" s="23" t="s">
        <v>1404</v>
      </c>
      <c r="D901" s="28" t="s">
        <v>6846</v>
      </c>
      <c r="E901" s="25">
        <v>106</v>
      </c>
      <c r="F901" s="23" t="str">
        <f>VLOOKUP(B901,'[2]справочник кодов нп'!$A:$D,4,0)</f>
        <v>межселенная территория</v>
      </c>
      <c r="G901" s="23" t="s">
        <v>1385</v>
      </c>
      <c r="H901" s="10" t="s">
        <v>1404</v>
      </c>
      <c r="I901" s="35" t="s">
        <v>7019</v>
      </c>
      <c r="J901" s="33" t="s">
        <v>1337</v>
      </c>
    </row>
    <row r="902" spans="1:10" x14ac:dyDescent="0.25">
      <c r="A902" s="23" t="s">
        <v>1489</v>
      </c>
      <c r="B902" s="10" t="s">
        <v>1490</v>
      </c>
      <c r="C902" s="23" t="s">
        <v>1491</v>
      </c>
      <c r="D902" s="28" t="s">
        <v>1492</v>
      </c>
      <c r="E902" s="25">
        <v>106</v>
      </c>
      <c r="F902" s="23" t="str">
        <f>VLOOKUP(B902,'[2]справочник кодов нп'!$A:$D,4,0)</f>
        <v>городские населенные пункты с численностью населения менее 50 000 человек;</v>
      </c>
      <c r="G902" s="23" t="s">
        <v>1385</v>
      </c>
      <c r="H902" s="10" t="s">
        <v>1491</v>
      </c>
      <c r="I902" s="35" t="s">
        <v>7017</v>
      </c>
      <c r="J902" s="33" t="s">
        <v>1337</v>
      </c>
    </row>
    <row r="903" spans="1:10" x14ac:dyDescent="0.25">
      <c r="A903" s="23" t="s">
        <v>6927</v>
      </c>
      <c r="B903" s="10" t="s">
        <v>6928</v>
      </c>
      <c r="C903" s="23" t="s">
        <v>1491</v>
      </c>
      <c r="D903" s="28" t="s">
        <v>6846</v>
      </c>
      <c r="E903" s="25">
        <v>106</v>
      </c>
      <c r="F903" s="23" t="str">
        <f>VLOOKUP(B903,'[2]справочник кодов нп'!$A:$D,4,0)</f>
        <v>межселенная территория</v>
      </c>
      <c r="G903" s="23" t="s">
        <v>1385</v>
      </c>
      <c r="H903" s="10" t="s">
        <v>1491</v>
      </c>
      <c r="I903" s="35" t="s">
        <v>7019</v>
      </c>
      <c r="J903" s="33" t="s">
        <v>1337</v>
      </c>
    </row>
    <row r="904" spans="1:10" x14ac:dyDescent="0.25">
      <c r="A904" s="23" t="s">
        <v>1425</v>
      </c>
      <c r="B904" s="10" t="s">
        <v>1426</v>
      </c>
      <c r="C904" s="23" t="s">
        <v>1427</v>
      </c>
      <c r="D904" s="28" t="s">
        <v>1428</v>
      </c>
      <c r="E904" s="25">
        <v>106</v>
      </c>
      <c r="F904" s="23" t="str">
        <f>VLOOKUP(B904,'[2]справочник кодов нп'!$A:$D,4,0)</f>
        <v>сельские населенные пункты с численностью населения менее 1 000 человек.</v>
      </c>
      <c r="G904" s="23" t="s">
        <v>1385</v>
      </c>
      <c r="H904" s="10" t="s">
        <v>1427</v>
      </c>
      <c r="I904" s="35" t="s">
        <v>7017</v>
      </c>
      <c r="J904" s="33" t="s">
        <v>1337</v>
      </c>
    </row>
    <row r="905" spans="1:10" x14ac:dyDescent="0.25">
      <c r="A905" s="23" t="s">
        <v>1469</v>
      </c>
      <c r="B905" s="10" t="s">
        <v>1470</v>
      </c>
      <c r="C905" s="23" t="s">
        <v>1427</v>
      </c>
      <c r="D905" s="28" t="s">
        <v>1471</v>
      </c>
      <c r="E905" s="25">
        <v>106</v>
      </c>
      <c r="F905" s="23" t="str">
        <f>VLOOKUP(B905,'[2]справочник кодов нп'!$A:$D,4,0)</f>
        <v>сельские населенные пункты с численностью населения менее 1 000 человек.</v>
      </c>
      <c r="G905" s="23" t="s">
        <v>1385</v>
      </c>
      <c r="H905" s="10" t="s">
        <v>1427</v>
      </c>
      <c r="I905" s="35" t="s">
        <v>7017</v>
      </c>
      <c r="J905" s="33" t="s">
        <v>1337</v>
      </c>
    </row>
    <row r="906" spans="1:10" x14ac:dyDescent="0.25">
      <c r="A906" s="23" t="s">
        <v>1499</v>
      </c>
      <c r="B906" s="10" t="s">
        <v>1500</v>
      </c>
      <c r="C906" s="23" t="s">
        <v>1427</v>
      </c>
      <c r="D906" s="28" t="s">
        <v>1501</v>
      </c>
      <c r="E906" s="25">
        <v>106</v>
      </c>
      <c r="F906" s="23" t="str">
        <f>VLOOKUP(B906,'[2]справочник кодов нп'!$A:$D,4,0)</f>
        <v>сельские населенные пункты с численностью населения менее 1 000 человек.</v>
      </c>
      <c r="G906" s="23" t="s">
        <v>1385</v>
      </c>
      <c r="H906" s="10" t="s">
        <v>1427</v>
      </c>
      <c r="I906" s="35" t="s">
        <v>7017</v>
      </c>
      <c r="J906" s="33" t="s">
        <v>1337</v>
      </c>
    </row>
    <row r="907" spans="1:10" x14ac:dyDescent="0.25">
      <c r="A907" s="23" t="s">
        <v>1516</v>
      </c>
      <c r="B907" s="10" t="s">
        <v>1517</v>
      </c>
      <c r="C907" s="23" t="s">
        <v>1427</v>
      </c>
      <c r="D907" s="28" t="s">
        <v>1518</v>
      </c>
      <c r="E907" s="25">
        <v>106</v>
      </c>
      <c r="F907" s="23" t="str">
        <f>VLOOKUP(B907,'[2]справочник кодов нп'!$A:$D,4,0)</f>
        <v>сельские населенные пункты с численностью населения менее 1 000 человек.</v>
      </c>
      <c r="G907" s="23" t="s">
        <v>1385</v>
      </c>
      <c r="H907" s="10" t="s">
        <v>1427</v>
      </c>
      <c r="I907" s="35" t="s">
        <v>7017</v>
      </c>
      <c r="J907" s="33" t="s">
        <v>1337</v>
      </c>
    </row>
    <row r="908" spans="1:10" x14ac:dyDescent="0.25">
      <c r="A908" s="23" t="s">
        <v>2180</v>
      </c>
      <c r="B908" s="10" t="s">
        <v>2181</v>
      </c>
      <c r="C908" s="23" t="s">
        <v>1427</v>
      </c>
      <c r="D908" s="28" t="s">
        <v>2182</v>
      </c>
      <c r="E908" s="25">
        <v>106</v>
      </c>
      <c r="F908" s="23" t="str">
        <f>VLOOKUP(B908,'[2]справочник кодов нп'!$A:$D,4,0)</f>
        <v>сельские населенные пункты с численностью населения менее 1 000 человек.</v>
      </c>
      <c r="G908" s="23" t="s">
        <v>1385</v>
      </c>
      <c r="H908" s="10" t="s">
        <v>1427</v>
      </c>
      <c r="I908" s="35" t="s">
        <v>7017</v>
      </c>
      <c r="J908" s="33" t="s">
        <v>1337</v>
      </c>
    </row>
    <row r="909" spans="1:10" x14ac:dyDescent="0.25">
      <c r="A909" s="23" t="s">
        <v>2183</v>
      </c>
      <c r="B909" s="10" t="s">
        <v>2184</v>
      </c>
      <c r="C909" s="23" t="s">
        <v>1427</v>
      </c>
      <c r="D909" s="28" t="s">
        <v>2185</v>
      </c>
      <c r="E909" s="25">
        <v>106</v>
      </c>
      <c r="F909" s="23" t="str">
        <f>VLOOKUP(B909,'[2]справочник кодов нп'!$A:$D,4,0)</f>
        <v>сельские населенные пункты с численностью населения менее 1 000 человек.</v>
      </c>
      <c r="G909" s="23" t="s">
        <v>1385</v>
      </c>
      <c r="H909" s="10" t="s">
        <v>1427</v>
      </c>
      <c r="I909" s="35" t="s">
        <v>7017</v>
      </c>
      <c r="J909" s="33" t="s">
        <v>1337</v>
      </c>
    </row>
    <row r="910" spans="1:10" x14ac:dyDescent="0.25">
      <c r="A910" s="23" t="s">
        <v>2186</v>
      </c>
      <c r="B910" s="10" t="s">
        <v>2187</v>
      </c>
      <c r="C910" s="23" t="s">
        <v>1427</v>
      </c>
      <c r="D910" s="28" t="s">
        <v>2188</v>
      </c>
      <c r="E910" s="25">
        <v>106</v>
      </c>
      <c r="F910" s="23" t="str">
        <f>VLOOKUP(B910,'[2]справочник кодов нп'!$A:$D,4,0)</f>
        <v>сельские населенные пункты с численностью населения менее 1 000 человек.</v>
      </c>
      <c r="G910" s="23" t="s">
        <v>1385</v>
      </c>
      <c r="H910" s="10" t="s">
        <v>1427</v>
      </c>
      <c r="I910" s="35" t="s">
        <v>7017</v>
      </c>
      <c r="J910" s="33" t="s">
        <v>1337</v>
      </c>
    </row>
    <row r="911" spans="1:10" x14ac:dyDescent="0.25">
      <c r="A911" s="23" t="s">
        <v>2824</v>
      </c>
      <c r="B911" s="10" t="s">
        <v>2825</v>
      </c>
      <c r="C911" s="23" t="s">
        <v>1427</v>
      </c>
      <c r="D911" s="28" t="s">
        <v>2826</v>
      </c>
      <c r="E911" s="25">
        <v>106</v>
      </c>
      <c r="F911" s="23" t="str">
        <f>VLOOKUP(B911,'[2]справочник кодов нп'!$A:$D,4,0)</f>
        <v>сельские населенные пункты с численностью населения менее 1 000 человек.</v>
      </c>
      <c r="G911" s="23" t="s">
        <v>1385</v>
      </c>
      <c r="H911" s="10" t="s">
        <v>1427</v>
      </c>
      <c r="I911" s="35" t="s">
        <v>7017</v>
      </c>
      <c r="J911" s="33" t="s">
        <v>1337</v>
      </c>
    </row>
    <row r="912" spans="1:10" x14ac:dyDescent="0.25">
      <c r="A912" s="23" t="s">
        <v>2827</v>
      </c>
      <c r="B912" s="10" t="s">
        <v>2828</v>
      </c>
      <c r="C912" s="23" t="s">
        <v>1427</v>
      </c>
      <c r="D912" s="28" t="s">
        <v>2423</v>
      </c>
      <c r="E912" s="25">
        <v>106</v>
      </c>
      <c r="F912" s="23" t="str">
        <f>VLOOKUP(B912,'[2]справочник кодов нп'!$A:$D,4,0)</f>
        <v>сельские населенные пункты с численностью населения менее 1 000 человек.</v>
      </c>
      <c r="G912" s="23" t="s">
        <v>1385</v>
      </c>
      <c r="H912" s="10" t="s">
        <v>1427</v>
      </c>
      <c r="I912" s="35" t="s">
        <v>7017</v>
      </c>
      <c r="J912" s="33" t="s">
        <v>1337</v>
      </c>
    </row>
    <row r="913" spans="1:10" x14ac:dyDescent="0.25">
      <c r="A913" s="23" t="s">
        <v>2829</v>
      </c>
      <c r="B913" s="10" t="s">
        <v>2830</v>
      </c>
      <c r="C913" s="23" t="s">
        <v>1427</v>
      </c>
      <c r="D913" s="28" t="s">
        <v>2831</v>
      </c>
      <c r="E913" s="25">
        <v>106</v>
      </c>
      <c r="F913" s="23" t="str">
        <f>VLOOKUP(B913,'[2]справочник кодов нп'!$A:$D,4,0)</f>
        <v>сельские населенные пункты с численностью населения менее 1 000 человек.</v>
      </c>
      <c r="G913" s="23" t="s">
        <v>1385</v>
      </c>
      <c r="H913" s="10" t="s">
        <v>1427</v>
      </c>
      <c r="I913" s="35" t="s">
        <v>7017</v>
      </c>
      <c r="J913" s="33" t="s">
        <v>1337</v>
      </c>
    </row>
    <row r="914" spans="1:10" x14ac:dyDescent="0.25">
      <c r="A914" s="23" t="s">
        <v>2832</v>
      </c>
      <c r="B914" s="10" t="s">
        <v>2833</v>
      </c>
      <c r="C914" s="23" t="s">
        <v>1427</v>
      </c>
      <c r="D914" s="28" t="s">
        <v>2834</v>
      </c>
      <c r="E914" s="25">
        <v>106</v>
      </c>
      <c r="F914" s="23" t="str">
        <f>VLOOKUP(B914,'[2]справочник кодов нп'!$A:$D,4,0)</f>
        <v>сельские населенные пункты с численностью населения менее 1 000 человек.</v>
      </c>
      <c r="G914" s="23" t="s">
        <v>1385</v>
      </c>
      <c r="H914" s="10" t="s">
        <v>1427</v>
      </c>
      <c r="I914" s="35" t="s">
        <v>7017</v>
      </c>
      <c r="J914" s="33" t="s">
        <v>1337</v>
      </c>
    </row>
    <row r="915" spans="1:10" x14ac:dyDescent="0.25">
      <c r="A915" s="23" t="s">
        <v>2835</v>
      </c>
      <c r="B915" s="10" t="s">
        <v>2836</v>
      </c>
      <c r="C915" s="23" t="s">
        <v>1427</v>
      </c>
      <c r="D915" s="28" t="s">
        <v>2837</v>
      </c>
      <c r="E915" s="25">
        <v>106</v>
      </c>
      <c r="F915" s="23" t="str">
        <f>VLOOKUP(B915,'[2]справочник кодов нп'!$A:$D,4,0)</f>
        <v>сельские населенные пункты с численностью населения менее 1 000 человек.</v>
      </c>
      <c r="G915" s="23" t="s">
        <v>1385</v>
      </c>
      <c r="H915" s="10" t="s">
        <v>1427</v>
      </c>
      <c r="I915" s="35" t="s">
        <v>7017</v>
      </c>
      <c r="J915" s="33" t="s">
        <v>1337</v>
      </c>
    </row>
    <row r="916" spans="1:10" x14ac:dyDescent="0.25">
      <c r="A916" s="23" t="s">
        <v>2838</v>
      </c>
      <c r="B916" s="10" t="s">
        <v>2839</v>
      </c>
      <c r="C916" s="23" t="s">
        <v>1427</v>
      </c>
      <c r="D916" s="28" t="s">
        <v>2840</v>
      </c>
      <c r="E916" s="25">
        <v>106</v>
      </c>
      <c r="F916" s="23" t="str">
        <f>VLOOKUP(B916,'[2]справочник кодов нп'!$A:$D,4,0)</f>
        <v>сельские населенные пункты с численностью населения менее 1 000 человек.</v>
      </c>
      <c r="G916" s="23" t="s">
        <v>1385</v>
      </c>
      <c r="H916" s="10" t="s">
        <v>1427</v>
      </c>
      <c r="I916" s="35" t="s">
        <v>7017</v>
      </c>
      <c r="J916" s="33" t="s">
        <v>1337</v>
      </c>
    </row>
    <row r="917" spans="1:10" x14ac:dyDescent="0.25">
      <c r="A917" s="23" t="s">
        <v>2841</v>
      </c>
      <c r="B917" s="10" t="s">
        <v>2842</v>
      </c>
      <c r="C917" s="23" t="s">
        <v>1427</v>
      </c>
      <c r="D917" s="28" t="s">
        <v>2843</v>
      </c>
      <c r="E917" s="25">
        <v>106</v>
      </c>
      <c r="F917" s="23" t="str">
        <f>VLOOKUP(B917,'[2]справочник кодов нп'!$A:$D,4,0)</f>
        <v>сельские населенные пункты с численностью населения менее 1 000 человек.</v>
      </c>
      <c r="G917" s="23" t="s">
        <v>1385</v>
      </c>
      <c r="H917" s="10" t="s">
        <v>1427</v>
      </c>
      <c r="I917" s="35" t="s">
        <v>7017</v>
      </c>
      <c r="J917" s="33" t="s">
        <v>1337</v>
      </c>
    </row>
    <row r="918" spans="1:10" x14ac:dyDescent="0.25">
      <c r="A918" s="23" t="s">
        <v>2844</v>
      </c>
      <c r="B918" s="10" t="s">
        <v>2845</v>
      </c>
      <c r="C918" s="23" t="s">
        <v>1427</v>
      </c>
      <c r="D918" s="28" t="s">
        <v>1628</v>
      </c>
      <c r="E918" s="25">
        <v>106</v>
      </c>
      <c r="F918" s="23" t="str">
        <f>VLOOKUP(B918,'[2]справочник кодов нп'!$A:$D,4,0)</f>
        <v>сельские населенные пункты с численностью населения менее 1 000 человек.</v>
      </c>
      <c r="G918" s="23" t="s">
        <v>1385</v>
      </c>
      <c r="H918" s="10" t="s">
        <v>1427</v>
      </c>
      <c r="I918" s="35" t="s">
        <v>7017</v>
      </c>
      <c r="J918" s="33" t="s">
        <v>1337</v>
      </c>
    </row>
    <row r="919" spans="1:10" x14ac:dyDescent="0.25">
      <c r="A919" s="23" t="s">
        <v>2846</v>
      </c>
      <c r="B919" s="10" t="s">
        <v>2847</v>
      </c>
      <c r="C919" s="23" t="s">
        <v>1427</v>
      </c>
      <c r="D919" s="28" t="s">
        <v>2381</v>
      </c>
      <c r="E919" s="25">
        <v>106</v>
      </c>
      <c r="F919" s="23" t="str">
        <f>VLOOKUP(B919,'[2]справочник кодов нп'!$A:$D,4,0)</f>
        <v>сельские населенные пункты с численностью населения менее 1 000 человек.</v>
      </c>
      <c r="G919" s="23" t="s">
        <v>1385</v>
      </c>
      <c r="H919" s="10" t="s">
        <v>1427</v>
      </c>
      <c r="I919" s="35" t="s">
        <v>7017</v>
      </c>
      <c r="J919" s="33" t="s">
        <v>1337</v>
      </c>
    </row>
    <row r="920" spans="1:10" x14ac:dyDescent="0.25">
      <c r="A920" s="23" t="s">
        <v>2848</v>
      </c>
      <c r="B920" s="10" t="s">
        <v>2849</v>
      </c>
      <c r="C920" s="23" t="s">
        <v>1427</v>
      </c>
      <c r="D920" s="28" t="s">
        <v>2850</v>
      </c>
      <c r="E920" s="25">
        <v>106</v>
      </c>
      <c r="F920" s="23" t="str">
        <f>VLOOKUP(B920,'[2]справочник кодов нп'!$A:$D,4,0)</f>
        <v>сельские населенные пункты с численностью населения менее 1 000 человек.</v>
      </c>
      <c r="G920" s="23" t="s">
        <v>1385</v>
      </c>
      <c r="H920" s="10" t="s">
        <v>1427</v>
      </c>
      <c r="I920" s="35" t="s">
        <v>7017</v>
      </c>
      <c r="J920" s="33" t="s">
        <v>1337</v>
      </c>
    </row>
    <row r="921" spans="1:10" x14ac:dyDescent="0.25">
      <c r="A921" s="23" t="s">
        <v>2851</v>
      </c>
      <c r="B921" s="10" t="s">
        <v>2852</v>
      </c>
      <c r="C921" s="23" t="s">
        <v>1427</v>
      </c>
      <c r="D921" s="28" t="s">
        <v>2853</v>
      </c>
      <c r="E921" s="25">
        <v>106</v>
      </c>
      <c r="F921" s="23" t="str">
        <f>VLOOKUP(B921,'[2]справочник кодов нп'!$A:$D,4,0)</f>
        <v>сельские населенные пункты с численностью населения менее 1 000 человек.</v>
      </c>
      <c r="G921" s="23" t="s">
        <v>1385</v>
      </c>
      <c r="H921" s="10" t="s">
        <v>1427</v>
      </c>
      <c r="I921" s="35" t="s">
        <v>7017</v>
      </c>
      <c r="J921" s="33" t="s">
        <v>1337</v>
      </c>
    </row>
    <row r="922" spans="1:10" x14ac:dyDescent="0.25">
      <c r="A922" s="23" t="s">
        <v>2854</v>
      </c>
      <c r="B922" s="10" t="s">
        <v>2855</v>
      </c>
      <c r="C922" s="23" t="s">
        <v>1427</v>
      </c>
      <c r="D922" s="28" t="s">
        <v>2856</v>
      </c>
      <c r="E922" s="25">
        <v>106</v>
      </c>
      <c r="F922" s="23" t="str">
        <f>VLOOKUP(B922,'[2]справочник кодов нп'!$A:$D,4,0)</f>
        <v>сельские населенные пункты с численностью населения менее 1 000 человек.</v>
      </c>
      <c r="G922" s="23" t="s">
        <v>1385</v>
      </c>
      <c r="H922" s="10" t="s">
        <v>1427</v>
      </c>
      <c r="I922" s="35" t="s">
        <v>7017</v>
      </c>
      <c r="J922" s="33" t="s">
        <v>1337</v>
      </c>
    </row>
    <row r="923" spans="1:10" x14ac:dyDescent="0.25">
      <c r="A923" s="23" t="s">
        <v>2857</v>
      </c>
      <c r="B923" s="10" t="s">
        <v>2858</v>
      </c>
      <c r="C923" s="23" t="s">
        <v>1427</v>
      </c>
      <c r="D923" s="28" t="s">
        <v>2859</v>
      </c>
      <c r="E923" s="25">
        <v>106</v>
      </c>
      <c r="F923" s="23" t="str">
        <f>VLOOKUP(B923,'[2]справочник кодов нп'!$A:$D,4,0)</f>
        <v>сельские населенные пункты с численностью населения менее 1 000 человек.</v>
      </c>
      <c r="G923" s="23" t="s">
        <v>1385</v>
      </c>
      <c r="H923" s="10" t="s">
        <v>1427</v>
      </c>
      <c r="I923" s="35" t="s">
        <v>7017</v>
      </c>
      <c r="J923" s="33" t="s">
        <v>1337</v>
      </c>
    </row>
    <row r="924" spans="1:10" x14ac:dyDescent="0.25">
      <c r="A924" s="23" t="s">
        <v>2860</v>
      </c>
      <c r="B924" s="10" t="s">
        <v>2861</v>
      </c>
      <c r="C924" s="23" t="s">
        <v>1427</v>
      </c>
      <c r="D924" s="28" t="s">
        <v>2862</v>
      </c>
      <c r="E924" s="25">
        <v>106</v>
      </c>
      <c r="F924" s="23" t="str">
        <f>VLOOKUP(B924,'[2]справочник кодов нп'!$A:$D,4,0)</f>
        <v>сельские населенные пункты с численностью населения менее 1 000 человек.</v>
      </c>
      <c r="G924" s="23" t="s">
        <v>1385</v>
      </c>
      <c r="H924" s="10" t="s">
        <v>1427</v>
      </c>
      <c r="I924" s="35" t="s">
        <v>7017</v>
      </c>
      <c r="J924" s="33" t="s">
        <v>1337</v>
      </c>
    </row>
    <row r="925" spans="1:10" x14ac:dyDescent="0.25">
      <c r="A925" s="23" t="s">
        <v>2863</v>
      </c>
      <c r="B925" s="10" t="s">
        <v>2864</v>
      </c>
      <c r="C925" s="23" t="s">
        <v>1427</v>
      </c>
      <c r="D925" s="28" t="s">
        <v>2865</v>
      </c>
      <c r="E925" s="25">
        <v>106</v>
      </c>
      <c r="F925" s="23" t="str">
        <f>VLOOKUP(B925,'[2]справочник кодов нп'!$A:$D,4,0)</f>
        <v>сельские населенные пункты с численностью населения менее 1 000 человек.</v>
      </c>
      <c r="G925" s="23" t="s">
        <v>1385</v>
      </c>
      <c r="H925" s="10" t="s">
        <v>1427</v>
      </c>
      <c r="I925" s="35" t="s">
        <v>7017</v>
      </c>
      <c r="J925" s="33" t="s">
        <v>1337</v>
      </c>
    </row>
    <row r="926" spans="1:10" x14ac:dyDescent="0.25">
      <c r="A926" s="23" t="s">
        <v>2866</v>
      </c>
      <c r="B926" s="10" t="s">
        <v>2867</v>
      </c>
      <c r="C926" s="23" t="s">
        <v>1427</v>
      </c>
      <c r="D926" s="28" t="s">
        <v>2868</v>
      </c>
      <c r="E926" s="25">
        <v>106</v>
      </c>
      <c r="F926" s="23" t="str">
        <f>VLOOKUP(B926,'[2]справочник кодов нп'!$A:$D,4,0)</f>
        <v>сельские населенные пункты с численностью населения менее 1 000 человек.</v>
      </c>
      <c r="G926" s="23" t="s">
        <v>1385</v>
      </c>
      <c r="H926" s="10" t="s">
        <v>1427</v>
      </c>
      <c r="I926" s="35" t="s">
        <v>7017</v>
      </c>
      <c r="J926" s="33" t="s">
        <v>1337</v>
      </c>
    </row>
    <row r="927" spans="1:10" x14ac:dyDescent="0.25">
      <c r="A927" s="23" t="s">
        <v>2869</v>
      </c>
      <c r="B927" s="10" t="s">
        <v>2870</v>
      </c>
      <c r="C927" s="23" t="s">
        <v>1427</v>
      </c>
      <c r="D927" s="28" t="s">
        <v>2871</v>
      </c>
      <c r="E927" s="25">
        <v>106</v>
      </c>
      <c r="F927" s="23" t="str">
        <f>VLOOKUP(B927,'[2]справочник кодов нп'!$A:$D,4,0)</f>
        <v>сельские населенные пункты с численностью населения менее 1 000 человек.</v>
      </c>
      <c r="G927" s="23" t="s">
        <v>1385</v>
      </c>
      <c r="H927" s="10" t="s">
        <v>1427</v>
      </c>
      <c r="I927" s="35" t="s">
        <v>7017</v>
      </c>
      <c r="J927" s="33" t="s">
        <v>1337</v>
      </c>
    </row>
    <row r="928" spans="1:10" x14ac:dyDescent="0.25">
      <c r="A928" s="23" t="s">
        <v>2872</v>
      </c>
      <c r="B928" s="10" t="s">
        <v>2873</v>
      </c>
      <c r="C928" s="23" t="s">
        <v>1427</v>
      </c>
      <c r="D928" s="28" t="s">
        <v>2874</v>
      </c>
      <c r="E928" s="25">
        <v>106</v>
      </c>
      <c r="F928" s="23" t="str">
        <f>VLOOKUP(B928,'[2]справочник кодов нп'!$A:$D,4,0)</f>
        <v>сельские населенные пункты с численностью населения более 1 000 человек;</v>
      </c>
      <c r="G928" s="23" t="s">
        <v>1385</v>
      </c>
      <c r="H928" s="10" t="s">
        <v>1427</v>
      </c>
      <c r="I928" s="35" t="s">
        <v>7017</v>
      </c>
      <c r="J928" s="33" t="s">
        <v>1337</v>
      </c>
    </row>
    <row r="929" spans="1:10" x14ac:dyDescent="0.25">
      <c r="A929" s="23" t="s">
        <v>2875</v>
      </c>
      <c r="B929" s="10" t="s">
        <v>2876</v>
      </c>
      <c r="C929" s="23" t="s">
        <v>1427</v>
      </c>
      <c r="D929" s="28" t="s">
        <v>2877</v>
      </c>
      <c r="E929" s="25">
        <v>106</v>
      </c>
      <c r="F929" s="23" t="str">
        <f>VLOOKUP(B929,'[2]справочник кодов нп'!$A:$D,4,0)</f>
        <v>сельские населенные пункты с численностью населения менее 1 000 человек.</v>
      </c>
      <c r="G929" s="23" t="s">
        <v>1385</v>
      </c>
      <c r="H929" s="10" t="s">
        <v>1427</v>
      </c>
      <c r="I929" s="35" t="s">
        <v>7017</v>
      </c>
      <c r="J929" s="33" t="s">
        <v>1337</v>
      </c>
    </row>
    <row r="930" spans="1:10" x14ac:dyDescent="0.25">
      <c r="A930" s="23" t="s">
        <v>2878</v>
      </c>
      <c r="B930" s="10" t="s">
        <v>2879</v>
      </c>
      <c r="C930" s="23" t="s">
        <v>1427</v>
      </c>
      <c r="D930" s="28" t="s">
        <v>2880</v>
      </c>
      <c r="E930" s="25">
        <v>106</v>
      </c>
      <c r="F930" s="23" t="str">
        <f>VLOOKUP(B930,'[2]справочник кодов нп'!$A:$D,4,0)</f>
        <v>сельские населенные пункты с численностью населения менее 1 000 человек.</v>
      </c>
      <c r="G930" s="23" t="s">
        <v>1385</v>
      </c>
      <c r="H930" s="10" t="s">
        <v>1427</v>
      </c>
      <c r="I930" s="35" t="s">
        <v>7017</v>
      </c>
      <c r="J930" s="33" t="s">
        <v>1337</v>
      </c>
    </row>
    <row r="931" spans="1:10" x14ac:dyDescent="0.25">
      <c r="A931" s="23" t="s">
        <v>2881</v>
      </c>
      <c r="B931" s="10" t="s">
        <v>2882</v>
      </c>
      <c r="C931" s="23" t="s">
        <v>1427</v>
      </c>
      <c r="D931" s="28" t="s">
        <v>2883</v>
      </c>
      <c r="E931" s="25">
        <v>106</v>
      </c>
      <c r="F931" s="23" t="str">
        <f>VLOOKUP(B931,'[2]справочник кодов нп'!$A:$D,4,0)</f>
        <v>сельские населенные пункты с численностью населения менее 1 000 человек.</v>
      </c>
      <c r="G931" s="23" t="s">
        <v>1385</v>
      </c>
      <c r="H931" s="10" t="s">
        <v>1427</v>
      </c>
      <c r="I931" s="35" t="s">
        <v>7017</v>
      </c>
      <c r="J931" s="33" t="s">
        <v>1337</v>
      </c>
    </row>
    <row r="932" spans="1:10" x14ac:dyDescent="0.25">
      <c r="A932" s="23" t="s">
        <v>2884</v>
      </c>
      <c r="B932" s="10" t="s">
        <v>2885</v>
      </c>
      <c r="C932" s="23" t="s">
        <v>1427</v>
      </c>
      <c r="D932" s="28" t="s">
        <v>2886</v>
      </c>
      <c r="E932" s="25">
        <v>106</v>
      </c>
      <c r="F932" s="23" t="str">
        <f>VLOOKUP(B932,'[2]справочник кодов нп'!$A:$D,4,0)</f>
        <v>сельские населенные пункты с численностью населения менее 1 000 человек.</v>
      </c>
      <c r="G932" s="23" t="s">
        <v>1385</v>
      </c>
      <c r="H932" s="10" t="s">
        <v>1427</v>
      </c>
      <c r="I932" s="35" t="s">
        <v>7017</v>
      </c>
      <c r="J932" s="33" t="s">
        <v>1337</v>
      </c>
    </row>
    <row r="933" spans="1:10" x14ac:dyDescent="0.25">
      <c r="A933" s="23" t="s">
        <v>2887</v>
      </c>
      <c r="B933" s="10" t="s">
        <v>2888</v>
      </c>
      <c r="C933" s="23" t="s">
        <v>1427</v>
      </c>
      <c r="D933" s="28" t="s">
        <v>2889</v>
      </c>
      <c r="E933" s="25">
        <v>106</v>
      </c>
      <c r="F933" s="23" t="str">
        <f>VLOOKUP(B933,'[2]справочник кодов нп'!$A:$D,4,0)</f>
        <v>сельские населенные пункты с численностью населения менее 1 000 человек.</v>
      </c>
      <c r="G933" s="23" t="s">
        <v>1385</v>
      </c>
      <c r="H933" s="10" t="s">
        <v>1427</v>
      </c>
      <c r="I933" s="35" t="s">
        <v>7017</v>
      </c>
      <c r="J933" s="33" t="s">
        <v>1337</v>
      </c>
    </row>
    <row r="934" spans="1:10" x14ac:dyDescent="0.25">
      <c r="A934" s="23" t="s">
        <v>2890</v>
      </c>
      <c r="B934" s="10" t="s">
        <v>2891</v>
      </c>
      <c r="C934" s="23" t="s">
        <v>1427</v>
      </c>
      <c r="D934" s="28" t="s">
        <v>2892</v>
      </c>
      <c r="E934" s="25">
        <v>106</v>
      </c>
      <c r="F934" s="23" t="str">
        <f>VLOOKUP(B934,'[2]справочник кодов нп'!$A:$D,4,0)</f>
        <v>сельские населенные пункты с численностью населения менее 1 000 человек.</v>
      </c>
      <c r="G934" s="23" t="s">
        <v>1385</v>
      </c>
      <c r="H934" s="10" t="s">
        <v>1427</v>
      </c>
      <c r="I934" s="35" t="s">
        <v>7017</v>
      </c>
      <c r="J934" s="33" t="s">
        <v>1337</v>
      </c>
    </row>
    <row r="935" spans="1:10" x14ac:dyDescent="0.25">
      <c r="A935" s="23" t="s">
        <v>2893</v>
      </c>
      <c r="B935" s="10" t="s">
        <v>2894</v>
      </c>
      <c r="C935" s="23" t="s">
        <v>1427</v>
      </c>
      <c r="D935" s="28" t="s">
        <v>2895</v>
      </c>
      <c r="E935" s="25">
        <v>106</v>
      </c>
      <c r="F935" s="23" t="str">
        <f>VLOOKUP(B935,'[2]справочник кодов нп'!$A:$D,4,0)</f>
        <v>сельские населенные пункты с численностью населения менее 1 000 человек.</v>
      </c>
      <c r="G935" s="23" t="s">
        <v>1385</v>
      </c>
      <c r="H935" s="10" t="s">
        <v>1427</v>
      </c>
      <c r="I935" s="35" t="s">
        <v>7017</v>
      </c>
      <c r="J935" s="33" t="s">
        <v>1337</v>
      </c>
    </row>
    <row r="936" spans="1:10" x14ac:dyDescent="0.25">
      <c r="A936" s="23" t="s">
        <v>2896</v>
      </c>
      <c r="B936" s="10" t="s">
        <v>2897</v>
      </c>
      <c r="C936" s="23" t="s">
        <v>1427</v>
      </c>
      <c r="D936" s="28" t="s">
        <v>2898</v>
      </c>
      <c r="E936" s="25">
        <v>106</v>
      </c>
      <c r="F936" s="23" t="str">
        <f>VLOOKUP(B936,'[2]справочник кодов нп'!$A:$D,4,0)</f>
        <v>сельские населенные пункты с численностью населения менее 1 000 человек.</v>
      </c>
      <c r="G936" s="23" t="s">
        <v>1385</v>
      </c>
      <c r="H936" s="10" t="s">
        <v>1427</v>
      </c>
      <c r="I936" s="35" t="s">
        <v>7017</v>
      </c>
      <c r="J936" s="33" t="s">
        <v>1337</v>
      </c>
    </row>
    <row r="937" spans="1:10" x14ac:dyDescent="0.25">
      <c r="A937" s="23" t="s">
        <v>2899</v>
      </c>
      <c r="B937" s="10" t="s">
        <v>2900</v>
      </c>
      <c r="C937" s="23" t="s">
        <v>1427</v>
      </c>
      <c r="D937" s="28" t="s">
        <v>2901</v>
      </c>
      <c r="E937" s="25">
        <v>106</v>
      </c>
      <c r="F937" s="23" t="str">
        <f>VLOOKUP(B937,'[2]справочник кодов нп'!$A:$D,4,0)</f>
        <v>сельские населенные пункты с численностью населения менее 1 000 человек.</v>
      </c>
      <c r="G937" s="23" t="s">
        <v>1385</v>
      </c>
      <c r="H937" s="10" t="s">
        <v>1427</v>
      </c>
      <c r="I937" s="35" t="s">
        <v>7017</v>
      </c>
      <c r="J937" s="33" t="s">
        <v>1337</v>
      </c>
    </row>
    <row r="938" spans="1:10" x14ac:dyDescent="0.25">
      <c r="A938" s="23" t="s">
        <v>2902</v>
      </c>
      <c r="B938" s="10" t="s">
        <v>2903</v>
      </c>
      <c r="C938" s="23" t="s">
        <v>1427</v>
      </c>
      <c r="D938" s="28" t="s">
        <v>2904</v>
      </c>
      <c r="E938" s="25">
        <v>106</v>
      </c>
      <c r="F938" s="23" t="str">
        <f>VLOOKUP(B938,'[2]справочник кодов нп'!$A:$D,4,0)</f>
        <v>сельские населенные пункты с численностью населения менее 1 000 человек.</v>
      </c>
      <c r="G938" s="23" t="s">
        <v>1385</v>
      </c>
      <c r="H938" s="10" t="s">
        <v>1427</v>
      </c>
      <c r="I938" s="35" t="s">
        <v>7017</v>
      </c>
      <c r="J938" s="33" t="s">
        <v>1337</v>
      </c>
    </row>
    <row r="939" spans="1:10" x14ac:dyDescent="0.25">
      <c r="A939" s="23" t="s">
        <v>2905</v>
      </c>
      <c r="B939" s="10" t="s">
        <v>2906</v>
      </c>
      <c r="C939" s="23" t="s">
        <v>1427</v>
      </c>
      <c r="D939" s="28" t="s">
        <v>2907</v>
      </c>
      <c r="E939" s="25">
        <v>106</v>
      </c>
      <c r="F939" s="23" t="str">
        <f>VLOOKUP(B939,'[2]справочник кодов нп'!$A:$D,4,0)</f>
        <v>сельские населенные пункты с численностью населения менее 1 000 человек.</v>
      </c>
      <c r="G939" s="23" t="s">
        <v>1385</v>
      </c>
      <c r="H939" s="10" t="s">
        <v>1427</v>
      </c>
      <c r="I939" s="35" t="s">
        <v>7017</v>
      </c>
      <c r="J939" s="33" t="s">
        <v>1337</v>
      </c>
    </row>
    <row r="940" spans="1:10" x14ac:dyDescent="0.25">
      <c r="A940" s="23" t="s">
        <v>2908</v>
      </c>
      <c r="B940" s="10" t="s">
        <v>2909</v>
      </c>
      <c r="C940" s="23" t="s">
        <v>1427</v>
      </c>
      <c r="D940" s="28" t="s">
        <v>2910</v>
      </c>
      <c r="E940" s="25">
        <v>106</v>
      </c>
      <c r="F940" s="23" t="str">
        <f>VLOOKUP(B940,'[2]справочник кодов нп'!$A:$D,4,0)</f>
        <v>сельские населенные пункты с численностью населения менее 1 000 человек.</v>
      </c>
      <c r="G940" s="23" t="s">
        <v>1385</v>
      </c>
      <c r="H940" s="10" t="s">
        <v>1427</v>
      </c>
      <c r="I940" s="35" t="s">
        <v>7017</v>
      </c>
      <c r="J940" s="33" t="s">
        <v>1337</v>
      </c>
    </row>
    <row r="941" spans="1:10" x14ac:dyDescent="0.25">
      <c r="A941" s="23" t="s">
        <v>2911</v>
      </c>
      <c r="B941" s="10" t="s">
        <v>2912</v>
      </c>
      <c r="C941" s="23" t="s">
        <v>1427</v>
      </c>
      <c r="D941" s="28" t="s">
        <v>2339</v>
      </c>
      <c r="E941" s="25">
        <v>106</v>
      </c>
      <c r="F941" s="23" t="str">
        <f>VLOOKUP(B941,'[2]справочник кодов нп'!$A:$D,4,0)</f>
        <v>сельские населенные пункты с численностью населения менее 1 000 человек.</v>
      </c>
      <c r="G941" s="23" t="s">
        <v>1385</v>
      </c>
      <c r="H941" s="10" t="s">
        <v>1427</v>
      </c>
      <c r="I941" s="35" t="s">
        <v>7017</v>
      </c>
      <c r="J941" s="33" t="s">
        <v>1337</v>
      </c>
    </row>
    <row r="942" spans="1:10" x14ac:dyDescent="0.25">
      <c r="A942" s="23" t="s">
        <v>2913</v>
      </c>
      <c r="B942" s="10" t="s">
        <v>2914</v>
      </c>
      <c r="C942" s="23" t="s">
        <v>1427</v>
      </c>
      <c r="D942" s="28" t="s">
        <v>2915</v>
      </c>
      <c r="E942" s="25">
        <v>106</v>
      </c>
      <c r="F942" s="23" t="str">
        <f>VLOOKUP(B942,'[2]справочник кодов нп'!$A:$D,4,0)</f>
        <v>сельские населенные пункты с численностью населения менее 1 000 человек.</v>
      </c>
      <c r="G942" s="23" t="s">
        <v>1385</v>
      </c>
      <c r="H942" s="10" t="s">
        <v>1427</v>
      </c>
      <c r="I942" s="35" t="s">
        <v>7017</v>
      </c>
      <c r="J942" s="33" t="s">
        <v>1337</v>
      </c>
    </row>
    <row r="943" spans="1:10" x14ac:dyDescent="0.25">
      <c r="A943" s="23" t="s">
        <v>2916</v>
      </c>
      <c r="B943" s="10" t="s">
        <v>2917</v>
      </c>
      <c r="C943" s="23" t="s">
        <v>1427</v>
      </c>
      <c r="D943" s="28" t="s">
        <v>2918</v>
      </c>
      <c r="E943" s="25">
        <v>106</v>
      </c>
      <c r="F943" s="23" t="str">
        <f>VLOOKUP(B943,'[2]справочник кодов нп'!$A:$D,4,0)</f>
        <v>сельские населенные пункты с численностью населения менее 1 000 человек.</v>
      </c>
      <c r="G943" s="23" t="s">
        <v>1385</v>
      </c>
      <c r="H943" s="10" t="s">
        <v>1427</v>
      </c>
      <c r="I943" s="35" t="s">
        <v>7017</v>
      </c>
      <c r="J943" s="33" t="s">
        <v>1337</v>
      </c>
    </row>
    <row r="944" spans="1:10" x14ac:dyDescent="0.25">
      <c r="A944" s="23" t="s">
        <v>2919</v>
      </c>
      <c r="B944" s="10" t="s">
        <v>2920</v>
      </c>
      <c r="C944" s="23" t="s">
        <v>1427</v>
      </c>
      <c r="D944" s="28" t="s">
        <v>2921</v>
      </c>
      <c r="E944" s="25">
        <v>106</v>
      </c>
      <c r="F944" s="23" t="str">
        <f>VLOOKUP(B944,'[2]справочник кодов нп'!$A:$D,4,0)</f>
        <v>сельские населенные пункты с численностью населения менее 1 000 человек.</v>
      </c>
      <c r="G944" s="23" t="s">
        <v>1385</v>
      </c>
      <c r="H944" s="10" t="s">
        <v>1427</v>
      </c>
      <c r="I944" s="35" t="s">
        <v>7017</v>
      </c>
      <c r="J944" s="33" t="s">
        <v>1337</v>
      </c>
    </row>
    <row r="945" spans="1:10" x14ac:dyDescent="0.25">
      <c r="A945" s="23" t="s">
        <v>2922</v>
      </c>
      <c r="B945" s="10" t="s">
        <v>2923</v>
      </c>
      <c r="C945" s="23" t="s">
        <v>1427</v>
      </c>
      <c r="D945" s="28" t="s">
        <v>2462</v>
      </c>
      <c r="E945" s="25">
        <v>106</v>
      </c>
      <c r="F945" s="23" t="str">
        <f>VLOOKUP(B945,'[2]справочник кодов нп'!$A:$D,4,0)</f>
        <v>сельские населенные пункты с численностью населения менее 1 000 человек.</v>
      </c>
      <c r="G945" s="23" t="s">
        <v>1385</v>
      </c>
      <c r="H945" s="10" t="s">
        <v>1427</v>
      </c>
      <c r="I945" s="35" t="s">
        <v>7017</v>
      </c>
      <c r="J945" s="33" t="s">
        <v>1337</v>
      </c>
    </row>
    <row r="946" spans="1:10" x14ac:dyDescent="0.25">
      <c r="A946" s="23" t="s">
        <v>2924</v>
      </c>
      <c r="B946" s="10" t="s">
        <v>2925</v>
      </c>
      <c r="C946" s="23" t="s">
        <v>1427</v>
      </c>
      <c r="D946" s="28" t="s">
        <v>2726</v>
      </c>
      <c r="E946" s="25">
        <v>106</v>
      </c>
      <c r="F946" s="23" t="str">
        <f>VLOOKUP(B946,'[2]справочник кодов нп'!$A:$D,4,0)</f>
        <v>сельские населенные пункты с численностью населения менее 1 000 человек.</v>
      </c>
      <c r="G946" s="23" t="s">
        <v>1385</v>
      </c>
      <c r="H946" s="10" t="s">
        <v>1427</v>
      </c>
      <c r="I946" s="35" t="s">
        <v>7017</v>
      </c>
      <c r="J946" s="33" t="s">
        <v>1337</v>
      </c>
    </row>
    <row r="947" spans="1:10" x14ac:dyDescent="0.25">
      <c r="A947" s="23" t="s">
        <v>2926</v>
      </c>
      <c r="B947" s="10" t="s">
        <v>2927</v>
      </c>
      <c r="C947" s="23" t="s">
        <v>1427</v>
      </c>
      <c r="D947" s="28" t="s">
        <v>2928</v>
      </c>
      <c r="E947" s="25">
        <v>106</v>
      </c>
      <c r="F947" s="23" t="str">
        <f>VLOOKUP(B947,'[2]справочник кодов нп'!$A:$D,4,0)</f>
        <v>сельские населенные пункты с численностью населения менее 1 000 человек.</v>
      </c>
      <c r="G947" s="23" t="s">
        <v>1385</v>
      </c>
      <c r="H947" s="10" t="s">
        <v>1427</v>
      </c>
      <c r="I947" s="35" t="s">
        <v>7017</v>
      </c>
      <c r="J947" s="33" t="s">
        <v>1337</v>
      </c>
    </row>
    <row r="948" spans="1:10" x14ac:dyDescent="0.25">
      <c r="A948" s="23" t="s">
        <v>2929</v>
      </c>
      <c r="B948" s="10" t="s">
        <v>2930</v>
      </c>
      <c r="C948" s="23" t="s">
        <v>1427</v>
      </c>
      <c r="D948" s="28" t="s">
        <v>2931</v>
      </c>
      <c r="E948" s="25">
        <v>106</v>
      </c>
      <c r="F948" s="23" t="str">
        <f>VLOOKUP(B948,'[2]справочник кодов нп'!$A:$D,4,0)</f>
        <v>сельские населенные пункты с численностью населения менее 1 000 человек.</v>
      </c>
      <c r="G948" s="23" t="s">
        <v>1385</v>
      </c>
      <c r="H948" s="10" t="s">
        <v>1427</v>
      </c>
      <c r="I948" s="35" t="s">
        <v>7017</v>
      </c>
      <c r="J948" s="33" t="s">
        <v>1337</v>
      </c>
    </row>
    <row r="949" spans="1:10" x14ac:dyDescent="0.25">
      <c r="A949" s="23" t="s">
        <v>2932</v>
      </c>
      <c r="B949" s="10" t="s">
        <v>2933</v>
      </c>
      <c r="C949" s="23" t="s">
        <v>1427</v>
      </c>
      <c r="D949" s="28" t="s">
        <v>2934</v>
      </c>
      <c r="E949" s="25">
        <v>106</v>
      </c>
      <c r="F949" s="23" t="str">
        <f>VLOOKUP(B949,'[2]справочник кодов нп'!$A:$D,4,0)</f>
        <v>сельские населенные пункты с численностью населения менее 1 000 человек.</v>
      </c>
      <c r="G949" s="23" t="s">
        <v>1385</v>
      </c>
      <c r="H949" s="10" t="s">
        <v>1427</v>
      </c>
      <c r="I949" s="35" t="s">
        <v>7017</v>
      </c>
      <c r="J949" s="33" t="s">
        <v>1337</v>
      </c>
    </row>
    <row r="950" spans="1:10" x14ac:dyDescent="0.25">
      <c r="A950" s="23" t="s">
        <v>2935</v>
      </c>
      <c r="B950" s="10" t="s">
        <v>2936</v>
      </c>
      <c r="C950" s="23" t="s">
        <v>1427</v>
      </c>
      <c r="D950" s="28" t="s">
        <v>2937</v>
      </c>
      <c r="E950" s="25">
        <v>106</v>
      </c>
      <c r="F950" s="23" t="str">
        <f>VLOOKUP(B950,'[2]справочник кодов нп'!$A:$D,4,0)</f>
        <v>сельские населенные пункты с численностью населения менее 1 000 человек.</v>
      </c>
      <c r="G950" s="23" t="s">
        <v>1385</v>
      </c>
      <c r="H950" s="10" t="s">
        <v>1427</v>
      </c>
      <c r="I950" s="35" t="s">
        <v>7017</v>
      </c>
      <c r="J950" s="33" t="s">
        <v>1337</v>
      </c>
    </row>
    <row r="951" spans="1:10" x14ac:dyDescent="0.25">
      <c r="A951" s="23" t="s">
        <v>5933</v>
      </c>
      <c r="B951" s="10" t="s">
        <v>5934</v>
      </c>
      <c r="C951" s="23" t="s">
        <v>1427</v>
      </c>
      <c r="D951" s="28" t="s">
        <v>5382</v>
      </c>
      <c r="E951" s="25">
        <v>106</v>
      </c>
      <c r="F951" s="23" t="str">
        <f>VLOOKUP(B951,'[2]справочник кодов нп'!$A:$D,4,0)</f>
        <v>сельские населенные пункты с численностью населения менее 1 000 человек.</v>
      </c>
      <c r="G951" s="23" t="s">
        <v>1385</v>
      </c>
      <c r="H951" s="10" t="s">
        <v>1427</v>
      </c>
      <c r="I951" s="35" t="s">
        <v>7017</v>
      </c>
      <c r="J951" s="33" t="s">
        <v>1337</v>
      </c>
    </row>
    <row r="952" spans="1:10" x14ac:dyDescent="0.25">
      <c r="A952" s="23" t="s">
        <v>5935</v>
      </c>
      <c r="B952" s="10" t="s">
        <v>5936</v>
      </c>
      <c r="C952" s="23" t="s">
        <v>1427</v>
      </c>
      <c r="D952" s="28" t="s">
        <v>5937</v>
      </c>
      <c r="E952" s="25">
        <v>106</v>
      </c>
      <c r="F952" s="23" t="str">
        <f>VLOOKUP(B952,'[2]справочник кодов нп'!$A:$D,4,0)</f>
        <v>сельские населенные пункты с численностью населения менее 1 000 человек.</v>
      </c>
      <c r="G952" s="23" t="s">
        <v>1385</v>
      </c>
      <c r="H952" s="10" t="s">
        <v>1427</v>
      </c>
      <c r="I952" s="35" t="s">
        <v>7017</v>
      </c>
      <c r="J952" s="33" t="s">
        <v>1337</v>
      </c>
    </row>
    <row r="953" spans="1:10" x14ac:dyDescent="0.25">
      <c r="A953" s="23" t="s">
        <v>6607</v>
      </c>
      <c r="B953" s="10" t="s">
        <v>6608</v>
      </c>
      <c r="C953" s="23" t="s">
        <v>1427</v>
      </c>
      <c r="D953" s="28" t="s">
        <v>6609</v>
      </c>
      <c r="E953" s="25">
        <v>106</v>
      </c>
      <c r="F953" s="23" t="str">
        <f>VLOOKUP(B953,'[2]справочник кодов нп'!$A:$D,4,0)</f>
        <v>сельские населенные пункты с численностью населения менее 1 000 человек.</v>
      </c>
      <c r="G953" s="23" t="s">
        <v>1385</v>
      </c>
      <c r="H953" s="10" t="s">
        <v>1427</v>
      </c>
      <c r="I953" s="35" t="s">
        <v>7017</v>
      </c>
      <c r="J953" s="33" t="s">
        <v>1337</v>
      </c>
    </row>
    <row r="954" spans="1:10" x14ac:dyDescent="0.25">
      <c r="A954" s="23" t="s">
        <v>6610</v>
      </c>
      <c r="B954" s="10" t="s">
        <v>6611</v>
      </c>
      <c r="C954" s="23" t="s">
        <v>1427</v>
      </c>
      <c r="D954" s="28" t="s">
        <v>6612</v>
      </c>
      <c r="E954" s="25">
        <v>106</v>
      </c>
      <c r="F954" s="23" t="str">
        <f>VLOOKUP(B954,'[2]справочник кодов нп'!$A:$D,4,0)</f>
        <v>сельские населенные пункты с численностью населения менее 1 000 человек.</v>
      </c>
      <c r="G954" s="23" t="s">
        <v>1385</v>
      </c>
      <c r="H954" s="10" t="s">
        <v>1427</v>
      </c>
      <c r="I954" s="35" t="s">
        <v>7017</v>
      </c>
      <c r="J954" s="33" t="s">
        <v>1337</v>
      </c>
    </row>
    <row r="955" spans="1:10" x14ac:dyDescent="0.25">
      <c r="A955" s="23" t="s">
        <v>6613</v>
      </c>
      <c r="B955" s="10" t="s">
        <v>6614</v>
      </c>
      <c r="C955" s="23" t="s">
        <v>1427</v>
      </c>
      <c r="D955" s="28" t="s">
        <v>6615</v>
      </c>
      <c r="E955" s="25">
        <v>106</v>
      </c>
      <c r="F955" s="23" t="str">
        <f>VLOOKUP(B955,'[2]справочник кодов нп'!$A:$D,4,0)</f>
        <v>сельские населенные пункты с численностью населения менее 1 000 человек.</v>
      </c>
      <c r="G955" s="23" t="s">
        <v>1385</v>
      </c>
      <c r="H955" s="10" t="s">
        <v>1427</v>
      </c>
      <c r="I955" s="35" t="s">
        <v>7017</v>
      </c>
      <c r="J955" s="33" t="s">
        <v>1337</v>
      </c>
    </row>
    <row r="956" spans="1:10" x14ac:dyDescent="0.25">
      <c r="A956" s="23" t="s">
        <v>6616</v>
      </c>
      <c r="B956" s="10" t="s">
        <v>6617</v>
      </c>
      <c r="C956" s="23" t="s">
        <v>1427</v>
      </c>
      <c r="D956" s="28" t="s">
        <v>6618</v>
      </c>
      <c r="E956" s="25">
        <v>106</v>
      </c>
      <c r="F956" s="23" t="str">
        <f>VLOOKUP(B956,'[2]справочник кодов нп'!$A:$D,4,0)</f>
        <v>сельские населенные пункты с численностью населения менее 1 000 человек.</v>
      </c>
      <c r="G956" s="23" t="s">
        <v>1385</v>
      </c>
      <c r="H956" s="10" t="s">
        <v>1427</v>
      </c>
      <c r="I956" s="35" t="s">
        <v>7017</v>
      </c>
      <c r="J956" s="33" t="s">
        <v>1337</v>
      </c>
    </row>
    <row r="957" spans="1:10" x14ac:dyDescent="0.25">
      <c r="A957" s="23" t="s">
        <v>6619</v>
      </c>
      <c r="B957" s="10" t="s">
        <v>6620</v>
      </c>
      <c r="C957" s="23" t="s">
        <v>1427</v>
      </c>
      <c r="D957" s="28" t="s">
        <v>6621</v>
      </c>
      <c r="E957" s="25">
        <v>106</v>
      </c>
      <c r="F957" s="23" t="str">
        <f>VLOOKUP(B957,'[2]справочник кодов нп'!$A:$D,4,0)</f>
        <v>сельские населенные пункты с численностью населения менее 1 000 человек.</v>
      </c>
      <c r="G957" s="23" t="s">
        <v>1385</v>
      </c>
      <c r="H957" s="10" t="s">
        <v>1427</v>
      </c>
      <c r="I957" s="35" t="s">
        <v>7017</v>
      </c>
      <c r="J957" s="33" t="s">
        <v>1337</v>
      </c>
    </row>
    <row r="958" spans="1:10" x14ac:dyDescent="0.25">
      <c r="A958" s="23" t="s">
        <v>6945</v>
      </c>
      <c r="B958" s="10" t="s">
        <v>6946</v>
      </c>
      <c r="C958" s="23" t="s">
        <v>1427</v>
      </c>
      <c r="D958" s="28" t="s">
        <v>6846</v>
      </c>
      <c r="E958" s="25">
        <v>106</v>
      </c>
      <c r="F958" s="23" t="str">
        <f>VLOOKUP(B958,'[2]справочник кодов нп'!$A:$D,4,0)</f>
        <v>межселенная территория</v>
      </c>
      <c r="G958" s="23" t="s">
        <v>1385</v>
      </c>
      <c r="H958" s="10" t="s">
        <v>1427</v>
      </c>
      <c r="I958" s="35" t="s">
        <v>7019</v>
      </c>
      <c r="J958" s="33" t="s">
        <v>1337</v>
      </c>
    </row>
    <row r="959" spans="1:10" x14ac:dyDescent="0.25">
      <c r="A959" s="23" t="s">
        <v>6994</v>
      </c>
      <c r="B959" s="10" t="s">
        <v>6946</v>
      </c>
      <c r="C959" s="23" t="s">
        <v>1427</v>
      </c>
      <c r="D959" s="28" t="s">
        <v>6846</v>
      </c>
      <c r="E959" s="25">
        <v>106</v>
      </c>
      <c r="F959" s="23" t="str">
        <f>VLOOKUP(B959,'[2]справочник кодов нп'!$A:$D,4,0)</f>
        <v>межселенная территория</v>
      </c>
      <c r="G959" s="23" t="s">
        <v>1385</v>
      </c>
      <c r="H959" s="10" t="s">
        <v>1427</v>
      </c>
      <c r="I959" s="35" t="s">
        <v>7019</v>
      </c>
      <c r="J959" s="33" t="s">
        <v>1337</v>
      </c>
    </row>
    <row r="960" spans="1:10" x14ac:dyDescent="0.25">
      <c r="A960" s="23" t="s">
        <v>6995</v>
      </c>
      <c r="B960" s="10" t="s">
        <v>6946</v>
      </c>
      <c r="C960" s="23" t="s">
        <v>1427</v>
      </c>
      <c r="D960" s="28" t="s">
        <v>6846</v>
      </c>
      <c r="E960" s="25">
        <v>106</v>
      </c>
      <c r="F960" s="23" t="str">
        <f>VLOOKUP(B960,'[2]справочник кодов нп'!$A:$D,4,0)</f>
        <v>межселенная территория</v>
      </c>
      <c r="G960" s="23" t="s">
        <v>1385</v>
      </c>
      <c r="H960" s="10" t="s">
        <v>1427</v>
      </c>
      <c r="I960" s="35" t="s">
        <v>7019</v>
      </c>
      <c r="J960" s="33" t="s">
        <v>1337</v>
      </c>
    </row>
    <row r="961" spans="1:10" x14ac:dyDescent="0.25">
      <c r="A961" s="23" t="s">
        <v>6996</v>
      </c>
      <c r="B961" s="10" t="s">
        <v>6946</v>
      </c>
      <c r="C961" s="23" t="s">
        <v>1427</v>
      </c>
      <c r="D961" s="28" t="s">
        <v>6846</v>
      </c>
      <c r="E961" s="25">
        <v>106</v>
      </c>
      <c r="F961" s="23" t="str">
        <f>VLOOKUP(B961,'[2]справочник кодов нп'!$A:$D,4,0)</f>
        <v>межселенная территория</v>
      </c>
      <c r="G961" s="23" t="s">
        <v>1385</v>
      </c>
      <c r="H961" s="10" t="s">
        <v>1427</v>
      </c>
      <c r="I961" s="35" t="s">
        <v>7019</v>
      </c>
      <c r="J961" s="33" t="s">
        <v>1337</v>
      </c>
    </row>
    <row r="962" spans="1:10" x14ac:dyDescent="0.25">
      <c r="A962" s="23" t="s">
        <v>6997</v>
      </c>
      <c r="B962" s="10" t="s">
        <v>6946</v>
      </c>
      <c r="C962" s="23" t="s">
        <v>1427</v>
      </c>
      <c r="D962" s="28" t="s">
        <v>6846</v>
      </c>
      <c r="E962" s="25">
        <v>106</v>
      </c>
      <c r="F962" s="23" t="str">
        <f>VLOOKUP(B962,'[2]справочник кодов нп'!$A:$D,4,0)</f>
        <v>межселенная территория</v>
      </c>
      <c r="G962" s="23" t="s">
        <v>1385</v>
      </c>
      <c r="H962" s="10" t="s">
        <v>1427</v>
      </c>
      <c r="I962" s="35" t="s">
        <v>7019</v>
      </c>
      <c r="J962" s="33" t="s">
        <v>1337</v>
      </c>
    </row>
    <row r="963" spans="1:10" x14ac:dyDescent="0.25">
      <c r="A963" s="23" t="s">
        <v>6998</v>
      </c>
      <c r="B963" s="10" t="s">
        <v>6946</v>
      </c>
      <c r="C963" s="23" t="s">
        <v>1427</v>
      </c>
      <c r="D963" s="28" t="s">
        <v>6846</v>
      </c>
      <c r="E963" s="25">
        <v>106</v>
      </c>
      <c r="F963" s="23" t="str">
        <f>VLOOKUP(B963,'[2]справочник кодов нп'!$A:$D,4,0)</f>
        <v>межселенная территория</v>
      </c>
      <c r="G963" s="23" t="s">
        <v>1385</v>
      </c>
      <c r="H963" s="10" t="s">
        <v>1427</v>
      </c>
      <c r="I963" s="35" t="s">
        <v>7019</v>
      </c>
      <c r="J963" s="33" t="s">
        <v>1337</v>
      </c>
    </row>
    <row r="964" spans="1:10" x14ac:dyDescent="0.25">
      <c r="A964" s="23" t="s">
        <v>1432</v>
      </c>
      <c r="B964" s="10" t="s">
        <v>1433</v>
      </c>
      <c r="C964" s="23" t="s">
        <v>1434</v>
      </c>
      <c r="D964" s="28" t="s">
        <v>1435</v>
      </c>
      <c r="E964" s="25">
        <v>106</v>
      </c>
      <c r="F964" s="23" t="str">
        <f>VLOOKUP(B964,'[2]справочник кодов нп'!$A:$D,4,0)</f>
        <v>городские населенные пункты с численностью населения менее 50 000 человек;</v>
      </c>
      <c r="G964" s="23" t="s">
        <v>1385</v>
      </c>
      <c r="H964" s="10" t="s">
        <v>1434</v>
      </c>
      <c r="I964" s="35" t="s">
        <v>7017</v>
      </c>
      <c r="J964" s="33" t="s">
        <v>1337</v>
      </c>
    </row>
    <row r="965" spans="1:10" x14ac:dyDescent="0.25">
      <c r="A965" s="23" t="s">
        <v>4566</v>
      </c>
      <c r="B965" s="10" t="s">
        <v>4567</v>
      </c>
      <c r="C965" s="23" t="s">
        <v>1434</v>
      </c>
      <c r="D965" s="28" t="s">
        <v>4568</v>
      </c>
      <c r="E965" s="25">
        <v>106</v>
      </c>
      <c r="F965" s="23" t="str">
        <f>VLOOKUP(B965,'[2]справочник кодов нп'!$A:$D,4,0)</f>
        <v>сельские населенные пункты с численностью населения менее 1 000 человек.</v>
      </c>
      <c r="G965" s="23" t="s">
        <v>1385</v>
      </c>
      <c r="H965" s="10" t="s">
        <v>1434</v>
      </c>
      <c r="I965" s="35" t="s">
        <v>7017</v>
      </c>
      <c r="J965" s="33" t="s">
        <v>1337</v>
      </c>
    </row>
    <row r="966" spans="1:10" x14ac:dyDescent="0.25">
      <c r="A966" s="23" t="s">
        <v>4569</v>
      </c>
      <c r="B966" s="10" t="s">
        <v>4570</v>
      </c>
      <c r="C966" s="23" t="s">
        <v>1434</v>
      </c>
      <c r="D966" s="28" t="s">
        <v>4571</v>
      </c>
      <c r="E966" s="25">
        <v>106</v>
      </c>
      <c r="F966" s="23" t="str">
        <f>VLOOKUP(B966,'[2]справочник кодов нп'!$A:$D,4,0)</f>
        <v>сельские населенные пункты с численностью населения менее 1 000 человек.</v>
      </c>
      <c r="G966" s="23" t="s">
        <v>1385</v>
      </c>
      <c r="H966" s="10" t="s">
        <v>1434</v>
      </c>
      <c r="I966" s="35" t="s">
        <v>7017</v>
      </c>
      <c r="J966" s="33" t="s">
        <v>1337</v>
      </c>
    </row>
    <row r="967" spans="1:10" x14ac:dyDescent="0.25">
      <c r="A967" s="23" t="s">
        <v>6929</v>
      </c>
      <c r="B967" s="10" t="s">
        <v>6930</v>
      </c>
      <c r="C967" s="23" t="s">
        <v>1434</v>
      </c>
      <c r="D967" s="28" t="s">
        <v>6846</v>
      </c>
      <c r="E967" s="25">
        <v>106</v>
      </c>
      <c r="F967" s="23" t="str">
        <f>VLOOKUP(B967,'[2]справочник кодов нп'!$A:$D,4,0)</f>
        <v>межселенная территория</v>
      </c>
      <c r="G967" s="23" t="s">
        <v>1385</v>
      </c>
      <c r="H967" s="10" t="s">
        <v>1434</v>
      </c>
      <c r="I967" s="35" t="s">
        <v>7019</v>
      </c>
      <c r="J967" s="33" t="s">
        <v>1337</v>
      </c>
    </row>
    <row r="968" spans="1:10" x14ac:dyDescent="0.25">
      <c r="A968" s="23" t="s">
        <v>4572</v>
      </c>
      <c r="B968" s="10" t="s">
        <v>4573</v>
      </c>
      <c r="C968" s="23" t="s">
        <v>4574</v>
      </c>
      <c r="D968" s="28" t="s">
        <v>4575</v>
      </c>
      <c r="E968" s="25">
        <v>106</v>
      </c>
      <c r="F968" s="23" t="str">
        <f>VLOOKUP(B968,'[2]справочник кодов нп'!$A:$D,4,0)</f>
        <v>сельские населенные пункты с численностью населения менее 1 000 человек.</v>
      </c>
      <c r="G968" s="23" t="s">
        <v>1385</v>
      </c>
      <c r="H968" s="10" t="s">
        <v>4574</v>
      </c>
      <c r="I968" s="35" t="s">
        <v>7017</v>
      </c>
      <c r="J968" s="33" t="s">
        <v>1337</v>
      </c>
    </row>
    <row r="969" spans="1:10" x14ac:dyDescent="0.25">
      <c r="A969" s="23" t="s">
        <v>4576</v>
      </c>
      <c r="B969" s="10" t="s">
        <v>4577</v>
      </c>
      <c r="C969" s="23" t="s">
        <v>4574</v>
      </c>
      <c r="D969" s="28" t="s">
        <v>4578</v>
      </c>
      <c r="E969" s="25">
        <v>106</v>
      </c>
      <c r="F969" s="23" t="str">
        <f>VLOOKUP(B969,'[2]справочник кодов нп'!$A:$D,4,0)</f>
        <v>сельские населенные пункты с численностью населения менее 1 000 человек.</v>
      </c>
      <c r="G969" s="23" t="s">
        <v>1385</v>
      </c>
      <c r="H969" s="10" t="s">
        <v>4574</v>
      </c>
      <c r="I969" s="35" t="s">
        <v>7017</v>
      </c>
      <c r="J969" s="33" t="s">
        <v>1337</v>
      </c>
    </row>
    <row r="970" spans="1:10" x14ac:dyDescent="0.25">
      <c r="A970" s="23" t="s">
        <v>4579</v>
      </c>
      <c r="B970" s="10" t="s">
        <v>4580</v>
      </c>
      <c r="C970" s="23" t="s">
        <v>4574</v>
      </c>
      <c r="D970" s="28" t="s">
        <v>4581</v>
      </c>
      <c r="E970" s="25">
        <v>106</v>
      </c>
      <c r="F970" s="23" t="str">
        <f>VLOOKUP(B970,'[2]справочник кодов нп'!$A:$D,4,0)</f>
        <v>сельские населенные пункты с численностью населения менее 1 000 человек.</v>
      </c>
      <c r="G970" s="23" t="s">
        <v>1385</v>
      </c>
      <c r="H970" s="10" t="s">
        <v>4574</v>
      </c>
      <c r="I970" s="35" t="s">
        <v>7017</v>
      </c>
      <c r="J970" s="33" t="s">
        <v>1337</v>
      </c>
    </row>
    <row r="971" spans="1:10" x14ac:dyDescent="0.25">
      <c r="A971" s="23" t="s">
        <v>4582</v>
      </c>
      <c r="B971" s="10" t="s">
        <v>4583</v>
      </c>
      <c r="C971" s="23" t="s">
        <v>4574</v>
      </c>
      <c r="D971" s="28" t="s">
        <v>4584</v>
      </c>
      <c r="E971" s="25">
        <v>106</v>
      </c>
      <c r="F971" s="23" t="str">
        <f>VLOOKUP(B971,'[2]справочник кодов нп'!$A:$D,4,0)</f>
        <v>сельские населенные пункты с численностью населения менее 1 000 человек.</v>
      </c>
      <c r="G971" s="23" t="s">
        <v>1385</v>
      </c>
      <c r="H971" s="10" t="s">
        <v>4574</v>
      </c>
      <c r="I971" s="35" t="s">
        <v>7017</v>
      </c>
      <c r="J971" s="33" t="s">
        <v>1337</v>
      </c>
    </row>
    <row r="972" spans="1:10" x14ac:dyDescent="0.25">
      <c r="A972" s="23" t="s">
        <v>4585</v>
      </c>
      <c r="B972" s="10" t="s">
        <v>4586</v>
      </c>
      <c r="C972" s="23" t="s">
        <v>4574</v>
      </c>
      <c r="D972" s="28" t="s">
        <v>4587</v>
      </c>
      <c r="E972" s="25">
        <v>106</v>
      </c>
      <c r="F972" s="23" t="str">
        <f>VLOOKUP(B972,'[2]справочник кодов нп'!$A:$D,4,0)</f>
        <v>сельские населенные пункты с численностью населения менее 1 000 человек.</v>
      </c>
      <c r="G972" s="23" t="s">
        <v>1385</v>
      </c>
      <c r="H972" s="10" t="s">
        <v>4574</v>
      </c>
      <c r="I972" s="35" t="s">
        <v>7017</v>
      </c>
      <c r="J972" s="33" t="s">
        <v>1337</v>
      </c>
    </row>
    <row r="973" spans="1:10" x14ac:dyDescent="0.25">
      <c r="A973" s="23" t="s">
        <v>4875</v>
      </c>
      <c r="B973" s="10" t="s">
        <v>4876</v>
      </c>
      <c r="C973" s="23" t="s">
        <v>4574</v>
      </c>
      <c r="D973" s="28" t="s">
        <v>4877</v>
      </c>
      <c r="E973" s="25">
        <v>106</v>
      </c>
      <c r="F973" s="23" t="str">
        <f>VLOOKUP(B973,'[2]справочник кодов нп'!$A:$D,4,0)</f>
        <v>сельские населенные пункты с численностью населения менее 1 000 человек.</v>
      </c>
      <c r="G973" s="23" t="s">
        <v>1385</v>
      </c>
      <c r="H973" s="10" t="s">
        <v>4574</v>
      </c>
      <c r="I973" s="35" t="s">
        <v>7017</v>
      </c>
      <c r="J973" s="33" t="s">
        <v>1337</v>
      </c>
    </row>
    <row r="974" spans="1:10" x14ac:dyDescent="0.25">
      <c r="A974" s="23" t="s">
        <v>6589</v>
      </c>
      <c r="B974" s="10" t="s">
        <v>6590</v>
      </c>
      <c r="C974" s="23" t="s">
        <v>4574</v>
      </c>
      <c r="D974" s="28" t="s">
        <v>6591</v>
      </c>
      <c r="E974" s="25">
        <v>106</v>
      </c>
      <c r="F974" s="23" t="str">
        <f>VLOOKUP(B974,'[2]справочник кодов нп'!$A:$D,4,0)</f>
        <v>городские населенные пункты с численностью населения менее 50 000 человек;</v>
      </c>
      <c r="G974" s="23" t="s">
        <v>1385</v>
      </c>
      <c r="H974" s="10" t="s">
        <v>4574</v>
      </c>
      <c r="I974" s="35" t="s">
        <v>7017</v>
      </c>
      <c r="J974" s="33" t="s">
        <v>1337</v>
      </c>
    </row>
    <row r="975" spans="1:10" x14ac:dyDescent="0.25">
      <c r="A975" s="23" t="s">
        <v>6592</v>
      </c>
      <c r="B975" s="10" t="s">
        <v>6593</v>
      </c>
      <c r="C975" s="23" t="s">
        <v>4574</v>
      </c>
      <c r="D975" s="28" t="s">
        <v>6594</v>
      </c>
      <c r="E975" s="25">
        <v>106</v>
      </c>
      <c r="F975" s="23" t="str">
        <f>VLOOKUP(B975,'[2]справочник кодов нп'!$A:$D,4,0)</f>
        <v>сельские населенные пункты с численностью населения менее 1 000 человек.</v>
      </c>
      <c r="G975" s="23" t="s">
        <v>1385</v>
      </c>
      <c r="H975" s="10" t="s">
        <v>4574</v>
      </c>
      <c r="I975" s="35" t="s">
        <v>7017</v>
      </c>
      <c r="J975" s="33" t="s">
        <v>1337</v>
      </c>
    </row>
    <row r="976" spans="1:10" x14ac:dyDescent="0.25">
      <c r="A976" s="23" t="s">
        <v>6931</v>
      </c>
      <c r="B976" s="10" t="s">
        <v>6932</v>
      </c>
      <c r="C976" s="23" t="s">
        <v>4574</v>
      </c>
      <c r="D976" s="28" t="s">
        <v>6846</v>
      </c>
      <c r="E976" s="25">
        <v>106</v>
      </c>
      <c r="F976" s="23" t="str">
        <f>VLOOKUP(B976,'[2]справочник кодов нп'!$A:$D,4,0)</f>
        <v>межселенная территория</v>
      </c>
      <c r="G976" s="23" t="s">
        <v>1385</v>
      </c>
      <c r="H976" s="10" t="s">
        <v>4574</v>
      </c>
      <c r="I976" s="35" t="s">
        <v>7019</v>
      </c>
      <c r="J976" s="33" t="s">
        <v>1337</v>
      </c>
    </row>
    <row r="977" spans="1:10" x14ac:dyDescent="0.25">
      <c r="A977" s="23" t="s">
        <v>4625</v>
      </c>
      <c r="B977" s="10" t="s">
        <v>4626</v>
      </c>
      <c r="C977" s="23" t="s">
        <v>4627</v>
      </c>
      <c r="D977" s="28" t="s">
        <v>4628</v>
      </c>
      <c r="E977" s="25">
        <v>106</v>
      </c>
      <c r="F977" s="23" t="str">
        <f>VLOOKUP(B977,'[2]справочник кодов нп'!$A:$D,4,0)</f>
        <v>сельские населенные пункты с численностью населения менее 1 000 человек.</v>
      </c>
      <c r="G977" s="23" t="s">
        <v>1385</v>
      </c>
      <c r="H977" s="10" t="s">
        <v>4627</v>
      </c>
      <c r="I977" s="35" t="s">
        <v>7017</v>
      </c>
      <c r="J977" s="33" t="s">
        <v>1337</v>
      </c>
    </row>
    <row r="978" spans="1:10" x14ac:dyDescent="0.25">
      <c r="A978" s="23" t="s">
        <v>4629</v>
      </c>
      <c r="B978" s="10" t="s">
        <v>4630</v>
      </c>
      <c r="C978" s="23" t="s">
        <v>4627</v>
      </c>
      <c r="D978" s="28" t="s">
        <v>4631</v>
      </c>
      <c r="E978" s="25">
        <v>106</v>
      </c>
      <c r="F978" s="23" t="str">
        <f>VLOOKUP(B978,'[2]справочник кодов нп'!$A:$D,4,0)</f>
        <v>сельские населенные пункты с численностью населения менее 1 000 человек.</v>
      </c>
      <c r="G978" s="23" t="s">
        <v>1385</v>
      </c>
      <c r="H978" s="10" t="s">
        <v>4627</v>
      </c>
      <c r="I978" s="35" t="s">
        <v>7017</v>
      </c>
      <c r="J978" s="33" t="s">
        <v>1337</v>
      </c>
    </row>
    <row r="979" spans="1:10" x14ac:dyDescent="0.25">
      <c r="A979" s="23" t="s">
        <v>4632</v>
      </c>
      <c r="B979" s="10" t="s">
        <v>4633</v>
      </c>
      <c r="C979" s="23" t="s">
        <v>4627</v>
      </c>
      <c r="D979" s="28" t="s">
        <v>2679</v>
      </c>
      <c r="E979" s="25">
        <v>106</v>
      </c>
      <c r="F979" s="23" t="str">
        <f>VLOOKUP(B979,'[2]справочник кодов нп'!$A:$D,4,0)</f>
        <v>сельские населенные пункты с численностью населения менее 1 000 человек.</v>
      </c>
      <c r="G979" s="23" t="s">
        <v>1385</v>
      </c>
      <c r="H979" s="10" t="s">
        <v>4627</v>
      </c>
      <c r="I979" s="35" t="s">
        <v>7017</v>
      </c>
      <c r="J979" s="33" t="s">
        <v>1337</v>
      </c>
    </row>
    <row r="980" spans="1:10" x14ac:dyDescent="0.25">
      <c r="A980" s="23" t="s">
        <v>4634</v>
      </c>
      <c r="B980" s="10" t="s">
        <v>4635</v>
      </c>
      <c r="C980" s="23" t="s">
        <v>4627</v>
      </c>
      <c r="D980" s="28" t="s">
        <v>4636</v>
      </c>
      <c r="E980" s="25">
        <v>106</v>
      </c>
      <c r="F980" s="23" t="str">
        <f>VLOOKUP(B980,'[2]справочник кодов нп'!$A:$D,4,0)</f>
        <v>сельские населенные пункты с численностью населения менее 1 000 человек.</v>
      </c>
      <c r="G980" s="23" t="s">
        <v>1385</v>
      </c>
      <c r="H980" s="10" t="s">
        <v>4627</v>
      </c>
      <c r="I980" s="35" t="s">
        <v>7017</v>
      </c>
      <c r="J980" s="33" t="s">
        <v>1337</v>
      </c>
    </row>
    <row r="981" spans="1:10" x14ac:dyDescent="0.25">
      <c r="A981" s="23" t="s">
        <v>4637</v>
      </c>
      <c r="B981" s="10" t="s">
        <v>4638</v>
      </c>
      <c r="C981" s="23" t="s">
        <v>4627</v>
      </c>
      <c r="D981" s="28" t="s">
        <v>2726</v>
      </c>
      <c r="E981" s="25">
        <v>106</v>
      </c>
      <c r="F981" s="23" t="str">
        <f>VLOOKUP(B981,'[2]справочник кодов нп'!$A:$D,4,0)</f>
        <v>сельские населенные пункты с численностью населения менее 1 000 человек.</v>
      </c>
      <c r="G981" s="23" t="s">
        <v>1385</v>
      </c>
      <c r="H981" s="10" t="s">
        <v>4627</v>
      </c>
      <c r="I981" s="35" t="s">
        <v>7017</v>
      </c>
      <c r="J981" s="33" t="s">
        <v>1337</v>
      </c>
    </row>
    <row r="982" spans="1:10" x14ac:dyDescent="0.25">
      <c r="A982" s="23" t="s">
        <v>4639</v>
      </c>
      <c r="B982" s="10" t="s">
        <v>4640</v>
      </c>
      <c r="C982" s="23" t="s">
        <v>4627</v>
      </c>
      <c r="D982" s="28" t="s">
        <v>4641</v>
      </c>
      <c r="E982" s="25">
        <v>106</v>
      </c>
      <c r="F982" s="23" t="str">
        <f>VLOOKUP(B982,'[2]справочник кодов нп'!$A:$D,4,0)</f>
        <v>сельские населенные пункты с численностью населения менее 1 000 человек.</v>
      </c>
      <c r="G982" s="23" t="s">
        <v>1385</v>
      </c>
      <c r="H982" s="10" t="s">
        <v>4627</v>
      </c>
      <c r="I982" s="35" t="s">
        <v>7017</v>
      </c>
      <c r="J982" s="33" t="s">
        <v>1337</v>
      </c>
    </row>
    <row r="983" spans="1:10" x14ac:dyDescent="0.25">
      <c r="A983" s="23" t="s">
        <v>6325</v>
      </c>
      <c r="B983" s="10" t="s">
        <v>6326</v>
      </c>
      <c r="C983" s="23" t="s">
        <v>4627</v>
      </c>
      <c r="D983" s="28" t="s">
        <v>4358</v>
      </c>
      <c r="E983" s="25">
        <v>106</v>
      </c>
      <c r="F983" s="23" t="str">
        <f>VLOOKUP(B983,'[2]справочник кодов нп'!$A:$D,4,0)</f>
        <v>сельские населенные пункты с численностью населения менее 1 000 человек.</v>
      </c>
      <c r="G983" s="23" t="s">
        <v>1385</v>
      </c>
      <c r="H983" s="10" t="s">
        <v>4627</v>
      </c>
      <c r="I983" s="35" t="s">
        <v>7017</v>
      </c>
      <c r="J983" s="33" t="s">
        <v>1337</v>
      </c>
    </row>
    <row r="984" spans="1:10" x14ac:dyDescent="0.25">
      <c r="A984" s="23" t="s">
        <v>6327</v>
      </c>
      <c r="B984" s="10" t="s">
        <v>6328</v>
      </c>
      <c r="C984" s="23" t="s">
        <v>4627</v>
      </c>
      <c r="D984" s="28" t="s">
        <v>6329</v>
      </c>
      <c r="E984" s="25">
        <v>106</v>
      </c>
      <c r="F984" s="23" t="str">
        <f>VLOOKUP(B984,'[2]справочник кодов нп'!$A:$D,4,0)</f>
        <v>сельские населенные пункты с численностью населения менее 1 000 человек.</v>
      </c>
      <c r="G984" s="23" t="s">
        <v>1385</v>
      </c>
      <c r="H984" s="10" t="s">
        <v>4627</v>
      </c>
      <c r="I984" s="35" t="s">
        <v>7017</v>
      </c>
      <c r="J984" s="33" t="s">
        <v>1337</v>
      </c>
    </row>
    <row r="985" spans="1:10" x14ac:dyDescent="0.25">
      <c r="A985" s="23" t="s">
        <v>6330</v>
      </c>
      <c r="B985" s="10" t="s">
        <v>6331</v>
      </c>
      <c r="C985" s="23" t="s">
        <v>4627</v>
      </c>
      <c r="D985" s="28" t="s">
        <v>6332</v>
      </c>
      <c r="E985" s="25">
        <v>106</v>
      </c>
      <c r="F985" s="23" t="str">
        <f>VLOOKUP(B985,'[2]справочник кодов нп'!$A:$D,4,0)</f>
        <v>сельские населенные пункты с численностью населения менее 1 000 человек.</v>
      </c>
      <c r="G985" s="23" t="s">
        <v>1385</v>
      </c>
      <c r="H985" s="10" t="s">
        <v>4627</v>
      </c>
      <c r="I985" s="35" t="s">
        <v>7017</v>
      </c>
      <c r="J985" s="33" t="s">
        <v>1337</v>
      </c>
    </row>
    <row r="986" spans="1:10" x14ac:dyDescent="0.25">
      <c r="A986" s="23" t="s">
        <v>6333</v>
      </c>
      <c r="B986" s="10" t="s">
        <v>6334</v>
      </c>
      <c r="C986" s="23" t="s">
        <v>4627</v>
      </c>
      <c r="D986" s="28" t="s">
        <v>6335</v>
      </c>
      <c r="E986" s="25">
        <v>106</v>
      </c>
      <c r="F986" s="23" t="str">
        <f>VLOOKUP(B986,'[2]справочник кодов нп'!$A:$D,4,0)</f>
        <v>сельские населенные пункты с численностью населения менее 1 000 человек.</v>
      </c>
      <c r="G986" s="23" t="s">
        <v>1385</v>
      </c>
      <c r="H986" s="10" t="s">
        <v>4627</v>
      </c>
      <c r="I986" s="35" t="s">
        <v>7017</v>
      </c>
      <c r="J986" s="33" t="s">
        <v>1337</v>
      </c>
    </row>
    <row r="987" spans="1:10" x14ac:dyDescent="0.25">
      <c r="A987" s="23" t="s">
        <v>6490</v>
      </c>
      <c r="B987" s="10" t="s">
        <v>6491</v>
      </c>
      <c r="C987" s="23" t="s">
        <v>4627</v>
      </c>
      <c r="D987" s="28" t="s">
        <v>6492</v>
      </c>
      <c r="E987" s="25">
        <v>106</v>
      </c>
      <c r="F987" s="23" t="str">
        <f>VLOOKUP(B987,'[2]справочник кодов нп'!$A:$D,4,0)</f>
        <v>сельские населенные пункты с численностью населения менее 1 000 человек.</v>
      </c>
      <c r="G987" s="23" t="s">
        <v>1385</v>
      </c>
      <c r="H987" s="10" t="s">
        <v>4627</v>
      </c>
      <c r="I987" s="35" t="s">
        <v>7017</v>
      </c>
      <c r="J987" s="33" t="s">
        <v>1337</v>
      </c>
    </row>
    <row r="988" spans="1:10" x14ac:dyDescent="0.25">
      <c r="A988" s="23" t="s">
        <v>6493</v>
      </c>
      <c r="B988" s="10" t="s">
        <v>6494</v>
      </c>
      <c r="C988" s="23" t="s">
        <v>4627</v>
      </c>
      <c r="D988" s="28" t="s">
        <v>6495</v>
      </c>
      <c r="E988" s="25">
        <v>106</v>
      </c>
      <c r="F988" s="23" t="str">
        <f>VLOOKUP(B988,'[2]справочник кодов нп'!$A:$D,4,0)</f>
        <v>сельские населенные пункты с численностью населения более 1 000 человек;</v>
      </c>
      <c r="G988" s="23" t="s">
        <v>1385</v>
      </c>
      <c r="H988" s="10" t="s">
        <v>4627</v>
      </c>
      <c r="I988" s="35" t="s">
        <v>7017</v>
      </c>
      <c r="J988" s="33" t="s">
        <v>1337</v>
      </c>
    </row>
    <row r="989" spans="1:10" x14ac:dyDescent="0.25">
      <c r="A989" s="23" t="s">
        <v>6802</v>
      </c>
      <c r="B989" s="10" t="s">
        <v>6803</v>
      </c>
      <c r="C989" s="23" t="s">
        <v>4627</v>
      </c>
      <c r="D989" s="28" t="s">
        <v>6804</v>
      </c>
      <c r="E989" s="25">
        <v>106</v>
      </c>
      <c r="F989" s="23" t="str">
        <f>VLOOKUP(B989,'[2]справочник кодов нп'!$A:$D,4,0)</f>
        <v>городские населенные пункты с численностью населения менее 50 000 человек;</v>
      </c>
      <c r="G989" s="23" t="s">
        <v>1385</v>
      </c>
      <c r="H989" s="10" t="s">
        <v>4627</v>
      </c>
      <c r="I989" s="35" t="s">
        <v>7017</v>
      </c>
      <c r="J989" s="33" t="s">
        <v>1337</v>
      </c>
    </row>
    <row r="990" spans="1:10" x14ac:dyDescent="0.25">
      <c r="A990" s="23" t="s">
        <v>6933</v>
      </c>
      <c r="B990" s="10" t="s">
        <v>6934</v>
      </c>
      <c r="C990" s="23" t="s">
        <v>4627</v>
      </c>
      <c r="D990" s="28" t="s">
        <v>6846</v>
      </c>
      <c r="E990" s="25">
        <v>106</v>
      </c>
      <c r="F990" s="23" t="str">
        <f>VLOOKUP(B990,'[2]справочник кодов нп'!$A:$D,4,0)</f>
        <v>межселенная территория</v>
      </c>
      <c r="G990" s="23" t="s">
        <v>1385</v>
      </c>
      <c r="H990" s="10" t="s">
        <v>4627</v>
      </c>
      <c r="I990" s="35" t="s">
        <v>7019</v>
      </c>
      <c r="J990" s="33" t="s">
        <v>1337</v>
      </c>
    </row>
    <row r="991" spans="1:10" x14ac:dyDescent="0.25">
      <c r="A991" s="23" t="s">
        <v>1478</v>
      </c>
      <c r="B991" s="10" t="s">
        <v>1479</v>
      </c>
      <c r="C991" s="23" t="s">
        <v>1480</v>
      </c>
      <c r="D991" s="28" t="s">
        <v>1481</v>
      </c>
      <c r="E991" s="25">
        <v>106</v>
      </c>
      <c r="F991" s="23" t="str">
        <f>VLOOKUP(B991,'[2]справочник кодов нп'!$A:$D,4,0)</f>
        <v>сельские населенные пункты с численностью населения менее 1 000 человек.</v>
      </c>
      <c r="G991" s="23" t="s">
        <v>1385</v>
      </c>
      <c r="H991" s="10" t="s">
        <v>1480</v>
      </c>
      <c r="I991" s="35" t="s">
        <v>7017</v>
      </c>
      <c r="J991" s="33" t="s">
        <v>1337</v>
      </c>
    </row>
    <row r="992" spans="1:10" x14ac:dyDescent="0.25">
      <c r="A992" s="23" t="s">
        <v>1532</v>
      </c>
      <c r="B992" s="10" t="s">
        <v>1533</v>
      </c>
      <c r="C992" s="23" t="s">
        <v>1480</v>
      </c>
      <c r="D992" s="28" t="s">
        <v>1534</v>
      </c>
      <c r="E992" s="25">
        <v>106</v>
      </c>
      <c r="F992" s="23" t="str">
        <f>VLOOKUP(B992,'[2]справочник кодов нп'!$A:$D,4,0)</f>
        <v>городские населенные пункты с численностью населения менее 50 000 человек;</v>
      </c>
      <c r="G992" s="23" t="s">
        <v>1385</v>
      </c>
      <c r="H992" s="10" t="s">
        <v>1480</v>
      </c>
      <c r="I992" s="35" t="s">
        <v>7017</v>
      </c>
      <c r="J992" s="33" t="s">
        <v>1337</v>
      </c>
    </row>
    <row r="993" spans="1:10" x14ac:dyDescent="0.25">
      <c r="A993" s="23" t="s">
        <v>5383</v>
      </c>
      <c r="B993" s="10" t="s">
        <v>5384</v>
      </c>
      <c r="C993" s="23" t="s">
        <v>1480</v>
      </c>
      <c r="D993" s="28" t="s">
        <v>5385</v>
      </c>
      <c r="E993" s="25">
        <v>106</v>
      </c>
      <c r="F993" s="23" t="str">
        <f>VLOOKUP(B993,'[2]справочник кодов нп'!$A:$D,4,0)</f>
        <v>сельские населенные пункты с численностью населения менее 1 000 человек.</v>
      </c>
      <c r="G993" s="23" t="s">
        <v>1385</v>
      </c>
      <c r="H993" s="10" t="s">
        <v>1480</v>
      </c>
      <c r="I993" s="35" t="s">
        <v>7017</v>
      </c>
      <c r="J993" s="33" t="s">
        <v>1337</v>
      </c>
    </row>
    <row r="994" spans="1:10" x14ac:dyDescent="0.25">
      <c r="A994" s="23" t="s">
        <v>6595</v>
      </c>
      <c r="B994" s="10" t="s">
        <v>6596</v>
      </c>
      <c r="C994" s="23" t="s">
        <v>1480</v>
      </c>
      <c r="D994" s="28" t="s">
        <v>6597</v>
      </c>
      <c r="E994" s="25">
        <v>106</v>
      </c>
      <c r="F994" s="23" t="str">
        <f>VLOOKUP(B994,'[2]справочник кодов нп'!$A:$D,4,0)</f>
        <v>сельские населенные пункты с численностью населения более 1 000 человек;</v>
      </c>
      <c r="G994" s="23" t="s">
        <v>1385</v>
      </c>
      <c r="H994" s="10" t="s">
        <v>1480</v>
      </c>
      <c r="I994" s="35" t="s">
        <v>7017</v>
      </c>
      <c r="J994" s="33" t="s">
        <v>1337</v>
      </c>
    </row>
    <row r="995" spans="1:10" x14ac:dyDescent="0.25">
      <c r="A995" s="23" t="s">
        <v>6935</v>
      </c>
      <c r="B995" s="10" t="s">
        <v>6936</v>
      </c>
      <c r="C995" s="23" t="s">
        <v>1480</v>
      </c>
      <c r="D995" s="28" t="s">
        <v>6846</v>
      </c>
      <c r="E995" s="25">
        <v>106</v>
      </c>
      <c r="F995" s="23" t="str">
        <f>VLOOKUP(B995,'[2]справочник кодов нп'!$A:$D,4,0)</f>
        <v>межселенная территория</v>
      </c>
      <c r="G995" s="23" t="s">
        <v>1385</v>
      </c>
      <c r="H995" s="10" t="s">
        <v>1480</v>
      </c>
      <c r="I995" s="35" t="s">
        <v>7019</v>
      </c>
      <c r="J995" s="33" t="s">
        <v>1337</v>
      </c>
    </row>
    <row r="996" spans="1:10" x14ac:dyDescent="0.25">
      <c r="A996" s="23" t="s">
        <v>1577</v>
      </c>
      <c r="B996" s="10" t="s">
        <v>1578</v>
      </c>
      <c r="C996" s="23" t="s">
        <v>1579</v>
      </c>
      <c r="D996" s="28" t="s">
        <v>1580</v>
      </c>
      <c r="E996" s="25">
        <v>106</v>
      </c>
      <c r="F996" s="23" t="str">
        <f>VLOOKUP(B996,'[2]справочник кодов нп'!$A:$D,4,0)</f>
        <v>сельские населенные пункты с численностью населения менее 1 000 человек.</v>
      </c>
      <c r="G996" s="23" t="s">
        <v>1385</v>
      </c>
      <c r="H996" s="10" t="s">
        <v>1579</v>
      </c>
      <c r="I996" s="35" t="s">
        <v>7017</v>
      </c>
      <c r="J996" s="33" t="s">
        <v>1337</v>
      </c>
    </row>
    <row r="997" spans="1:10" x14ac:dyDescent="0.25">
      <c r="A997" s="23" t="s">
        <v>1596</v>
      </c>
      <c r="B997" s="10" t="s">
        <v>1597</v>
      </c>
      <c r="C997" s="23" t="s">
        <v>1579</v>
      </c>
      <c r="D997" s="28" t="s">
        <v>1598</v>
      </c>
      <c r="E997" s="25">
        <v>106</v>
      </c>
      <c r="F997" s="23" t="str">
        <f>VLOOKUP(B997,'[2]справочник кодов нп'!$A:$D,4,0)</f>
        <v>сельские населенные пункты с численностью населения менее 1 000 человек.</v>
      </c>
      <c r="G997" s="23" t="s">
        <v>1385</v>
      </c>
      <c r="H997" s="10" t="s">
        <v>1579</v>
      </c>
      <c r="I997" s="35" t="s">
        <v>7017</v>
      </c>
      <c r="J997" s="33" t="s">
        <v>1337</v>
      </c>
    </row>
    <row r="998" spans="1:10" x14ac:dyDescent="0.25">
      <c r="A998" s="23" t="s">
        <v>1599</v>
      </c>
      <c r="B998" s="10" t="s">
        <v>1600</v>
      </c>
      <c r="C998" s="23" t="s">
        <v>1579</v>
      </c>
      <c r="D998" s="28" t="s">
        <v>1601</v>
      </c>
      <c r="E998" s="25">
        <v>106</v>
      </c>
      <c r="F998" s="23" t="str">
        <f>VLOOKUP(B998,'[2]справочник кодов нп'!$A:$D,4,0)</f>
        <v>сельские населенные пункты с численностью населения менее 1 000 человек.</v>
      </c>
      <c r="G998" s="23" t="s">
        <v>1385</v>
      </c>
      <c r="H998" s="10" t="s">
        <v>1579</v>
      </c>
      <c r="I998" s="35" t="s">
        <v>7017</v>
      </c>
      <c r="J998" s="33" t="s">
        <v>1337</v>
      </c>
    </row>
    <row r="999" spans="1:10" x14ac:dyDescent="0.25">
      <c r="A999" s="23" t="s">
        <v>1608</v>
      </c>
      <c r="B999" s="10" t="s">
        <v>1609</v>
      </c>
      <c r="C999" s="23" t="s">
        <v>1579</v>
      </c>
      <c r="D999" s="28" t="s">
        <v>1610</v>
      </c>
      <c r="E999" s="25">
        <v>106</v>
      </c>
      <c r="F999" s="23" t="str">
        <f>VLOOKUP(B999,'[2]справочник кодов нп'!$A:$D,4,0)</f>
        <v>сельские населенные пункты с численностью населения менее 1 000 человек.</v>
      </c>
      <c r="G999" s="23" t="s">
        <v>1385</v>
      </c>
      <c r="H999" s="10" t="s">
        <v>1579</v>
      </c>
      <c r="I999" s="35" t="s">
        <v>7017</v>
      </c>
      <c r="J999" s="33" t="s">
        <v>1337</v>
      </c>
    </row>
    <row r="1000" spans="1:10" x14ac:dyDescent="0.25">
      <c r="A1000" s="23" t="s">
        <v>1626</v>
      </c>
      <c r="B1000" s="10" t="s">
        <v>1627</v>
      </c>
      <c r="C1000" s="23" t="s">
        <v>1579</v>
      </c>
      <c r="D1000" s="28" t="s">
        <v>1628</v>
      </c>
      <c r="E1000" s="25">
        <v>106</v>
      </c>
      <c r="F1000" s="23" t="str">
        <f>VLOOKUP(B1000,'[2]справочник кодов нп'!$A:$D,4,0)</f>
        <v>сельские населенные пункты с численностью населения менее 1 000 человек.</v>
      </c>
      <c r="G1000" s="23" t="s">
        <v>1385</v>
      </c>
      <c r="H1000" s="10" t="s">
        <v>1579</v>
      </c>
      <c r="I1000" s="35" t="s">
        <v>7017</v>
      </c>
      <c r="J1000" s="33" t="s">
        <v>1337</v>
      </c>
    </row>
    <row r="1001" spans="1:10" x14ac:dyDescent="0.25">
      <c r="A1001" s="23" t="s">
        <v>1638</v>
      </c>
      <c r="B1001" s="10" t="s">
        <v>1639</v>
      </c>
      <c r="C1001" s="23" t="s">
        <v>1579</v>
      </c>
      <c r="D1001" s="28" t="s">
        <v>1640</v>
      </c>
      <c r="E1001" s="25">
        <v>106</v>
      </c>
      <c r="F1001" s="23" t="str">
        <f>VLOOKUP(B1001,'[2]справочник кодов нп'!$A:$D,4,0)</f>
        <v>сельские населенные пункты с численностью населения менее 1 000 человек.</v>
      </c>
      <c r="G1001" s="23" t="s">
        <v>1385</v>
      </c>
      <c r="H1001" s="10" t="s">
        <v>1579</v>
      </c>
      <c r="I1001" s="35" t="s">
        <v>7017</v>
      </c>
      <c r="J1001" s="33" t="s">
        <v>1337</v>
      </c>
    </row>
    <row r="1002" spans="1:10" x14ac:dyDescent="0.25">
      <c r="A1002" s="23" t="s">
        <v>1647</v>
      </c>
      <c r="B1002" s="10" t="s">
        <v>1648</v>
      </c>
      <c r="C1002" s="23" t="s">
        <v>1579</v>
      </c>
      <c r="D1002" s="28" t="s">
        <v>1649</v>
      </c>
      <c r="E1002" s="25">
        <v>106</v>
      </c>
      <c r="F1002" s="23" t="str">
        <f>VLOOKUP(B1002,'[2]справочник кодов нп'!$A:$D,4,0)</f>
        <v>сельские населенные пункты с численностью населения менее 1 000 человек.</v>
      </c>
      <c r="G1002" s="23" t="s">
        <v>1385</v>
      </c>
      <c r="H1002" s="10" t="s">
        <v>1579</v>
      </c>
      <c r="I1002" s="35" t="s">
        <v>7017</v>
      </c>
      <c r="J1002" s="33" t="s">
        <v>1337</v>
      </c>
    </row>
    <row r="1003" spans="1:10" x14ac:dyDescent="0.25">
      <c r="A1003" s="23" t="s">
        <v>1671</v>
      </c>
      <c r="B1003" s="10" t="s">
        <v>1672</v>
      </c>
      <c r="C1003" s="23" t="s">
        <v>1579</v>
      </c>
      <c r="D1003" s="28" t="s">
        <v>1673</v>
      </c>
      <c r="E1003" s="25">
        <v>106</v>
      </c>
      <c r="F1003" s="23" t="str">
        <f>VLOOKUP(B1003,'[2]справочник кодов нп'!$A:$D,4,0)</f>
        <v>городские населенные пункты с численностью населения менее 50 000 человек;</v>
      </c>
      <c r="G1003" s="23" t="s">
        <v>1385</v>
      </c>
      <c r="H1003" s="10" t="s">
        <v>1579</v>
      </c>
      <c r="I1003" s="35" t="s">
        <v>7017</v>
      </c>
      <c r="J1003" s="33" t="s">
        <v>1337</v>
      </c>
    </row>
    <row r="1004" spans="1:10" x14ac:dyDescent="0.25">
      <c r="A1004" s="23" t="s">
        <v>1677</v>
      </c>
      <c r="B1004" s="10" t="s">
        <v>1678</v>
      </c>
      <c r="C1004" s="23" t="s">
        <v>1579</v>
      </c>
      <c r="D1004" s="28" t="s">
        <v>1679</v>
      </c>
      <c r="E1004" s="25">
        <v>106</v>
      </c>
      <c r="F1004" s="23" t="str">
        <f>VLOOKUP(B1004,'[2]справочник кодов нп'!$A:$D,4,0)</f>
        <v>сельские населенные пункты с численностью населения менее 1 000 человек.</v>
      </c>
      <c r="G1004" s="23" t="s">
        <v>1385</v>
      </c>
      <c r="H1004" s="10" t="s">
        <v>1579</v>
      </c>
      <c r="I1004" s="35" t="s">
        <v>7017</v>
      </c>
      <c r="J1004" s="33" t="s">
        <v>1337</v>
      </c>
    </row>
    <row r="1005" spans="1:10" x14ac:dyDescent="0.25">
      <c r="A1005" s="23" t="s">
        <v>1686</v>
      </c>
      <c r="B1005" s="10" t="s">
        <v>1687</v>
      </c>
      <c r="C1005" s="23" t="s">
        <v>1579</v>
      </c>
      <c r="D1005" s="28" t="s">
        <v>1688</v>
      </c>
      <c r="E1005" s="25">
        <v>106</v>
      </c>
      <c r="F1005" s="23" t="str">
        <f>VLOOKUP(B1005,'[2]справочник кодов нп'!$A:$D,4,0)</f>
        <v>сельские населенные пункты с численностью населения менее 1 000 человек.</v>
      </c>
      <c r="G1005" s="23" t="s">
        <v>1385</v>
      </c>
      <c r="H1005" s="10" t="s">
        <v>1579</v>
      </c>
      <c r="I1005" s="35" t="s">
        <v>7017</v>
      </c>
      <c r="J1005" s="33" t="s">
        <v>1337</v>
      </c>
    </row>
    <row r="1006" spans="1:10" x14ac:dyDescent="0.25">
      <c r="A1006" s="23" t="s">
        <v>1707</v>
      </c>
      <c r="B1006" s="10" t="s">
        <v>1708</v>
      </c>
      <c r="C1006" s="23" t="s">
        <v>1579</v>
      </c>
      <c r="D1006" s="28" t="s">
        <v>1709</v>
      </c>
      <c r="E1006" s="25">
        <v>106</v>
      </c>
      <c r="F1006" s="23" t="str">
        <f>VLOOKUP(B1006,'[2]справочник кодов нп'!$A:$D,4,0)</f>
        <v>сельские населенные пункты с численностью населения менее 1 000 человек.</v>
      </c>
      <c r="G1006" s="23" t="s">
        <v>1385</v>
      </c>
      <c r="H1006" s="10" t="s">
        <v>1579</v>
      </c>
      <c r="I1006" s="35" t="s">
        <v>7017</v>
      </c>
      <c r="J1006" s="33" t="s">
        <v>1337</v>
      </c>
    </row>
    <row r="1007" spans="1:10" x14ac:dyDescent="0.25">
      <c r="A1007" s="23" t="s">
        <v>1713</v>
      </c>
      <c r="B1007" s="10" t="s">
        <v>1714</v>
      </c>
      <c r="C1007" s="23" t="s">
        <v>1579</v>
      </c>
      <c r="D1007" s="28" t="s">
        <v>1715</v>
      </c>
      <c r="E1007" s="25">
        <v>106</v>
      </c>
      <c r="F1007" s="23" t="str">
        <f>VLOOKUP(B1007,'[2]справочник кодов нп'!$A:$D,4,0)</f>
        <v>сельские населенные пункты с численностью населения менее 1 000 человек.</v>
      </c>
      <c r="G1007" s="23" t="s">
        <v>1385</v>
      </c>
      <c r="H1007" s="10" t="s">
        <v>1579</v>
      </c>
      <c r="I1007" s="35" t="s">
        <v>7017</v>
      </c>
      <c r="J1007" s="33" t="s">
        <v>1337</v>
      </c>
    </row>
    <row r="1008" spans="1:10" x14ac:dyDescent="0.25">
      <c r="A1008" s="23" t="s">
        <v>1731</v>
      </c>
      <c r="B1008" s="10" t="s">
        <v>1732</v>
      </c>
      <c r="C1008" s="23" t="s">
        <v>1579</v>
      </c>
      <c r="D1008" s="28" t="s">
        <v>1733</v>
      </c>
      <c r="E1008" s="25">
        <v>106</v>
      </c>
      <c r="F1008" s="23" t="str">
        <f>VLOOKUP(B1008,'[2]справочник кодов нп'!$A:$D,4,0)</f>
        <v>сельские населенные пункты с численностью населения менее 1 000 человек.</v>
      </c>
      <c r="G1008" s="23" t="s">
        <v>1385</v>
      </c>
      <c r="H1008" s="10" t="s">
        <v>1579</v>
      </c>
      <c r="I1008" s="35" t="s">
        <v>7017</v>
      </c>
      <c r="J1008" s="33" t="s">
        <v>1337</v>
      </c>
    </row>
    <row r="1009" spans="1:10" x14ac:dyDescent="0.25">
      <c r="A1009" s="23" t="s">
        <v>1761</v>
      </c>
      <c r="B1009" s="10" t="s">
        <v>1762</v>
      </c>
      <c r="C1009" s="23" t="s">
        <v>1579</v>
      </c>
      <c r="D1009" s="28" t="s">
        <v>1763</v>
      </c>
      <c r="E1009" s="25">
        <v>106</v>
      </c>
      <c r="F1009" s="23" t="str">
        <f>VLOOKUP(B1009,'[2]справочник кодов нп'!$A:$D,4,0)</f>
        <v>сельские населенные пункты с численностью населения менее 1 000 человек.</v>
      </c>
      <c r="G1009" s="23" t="s">
        <v>1385</v>
      </c>
      <c r="H1009" s="10" t="s">
        <v>1579</v>
      </c>
      <c r="I1009" s="35" t="s">
        <v>7017</v>
      </c>
      <c r="J1009" s="33" t="s">
        <v>1337</v>
      </c>
    </row>
    <row r="1010" spans="1:10" x14ac:dyDescent="0.25">
      <c r="A1010" s="23" t="s">
        <v>1767</v>
      </c>
      <c r="B1010" s="10" t="s">
        <v>1768</v>
      </c>
      <c r="C1010" s="23" t="s">
        <v>1579</v>
      </c>
      <c r="D1010" s="28" t="s">
        <v>1769</v>
      </c>
      <c r="E1010" s="25">
        <v>106</v>
      </c>
      <c r="F1010" s="23" t="str">
        <f>VLOOKUP(B1010,'[2]справочник кодов нп'!$A:$D,4,0)</f>
        <v>сельские населенные пункты с численностью населения менее 1 000 человек.</v>
      </c>
      <c r="G1010" s="23" t="s">
        <v>1385</v>
      </c>
      <c r="H1010" s="10" t="s">
        <v>1579</v>
      </c>
      <c r="I1010" s="35" t="s">
        <v>7017</v>
      </c>
      <c r="J1010" s="33" t="s">
        <v>1337</v>
      </c>
    </row>
    <row r="1011" spans="1:10" x14ac:dyDescent="0.25">
      <c r="A1011" s="23" t="s">
        <v>1776</v>
      </c>
      <c r="B1011" s="10" t="s">
        <v>1777</v>
      </c>
      <c r="C1011" s="23" t="s">
        <v>1579</v>
      </c>
      <c r="D1011" s="28" t="s">
        <v>1778</v>
      </c>
      <c r="E1011" s="25">
        <v>106</v>
      </c>
      <c r="F1011" s="23" t="str">
        <f>VLOOKUP(B1011,'[2]справочник кодов нп'!$A:$D,4,0)</f>
        <v>сельские населенные пункты с численностью населения менее 1 000 человек.</v>
      </c>
      <c r="G1011" s="23" t="s">
        <v>1385</v>
      </c>
      <c r="H1011" s="10" t="s">
        <v>1579</v>
      </c>
      <c r="I1011" s="35" t="s">
        <v>7017</v>
      </c>
      <c r="J1011" s="33" t="s">
        <v>1337</v>
      </c>
    </row>
    <row r="1012" spans="1:10" x14ac:dyDescent="0.25">
      <c r="A1012" s="23" t="s">
        <v>1779</v>
      </c>
      <c r="B1012" s="10" t="s">
        <v>1780</v>
      </c>
      <c r="C1012" s="23" t="s">
        <v>1579</v>
      </c>
      <c r="D1012" s="28" t="s">
        <v>1781</v>
      </c>
      <c r="E1012" s="25">
        <v>106</v>
      </c>
      <c r="F1012" s="23" t="str">
        <f>VLOOKUP(B1012,'[2]справочник кодов нп'!$A:$D,4,0)</f>
        <v>сельские населенные пункты с численностью населения менее 1 000 человек.</v>
      </c>
      <c r="G1012" s="23" t="s">
        <v>1385</v>
      </c>
      <c r="H1012" s="10" t="s">
        <v>1579</v>
      </c>
      <c r="I1012" s="35" t="s">
        <v>7017</v>
      </c>
      <c r="J1012" s="33" t="s">
        <v>1337</v>
      </c>
    </row>
    <row r="1013" spans="1:10" x14ac:dyDescent="0.25">
      <c r="A1013" s="23" t="s">
        <v>1782</v>
      </c>
      <c r="B1013" s="10" t="s">
        <v>1783</v>
      </c>
      <c r="C1013" s="23" t="s">
        <v>1579</v>
      </c>
      <c r="D1013" s="28" t="s">
        <v>1784</v>
      </c>
      <c r="E1013" s="25">
        <v>106</v>
      </c>
      <c r="F1013" s="23" t="str">
        <f>VLOOKUP(B1013,'[2]справочник кодов нп'!$A:$D,4,0)</f>
        <v>сельские населенные пункты с численностью населения менее 1 000 человек.</v>
      </c>
      <c r="G1013" s="23" t="s">
        <v>1385</v>
      </c>
      <c r="H1013" s="10" t="s">
        <v>1579</v>
      </c>
      <c r="I1013" s="35" t="s">
        <v>7017</v>
      </c>
      <c r="J1013" s="33" t="s">
        <v>1337</v>
      </c>
    </row>
    <row r="1014" spans="1:10" x14ac:dyDescent="0.25">
      <c r="A1014" s="23" t="s">
        <v>1800</v>
      </c>
      <c r="B1014" s="10" t="s">
        <v>1801</v>
      </c>
      <c r="C1014" s="23" t="s">
        <v>1579</v>
      </c>
      <c r="D1014" s="28" t="s">
        <v>1802</v>
      </c>
      <c r="E1014" s="25">
        <v>106</v>
      </c>
      <c r="F1014" s="23" t="str">
        <f>VLOOKUP(B1014,'[2]справочник кодов нп'!$A:$D,4,0)</f>
        <v>сельские населенные пункты с численностью населения менее 1 000 человек.</v>
      </c>
      <c r="G1014" s="23" t="s">
        <v>1385</v>
      </c>
      <c r="H1014" s="10" t="s">
        <v>1579</v>
      </c>
      <c r="I1014" s="35" t="s">
        <v>7017</v>
      </c>
      <c r="J1014" s="33" t="s">
        <v>1337</v>
      </c>
    </row>
    <row r="1015" spans="1:10" x14ac:dyDescent="0.25">
      <c r="A1015" s="23" t="s">
        <v>1806</v>
      </c>
      <c r="B1015" s="10" t="s">
        <v>1807</v>
      </c>
      <c r="C1015" s="23" t="s">
        <v>1579</v>
      </c>
      <c r="D1015" s="28" t="s">
        <v>1808</v>
      </c>
      <c r="E1015" s="25">
        <v>106</v>
      </c>
      <c r="F1015" s="23" t="str">
        <f>VLOOKUP(B1015,'[2]справочник кодов нп'!$A:$D,4,0)</f>
        <v>сельские населенные пункты с численностью населения менее 1 000 человек.</v>
      </c>
      <c r="G1015" s="23" t="s">
        <v>1385</v>
      </c>
      <c r="H1015" s="10" t="s">
        <v>1579</v>
      </c>
      <c r="I1015" s="35" t="s">
        <v>7017</v>
      </c>
      <c r="J1015" s="33" t="s">
        <v>1337</v>
      </c>
    </row>
    <row r="1016" spans="1:10" x14ac:dyDescent="0.25">
      <c r="A1016" s="23" t="s">
        <v>1809</v>
      </c>
      <c r="B1016" s="10" t="s">
        <v>1810</v>
      </c>
      <c r="C1016" s="23" t="s">
        <v>1579</v>
      </c>
      <c r="D1016" s="28" t="s">
        <v>1811</v>
      </c>
      <c r="E1016" s="25">
        <v>106</v>
      </c>
      <c r="F1016" s="23" t="str">
        <f>VLOOKUP(B1016,'[2]справочник кодов нп'!$A:$D,4,0)</f>
        <v>сельские населенные пункты с численностью населения менее 1 000 человек.</v>
      </c>
      <c r="G1016" s="23" t="s">
        <v>1385</v>
      </c>
      <c r="H1016" s="10" t="s">
        <v>1579</v>
      </c>
      <c r="I1016" s="35" t="s">
        <v>7017</v>
      </c>
      <c r="J1016" s="33" t="s">
        <v>1337</v>
      </c>
    </row>
    <row r="1017" spans="1:10" x14ac:dyDescent="0.25">
      <c r="A1017" s="23" t="s">
        <v>4973</v>
      </c>
      <c r="B1017" s="10" t="s">
        <v>4974</v>
      </c>
      <c r="C1017" s="23" t="s">
        <v>1579</v>
      </c>
      <c r="D1017" s="28" t="s">
        <v>4975</v>
      </c>
      <c r="E1017" s="25">
        <v>106</v>
      </c>
      <c r="F1017" s="23" t="str">
        <f>VLOOKUP(B1017,'[2]справочник кодов нп'!$A:$D,4,0)</f>
        <v>сельские населенные пункты с численностью населения менее 1 000 человек.</v>
      </c>
      <c r="G1017" s="23" t="s">
        <v>1385</v>
      </c>
      <c r="H1017" s="10" t="s">
        <v>1579</v>
      </c>
      <c r="I1017" s="35" t="s">
        <v>7017</v>
      </c>
      <c r="J1017" s="33" t="s">
        <v>1337</v>
      </c>
    </row>
    <row r="1018" spans="1:10" x14ac:dyDescent="0.25">
      <c r="A1018" s="23" t="s">
        <v>4976</v>
      </c>
      <c r="B1018" s="10" t="s">
        <v>4977</v>
      </c>
      <c r="C1018" s="23" t="s">
        <v>1579</v>
      </c>
      <c r="D1018" s="28" t="s">
        <v>1827</v>
      </c>
      <c r="E1018" s="25">
        <v>106</v>
      </c>
      <c r="F1018" s="23" t="str">
        <f>VLOOKUP(B1018,'[2]справочник кодов нп'!$A:$D,4,0)</f>
        <v>сельские населенные пункты с численностью населения менее 1 000 человек.</v>
      </c>
      <c r="G1018" s="23" t="s">
        <v>1385</v>
      </c>
      <c r="H1018" s="10" t="s">
        <v>1579</v>
      </c>
      <c r="I1018" s="35" t="s">
        <v>7017</v>
      </c>
      <c r="J1018" s="33" t="s">
        <v>1337</v>
      </c>
    </row>
    <row r="1019" spans="1:10" x14ac:dyDescent="0.25">
      <c r="A1019" s="23" t="s">
        <v>4978</v>
      </c>
      <c r="B1019" s="10" t="s">
        <v>4979</v>
      </c>
      <c r="C1019" s="23" t="s">
        <v>1579</v>
      </c>
      <c r="D1019" s="28" t="s">
        <v>4980</v>
      </c>
      <c r="E1019" s="25">
        <v>106</v>
      </c>
      <c r="F1019" s="23" t="str">
        <f>VLOOKUP(B1019,'[2]справочник кодов нп'!$A:$D,4,0)</f>
        <v>сельские населенные пункты с численностью населения менее 1 000 человек.</v>
      </c>
      <c r="G1019" s="23" t="s">
        <v>1385</v>
      </c>
      <c r="H1019" s="10" t="s">
        <v>1579</v>
      </c>
      <c r="I1019" s="35" t="s">
        <v>7017</v>
      </c>
      <c r="J1019" s="33" t="s">
        <v>1337</v>
      </c>
    </row>
    <row r="1020" spans="1:10" x14ac:dyDescent="0.25">
      <c r="A1020" s="23" t="s">
        <v>5451</v>
      </c>
      <c r="B1020" s="10" t="s">
        <v>5452</v>
      </c>
      <c r="C1020" s="23" t="s">
        <v>1579</v>
      </c>
      <c r="D1020" s="28" t="s">
        <v>5453</v>
      </c>
      <c r="E1020" s="25">
        <v>106</v>
      </c>
      <c r="F1020" s="23" t="str">
        <f>VLOOKUP(B1020,'[2]справочник кодов нп'!$A:$D,4,0)</f>
        <v>сельские населенные пункты с численностью населения менее 1 000 человек.</v>
      </c>
      <c r="G1020" s="23" t="s">
        <v>1385</v>
      </c>
      <c r="H1020" s="10" t="s">
        <v>1579</v>
      </c>
      <c r="I1020" s="35" t="s">
        <v>7017</v>
      </c>
      <c r="J1020" s="33" t="s">
        <v>1337</v>
      </c>
    </row>
    <row r="1021" spans="1:10" x14ac:dyDescent="0.25">
      <c r="A1021" s="23" t="s">
        <v>5454</v>
      </c>
      <c r="B1021" s="10" t="s">
        <v>5455</v>
      </c>
      <c r="C1021" s="23" t="s">
        <v>1579</v>
      </c>
      <c r="D1021" s="28" t="s">
        <v>5456</v>
      </c>
      <c r="E1021" s="25">
        <v>106</v>
      </c>
      <c r="F1021" s="23" t="str">
        <f>VLOOKUP(B1021,'[2]справочник кодов нп'!$A:$D,4,0)</f>
        <v>сельские населенные пункты с численностью населения менее 1 000 человек.</v>
      </c>
      <c r="G1021" s="23" t="s">
        <v>1385</v>
      </c>
      <c r="H1021" s="10" t="s">
        <v>1579</v>
      </c>
      <c r="I1021" s="35" t="s">
        <v>7017</v>
      </c>
      <c r="J1021" s="33" t="s">
        <v>1337</v>
      </c>
    </row>
    <row r="1022" spans="1:10" x14ac:dyDescent="0.25">
      <c r="A1022" s="23" t="s">
        <v>5558</v>
      </c>
      <c r="B1022" s="10" t="s">
        <v>5559</v>
      </c>
      <c r="C1022" s="23" t="s">
        <v>1579</v>
      </c>
      <c r="D1022" s="28" t="s">
        <v>5560</v>
      </c>
      <c r="E1022" s="25">
        <v>106</v>
      </c>
      <c r="F1022" s="23" t="str">
        <f>VLOOKUP(B1022,'[2]справочник кодов нп'!$A:$D,4,0)</f>
        <v>сельские населенные пункты с численностью населения менее 1 000 человек.</v>
      </c>
      <c r="G1022" s="23" t="s">
        <v>1385</v>
      </c>
      <c r="H1022" s="10" t="s">
        <v>1579</v>
      </c>
      <c r="I1022" s="35" t="s">
        <v>7017</v>
      </c>
      <c r="J1022" s="33" t="s">
        <v>1337</v>
      </c>
    </row>
    <row r="1023" spans="1:10" x14ac:dyDescent="0.25">
      <c r="A1023" s="23" t="s">
        <v>5561</v>
      </c>
      <c r="B1023" s="10" t="s">
        <v>5562</v>
      </c>
      <c r="C1023" s="23" t="s">
        <v>1579</v>
      </c>
      <c r="D1023" s="28" t="s">
        <v>5563</v>
      </c>
      <c r="E1023" s="25">
        <v>106</v>
      </c>
      <c r="F1023" s="23" t="str">
        <f>VLOOKUP(B1023,'[2]справочник кодов нп'!$A:$D,4,0)</f>
        <v>сельские населенные пункты с численностью населения менее 1 000 человек.</v>
      </c>
      <c r="G1023" s="23" t="s">
        <v>1385</v>
      </c>
      <c r="H1023" s="10" t="s">
        <v>1579</v>
      </c>
      <c r="I1023" s="35" t="s">
        <v>7017</v>
      </c>
      <c r="J1023" s="33" t="s">
        <v>1337</v>
      </c>
    </row>
    <row r="1024" spans="1:10" x14ac:dyDescent="0.25">
      <c r="A1024" s="23" t="s">
        <v>5564</v>
      </c>
      <c r="B1024" s="10" t="s">
        <v>5565</v>
      </c>
      <c r="C1024" s="23" t="s">
        <v>1579</v>
      </c>
      <c r="D1024" s="28" t="s">
        <v>5566</v>
      </c>
      <c r="E1024" s="25">
        <v>106</v>
      </c>
      <c r="F1024" s="23" t="str">
        <f>VLOOKUP(B1024,'[2]справочник кодов нп'!$A:$D,4,0)</f>
        <v>сельские населенные пункты с численностью населения менее 1 000 человек.</v>
      </c>
      <c r="G1024" s="23" t="s">
        <v>1385</v>
      </c>
      <c r="H1024" s="10" t="s">
        <v>1579</v>
      </c>
      <c r="I1024" s="35" t="s">
        <v>7017</v>
      </c>
      <c r="J1024" s="33" t="s">
        <v>1337</v>
      </c>
    </row>
    <row r="1025" spans="1:10" x14ac:dyDescent="0.25">
      <c r="A1025" s="23" t="s">
        <v>5567</v>
      </c>
      <c r="B1025" s="10" t="s">
        <v>5568</v>
      </c>
      <c r="C1025" s="23" t="s">
        <v>1579</v>
      </c>
      <c r="D1025" s="28" t="s">
        <v>5569</v>
      </c>
      <c r="E1025" s="25">
        <v>106</v>
      </c>
      <c r="F1025" s="23" t="str">
        <f>VLOOKUP(B1025,'[2]справочник кодов нп'!$A:$D,4,0)</f>
        <v>сельские населенные пункты с численностью населения менее 1 000 человек.</v>
      </c>
      <c r="G1025" s="45" t="s">
        <v>1385</v>
      </c>
      <c r="H1025" s="10" t="s">
        <v>1579</v>
      </c>
      <c r="I1025" s="35" t="s">
        <v>7017</v>
      </c>
      <c r="J1025" s="33" t="s">
        <v>1337</v>
      </c>
    </row>
    <row r="1026" spans="1:10" x14ac:dyDescent="0.25">
      <c r="A1026" s="23" t="s">
        <v>5570</v>
      </c>
      <c r="B1026" s="10" t="s">
        <v>5571</v>
      </c>
      <c r="C1026" s="23" t="s">
        <v>1579</v>
      </c>
      <c r="D1026" s="28" t="s">
        <v>5572</v>
      </c>
      <c r="E1026" s="25">
        <v>106</v>
      </c>
      <c r="F1026" s="23" t="str">
        <f>VLOOKUP(B1026,'[2]справочник кодов нп'!$A:$D,4,0)</f>
        <v>сельские населенные пункты с численностью населения менее 1 000 человек.</v>
      </c>
      <c r="G1026" s="45" t="s">
        <v>1385</v>
      </c>
      <c r="H1026" s="10" t="s">
        <v>1579</v>
      </c>
      <c r="I1026" s="35" t="s">
        <v>7017</v>
      </c>
      <c r="J1026" s="33" t="s">
        <v>1337</v>
      </c>
    </row>
    <row r="1027" spans="1:10" x14ac:dyDescent="0.25">
      <c r="A1027" s="23" t="s">
        <v>5573</v>
      </c>
      <c r="B1027" s="10" t="s">
        <v>5574</v>
      </c>
      <c r="C1027" s="23" t="s">
        <v>1579</v>
      </c>
      <c r="D1027" s="28" t="s">
        <v>5575</v>
      </c>
      <c r="E1027" s="25">
        <v>106</v>
      </c>
      <c r="F1027" s="23" t="str">
        <f>VLOOKUP(B1027,'[2]справочник кодов нп'!$A:$D,4,0)</f>
        <v>сельские населенные пункты с численностью населения менее 1 000 человек.</v>
      </c>
      <c r="G1027" s="45" t="s">
        <v>1385</v>
      </c>
      <c r="H1027" s="10" t="s">
        <v>1579</v>
      </c>
      <c r="I1027" s="35" t="s">
        <v>7017</v>
      </c>
      <c r="J1027" s="33" t="s">
        <v>1337</v>
      </c>
    </row>
    <row r="1028" spans="1:10" x14ac:dyDescent="0.25">
      <c r="A1028" s="23" t="s">
        <v>5576</v>
      </c>
      <c r="B1028" s="10" t="s">
        <v>5577</v>
      </c>
      <c r="C1028" s="23" t="s">
        <v>1579</v>
      </c>
      <c r="D1028" s="28" t="s">
        <v>2679</v>
      </c>
      <c r="E1028" s="25">
        <v>106</v>
      </c>
      <c r="F1028" s="23" t="str">
        <f>VLOOKUP(B1028,'[2]справочник кодов нп'!$A:$D,4,0)</f>
        <v>сельские населенные пункты с численностью населения менее 1 000 человек.</v>
      </c>
      <c r="G1028" s="45" t="s">
        <v>1385</v>
      </c>
      <c r="H1028" s="10" t="s">
        <v>1579</v>
      </c>
      <c r="I1028" s="35" t="s">
        <v>7017</v>
      </c>
      <c r="J1028" s="33" t="s">
        <v>1337</v>
      </c>
    </row>
    <row r="1029" spans="1:10" x14ac:dyDescent="0.25">
      <c r="A1029" s="23" t="s">
        <v>5578</v>
      </c>
      <c r="B1029" s="10" t="s">
        <v>5579</v>
      </c>
      <c r="C1029" s="23" t="s">
        <v>1579</v>
      </c>
      <c r="D1029" s="28" t="s">
        <v>5580</v>
      </c>
      <c r="E1029" s="25">
        <v>106</v>
      </c>
      <c r="F1029" s="23" t="str">
        <f>VLOOKUP(B1029,'[2]справочник кодов нп'!$A:$D,4,0)</f>
        <v>сельские населенные пункты с численностью населения менее 1 000 человек.</v>
      </c>
      <c r="G1029" s="45" t="s">
        <v>1385</v>
      </c>
      <c r="H1029" s="10" t="s">
        <v>1579</v>
      </c>
      <c r="I1029" s="35" t="s">
        <v>7017</v>
      </c>
      <c r="J1029" s="33" t="s">
        <v>1337</v>
      </c>
    </row>
    <row r="1030" spans="1:10" x14ac:dyDescent="0.25">
      <c r="A1030" s="23" t="s">
        <v>5581</v>
      </c>
      <c r="B1030" s="10" t="s">
        <v>5582</v>
      </c>
      <c r="C1030" s="23" t="s">
        <v>1579</v>
      </c>
      <c r="D1030" s="28" t="s">
        <v>5583</v>
      </c>
      <c r="E1030" s="25">
        <v>106</v>
      </c>
      <c r="F1030" s="23" t="str">
        <f>VLOOKUP(B1030,'[2]справочник кодов нп'!$A:$D,4,0)</f>
        <v>сельские населенные пункты с численностью населения менее 1 000 человек.</v>
      </c>
      <c r="G1030" s="45" t="s">
        <v>1385</v>
      </c>
      <c r="H1030" s="10" t="s">
        <v>1579</v>
      </c>
      <c r="I1030" s="35" t="s">
        <v>7017</v>
      </c>
      <c r="J1030" s="33" t="s">
        <v>1337</v>
      </c>
    </row>
    <row r="1031" spans="1:10" x14ac:dyDescent="0.25">
      <c r="A1031" s="23" t="s">
        <v>5584</v>
      </c>
      <c r="B1031" s="10" t="s">
        <v>5585</v>
      </c>
      <c r="C1031" s="23" t="s">
        <v>1579</v>
      </c>
      <c r="D1031" s="28" t="s">
        <v>5586</v>
      </c>
      <c r="E1031" s="25">
        <v>106</v>
      </c>
      <c r="F1031" s="23" t="str">
        <f>VLOOKUP(B1031,'[2]справочник кодов нп'!$A:$D,4,0)</f>
        <v>сельские населенные пункты с численностью населения менее 1 000 человек.</v>
      </c>
      <c r="G1031" s="45" t="s">
        <v>1385</v>
      </c>
      <c r="H1031" s="10" t="s">
        <v>1579</v>
      </c>
      <c r="I1031" s="35" t="s">
        <v>7017</v>
      </c>
      <c r="J1031" s="33" t="s">
        <v>1337</v>
      </c>
    </row>
    <row r="1032" spans="1:10" x14ac:dyDescent="0.25">
      <c r="A1032" s="23" t="s">
        <v>5587</v>
      </c>
      <c r="B1032" s="10" t="s">
        <v>5588</v>
      </c>
      <c r="C1032" s="23" t="s">
        <v>1579</v>
      </c>
      <c r="D1032" s="28" t="s">
        <v>5589</v>
      </c>
      <c r="E1032" s="25">
        <v>106</v>
      </c>
      <c r="F1032" s="23" t="str">
        <f>VLOOKUP(B1032,'[2]справочник кодов нп'!$A:$D,4,0)</f>
        <v>сельские населенные пункты с численностью населения менее 1 000 человек.</v>
      </c>
      <c r="G1032" s="45" t="s">
        <v>1385</v>
      </c>
      <c r="H1032" s="10" t="s">
        <v>1579</v>
      </c>
      <c r="I1032" s="35" t="s">
        <v>7017</v>
      </c>
      <c r="J1032" s="33" t="s">
        <v>1337</v>
      </c>
    </row>
    <row r="1033" spans="1:10" x14ac:dyDescent="0.25">
      <c r="A1033" s="23" t="s">
        <v>5590</v>
      </c>
      <c r="B1033" s="10" t="s">
        <v>5591</v>
      </c>
      <c r="C1033" s="23" t="s">
        <v>1579</v>
      </c>
      <c r="D1033" s="28" t="s">
        <v>5592</v>
      </c>
      <c r="E1033" s="25">
        <v>106</v>
      </c>
      <c r="F1033" s="23" t="str">
        <f>VLOOKUP(B1033,'[2]справочник кодов нп'!$A:$D,4,0)</f>
        <v>сельские населенные пункты с численностью населения менее 1 000 человек.</v>
      </c>
      <c r="G1033" s="23" t="s">
        <v>1385</v>
      </c>
      <c r="H1033" s="10" t="s">
        <v>1579</v>
      </c>
      <c r="I1033" s="35" t="s">
        <v>7017</v>
      </c>
      <c r="J1033" s="33" t="s">
        <v>1337</v>
      </c>
    </row>
    <row r="1034" spans="1:10" x14ac:dyDescent="0.25">
      <c r="A1034" s="23" t="s">
        <v>5686</v>
      </c>
      <c r="B1034" s="10" t="s">
        <v>5687</v>
      </c>
      <c r="C1034" s="23" t="s">
        <v>1579</v>
      </c>
      <c r="D1034" s="28" t="s">
        <v>4648</v>
      </c>
      <c r="E1034" s="25">
        <v>106</v>
      </c>
      <c r="F1034" s="23" t="str">
        <f>VLOOKUP(B1034,'[2]справочник кодов нп'!$A:$D,4,0)</f>
        <v>сельские населенные пункты с численностью населения менее 1 000 человек.</v>
      </c>
      <c r="G1034" s="23" t="s">
        <v>1385</v>
      </c>
      <c r="H1034" s="10" t="s">
        <v>1579</v>
      </c>
      <c r="I1034" s="35" t="s">
        <v>7017</v>
      </c>
      <c r="J1034" s="33" t="s">
        <v>1337</v>
      </c>
    </row>
    <row r="1035" spans="1:10" x14ac:dyDescent="0.25">
      <c r="A1035" s="23" t="s">
        <v>6692</v>
      </c>
      <c r="B1035" s="10" t="s">
        <v>6693</v>
      </c>
      <c r="C1035" s="23" t="s">
        <v>1579</v>
      </c>
      <c r="D1035" s="28" t="s">
        <v>6694</v>
      </c>
      <c r="E1035" s="25">
        <v>106</v>
      </c>
      <c r="F1035" s="23" t="str">
        <f>VLOOKUP(B1035,'[2]справочник кодов нп'!$A:$D,4,0)</f>
        <v>сельские населенные пункты с численностью населения менее 1 000 человек.</v>
      </c>
      <c r="G1035" s="23" t="s">
        <v>1385</v>
      </c>
      <c r="H1035" s="10" t="s">
        <v>1579</v>
      </c>
      <c r="I1035" s="35" t="s">
        <v>7017</v>
      </c>
      <c r="J1035" s="33" t="s">
        <v>1337</v>
      </c>
    </row>
    <row r="1036" spans="1:10" x14ac:dyDescent="0.25">
      <c r="A1036" s="23" t="s">
        <v>6937</v>
      </c>
      <c r="B1036" s="10" t="s">
        <v>6938</v>
      </c>
      <c r="C1036" s="23" t="s">
        <v>1579</v>
      </c>
      <c r="D1036" s="28" t="s">
        <v>6846</v>
      </c>
      <c r="E1036" s="25">
        <v>106</v>
      </c>
      <c r="F1036" s="23" t="str">
        <f>VLOOKUP(B1036,'[2]справочник кодов нп'!$A:$D,4,0)</f>
        <v>межселенная территория</v>
      </c>
      <c r="G1036" s="23" t="s">
        <v>1385</v>
      </c>
      <c r="H1036" s="10" t="s">
        <v>1579</v>
      </c>
      <c r="I1036" s="35" t="s">
        <v>7019</v>
      </c>
      <c r="J1036" s="33" t="s">
        <v>1337</v>
      </c>
    </row>
    <row r="1037" spans="1:10" x14ac:dyDescent="0.25">
      <c r="A1037" s="23" t="s">
        <v>4883</v>
      </c>
      <c r="B1037" s="10" t="s">
        <v>4884</v>
      </c>
      <c r="C1037" s="23" t="s">
        <v>4885</v>
      </c>
      <c r="D1037" s="28" t="s">
        <v>4886</v>
      </c>
      <c r="E1037" s="25">
        <v>101</v>
      </c>
      <c r="F1037" s="23" t="s">
        <v>1497</v>
      </c>
      <c r="G1037" s="23" t="s">
        <v>4887</v>
      </c>
      <c r="H1037" s="10" t="s">
        <v>1497</v>
      </c>
      <c r="I1037" s="35" t="s">
        <v>7017</v>
      </c>
      <c r="J1037" s="45" t="s">
        <v>1341</v>
      </c>
    </row>
    <row r="1038" spans="1:10" x14ac:dyDescent="0.25">
      <c r="A1038" s="23" t="s">
        <v>4888</v>
      </c>
      <c r="B1038" s="10" t="s">
        <v>4889</v>
      </c>
      <c r="C1038" s="23" t="s">
        <v>4885</v>
      </c>
      <c r="D1038" s="28" t="s">
        <v>4890</v>
      </c>
      <c r="E1038" s="25">
        <v>101</v>
      </c>
      <c r="F1038" s="23" t="s">
        <v>1497</v>
      </c>
      <c r="G1038" s="23" t="s">
        <v>4887</v>
      </c>
      <c r="H1038" s="10" t="s">
        <v>1497</v>
      </c>
      <c r="I1038" s="35" t="s">
        <v>7017</v>
      </c>
      <c r="J1038" s="45" t="s">
        <v>1341</v>
      </c>
    </row>
    <row r="1039" spans="1:10" x14ac:dyDescent="0.25">
      <c r="A1039" s="23" t="s">
        <v>4891</v>
      </c>
      <c r="B1039" s="10" t="s">
        <v>4892</v>
      </c>
      <c r="C1039" s="23" t="s">
        <v>4885</v>
      </c>
      <c r="D1039" s="28" t="s">
        <v>4893</v>
      </c>
      <c r="E1039" s="25">
        <v>101</v>
      </c>
      <c r="F1039" s="23" t="s">
        <v>1497</v>
      </c>
      <c r="G1039" s="23" t="s">
        <v>4887</v>
      </c>
      <c r="H1039" s="10" t="s">
        <v>1497</v>
      </c>
      <c r="I1039" s="35" t="s">
        <v>7017</v>
      </c>
      <c r="J1039" s="45" t="s">
        <v>1341</v>
      </c>
    </row>
    <row r="1040" spans="1:10" x14ac:dyDescent="0.25">
      <c r="A1040" s="23" t="s">
        <v>4894</v>
      </c>
      <c r="B1040" s="10" t="s">
        <v>4895</v>
      </c>
      <c r="C1040" s="23" t="s">
        <v>4885</v>
      </c>
      <c r="D1040" s="28" t="s">
        <v>4896</v>
      </c>
      <c r="E1040" s="25">
        <v>101</v>
      </c>
      <c r="F1040" s="23" t="s">
        <v>1497</v>
      </c>
      <c r="G1040" s="23" t="s">
        <v>4887</v>
      </c>
      <c r="H1040" s="10" t="s">
        <v>1497</v>
      </c>
      <c r="I1040" s="35" t="s">
        <v>7017</v>
      </c>
      <c r="J1040" s="45" t="s">
        <v>1341</v>
      </c>
    </row>
    <row r="1041" spans="1:10" x14ac:dyDescent="0.25">
      <c r="A1041" s="23" t="s">
        <v>4897</v>
      </c>
      <c r="B1041" s="10" t="s">
        <v>4898</v>
      </c>
      <c r="C1041" s="23" t="s">
        <v>4885</v>
      </c>
      <c r="D1041" s="28" t="s">
        <v>4899</v>
      </c>
      <c r="E1041" s="25">
        <v>101</v>
      </c>
      <c r="F1041" s="23" t="s">
        <v>1497</v>
      </c>
      <c r="G1041" s="23" t="s">
        <v>4887</v>
      </c>
      <c r="H1041" s="10" t="s">
        <v>1497</v>
      </c>
      <c r="I1041" s="35" t="s">
        <v>7017</v>
      </c>
      <c r="J1041" s="45" t="s">
        <v>1341</v>
      </c>
    </row>
    <row r="1042" spans="1:10" x14ac:dyDescent="0.25">
      <c r="A1042" s="23" t="s">
        <v>4900</v>
      </c>
      <c r="B1042" s="10" t="s">
        <v>4901</v>
      </c>
      <c r="C1042" s="23" t="s">
        <v>4885</v>
      </c>
      <c r="D1042" s="28" t="s">
        <v>4902</v>
      </c>
      <c r="E1042" s="25">
        <v>101</v>
      </c>
      <c r="F1042" s="23" t="s">
        <v>1497</v>
      </c>
      <c r="G1042" s="23" t="s">
        <v>4887</v>
      </c>
      <c r="H1042" s="10" t="s">
        <v>1497</v>
      </c>
      <c r="I1042" s="35" t="s">
        <v>7017</v>
      </c>
      <c r="J1042" s="45" t="s">
        <v>1341</v>
      </c>
    </row>
    <row r="1043" spans="1:10" x14ac:dyDescent="0.25">
      <c r="A1043" s="23" t="s">
        <v>4903</v>
      </c>
      <c r="B1043" s="10" t="s">
        <v>4904</v>
      </c>
      <c r="C1043" s="23" t="s">
        <v>4885</v>
      </c>
      <c r="D1043" s="28" t="s">
        <v>4905</v>
      </c>
      <c r="E1043" s="25">
        <v>101</v>
      </c>
      <c r="F1043" s="23" t="s">
        <v>1497</v>
      </c>
      <c r="G1043" s="23" t="s">
        <v>4887</v>
      </c>
      <c r="H1043" s="10" t="s">
        <v>1497</v>
      </c>
      <c r="I1043" s="35" t="s">
        <v>7017</v>
      </c>
      <c r="J1043" s="45" t="s">
        <v>1341</v>
      </c>
    </row>
    <row r="1044" spans="1:10" x14ac:dyDescent="0.25">
      <c r="A1044" s="23" t="s">
        <v>4906</v>
      </c>
      <c r="B1044" s="10" t="s">
        <v>4907</v>
      </c>
      <c r="C1044" s="23" t="s">
        <v>4885</v>
      </c>
      <c r="D1044" s="28" t="s">
        <v>4908</v>
      </c>
      <c r="E1044" s="25">
        <v>101</v>
      </c>
      <c r="F1044" s="23" t="s">
        <v>1497</v>
      </c>
      <c r="G1044" s="23" t="s">
        <v>4887</v>
      </c>
      <c r="H1044" s="10" t="s">
        <v>1497</v>
      </c>
      <c r="I1044" s="35" t="s">
        <v>7017</v>
      </c>
      <c r="J1044" s="45" t="s">
        <v>1341</v>
      </c>
    </row>
    <row r="1045" spans="1:10" x14ac:dyDescent="0.25">
      <c r="A1045" s="23" t="s">
        <v>4909</v>
      </c>
      <c r="B1045" s="10" t="s">
        <v>4910</v>
      </c>
      <c r="C1045" s="23" t="s">
        <v>4885</v>
      </c>
      <c r="D1045" s="28" t="s">
        <v>3779</v>
      </c>
      <c r="E1045" s="25">
        <v>101</v>
      </c>
      <c r="F1045" s="23" t="s">
        <v>1497</v>
      </c>
      <c r="G1045" s="23" t="s">
        <v>4887</v>
      </c>
      <c r="H1045" s="10" t="s">
        <v>1497</v>
      </c>
      <c r="I1045" s="35" t="s">
        <v>7017</v>
      </c>
      <c r="J1045" s="45" t="s">
        <v>1341</v>
      </c>
    </row>
    <row r="1046" spans="1:10" x14ac:dyDescent="0.25">
      <c r="A1046" s="23" t="s">
        <v>4911</v>
      </c>
      <c r="B1046" s="10" t="s">
        <v>4912</v>
      </c>
      <c r="C1046" s="23" t="s">
        <v>4885</v>
      </c>
      <c r="D1046" s="28" t="s">
        <v>4913</v>
      </c>
      <c r="E1046" s="25">
        <v>101</v>
      </c>
      <c r="F1046" s="23" t="s">
        <v>1497</v>
      </c>
      <c r="G1046" s="23" t="s">
        <v>4887</v>
      </c>
      <c r="H1046" s="10" t="s">
        <v>1497</v>
      </c>
      <c r="I1046" s="35" t="s">
        <v>7017</v>
      </c>
      <c r="J1046" s="45" t="s">
        <v>1341</v>
      </c>
    </row>
    <row r="1047" spans="1:10" x14ac:dyDescent="0.25">
      <c r="A1047" s="23" t="s">
        <v>4923</v>
      </c>
      <c r="B1047" s="10" t="s">
        <v>4924</v>
      </c>
      <c r="C1047" s="23" t="s">
        <v>4885</v>
      </c>
      <c r="D1047" s="28" t="s">
        <v>4925</v>
      </c>
      <c r="E1047" s="25">
        <v>101</v>
      </c>
      <c r="F1047" s="23" t="s">
        <v>1497</v>
      </c>
      <c r="G1047" s="23" t="s">
        <v>4887</v>
      </c>
      <c r="H1047" s="10" t="s">
        <v>1497</v>
      </c>
      <c r="I1047" s="35" t="s">
        <v>7017</v>
      </c>
      <c r="J1047" s="45" t="s">
        <v>1341</v>
      </c>
    </row>
    <row r="1048" spans="1:10" x14ac:dyDescent="0.25">
      <c r="A1048" s="23" t="s">
        <v>4926</v>
      </c>
      <c r="B1048" s="10" t="s">
        <v>4927</v>
      </c>
      <c r="C1048" s="23" t="s">
        <v>4885</v>
      </c>
      <c r="D1048" s="28" t="s">
        <v>4928</v>
      </c>
      <c r="E1048" s="25">
        <v>101</v>
      </c>
      <c r="F1048" s="23" t="s">
        <v>1497</v>
      </c>
      <c r="G1048" s="23" t="s">
        <v>4887</v>
      </c>
      <c r="H1048" s="10" t="s">
        <v>1497</v>
      </c>
      <c r="I1048" s="35" t="s">
        <v>7017</v>
      </c>
      <c r="J1048" s="45" t="s">
        <v>1341</v>
      </c>
    </row>
    <row r="1049" spans="1:10" x14ac:dyDescent="0.25">
      <c r="A1049" s="23" t="s">
        <v>4933</v>
      </c>
      <c r="B1049" s="10" t="s">
        <v>4934</v>
      </c>
      <c r="C1049" s="23" t="s">
        <v>4885</v>
      </c>
      <c r="D1049" s="28" t="s">
        <v>4935</v>
      </c>
      <c r="E1049" s="25">
        <v>101</v>
      </c>
      <c r="F1049" s="23" t="s">
        <v>1497</v>
      </c>
      <c r="G1049" s="23" t="s">
        <v>4887</v>
      </c>
      <c r="H1049" s="10" t="s">
        <v>1497</v>
      </c>
      <c r="I1049" s="35" t="s">
        <v>7017</v>
      </c>
      <c r="J1049" s="45" t="s">
        <v>1341</v>
      </c>
    </row>
    <row r="1050" spans="1:10" x14ac:dyDescent="0.25">
      <c r="A1050" s="23" t="s">
        <v>4936</v>
      </c>
      <c r="B1050" s="10" t="s">
        <v>4937</v>
      </c>
      <c r="C1050" s="23" t="s">
        <v>4885</v>
      </c>
      <c r="D1050" s="28" t="s">
        <v>4938</v>
      </c>
      <c r="E1050" s="25">
        <v>101</v>
      </c>
      <c r="F1050" s="23" t="s">
        <v>1497</v>
      </c>
      <c r="G1050" s="23" t="s">
        <v>4887</v>
      </c>
      <c r="H1050" s="10" t="s">
        <v>1497</v>
      </c>
      <c r="I1050" s="35" t="s">
        <v>7017</v>
      </c>
      <c r="J1050" s="45" t="s">
        <v>1341</v>
      </c>
    </row>
    <row r="1051" spans="1:10" x14ac:dyDescent="0.25">
      <c r="A1051" s="23" t="s">
        <v>4939</v>
      </c>
      <c r="B1051" s="10" t="s">
        <v>4940</v>
      </c>
      <c r="C1051" s="23" t="s">
        <v>4885</v>
      </c>
      <c r="D1051" s="28" t="s">
        <v>4941</v>
      </c>
      <c r="E1051" s="25">
        <v>101</v>
      </c>
      <c r="F1051" s="23" t="s">
        <v>1497</v>
      </c>
      <c r="G1051" s="23" t="s">
        <v>4887</v>
      </c>
      <c r="H1051" s="10" t="s">
        <v>1497</v>
      </c>
      <c r="I1051" s="35" t="s">
        <v>7017</v>
      </c>
      <c r="J1051" s="45" t="s">
        <v>1341</v>
      </c>
    </row>
    <row r="1052" spans="1:10" x14ac:dyDescent="0.25">
      <c r="A1052" s="23" t="s">
        <v>5501</v>
      </c>
      <c r="B1052" s="10" t="s">
        <v>5502</v>
      </c>
      <c r="C1052" s="23" t="s">
        <v>4885</v>
      </c>
      <c r="D1052" s="28" t="s">
        <v>5503</v>
      </c>
      <c r="E1052" s="25">
        <v>101</v>
      </c>
      <c r="F1052" s="23" t="s">
        <v>1497</v>
      </c>
      <c r="G1052" s="23" t="s">
        <v>4887</v>
      </c>
      <c r="H1052" s="10" t="s">
        <v>1497</v>
      </c>
      <c r="I1052" s="35" t="s">
        <v>7017</v>
      </c>
      <c r="J1052" s="45" t="s">
        <v>1341</v>
      </c>
    </row>
    <row r="1053" spans="1:10" x14ac:dyDescent="0.25">
      <c r="A1053" s="23" t="s">
        <v>5504</v>
      </c>
      <c r="B1053" s="10" t="s">
        <v>5505</v>
      </c>
      <c r="C1053" s="23" t="s">
        <v>4885</v>
      </c>
      <c r="D1053" s="28" t="s">
        <v>5506</v>
      </c>
      <c r="E1053" s="25">
        <v>101</v>
      </c>
      <c r="F1053" s="23" t="s">
        <v>1497</v>
      </c>
      <c r="G1053" s="23" t="s">
        <v>4887</v>
      </c>
      <c r="H1053" s="10" t="s">
        <v>1497</v>
      </c>
      <c r="I1053" s="35" t="s">
        <v>7017</v>
      </c>
      <c r="J1053" s="45" t="s">
        <v>1341</v>
      </c>
    </row>
    <row r="1054" spans="1:10" x14ac:dyDescent="0.25">
      <c r="A1054" s="23" t="s">
        <v>5507</v>
      </c>
      <c r="B1054" s="10" t="s">
        <v>5508</v>
      </c>
      <c r="C1054" s="23" t="s">
        <v>4885</v>
      </c>
      <c r="D1054" s="28" t="s">
        <v>5509</v>
      </c>
      <c r="E1054" s="25">
        <v>101</v>
      </c>
      <c r="F1054" s="23" t="s">
        <v>1497</v>
      </c>
      <c r="G1054" s="23" t="s">
        <v>4887</v>
      </c>
      <c r="H1054" s="10" t="s">
        <v>1497</v>
      </c>
      <c r="I1054" s="35" t="s">
        <v>7017</v>
      </c>
      <c r="J1054" s="45" t="s">
        <v>1341</v>
      </c>
    </row>
    <row r="1055" spans="1:10" x14ac:dyDescent="0.25">
      <c r="A1055" s="23" t="s">
        <v>6790</v>
      </c>
      <c r="B1055" s="10" t="s">
        <v>6791</v>
      </c>
      <c r="C1055" s="23" t="s">
        <v>4885</v>
      </c>
      <c r="D1055" s="28" t="s">
        <v>6792</v>
      </c>
      <c r="E1055" s="25">
        <v>101</v>
      </c>
      <c r="F1055" s="23" t="s">
        <v>1497</v>
      </c>
      <c r="G1055" s="23" t="s">
        <v>4887</v>
      </c>
      <c r="H1055" s="10" t="s">
        <v>1497</v>
      </c>
      <c r="I1055" s="35" t="s">
        <v>7017</v>
      </c>
      <c r="J1055" s="45" t="s">
        <v>1341</v>
      </c>
    </row>
    <row r="1056" spans="1:10" x14ac:dyDescent="0.25">
      <c r="A1056" s="26" t="s">
        <v>6989</v>
      </c>
      <c r="B1056" s="10" t="s">
        <v>6791</v>
      </c>
      <c r="C1056" s="28" t="s">
        <v>4885</v>
      </c>
      <c r="D1056" s="28" t="s">
        <v>6846</v>
      </c>
      <c r="E1056" s="25">
        <v>101</v>
      </c>
      <c r="F1056" s="23" t="s">
        <v>1497</v>
      </c>
      <c r="G1056" s="23" t="s">
        <v>4887</v>
      </c>
      <c r="H1056" s="10" t="s">
        <v>1497</v>
      </c>
      <c r="I1056" s="45" t="s">
        <v>7017</v>
      </c>
      <c r="J1056" s="45" t="s">
        <v>1341</v>
      </c>
    </row>
    <row r="1057" spans="1:10" x14ac:dyDescent="0.25">
      <c r="A1057" s="23" t="s">
        <v>4948</v>
      </c>
      <c r="B1057" s="10" t="s">
        <v>4949</v>
      </c>
      <c r="C1057" s="23" t="s">
        <v>4950</v>
      </c>
      <c r="D1057" s="28" t="s">
        <v>4951</v>
      </c>
      <c r="E1057" s="25">
        <v>106</v>
      </c>
      <c r="F1057" s="23" t="str">
        <f>VLOOKUP(B1057,'[2]справочник кодов нп'!$A:$D,4,0)</f>
        <v>городские населенные пункты с численностью населения менее 50 000 человек;</v>
      </c>
      <c r="G1057" s="23" t="s">
        <v>1385</v>
      </c>
      <c r="H1057" s="10" t="s">
        <v>4950</v>
      </c>
      <c r="I1057" s="35" t="s">
        <v>7017</v>
      </c>
      <c r="J1057" s="33" t="s">
        <v>1337</v>
      </c>
    </row>
    <row r="1058" spans="1:10" x14ac:dyDescent="0.25">
      <c r="A1058" s="26" t="s">
        <v>6993</v>
      </c>
      <c r="B1058" s="10" t="s">
        <v>4949</v>
      </c>
      <c r="C1058" s="28" t="s">
        <v>4950</v>
      </c>
      <c r="D1058" s="28" t="s">
        <v>6846</v>
      </c>
      <c r="E1058" s="25">
        <v>106</v>
      </c>
      <c r="F1058" s="23" t="str">
        <f>VLOOKUP(B1058,'[2]справочник кодов нп'!$A:$D,4,0)</f>
        <v>городские населенные пункты с численностью населения менее 50 000 человек;</v>
      </c>
      <c r="G1058" s="23" t="s">
        <v>1385</v>
      </c>
      <c r="H1058" s="10" t="s">
        <v>4950</v>
      </c>
      <c r="I1058" s="35" t="s">
        <v>7019</v>
      </c>
      <c r="J1058" s="33" t="s">
        <v>1337</v>
      </c>
    </row>
    <row r="1059" spans="1:10" x14ac:dyDescent="0.25">
      <c r="A1059" s="23" t="s">
        <v>1449</v>
      </c>
      <c r="B1059" s="10" t="s">
        <v>1450</v>
      </c>
      <c r="C1059" s="23" t="s">
        <v>1451</v>
      </c>
      <c r="D1059" s="28" t="s">
        <v>1452</v>
      </c>
      <c r="E1059" s="25">
        <v>106</v>
      </c>
      <c r="F1059" s="23" t="str">
        <f>VLOOKUP(B1059,'[2]справочник кодов нп'!$A:$D,4,0)</f>
        <v>сельские населенные пункты с численностью населения менее 1 000 человек.</v>
      </c>
      <c r="G1059" s="23" t="s">
        <v>1385</v>
      </c>
      <c r="H1059" s="10" t="s">
        <v>1451</v>
      </c>
      <c r="I1059" s="35" t="s">
        <v>7017</v>
      </c>
      <c r="J1059" s="33" t="s">
        <v>1337</v>
      </c>
    </row>
    <row r="1060" spans="1:10" x14ac:dyDescent="0.25">
      <c r="A1060" s="23" t="s">
        <v>1475</v>
      </c>
      <c r="B1060" s="10" t="s">
        <v>1476</v>
      </c>
      <c r="C1060" s="23" t="s">
        <v>1451</v>
      </c>
      <c r="D1060" s="28" t="s">
        <v>1477</v>
      </c>
      <c r="E1060" s="25">
        <v>106</v>
      </c>
      <c r="F1060" s="23" t="str">
        <f>VLOOKUP(B1060,'[2]справочник кодов нп'!$A:$D,4,0)</f>
        <v>сельские населенные пункты с численностью населения менее 1 000 человек.</v>
      </c>
      <c r="G1060" s="23" t="s">
        <v>1385</v>
      </c>
      <c r="H1060" s="10" t="s">
        <v>1451</v>
      </c>
      <c r="I1060" s="35" t="s">
        <v>7017</v>
      </c>
      <c r="J1060" s="33" t="s">
        <v>1337</v>
      </c>
    </row>
    <row r="1061" spans="1:10" x14ac:dyDescent="0.25">
      <c r="A1061" s="23" t="s">
        <v>1561</v>
      </c>
      <c r="B1061" s="10" t="s">
        <v>1562</v>
      </c>
      <c r="C1061" s="23" t="s">
        <v>1451</v>
      </c>
      <c r="D1061" s="28" t="s">
        <v>1563</v>
      </c>
      <c r="E1061" s="25">
        <v>106</v>
      </c>
      <c r="F1061" s="23" t="str">
        <f>VLOOKUP(B1061,'[2]справочник кодов нп'!$A:$D,4,0)</f>
        <v>сельские населенные пункты с численностью населения более 1 000 человек;</v>
      </c>
      <c r="G1061" s="23" t="s">
        <v>1385</v>
      </c>
      <c r="H1061" s="10" t="s">
        <v>1451</v>
      </c>
      <c r="I1061" s="35" t="s">
        <v>7017</v>
      </c>
      <c r="J1061" s="33" t="s">
        <v>1337</v>
      </c>
    </row>
    <row r="1062" spans="1:10" x14ac:dyDescent="0.25">
      <c r="A1062" s="23" t="s">
        <v>1574</v>
      </c>
      <c r="B1062" s="10" t="s">
        <v>1575</v>
      </c>
      <c r="C1062" s="23" t="s">
        <v>1451</v>
      </c>
      <c r="D1062" s="28" t="s">
        <v>1576</v>
      </c>
      <c r="E1062" s="25">
        <v>106</v>
      </c>
      <c r="F1062" s="23" t="str">
        <f>VLOOKUP(B1062,'[2]справочник кодов нп'!$A:$D,4,0)</f>
        <v>сельские населенные пункты с численностью населения менее 1 000 человек.</v>
      </c>
      <c r="G1062" s="23" t="s">
        <v>1385</v>
      </c>
      <c r="H1062" s="10" t="s">
        <v>1451</v>
      </c>
      <c r="I1062" s="35" t="s">
        <v>7017</v>
      </c>
      <c r="J1062" s="33" t="s">
        <v>1337</v>
      </c>
    </row>
    <row r="1063" spans="1:10" x14ac:dyDescent="0.25">
      <c r="A1063" s="23" t="s">
        <v>1581</v>
      </c>
      <c r="B1063" s="10" t="s">
        <v>1582</v>
      </c>
      <c r="C1063" s="23" t="s">
        <v>1451</v>
      </c>
      <c r="D1063" s="28" t="s">
        <v>1583</v>
      </c>
      <c r="E1063" s="25">
        <v>106</v>
      </c>
      <c r="F1063" s="23" t="str">
        <f>VLOOKUP(B1063,'[2]справочник кодов нп'!$A:$D,4,0)</f>
        <v>сельские населенные пункты с численностью населения менее 1 000 человек.</v>
      </c>
      <c r="G1063" s="23" t="s">
        <v>1385</v>
      </c>
      <c r="H1063" s="10" t="s">
        <v>1451</v>
      </c>
      <c r="I1063" s="35" t="s">
        <v>7017</v>
      </c>
      <c r="J1063" s="33" t="s">
        <v>1337</v>
      </c>
    </row>
    <row r="1064" spans="1:10" x14ac:dyDescent="0.25">
      <c r="A1064" s="23" t="s">
        <v>1584</v>
      </c>
      <c r="B1064" s="10" t="s">
        <v>1585</v>
      </c>
      <c r="C1064" s="23" t="s">
        <v>1451</v>
      </c>
      <c r="D1064" s="28" t="s">
        <v>1586</v>
      </c>
      <c r="E1064" s="25">
        <v>106</v>
      </c>
      <c r="F1064" s="23" t="str">
        <f>VLOOKUP(B1064,'[2]справочник кодов нп'!$A:$D,4,0)</f>
        <v>сельские населенные пункты с численностью населения менее 1 000 человек.</v>
      </c>
      <c r="G1064" s="23" t="s">
        <v>1385</v>
      </c>
      <c r="H1064" s="10" t="s">
        <v>1451</v>
      </c>
      <c r="I1064" s="35" t="s">
        <v>7017</v>
      </c>
      <c r="J1064" s="33" t="s">
        <v>1337</v>
      </c>
    </row>
    <row r="1065" spans="1:10" x14ac:dyDescent="0.25">
      <c r="A1065" s="23" t="s">
        <v>1587</v>
      </c>
      <c r="B1065" s="10" t="s">
        <v>1588</v>
      </c>
      <c r="C1065" s="23" t="s">
        <v>1451</v>
      </c>
      <c r="D1065" s="28" t="s">
        <v>1589</v>
      </c>
      <c r="E1065" s="25">
        <v>106</v>
      </c>
      <c r="F1065" s="23" t="str">
        <f>VLOOKUP(B1065,'[2]справочник кодов нп'!$A:$D,4,0)</f>
        <v>сельские населенные пункты с численностью населения менее 1 000 человек.</v>
      </c>
      <c r="G1065" s="23" t="s">
        <v>1385</v>
      </c>
      <c r="H1065" s="10" t="s">
        <v>1451</v>
      </c>
      <c r="I1065" s="35" t="s">
        <v>7017</v>
      </c>
      <c r="J1065" s="33" t="s">
        <v>1337</v>
      </c>
    </row>
    <row r="1066" spans="1:10" x14ac:dyDescent="0.25">
      <c r="A1066" s="23" t="s">
        <v>1590</v>
      </c>
      <c r="B1066" s="10" t="s">
        <v>1591</v>
      </c>
      <c r="C1066" s="23" t="s">
        <v>1451</v>
      </c>
      <c r="D1066" s="28" t="s">
        <v>1592</v>
      </c>
      <c r="E1066" s="25">
        <v>106</v>
      </c>
      <c r="F1066" s="23" t="str">
        <f>VLOOKUP(B1066,'[2]справочник кодов нп'!$A:$D,4,0)</f>
        <v>сельские населенные пункты с численностью населения менее 1 000 человек.</v>
      </c>
      <c r="G1066" s="23" t="s">
        <v>1385</v>
      </c>
      <c r="H1066" s="10" t="s">
        <v>1451</v>
      </c>
      <c r="I1066" s="35" t="s">
        <v>7017</v>
      </c>
      <c r="J1066" s="33" t="s">
        <v>1337</v>
      </c>
    </row>
    <row r="1067" spans="1:10" x14ac:dyDescent="0.25">
      <c r="A1067" s="23" t="s">
        <v>1593</v>
      </c>
      <c r="B1067" s="10" t="s">
        <v>1594</v>
      </c>
      <c r="C1067" s="23" t="s">
        <v>1451</v>
      </c>
      <c r="D1067" s="28" t="s">
        <v>1595</v>
      </c>
      <c r="E1067" s="25">
        <v>106</v>
      </c>
      <c r="F1067" s="23" t="str">
        <f>VLOOKUP(B1067,'[2]справочник кодов нп'!$A:$D,4,0)</f>
        <v>сельские населенные пункты с численностью населения менее 1 000 человек.</v>
      </c>
      <c r="G1067" s="23" t="s">
        <v>1385</v>
      </c>
      <c r="H1067" s="10" t="s">
        <v>1451</v>
      </c>
      <c r="I1067" s="35" t="s">
        <v>7017</v>
      </c>
      <c r="J1067" s="33" t="s">
        <v>1337</v>
      </c>
    </row>
    <row r="1068" spans="1:10" x14ac:dyDescent="0.25">
      <c r="A1068" s="23" t="s">
        <v>1602</v>
      </c>
      <c r="B1068" s="10" t="s">
        <v>1603</v>
      </c>
      <c r="C1068" s="23" t="s">
        <v>1451</v>
      </c>
      <c r="D1068" s="28" t="s">
        <v>1604</v>
      </c>
      <c r="E1068" s="25">
        <v>106</v>
      </c>
      <c r="F1068" s="23" t="str">
        <f>VLOOKUP(B1068,'[2]справочник кодов нп'!$A:$D,4,0)</f>
        <v>сельские населенные пункты с численностью населения менее 1 000 человек.</v>
      </c>
      <c r="G1068" s="23" t="s">
        <v>1385</v>
      </c>
      <c r="H1068" s="10" t="s">
        <v>1451</v>
      </c>
      <c r="I1068" s="35" t="s">
        <v>7017</v>
      </c>
      <c r="J1068" s="33" t="s">
        <v>1337</v>
      </c>
    </row>
    <row r="1069" spans="1:10" x14ac:dyDescent="0.25">
      <c r="A1069" s="23" t="s">
        <v>1605</v>
      </c>
      <c r="B1069" s="10" t="s">
        <v>1606</v>
      </c>
      <c r="C1069" s="23" t="s">
        <v>1451</v>
      </c>
      <c r="D1069" s="28" t="s">
        <v>1607</v>
      </c>
      <c r="E1069" s="25">
        <v>106</v>
      </c>
      <c r="F1069" s="23" t="str">
        <f>VLOOKUP(B1069,'[2]справочник кодов нп'!$A:$D,4,0)</f>
        <v>сельские населенные пункты с численностью населения менее 1 000 человек.</v>
      </c>
      <c r="G1069" s="23" t="s">
        <v>1385</v>
      </c>
      <c r="H1069" s="10" t="s">
        <v>1451</v>
      </c>
      <c r="I1069" s="35" t="s">
        <v>7017</v>
      </c>
      <c r="J1069" s="33" t="s">
        <v>1337</v>
      </c>
    </row>
    <row r="1070" spans="1:10" x14ac:dyDescent="0.25">
      <c r="A1070" s="23" t="s">
        <v>1611</v>
      </c>
      <c r="B1070" s="10" t="s">
        <v>1612</v>
      </c>
      <c r="C1070" s="23" t="s">
        <v>1451</v>
      </c>
      <c r="D1070" s="28" t="s">
        <v>1613</v>
      </c>
      <c r="E1070" s="25">
        <v>106</v>
      </c>
      <c r="F1070" s="23" t="str">
        <f>VLOOKUP(B1070,'[2]справочник кодов нп'!$A:$D,4,0)</f>
        <v>сельские населенные пункты с численностью населения менее 1 000 человек.</v>
      </c>
      <c r="G1070" s="45" t="s">
        <v>1385</v>
      </c>
      <c r="H1070" s="10" t="s">
        <v>1451</v>
      </c>
      <c r="I1070" s="35" t="s">
        <v>7017</v>
      </c>
      <c r="J1070" s="33" t="s">
        <v>1337</v>
      </c>
    </row>
    <row r="1071" spans="1:10" x14ac:dyDescent="0.25">
      <c r="A1071" s="23" t="s">
        <v>1614</v>
      </c>
      <c r="B1071" s="10" t="s">
        <v>1615</v>
      </c>
      <c r="C1071" s="23" t="s">
        <v>1451</v>
      </c>
      <c r="D1071" s="28" t="s">
        <v>1616</v>
      </c>
      <c r="E1071" s="25">
        <v>106</v>
      </c>
      <c r="F1071" s="23" t="str">
        <f>VLOOKUP(B1071,'[2]справочник кодов нп'!$A:$D,4,0)</f>
        <v>сельские населенные пункты с численностью населения менее 1 000 человек.</v>
      </c>
      <c r="G1071" s="45" t="s">
        <v>1385</v>
      </c>
      <c r="H1071" s="10" t="s">
        <v>1451</v>
      </c>
      <c r="I1071" s="35" t="s">
        <v>7017</v>
      </c>
      <c r="J1071" s="33" t="s">
        <v>1337</v>
      </c>
    </row>
    <row r="1072" spans="1:10" x14ac:dyDescent="0.25">
      <c r="A1072" s="23" t="s">
        <v>1617</v>
      </c>
      <c r="B1072" s="10" t="s">
        <v>1618</v>
      </c>
      <c r="C1072" s="23" t="s">
        <v>1451</v>
      </c>
      <c r="D1072" s="28" t="s">
        <v>1619</v>
      </c>
      <c r="E1072" s="25">
        <v>106</v>
      </c>
      <c r="F1072" s="23" t="str">
        <f>VLOOKUP(B1072,'[2]справочник кодов нп'!$A:$D,4,0)</f>
        <v>сельские населенные пункты с численностью населения менее 1 000 человек.</v>
      </c>
      <c r="G1072" s="45" t="s">
        <v>1385</v>
      </c>
      <c r="H1072" s="10" t="s">
        <v>1451</v>
      </c>
      <c r="I1072" s="35" t="s">
        <v>7017</v>
      </c>
      <c r="J1072" s="33" t="s">
        <v>1337</v>
      </c>
    </row>
    <row r="1073" spans="1:10" x14ac:dyDescent="0.25">
      <c r="A1073" s="23" t="s">
        <v>1620</v>
      </c>
      <c r="B1073" s="10" t="s">
        <v>1621</v>
      </c>
      <c r="C1073" s="23" t="s">
        <v>1451</v>
      </c>
      <c r="D1073" s="28" t="s">
        <v>1622</v>
      </c>
      <c r="E1073" s="25">
        <v>106</v>
      </c>
      <c r="F1073" s="23" t="str">
        <f>VLOOKUP(B1073,'[2]справочник кодов нп'!$A:$D,4,0)</f>
        <v>сельские населенные пункты с численностью населения менее 1 000 человек.</v>
      </c>
      <c r="G1073" s="23" t="s">
        <v>1385</v>
      </c>
      <c r="H1073" s="10" t="s">
        <v>1451</v>
      </c>
      <c r="I1073" s="35" t="s">
        <v>7017</v>
      </c>
      <c r="J1073" s="33" t="s">
        <v>1337</v>
      </c>
    </row>
    <row r="1074" spans="1:10" x14ac:dyDescent="0.25">
      <c r="A1074" s="23" t="s">
        <v>1623</v>
      </c>
      <c r="B1074" s="10" t="s">
        <v>1624</v>
      </c>
      <c r="C1074" s="23" t="s">
        <v>1451</v>
      </c>
      <c r="D1074" s="28" t="s">
        <v>1625</v>
      </c>
      <c r="E1074" s="25">
        <v>106</v>
      </c>
      <c r="F1074" s="23" t="str">
        <f>VLOOKUP(B1074,'[2]справочник кодов нп'!$A:$D,4,0)</f>
        <v>сельские населенные пункты с численностью населения менее 1 000 человек.</v>
      </c>
      <c r="G1074" s="23" t="s">
        <v>1385</v>
      </c>
      <c r="H1074" s="10" t="s">
        <v>1451</v>
      </c>
      <c r="I1074" s="35" t="s">
        <v>7017</v>
      </c>
      <c r="J1074" s="33" t="s">
        <v>1337</v>
      </c>
    </row>
    <row r="1075" spans="1:10" x14ac:dyDescent="0.25">
      <c r="A1075" s="23" t="s">
        <v>1629</v>
      </c>
      <c r="B1075" s="10" t="s">
        <v>1630</v>
      </c>
      <c r="C1075" s="23" t="s">
        <v>1451</v>
      </c>
      <c r="D1075" s="28" t="s">
        <v>1631</v>
      </c>
      <c r="E1075" s="25">
        <v>106</v>
      </c>
      <c r="F1075" s="23" t="str">
        <f>VLOOKUP(B1075,'[2]справочник кодов нп'!$A:$D,4,0)</f>
        <v>сельские населенные пункты с численностью населения менее 1 000 человек.</v>
      </c>
      <c r="G1075" s="23" t="s">
        <v>1385</v>
      </c>
      <c r="H1075" s="10" t="s">
        <v>1451</v>
      </c>
      <c r="I1075" s="35" t="s">
        <v>7017</v>
      </c>
      <c r="J1075" s="33" t="s">
        <v>1337</v>
      </c>
    </row>
    <row r="1076" spans="1:10" x14ac:dyDescent="0.25">
      <c r="A1076" s="23" t="s">
        <v>1632</v>
      </c>
      <c r="B1076" s="10" t="s">
        <v>1633</v>
      </c>
      <c r="C1076" s="23" t="s">
        <v>1451</v>
      </c>
      <c r="D1076" s="28" t="s">
        <v>1634</v>
      </c>
      <c r="E1076" s="25">
        <v>106</v>
      </c>
      <c r="F1076" s="23" t="str">
        <f>VLOOKUP(B1076,'[2]справочник кодов нп'!$A:$D,4,0)</f>
        <v>сельские населенные пункты с численностью населения более 1 000 человек;</v>
      </c>
      <c r="G1076" s="23" t="s">
        <v>1385</v>
      </c>
      <c r="H1076" s="10" t="s">
        <v>1451</v>
      </c>
      <c r="I1076" s="35" t="s">
        <v>7017</v>
      </c>
      <c r="J1076" s="33" t="s">
        <v>1337</v>
      </c>
    </row>
    <row r="1077" spans="1:10" x14ac:dyDescent="0.25">
      <c r="A1077" s="23" t="s">
        <v>1635</v>
      </c>
      <c r="B1077" s="10" t="s">
        <v>1636</v>
      </c>
      <c r="C1077" s="23" t="s">
        <v>1451</v>
      </c>
      <c r="D1077" s="28" t="s">
        <v>1637</v>
      </c>
      <c r="E1077" s="25">
        <v>106</v>
      </c>
      <c r="F1077" s="23" t="str">
        <f>VLOOKUP(B1077,'[2]справочник кодов нп'!$A:$D,4,0)</f>
        <v>сельские населенные пункты с численностью населения менее 1 000 человек.</v>
      </c>
      <c r="G1077" s="23" t="s">
        <v>1385</v>
      </c>
      <c r="H1077" s="10" t="s">
        <v>1451</v>
      </c>
      <c r="I1077" s="35" t="s">
        <v>7017</v>
      </c>
      <c r="J1077" s="33" t="s">
        <v>1337</v>
      </c>
    </row>
    <row r="1078" spans="1:10" x14ac:dyDescent="0.25">
      <c r="A1078" s="23" t="s">
        <v>1641</v>
      </c>
      <c r="B1078" s="10" t="s">
        <v>1642</v>
      </c>
      <c r="C1078" s="23" t="s">
        <v>1451</v>
      </c>
      <c r="D1078" s="28" t="s">
        <v>1643</v>
      </c>
      <c r="E1078" s="25">
        <v>106</v>
      </c>
      <c r="F1078" s="23" t="str">
        <f>VLOOKUP(B1078,'[2]справочник кодов нп'!$A:$D,4,0)</f>
        <v>сельские населенные пункты с численностью населения менее 1 000 человек.</v>
      </c>
      <c r="G1078" s="23" t="s">
        <v>1385</v>
      </c>
      <c r="H1078" s="10" t="s">
        <v>1451</v>
      </c>
      <c r="I1078" s="35" t="s">
        <v>7017</v>
      </c>
      <c r="J1078" s="33" t="s">
        <v>1337</v>
      </c>
    </row>
    <row r="1079" spans="1:10" x14ac:dyDescent="0.25">
      <c r="A1079" s="23" t="s">
        <v>1644</v>
      </c>
      <c r="B1079" s="10" t="s">
        <v>1645</v>
      </c>
      <c r="C1079" s="23" t="s">
        <v>1451</v>
      </c>
      <c r="D1079" s="28" t="s">
        <v>1646</v>
      </c>
      <c r="E1079" s="25">
        <v>106</v>
      </c>
      <c r="F1079" s="23" t="str">
        <f>VLOOKUP(B1079,'[2]справочник кодов нп'!$A:$D,4,0)</f>
        <v>сельские населенные пункты с численностью населения менее 1 000 человек.</v>
      </c>
      <c r="G1079" s="23" t="s">
        <v>1385</v>
      </c>
      <c r="H1079" s="10" t="s">
        <v>1451</v>
      </c>
      <c r="I1079" s="35" t="s">
        <v>7017</v>
      </c>
      <c r="J1079" s="33" t="s">
        <v>1337</v>
      </c>
    </row>
    <row r="1080" spans="1:10" x14ac:dyDescent="0.25">
      <c r="A1080" s="23" t="s">
        <v>1650</v>
      </c>
      <c r="B1080" s="10" t="s">
        <v>1651</v>
      </c>
      <c r="C1080" s="23" t="s">
        <v>1451</v>
      </c>
      <c r="D1080" s="28" t="s">
        <v>1652</v>
      </c>
      <c r="E1080" s="25">
        <v>106</v>
      </c>
      <c r="F1080" s="23" t="str">
        <f>VLOOKUP(B1080,'[2]справочник кодов нп'!$A:$D,4,0)</f>
        <v>сельские населенные пункты с численностью населения менее 1 000 человек.</v>
      </c>
      <c r="G1080" s="23" t="s">
        <v>1385</v>
      </c>
      <c r="H1080" s="10" t="s">
        <v>1451</v>
      </c>
      <c r="I1080" s="35" t="s">
        <v>7017</v>
      </c>
      <c r="J1080" s="33" t="s">
        <v>1337</v>
      </c>
    </row>
    <row r="1081" spans="1:10" x14ac:dyDescent="0.25">
      <c r="A1081" s="23" t="s">
        <v>1653</v>
      </c>
      <c r="B1081" s="10" t="s">
        <v>1654</v>
      </c>
      <c r="C1081" s="23" t="s">
        <v>1451</v>
      </c>
      <c r="D1081" s="28" t="s">
        <v>1655</v>
      </c>
      <c r="E1081" s="25">
        <v>106</v>
      </c>
      <c r="F1081" s="23" t="str">
        <f>VLOOKUP(B1081,'[2]справочник кодов нп'!$A:$D,4,0)</f>
        <v>сельские населенные пункты с численностью населения менее 1 000 человек.</v>
      </c>
      <c r="G1081" s="23" t="s">
        <v>1385</v>
      </c>
      <c r="H1081" s="10" t="s">
        <v>1451</v>
      </c>
      <c r="I1081" s="35" t="s">
        <v>7017</v>
      </c>
      <c r="J1081" s="33" t="s">
        <v>1337</v>
      </c>
    </row>
    <row r="1082" spans="1:10" x14ac:dyDescent="0.25">
      <c r="A1082" s="23" t="s">
        <v>1656</v>
      </c>
      <c r="B1082" s="10" t="s">
        <v>1657</v>
      </c>
      <c r="C1082" s="23" t="s">
        <v>1451</v>
      </c>
      <c r="D1082" s="28" t="s">
        <v>1658</v>
      </c>
      <c r="E1082" s="25">
        <v>106</v>
      </c>
      <c r="F1082" s="23" t="str">
        <f>VLOOKUP(B1082,'[2]справочник кодов нп'!$A:$D,4,0)</f>
        <v>сельские населенные пункты с численностью населения менее 1 000 человек.</v>
      </c>
      <c r="G1082" s="23" t="s">
        <v>1385</v>
      </c>
      <c r="H1082" s="10" t="s">
        <v>1451</v>
      </c>
      <c r="I1082" s="35" t="s">
        <v>7017</v>
      </c>
      <c r="J1082" s="33" t="s">
        <v>1337</v>
      </c>
    </row>
    <row r="1083" spans="1:10" x14ac:dyDescent="0.25">
      <c r="A1083" s="23" t="s">
        <v>1659</v>
      </c>
      <c r="B1083" s="10" t="s">
        <v>1660</v>
      </c>
      <c r="C1083" s="23" t="s">
        <v>1451</v>
      </c>
      <c r="D1083" s="28" t="s">
        <v>1661</v>
      </c>
      <c r="E1083" s="25">
        <v>106</v>
      </c>
      <c r="F1083" s="23" t="str">
        <f>VLOOKUP(B1083,'[2]справочник кодов нп'!$A:$D,4,0)</f>
        <v>сельские населенные пункты с численностью населения менее 1 000 человек.</v>
      </c>
      <c r="G1083" s="23" t="s">
        <v>1385</v>
      </c>
      <c r="H1083" s="10" t="s">
        <v>1451</v>
      </c>
      <c r="I1083" s="35" t="s">
        <v>7017</v>
      </c>
      <c r="J1083" s="33" t="s">
        <v>1337</v>
      </c>
    </row>
    <row r="1084" spans="1:10" x14ac:dyDescent="0.25">
      <c r="A1084" s="23" t="s">
        <v>1662</v>
      </c>
      <c r="B1084" s="10" t="s">
        <v>1663</v>
      </c>
      <c r="C1084" s="23" t="s">
        <v>1451</v>
      </c>
      <c r="D1084" s="28" t="s">
        <v>1664</v>
      </c>
      <c r="E1084" s="25">
        <v>106</v>
      </c>
      <c r="F1084" s="23" t="str">
        <f>VLOOKUP(B1084,'[2]справочник кодов нп'!$A:$D,4,0)</f>
        <v>сельские населенные пункты с численностью населения менее 1 000 человек.</v>
      </c>
      <c r="G1084" s="23" t="s">
        <v>1385</v>
      </c>
      <c r="H1084" s="10" t="s">
        <v>1451</v>
      </c>
      <c r="I1084" s="35" t="s">
        <v>7017</v>
      </c>
      <c r="J1084" s="33" t="s">
        <v>1337</v>
      </c>
    </row>
    <row r="1085" spans="1:10" x14ac:dyDescent="0.25">
      <c r="A1085" s="23" t="s">
        <v>1665</v>
      </c>
      <c r="B1085" s="10" t="s">
        <v>1666</v>
      </c>
      <c r="C1085" s="23" t="s">
        <v>1451</v>
      </c>
      <c r="D1085" s="28" t="s">
        <v>1667</v>
      </c>
      <c r="E1085" s="25">
        <v>106</v>
      </c>
      <c r="F1085" s="23" t="str">
        <f>VLOOKUP(B1085,'[2]справочник кодов нп'!$A:$D,4,0)</f>
        <v>сельские населенные пункты с численностью населения менее 1 000 человек.</v>
      </c>
      <c r="G1085" s="23" t="s">
        <v>1385</v>
      </c>
      <c r="H1085" s="10" t="s">
        <v>1451</v>
      </c>
      <c r="I1085" s="35" t="s">
        <v>7017</v>
      </c>
      <c r="J1085" s="33" t="s">
        <v>1337</v>
      </c>
    </row>
    <row r="1086" spans="1:10" x14ac:dyDescent="0.25">
      <c r="A1086" s="23" t="s">
        <v>1668</v>
      </c>
      <c r="B1086" s="10" t="s">
        <v>1669</v>
      </c>
      <c r="C1086" s="23" t="s">
        <v>1451</v>
      </c>
      <c r="D1086" s="28" t="s">
        <v>1670</v>
      </c>
      <c r="E1086" s="25">
        <v>106</v>
      </c>
      <c r="F1086" s="23" t="str">
        <f>VLOOKUP(B1086,'[2]справочник кодов нп'!$A:$D,4,0)</f>
        <v>сельские населенные пункты с численностью населения менее 1 000 человек.</v>
      </c>
      <c r="G1086" s="23" t="s">
        <v>1385</v>
      </c>
      <c r="H1086" s="10" t="s">
        <v>1451</v>
      </c>
      <c r="I1086" s="35" t="s">
        <v>7017</v>
      </c>
      <c r="J1086" s="33" t="s">
        <v>1337</v>
      </c>
    </row>
    <row r="1087" spans="1:10" x14ac:dyDescent="0.25">
      <c r="A1087" s="23" t="s">
        <v>1674</v>
      </c>
      <c r="B1087" s="10" t="s">
        <v>1675</v>
      </c>
      <c r="C1087" s="23" t="s">
        <v>1451</v>
      </c>
      <c r="D1087" s="28" t="s">
        <v>1676</v>
      </c>
      <c r="E1087" s="25">
        <v>106</v>
      </c>
      <c r="F1087" s="23" t="str">
        <f>VLOOKUP(B1087,'[2]справочник кодов нп'!$A:$D,4,0)</f>
        <v>сельские населенные пункты с численностью населения менее 1 000 человек.</v>
      </c>
      <c r="G1087" s="23" t="s">
        <v>1385</v>
      </c>
      <c r="H1087" s="10" t="s">
        <v>1451</v>
      </c>
      <c r="I1087" s="35" t="s">
        <v>7017</v>
      </c>
      <c r="J1087" s="33" t="s">
        <v>1337</v>
      </c>
    </row>
    <row r="1088" spans="1:10" x14ac:dyDescent="0.25">
      <c r="A1088" s="23" t="s">
        <v>1680</v>
      </c>
      <c r="B1088" s="10" t="s">
        <v>1681</v>
      </c>
      <c r="C1088" s="23" t="s">
        <v>1451</v>
      </c>
      <c r="D1088" s="28" t="s">
        <v>1682</v>
      </c>
      <c r="E1088" s="25">
        <v>106</v>
      </c>
      <c r="F1088" s="23" t="str">
        <f>VLOOKUP(B1088,'[2]справочник кодов нп'!$A:$D,4,0)</f>
        <v>сельские населенные пункты с численностью населения менее 1 000 человек.</v>
      </c>
      <c r="G1088" s="23" t="s">
        <v>1385</v>
      </c>
      <c r="H1088" s="10" t="s">
        <v>1451</v>
      </c>
      <c r="I1088" s="35" t="s">
        <v>7017</v>
      </c>
      <c r="J1088" s="33" t="s">
        <v>1337</v>
      </c>
    </row>
    <row r="1089" spans="1:10" x14ac:dyDescent="0.25">
      <c r="A1089" s="23" t="s">
        <v>1683</v>
      </c>
      <c r="B1089" s="10" t="s">
        <v>1684</v>
      </c>
      <c r="C1089" s="23" t="s">
        <v>1451</v>
      </c>
      <c r="D1089" s="28" t="s">
        <v>1685</v>
      </c>
      <c r="E1089" s="25">
        <v>106</v>
      </c>
      <c r="F1089" s="23" t="str">
        <f>VLOOKUP(B1089,'[2]справочник кодов нп'!$A:$D,4,0)</f>
        <v>сельские населенные пункты с численностью населения менее 1 000 человек.</v>
      </c>
      <c r="G1089" s="23" t="s">
        <v>1385</v>
      </c>
      <c r="H1089" s="10" t="s">
        <v>1451</v>
      </c>
      <c r="I1089" s="35" t="s">
        <v>7017</v>
      </c>
      <c r="J1089" s="33" t="s">
        <v>1337</v>
      </c>
    </row>
    <row r="1090" spans="1:10" x14ac:dyDescent="0.25">
      <c r="A1090" s="23" t="s">
        <v>1689</v>
      </c>
      <c r="B1090" s="10" t="s">
        <v>1690</v>
      </c>
      <c r="C1090" s="23" t="s">
        <v>1451</v>
      </c>
      <c r="D1090" s="28" t="s">
        <v>1691</v>
      </c>
      <c r="E1090" s="25">
        <v>106</v>
      </c>
      <c r="F1090" s="23" t="str">
        <f>VLOOKUP(B1090,'[2]справочник кодов нп'!$A:$D,4,0)</f>
        <v>сельские населенные пункты с численностью населения менее 1 000 человек.</v>
      </c>
      <c r="G1090" s="23" t="s">
        <v>1385</v>
      </c>
      <c r="H1090" s="10" t="s">
        <v>1451</v>
      </c>
      <c r="I1090" s="35" t="s">
        <v>7017</v>
      </c>
      <c r="J1090" s="33" t="s">
        <v>1337</v>
      </c>
    </row>
    <row r="1091" spans="1:10" x14ac:dyDescent="0.25">
      <c r="A1091" s="23" t="s">
        <v>1692</v>
      </c>
      <c r="B1091" s="10" t="s">
        <v>1693</v>
      </c>
      <c r="C1091" s="23" t="s">
        <v>1451</v>
      </c>
      <c r="D1091" s="28" t="s">
        <v>1694</v>
      </c>
      <c r="E1091" s="25">
        <v>106</v>
      </c>
      <c r="F1091" s="23" t="str">
        <f>VLOOKUP(B1091,'[2]справочник кодов нп'!$A:$D,4,0)</f>
        <v>сельские населенные пункты с численностью населения менее 1 000 человек.</v>
      </c>
      <c r="G1091" s="23" t="s">
        <v>1385</v>
      </c>
      <c r="H1091" s="10" t="s">
        <v>1451</v>
      </c>
      <c r="I1091" s="35" t="s">
        <v>7017</v>
      </c>
      <c r="J1091" s="33" t="s">
        <v>1337</v>
      </c>
    </row>
    <row r="1092" spans="1:10" x14ac:dyDescent="0.25">
      <c r="A1092" s="23" t="s">
        <v>1695</v>
      </c>
      <c r="B1092" s="10" t="s">
        <v>1696</v>
      </c>
      <c r="C1092" s="23" t="s">
        <v>1451</v>
      </c>
      <c r="D1092" s="28" t="s">
        <v>1697</v>
      </c>
      <c r="E1092" s="25">
        <v>106</v>
      </c>
      <c r="F1092" s="23" t="str">
        <f>VLOOKUP(B1092,'[2]справочник кодов нп'!$A:$D,4,0)</f>
        <v>сельские населенные пункты с численностью населения менее 1 000 человек.</v>
      </c>
      <c r="G1092" s="23" t="s">
        <v>1385</v>
      </c>
      <c r="H1092" s="10" t="s">
        <v>1451</v>
      </c>
      <c r="I1092" s="35" t="s">
        <v>7017</v>
      </c>
      <c r="J1092" s="33" t="s">
        <v>1337</v>
      </c>
    </row>
    <row r="1093" spans="1:10" x14ac:dyDescent="0.25">
      <c r="A1093" s="23" t="s">
        <v>1698</v>
      </c>
      <c r="B1093" s="10" t="s">
        <v>1699</v>
      </c>
      <c r="C1093" s="23" t="s">
        <v>1451</v>
      </c>
      <c r="D1093" s="28" t="s">
        <v>1700</v>
      </c>
      <c r="E1093" s="25">
        <v>106</v>
      </c>
      <c r="F1093" s="23" t="str">
        <f>VLOOKUP(B1093,'[2]справочник кодов нп'!$A:$D,4,0)</f>
        <v>городские населенные пункты с численностью населения менее 50 000 человек;</v>
      </c>
      <c r="G1093" s="23" t="s">
        <v>1385</v>
      </c>
      <c r="H1093" s="10" t="s">
        <v>1451</v>
      </c>
      <c r="I1093" s="35" t="s">
        <v>7017</v>
      </c>
      <c r="J1093" s="33" t="s">
        <v>1337</v>
      </c>
    </row>
    <row r="1094" spans="1:10" x14ac:dyDescent="0.25">
      <c r="A1094" s="23" t="s">
        <v>1701</v>
      </c>
      <c r="B1094" s="10" t="s">
        <v>1702</v>
      </c>
      <c r="C1094" s="23" t="s">
        <v>1451</v>
      </c>
      <c r="D1094" s="28" t="s">
        <v>1703</v>
      </c>
      <c r="E1094" s="25">
        <v>106</v>
      </c>
      <c r="F1094" s="23" t="str">
        <f>VLOOKUP(B1094,'[2]справочник кодов нп'!$A:$D,4,0)</f>
        <v>сельские населенные пункты с численностью населения менее 1 000 человек.</v>
      </c>
      <c r="G1094" s="45" t="s">
        <v>1385</v>
      </c>
      <c r="H1094" s="10" t="s">
        <v>1451</v>
      </c>
      <c r="I1094" s="35" t="s">
        <v>7017</v>
      </c>
      <c r="J1094" s="33" t="s">
        <v>1337</v>
      </c>
    </row>
    <row r="1095" spans="1:10" x14ac:dyDescent="0.25">
      <c r="A1095" s="23" t="s">
        <v>1704</v>
      </c>
      <c r="B1095" s="10" t="s">
        <v>1705</v>
      </c>
      <c r="C1095" s="23" t="s">
        <v>1451</v>
      </c>
      <c r="D1095" s="28" t="s">
        <v>1706</v>
      </c>
      <c r="E1095" s="25">
        <v>106</v>
      </c>
      <c r="F1095" s="23" t="str">
        <f>VLOOKUP(B1095,'[2]справочник кодов нп'!$A:$D,4,0)</f>
        <v>сельские населенные пункты с численностью населения менее 1 000 человек.</v>
      </c>
      <c r="G1095" s="45" t="s">
        <v>1385</v>
      </c>
      <c r="H1095" s="10" t="s">
        <v>1451</v>
      </c>
      <c r="I1095" s="35" t="s">
        <v>7017</v>
      </c>
      <c r="J1095" s="33" t="s">
        <v>1337</v>
      </c>
    </row>
    <row r="1096" spans="1:10" x14ac:dyDescent="0.25">
      <c r="A1096" s="23" t="s">
        <v>1710</v>
      </c>
      <c r="B1096" s="10" t="s">
        <v>1711</v>
      </c>
      <c r="C1096" s="23" t="s">
        <v>1451</v>
      </c>
      <c r="D1096" s="28" t="s">
        <v>1712</v>
      </c>
      <c r="E1096" s="25">
        <v>106</v>
      </c>
      <c r="F1096" s="23" t="str">
        <f>VLOOKUP(B1096,'[2]справочник кодов нп'!$A:$D,4,0)</f>
        <v>сельские населенные пункты с численностью населения менее 1 000 человек.</v>
      </c>
      <c r="G1096" s="45" t="s">
        <v>1385</v>
      </c>
      <c r="H1096" s="10" t="s">
        <v>1451</v>
      </c>
      <c r="I1096" s="35" t="s">
        <v>7017</v>
      </c>
      <c r="J1096" s="33" t="s">
        <v>1337</v>
      </c>
    </row>
    <row r="1097" spans="1:10" x14ac:dyDescent="0.25">
      <c r="A1097" s="23" t="s">
        <v>1716</v>
      </c>
      <c r="B1097" s="10" t="s">
        <v>1717</v>
      </c>
      <c r="C1097" s="23" t="s">
        <v>1451</v>
      </c>
      <c r="D1097" s="28" t="s">
        <v>1718</v>
      </c>
      <c r="E1097" s="25">
        <v>106</v>
      </c>
      <c r="F1097" s="23" t="str">
        <f>VLOOKUP(B1097,'[2]справочник кодов нп'!$A:$D,4,0)</f>
        <v>сельские населенные пункты с численностью населения более 1 000 человек;</v>
      </c>
      <c r="G1097" s="45" t="s">
        <v>1385</v>
      </c>
      <c r="H1097" s="10" t="s">
        <v>1451</v>
      </c>
      <c r="I1097" s="35" t="s">
        <v>7017</v>
      </c>
      <c r="J1097" s="33" t="s">
        <v>1337</v>
      </c>
    </row>
    <row r="1098" spans="1:10" x14ac:dyDescent="0.25">
      <c r="A1098" s="23" t="s">
        <v>1719</v>
      </c>
      <c r="B1098" s="10" t="s">
        <v>1720</v>
      </c>
      <c r="C1098" s="23" t="s">
        <v>1451</v>
      </c>
      <c r="D1098" s="28" t="s">
        <v>1721</v>
      </c>
      <c r="E1098" s="25">
        <v>106</v>
      </c>
      <c r="F1098" s="23" t="str">
        <f>VLOOKUP(B1098,'[2]справочник кодов нп'!$A:$D,4,0)</f>
        <v>сельские населенные пункты с численностью населения менее 1 000 человек.</v>
      </c>
      <c r="G1098" s="45" t="s">
        <v>1385</v>
      </c>
      <c r="H1098" s="10" t="s">
        <v>1451</v>
      </c>
      <c r="I1098" s="35" t="s">
        <v>7017</v>
      </c>
      <c r="J1098" s="33" t="s">
        <v>1337</v>
      </c>
    </row>
    <row r="1099" spans="1:10" x14ac:dyDescent="0.25">
      <c r="A1099" s="23" t="s">
        <v>1722</v>
      </c>
      <c r="B1099" s="10" t="s">
        <v>1723</v>
      </c>
      <c r="C1099" s="23" t="s">
        <v>1451</v>
      </c>
      <c r="D1099" s="28" t="s">
        <v>1724</v>
      </c>
      <c r="E1099" s="25">
        <v>106</v>
      </c>
      <c r="F1099" s="23" t="str">
        <f>VLOOKUP(B1099,'[2]справочник кодов нп'!$A:$D,4,0)</f>
        <v>сельские населенные пункты с численностью населения менее 1 000 человек.</v>
      </c>
      <c r="G1099" s="45" t="s">
        <v>1385</v>
      </c>
      <c r="H1099" s="10" t="s">
        <v>1451</v>
      </c>
      <c r="I1099" s="35" t="s">
        <v>7017</v>
      </c>
      <c r="J1099" s="33" t="s">
        <v>1337</v>
      </c>
    </row>
    <row r="1100" spans="1:10" x14ac:dyDescent="0.25">
      <c r="A1100" s="23" t="s">
        <v>1725</v>
      </c>
      <c r="B1100" s="10" t="s">
        <v>1726</v>
      </c>
      <c r="C1100" s="23" t="s">
        <v>1451</v>
      </c>
      <c r="D1100" s="28" t="s">
        <v>1727</v>
      </c>
      <c r="E1100" s="25">
        <v>106</v>
      </c>
      <c r="F1100" s="23" t="str">
        <f>VLOOKUP(B1100,'[2]справочник кодов нп'!$A:$D,4,0)</f>
        <v>сельские населенные пункты с численностью населения менее 1 000 человек.</v>
      </c>
      <c r="G1100" s="45" t="s">
        <v>1385</v>
      </c>
      <c r="H1100" s="10" t="s">
        <v>1451</v>
      </c>
      <c r="I1100" s="35" t="s">
        <v>7017</v>
      </c>
      <c r="J1100" s="33" t="s">
        <v>1337</v>
      </c>
    </row>
    <row r="1101" spans="1:10" x14ac:dyDescent="0.25">
      <c r="A1101" s="23" t="s">
        <v>1728</v>
      </c>
      <c r="B1101" s="10" t="s">
        <v>1729</v>
      </c>
      <c r="C1101" s="23" t="s">
        <v>1451</v>
      </c>
      <c r="D1101" s="28" t="s">
        <v>1730</v>
      </c>
      <c r="E1101" s="25">
        <v>106</v>
      </c>
      <c r="F1101" s="23" t="str">
        <f>VLOOKUP(B1101,'[2]справочник кодов нп'!$A:$D,4,0)</f>
        <v>сельские населенные пункты с численностью населения менее 1 000 человек.</v>
      </c>
      <c r="G1101" s="45" t="s">
        <v>1385</v>
      </c>
      <c r="H1101" s="10" t="s">
        <v>1451</v>
      </c>
      <c r="I1101" s="35" t="s">
        <v>7017</v>
      </c>
      <c r="J1101" s="33" t="s">
        <v>1337</v>
      </c>
    </row>
    <row r="1102" spans="1:10" x14ac:dyDescent="0.25">
      <c r="A1102" s="23" t="s">
        <v>1734</v>
      </c>
      <c r="B1102" s="10" t="s">
        <v>1735</v>
      </c>
      <c r="C1102" s="23" t="s">
        <v>1451</v>
      </c>
      <c r="D1102" s="28" t="s">
        <v>1736</v>
      </c>
      <c r="E1102" s="25">
        <v>106</v>
      </c>
      <c r="F1102" s="23" t="str">
        <f>VLOOKUP(B1102,'[2]справочник кодов нп'!$A:$D,4,0)</f>
        <v>сельские населенные пункты с численностью населения менее 1 000 человек.</v>
      </c>
      <c r="G1102" s="45" t="s">
        <v>1385</v>
      </c>
      <c r="H1102" s="10" t="s">
        <v>1451</v>
      </c>
      <c r="I1102" s="35" t="s">
        <v>7017</v>
      </c>
      <c r="J1102" s="33" t="s">
        <v>1337</v>
      </c>
    </row>
    <row r="1103" spans="1:10" x14ac:dyDescent="0.25">
      <c r="A1103" s="23" t="s">
        <v>1737</v>
      </c>
      <c r="B1103" s="10" t="s">
        <v>1738</v>
      </c>
      <c r="C1103" s="23" t="s">
        <v>1451</v>
      </c>
      <c r="D1103" s="28" t="s">
        <v>1739</v>
      </c>
      <c r="E1103" s="25">
        <v>106</v>
      </c>
      <c r="F1103" s="23" t="str">
        <f>VLOOKUP(B1103,'[2]справочник кодов нп'!$A:$D,4,0)</f>
        <v>сельские населенные пункты с численностью населения более 1 000 человек;</v>
      </c>
      <c r="G1103" s="45" t="s">
        <v>1385</v>
      </c>
      <c r="H1103" s="10" t="s">
        <v>1451</v>
      </c>
      <c r="I1103" s="35" t="s">
        <v>7017</v>
      </c>
      <c r="J1103" s="33" t="s">
        <v>1337</v>
      </c>
    </row>
    <row r="1104" spans="1:10" x14ac:dyDescent="0.25">
      <c r="A1104" s="23" t="s">
        <v>1740</v>
      </c>
      <c r="B1104" s="10" t="s">
        <v>1741</v>
      </c>
      <c r="C1104" s="23" t="s">
        <v>1451</v>
      </c>
      <c r="D1104" s="28" t="s">
        <v>1742</v>
      </c>
      <c r="E1104" s="25">
        <v>106</v>
      </c>
      <c r="F1104" s="23" t="str">
        <f>VLOOKUP(B1104,'[2]справочник кодов нп'!$A:$D,4,0)</f>
        <v>сельские населенные пункты с численностью населения менее 1 000 человек.</v>
      </c>
      <c r="G1104" s="45" t="s">
        <v>1385</v>
      </c>
      <c r="H1104" s="10" t="s">
        <v>1451</v>
      </c>
      <c r="I1104" s="35" t="s">
        <v>7017</v>
      </c>
      <c r="J1104" s="33" t="s">
        <v>1337</v>
      </c>
    </row>
    <row r="1105" spans="1:10" x14ac:dyDescent="0.25">
      <c r="A1105" s="23" t="s">
        <v>1743</v>
      </c>
      <c r="B1105" s="10" t="s">
        <v>1744</v>
      </c>
      <c r="C1105" s="23" t="s">
        <v>1451</v>
      </c>
      <c r="D1105" s="28" t="s">
        <v>1745</v>
      </c>
      <c r="E1105" s="25">
        <v>106</v>
      </c>
      <c r="F1105" s="23" t="str">
        <f>VLOOKUP(B1105,'[2]справочник кодов нп'!$A:$D,4,0)</f>
        <v>сельские населенные пункты с численностью населения менее 1 000 человек.</v>
      </c>
      <c r="G1105" s="45" t="s">
        <v>1385</v>
      </c>
      <c r="H1105" s="10" t="s">
        <v>1451</v>
      </c>
      <c r="I1105" s="35" t="s">
        <v>7017</v>
      </c>
      <c r="J1105" s="33" t="s">
        <v>1337</v>
      </c>
    </row>
    <row r="1106" spans="1:10" x14ac:dyDescent="0.25">
      <c r="A1106" s="23" t="s">
        <v>1746</v>
      </c>
      <c r="B1106" s="10" t="s">
        <v>1747</v>
      </c>
      <c r="C1106" s="23" t="s">
        <v>1451</v>
      </c>
      <c r="D1106" s="28" t="s">
        <v>1748</v>
      </c>
      <c r="E1106" s="25">
        <v>106</v>
      </c>
      <c r="F1106" s="23" t="str">
        <f>VLOOKUP(B1106,'[2]справочник кодов нп'!$A:$D,4,0)</f>
        <v>сельские населенные пункты с численностью населения менее 1 000 человек.</v>
      </c>
      <c r="G1106" s="45" t="s">
        <v>1385</v>
      </c>
      <c r="H1106" s="10" t="s">
        <v>1451</v>
      </c>
      <c r="I1106" s="35" t="s">
        <v>7017</v>
      </c>
      <c r="J1106" s="33" t="s">
        <v>1337</v>
      </c>
    </row>
    <row r="1107" spans="1:10" x14ac:dyDescent="0.25">
      <c r="A1107" s="23" t="s">
        <v>1749</v>
      </c>
      <c r="B1107" s="10" t="s">
        <v>1750</v>
      </c>
      <c r="C1107" s="23" t="s">
        <v>1451</v>
      </c>
      <c r="D1107" s="28" t="s">
        <v>1751</v>
      </c>
      <c r="E1107" s="25">
        <v>106</v>
      </c>
      <c r="F1107" s="23" t="str">
        <f>VLOOKUP(B1107,'[2]справочник кодов нп'!$A:$D,4,0)</f>
        <v>сельские населенные пункты с численностью населения менее 1 000 человек.</v>
      </c>
      <c r="G1107" s="23" t="s">
        <v>1385</v>
      </c>
      <c r="H1107" s="10" t="s">
        <v>1451</v>
      </c>
      <c r="I1107" s="35" t="s">
        <v>7017</v>
      </c>
      <c r="J1107" s="33" t="s">
        <v>1337</v>
      </c>
    </row>
    <row r="1108" spans="1:10" x14ac:dyDescent="0.25">
      <c r="A1108" s="23" t="s">
        <v>1752</v>
      </c>
      <c r="B1108" s="10" t="s">
        <v>1753</v>
      </c>
      <c r="C1108" s="23" t="s">
        <v>1451</v>
      </c>
      <c r="D1108" s="28" t="s">
        <v>1754</v>
      </c>
      <c r="E1108" s="25">
        <v>106</v>
      </c>
      <c r="F1108" s="23" t="str">
        <f>VLOOKUP(B1108,'[2]справочник кодов нп'!$A:$D,4,0)</f>
        <v>сельские населенные пункты с численностью населения менее 1 000 человек.</v>
      </c>
      <c r="G1108" s="23" t="s">
        <v>1385</v>
      </c>
      <c r="H1108" s="10" t="s">
        <v>1451</v>
      </c>
      <c r="I1108" s="35" t="s">
        <v>7017</v>
      </c>
      <c r="J1108" s="33" t="s">
        <v>1337</v>
      </c>
    </row>
    <row r="1109" spans="1:10" x14ac:dyDescent="0.25">
      <c r="A1109" s="23" t="s">
        <v>1755</v>
      </c>
      <c r="B1109" s="10" t="s">
        <v>1756</v>
      </c>
      <c r="C1109" s="23" t="s">
        <v>1451</v>
      </c>
      <c r="D1109" s="28" t="s">
        <v>1757</v>
      </c>
      <c r="E1109" s="25">
        <v>106</v>
      </c>
      <c r="F1109" s="23" t="str">
        <f>VLOOKUP(B1109,'[2]справочник кодов нп'!$A:$D,4,0)</f>
        <v>сельские населенные пункты с численностью населения менее 1 000 человек.</v>
      </c>
      <c r="G1109" s="23" t="s">
        <v>1385</v>
      </c>
      <c r="H1109" s="10" t="s">
        <v>1451</v>
      </c>
      <c r="I1109" s="35" t="s">
        <v>7017</v>
      </c>
      <c r="J1109" s="33" t="s">
        <v>1337</v>
      </c>
    </row>
    <row r="1110" spans="1:10" x14ac:dyDescent="0.25">
      <c r="A1110" s="23" t="s">
        <v>1758</v>
      </c>
      <c r="B1110" s="10" t="s">
        <v>1759</v>
      </c>
      <c r="C1110" s="23" t="s">
        <v>1451</v>
      </c>
      <c r="D1110" s="28" t="s">
        <v>1760</v>
      </c>
      <c r="E1110" s="25">
        <v>106</v>
      </c>
      <c r="F1110" s="23" t="str">
        <f>VLOOKUP(B1110,'[2]справочник кодов нп'!$A:$D,4,0)</f>
        <v>сельские населенные пункты с численностью населения менее 1 000 человек.</v>
      </c>
      <c r="G1110" s="23" t="s">
        <v>1385</v>
      </c>
      <c r="H1110" s="10" t="s">
        <v>1451</v>
      </c>
      <c r="I1110" s="35" t="s">
        <v>7017</v>
      </c>
      <c r="J1110" s="33" t="s">
        <v>1337</v>
      </c>
    </row>
    <row r="1111" spans="1:10" x14ac:dyDescent="0.25">
      <c r="A1111" s="23" t="s">
        <v>1764</v>
      </c>
      <c r="B1111" s="10" t="s">
        <v>1765</v>
      </c>
      <c r="C1111" s="23" t="s">
        <v>1451</v>
      </c>
      <c r="D1111" s="28" t="s">
        <v>1766</v>
      </c>
      <c r="E1111" s="25">
        <v>106</v>
      </c>
      <c r="F1111" s="23" t="str">
        <f>VLOOKUP(B1111,'[2]справочник кодов нп'!$A:$D,4,0)</f>
        <v>сельские населенные пункты с численностью населения менее 1 000 человек.</v>
      </c>
      <c r="G1111" s="23" t="s">
        <v>1385</v>
      </c>
      <c r="H1111" s="10" t="s">
        <v>1451</v>
      </c>
      <c r="I1111" s="35" t="s">
        <v>7017</v>
      </c>
      <c r="J1111" s="33" t="s">
        <v>1337</v>
      </c>
    </row>
    <row r="1112" spans="1:10" x14ac:dyDescent="0.25">
      <c r="A1112" s="23" t="s">
        <v>1770</v>
      </c>
      <c r="B1112" s="10" t="s">
        <v>1771</v>
      </c>
      <c r="C1112" s="23" t="s">
        <v>1451</v>
      </c>
      <c r="D1112" s="28" t="s">
        <v>1772</v>
      </c>
      <c r="E1112" s="25">
        <v>106</v>
      </c>
      <c r="F1112" s="23" t="str">
        <f>VLOOKUP(B1112,'[2]справочник кодов нп'!$A:$D,4,0)</f>
        <v>сельские населенные пункты с численностью населения менее 1 000 человек.</v>
      </c>
      <c r="G1112" s="23" t="s">
        <v>1385</v>
      </c>
      <c r="H1112" s="10" t="s">
        <v>1451</v>
      </c>
      <c r="I1112" s="35" t="s">
        <v>7017</v>
      </c>
      <c r="J1112" s="33" t="s">
        <v>1337</v>
      </c>
    </row>
    <row r="1113" spans="1:10" x14ac:dyDescent="0.25">
      <c r="A1113" s="23" t="s">
        <v>1773</v>
      </c>
      <c r="B1113" s="10" t="s">
        <v>1774</v>
      </c>
      <c r="C1113" s="23" t="s">
        <v>1451</v>
      </c>
      <c r="D1113" s="28" t="s">
        <v>1775</v>
      </c>
      <c r="E1113" s="25">
        <v>106</v>
      </c>
      <c r="F1113" s="23" t="str">
        <f>VLOOKUP(B1113,'[2]справочник кодов нп'!$A:$D,4,0)</f>
        <v>сельские населенные пункты с численностью населения менее 1 000 человек.</v>
      </c>
      <c r="G1113" s="23" t="s">
        <v>1385</v>
      </c>
      <c r="H1113" s="10" t="s">
        <v>1451</v>
      </c>
      <c r="I1113" s="35" t="s">
        <v>7017</v>
      </c>
      <c r="J1113" s="33" t="s">
        <v>1337</v>
      </c>
    </row>
    <row r="1114" spans="1:10" x14ac:dyDescent="0.25">
      <c r="A1114" s="23" t="s">
        <v>1785</v>
      </c>
      <c r="B1114" s="10" t="s">
        <v>1786</v>
      </c>
      <c r="C1114" s="23" t="s">
        <v>1451</v>
      </c>
      <c r="D1114" s="28" t="s">
        <v>1787</v>
      </c>
      <c r="E1114" s="25">
        <v>106</v>
      </c>
      <c r="F1114" s="23" t="str">
        <f>VLOOKUP(B1114,'[2]справочник кодов нп'!$A:$D,4,0)</f>
        <v>сельские населенные пункты с численностью населения менее 1 000 человек.</v>
      </c>
      <c r="G1114" s="23" t="s">
        <v>1385</v>
      </c>
      <c r="H1114" s="10" t="s">
        <v>1451</v>
      </c>
      <c r="I1114" s="35" t="s">
        <v>7017</v>
      </c>
      <c r="J1114" s="33" t="s">
        <v>1337</v>
      </c>
    </row>
    <row r="1115" spans="1:10" x14ac:dyDescent="0.25">
      <c r="A1115" s="23" t="s">
        <v>1788</v>
      </c>
      <c r="B1115" s="10" t="s">
        <v>1789</v>
      </c>
      <c r="C1115" s="23" t="s">
        <v>1451</v>
      </c>
      <c r="D1115" s="28" t="s">
        <v>1790</v>
      </c>
      <c r="E1115" s="25">
        <v>106</v>
      </c>
      <c r="F1115" s="23" t="str">
        <f>VLOOKUP(B1115,'[2]справочник кодов нп'!$A:$D,4,0)</f>
        <v>сельские населенные пункты с численностью населения менее 1 000 человек.</v>
      </c>
      <c r="G1115" s="23" t="s">
        <v>1385</v>
      </c>
      <c r="H1115" s="10" t="s">
        <v>1451</v>
      </c>
      <c r="I1115" s="35" t="s">
        <v>7017</v>
      </c>
      <c r="J1115" s="33" t="s">
        <v>1337</v>
      </c>
    </row>
    <row r="1116" spans="1:10" x14ac:dyDescent="0.25">
      <c r="A1116" s="23" t="s">
        <v>1791</v>
      </c>
      <c r="B1116" s="10" t="s">
        <v>1792</v>
      </c>
      <c r="C1116" s="23" t="s">
        <v>1451</v>
      </c>
      <c r="D1116" s="28" t="s">
        <v>1793</v>
      </c>
      <c r="E1116" s="25">
        <v>106</v>
      </c>
      <c r="F1116" s="23" t="str">
        <f>VLOOKUP(B1116,'[2]справочник кодов нп'!$A:$D,4,0)</f>
        <v>сельские населенные пункты с численностью населения менее 1 000 человек.</v>
      </c>
      <c r="G1116" s="23" t="s">
        <v>1385</v>
      </c>
      <c r="H1116" s="10" t="s">
        <v>1451</v>
      </c>
      <c r="I1116" s="35" t="s">
        <v>7017</v>
      </c>
      <c r="J1116" s="33" t="s">
        <v>1337</v>
      </c>
    </row>
    <row r="1117" spans="1:10" x14ac:dyDescent="0.25">
      <c r="A1117" s="23" t="s">
        <v>1794</v>
      </c>
      <c r="B1117" s="10" t="s">
        <v>1795</v>
      </c>
      <c r="C1117" s="23" t="s">
        <v>1451</v>
      </c>
      <c r="D1117" s="28" t="s">
        <v>1796</v>
      </c>
      <c r="E1117" s="25">
        <v>106</v>
      </c>
      <c r="F1117" s="23" t="str">
        <f>VLOOKUP(B1117,'[2]справочник кодов нп'!$A:$D,4,0)</f>
        <v>сельские населенные пункты с численностью населения менее 1 000 человек.</v>
      </c>
      <c r="G1117" s="23" t="s">
        <v>1385</v>
      </c>
      <c r="H1117" s="10" t="s">
        <v>1451</v>
      </c>
      <c r="I1117" s="35" t="s">
        <v>7017</v>
      </c>
      <c r="J1117" s="33" t="s">
        <v>1337</v>
      </c>
    </row>
    <row r="1118" spans="1:10" x14ac:dyDescent="0.25">
      <c r="A1118" s="23" t="s">
        <v>1797</v>
      </c>
      <c r="B1118" s="10" t="s">
        <v>1798</v>
      </c>
      <c r="C1118" s="23" t="s">
        <v>1451</v>
      </c>
      <c r="D1118" s="28" t="s">
        <v>1799</v>
      </c>
      <c r="E1118" s="25">
        <v>106</v>
      </c>
      <c r="F1118" s="23" t="str">
        <f>VLOOKUP(B1118,'[2]справочник кодов нп'!$A:$D,4,0)</f>
        <v>сельские населенные пункты с численностью населения менее 1 000 человек.</v>
      </c>
      <c r="G1118" s="23" t="s">
        <v>1385</v>
      </c>
      <c r="H1118" s="10" t="s">
        <v>1451</v>
      </c>
      <c r="I1118" s="35" t="s">
        <v>7017</v>
      </c>
      <c r="J1118" s="33" t="s">
        <v>1337</v>
      </c>
    </row>
    <row r="1119" spans="1:10" x14ac:dyDescent="0.25">
      <c r="A1119" s="23" t="s">
        <v>1803</v>
      </c>
      <c r="B1119" s="10" t="s">
        <v>1804</v>
      </c>
      <c r="C1119" s="23" t="s">
        <v>1451</v>
      </c>
      <c r="D1119" s="28" t="s">
        <v>1805</v>
      </c>
      <c r="E1119" s="25">
        <v>106</v>
      </c>
      <c r="F1119" s="23" t="str">
        <f>VLOOKUP(B1119,'[2]справочник кодов нп'!$A:$D,4,0)</f>
        <v>сельские населенные пункты с численностью населения менее 1 000 человек.</v>
      </c>
      <c r="G1119" s="23" t="s">
        <v>1385</v>
      </c>
      <c r="H1119" s="10" t="s">
        <v>1451</v>
      </c>
      <c r="I1119" s="35" t="s">
        <v>7017</v>
      </c>
      <c r="J1119" s="33" t="s">
        <v>1337</v>
      </c>
    </row>
    <row r="1120" spans="1:10" x14ac:dyDescent="0.25">
      <c r="A1120" s="23" t="s">
        <v>1812</v>
      </c>
      <c r="B1120" s="10" t="s">
        <v>1813</v>
      </c>
      <c r="C1120" s="23" t="s">
        <v>1451</v>
      </c>
      <c r="D1120" s="28" t="s">
        <v>1814</v>
      </c>
      <c r="E1120" s="25">
        <v>106</v>
      </c>
      <c r="F1120" s="23" t="str">
        <f>VLOOKUP(B1120,'[2]справочник кодов нп'!$A:$D,4,0)</f>
        <v>сельские населенные пункты с численностью населения менее 1 000 человек.</v>
      </c>
      <c r="G1120" s="23" t="s">
        <v>1385</v>
      </c>
      <c r="H1120" s="10" t="s">
        <v>1451</v>
      </c>
      <c r="I1120" s="35" t="s">
        <v>7017</v>
      </c>
      <c r="J1120" s="33" t="s">
        <v>1337</v>
      </c>
    </row>
    <row r="1121" spans="1:10" x14ac:dyDescent="0.25">
      <c r="A1121" s="23" t="s">
        <v>1815</v>
      </c>
      <c r="B1121" s="10" t="s">
        <v>1816</v>
      </c>
      <c r="C1121" s="23" t="s">
        <v>1451</v>
      </c>
      <c r="D1121" s="28" t="s">
        <v>1817</v>
      </c>
      <c r="E1121" s="25">
        <v>106</v>
      </c>
      <c r="F1121" s="23" t="str">
        <f>VLOOKUP(B1121,'[2]справочник кодов нп'!$A:$D,4,0)</f>
        <v>сельские населенные пункты с численностью населения менее 1 000 человек.</v>
      </c>
      <c r="G1121" s="23" t="s">
        <v>1385</v>
      </c>
      <c r="H1121" s="10" t="s">
        <v>1451</v>
      </c>
      <c r="I1121" s="35" t="s">
        <v>7017</v>
      </c>
      <c r="J1121" s="33" t="s">
        <v>1337</v>
      </c>
    </row>
    <row r="1122" spans="1:10" x14ac:dyDescent="0.25">
      <c r="A1122" s="23" t="s">
        <v>1818</v>
      </c>
      <c r="B1122" s="10" t="s">
        <v>1819</v>
      </c>
      <c r="C1122" s="23" t="s">
        <v>1451</v>
      </c>
      <c r="D1122" s="28" t="s">
        <v>1820</v>
      </c>
      <c r="E1122" s="25">
        <v>106</v>
      </c>
      <c r="F1122" s="23" t="str">
        <f>VLOOKUP(B1122,'[2]справочник кодов нп'!$A:$D,4,0)</f>
        <v>сельские населенные пункты с численностью населения менее 1 000 человек.</v>
      </c>
      <c r="G1122" s="23" t="s">
        <v>1385</v>
      </c>
      <c r="H1122" s="10" t="s">
        <v>1451</v>
      </c>
      <c r="I1122" s="35" t="s">
        <v>7017</v>
      </c>
      <c r="J1122" s="33" t="s">
        <v>1337</v>
      </c>
    </row>
    <row r="1123" spans="1:10" x14ac:dyDescent="0.25">
      <c r="A1123" s="23" t="s">
        <v>1821</v>
      </c>
      <c r="B1123" s="10" t="s">
        <v>1822</v>
      </c>
      <c r="C1123" s="23" t="s">
        <v>1451</v>
      </c>
      <c r="D1123" s="28" t="s">
        <v>1823</v>
      </c>
      <c r="E1123" s="25">
        <v>106</v>
      </c>
      <c r="F1123" s="23" t="str">
        <f>VLOOKUP(B1123,'[2]справочник кодов нп'!$A:$D,4,0)</f>
        <v>сельские населенные пункты с численностью населения менее 1 000 человек.</v>
      </c>
      <c r="G1123" s="23" t="s">
        <v>1385</v>
      </c>
      <c r="H1123" s="10" t="s">
        <v>1451</v>
      </c>
      <c r="I1123" s="35" t="s">
        <v>7017</v>
      </c>
      <c r="J1123" s="33" t="s">
        <v>1337</v>
      </c>
    </row>
    <row r="1124" spans="1:10" x14ac:dyDescent="0.25">
      <c r="A1124" s="23" t="s">
        <v>4819</v>
      </c>
      <c r="B1124" s="10" t="s">
        <v>4820</v>
      </c>
      <c r="C1124" s="23" t="s">
        <v>1451</v>
      </c>
      <c r="D1124" s="28" t="s">
        <v>4821</v>
      </c>
      <c r="E1124" s="25">
        <v>106</v>
      </c>
      <c r="F1124" s="23" t="str">
        <f>VLOOKUP(B1124,'[2]справочник кодов нп'!$A:$D,4,0)</f>
        <v>сельские населенные пункты с численностью населения менее 1 000 человек.</v>
      </c>
      <c r="G1124" s="23" t="s">
        <v>1385</v>
      </c>
      <c r="H1124" s="10" t="s">
        <v>1451</v>
      </c>
      <c r="I1124" s="35" t="s">
        <v>7017</v>
      </c>
      <c r="J1124" s="33" t="s">
        <v>1337</v>
      </c>
    </row>
    <row r="1125" spans="1:10" x14ac:dyDescent="0.25">
      <c r="A1125" s="23" t="s">
        <v>5545</v>
      </c>
      <c r="B1125" s="10" t="s">
        <v>5546</v>
      </c>
      <c r="C1125" s="23" t="s">
        <v>1451</v>
      </c>
      <c r="D1125" s="28" t="s">
        <v>3808</v>
      </c>
      <c r="E1125" s="25">
        <v>106</v>
      </c>
      <c r="F1125" s="23" t="str">
        <f>VLOOKUP(B1125,'[2]справочник кодов нп'!$A:$D,4,0)</f>
        <v>сельские населенные пункты с численностью населения менее 1 000 человек.</v>
      </c>
      <c r="G1125" s="23" t="s">
        <v>1385</v>
      </c>
      <c r="H1125" s="10" t="s">
        <v>1451</v>
      </c>
      <c r="I1125" s="35" t="s">
        <v>7017</v>
      </c>
      <c r="J1125" s="33" t="s">
        <v>1337</v>
      </c>
    </row>
    <row r="1126" spans="1:10" x14ac:dyDescent="0.25">
      <c r="A1126" s="23" t="s">
        <v>5593</v>
      </c>
      <c r="B1126" s="10" t="s">
        <v>5594</v>
      </c>
      <c r="C1126" s="23" t="s">
        <v>1451</v>
      </c>
      <c r="D1126" s="28" t="s">
        <v>5595</v>
      </c>
      <c r="E1126" s="25">
        <v>106</v>
      </c>
      <c r="F1126" s="23" t="str">
        <f>VLOOKUP(B1126,'[2]справочник кодов нп'!$A:$D,4,0)</f>
        <v>сельские населенные пункты с численностью населения менее 1 000 человек.</v>
      </c>
      <c r="G1126" s="23" t="s">
        <v>1385</v>
      </c>
      <c r="H1126" s="10" t="s">
        <v>1451</v>
      </c>
      <c r="I1126" s="35" t="s">
        <v>7017</v>
      </c>
      <c r="J1126" s="33" t="s">
        <v>1337</v>
      </c>
    </row>
    <row r="1127" spans="1:10" x14ac:dyDescent="0.25">
      <c r="A1127" s="23" t="s">
        <v>5596</v>
      </c>
      <c r="B1127" s="10" t="s">
        <v>5597</v>
      </c>
      <c r="C1127" s="23" t="s">
        <v>1451</v>
      </c>
      <c r="D1127" s="28" t="s">
        <v>5598</v>
      </c>
      <c r="E1127" s="25">
        <v>106</v>
      </c>
      <c r="F1127" s="23" t="str">
        <f>VLOOKUP(B1127,'[2]справочник кодов нп'!$A:$D,4,0)</f>
        <v>сельские населенные пункты с численностью населения менее 1 000 человек.</v>
      </c>
      <c r="G1127" s="23" t="s">
        <v>1385</v>
      </c>
      <c r="H1127" s="10" t="s">
        <v>1451</v>
      </c>
      <c r="I1127" s="35" t="s">
        <v>7017</v>
      </c>
      <c r="J1127" s="33" t="s">
        <v>1337</v>
      </c>
    </row>
    <row r="1128" spans="1:10" x14ac:dyDescent="0.25">
      <c r="A1128" s="23" t="s">
        <v>6598</v>
      </c>
      <c r="B1128" s="10" t="s">
        <v>6599</v>
      </c>
      <c r="C1128" s="23" t="s">
        <v>1451</v>
      </c>
      <c r="D1128" s="28" t="s">
        <v>6600</v>
      </c>
      <c r="E1128" s="25">
        <v>106</v>
      </c>
      <c r="F1128" s="23" t="str">
        <f>VLOOKUP(B1128,'[2]справочник кодов нп'!$A:$D,4,0)</f>
        <v>сельские населенные пункты с численностью населения менее 1 000 человек.</v>
      </c>
      <c r="G1128" s="23" t="s">
        <v>1385</v>
      </c>
      <c r="H1128" s="10" t="s">
        <v>1451</v>
      </c>
      <c r="I1128" s="35" t="s">
        <v>7017</v>
      </c>
      <c r="J1128" s="33" t="s">
        <v>1337</v>
      </c>
    </row>
    <row r="1129" spans="1:10" x14ac:dyDescent="0.25">
      <c r="A1129" s="23" t="s">
        <v>6601</v>
      </c>
      <c r="B1129" s="10" t="s">
        <v>6602</v>
      </c>
      <c r="C1129" s="23" t="s">
        <v>1451</v>
      </c>
      <c r="D1129" s="28" t="s">
        <v>6603</v>
      </c>
      <c r="E1129" s="25">
        <v>106</v>
      </c>
      <c r="F1129" s="23" t="str">
        <f>VLOOKUP(B1129,'[2]справочник кодов нп'!$A:$D,4,0)</f>
        <v>сельские населенные пункты с численностью населения менее 1 000 человек.</v>
      </c>
      <c r="G1129" s="23" t="s">
        <v>1385</v>
      </c>
      <c r="H1129" s="10" t="s">
        <v>1451</v>
      </c>
      <c r="I1129" s="35" t="s">
        <v>7017</v>
      </c>
      <c r="J1129" s="33" t="s">
        <v>1337</v>
      </c>
    </row>
    <row r="1130" spans="1:10" x14ac:dyDescent="0.25">
      <c r="A1130" s="26" t="s">
        <v>6987</v>
      </c>
      <c r="B1130" s="10" t="s">
        <v>6988</v>
      </c>
      <c r="C1130" s="23" t="s">
        <v>1451</v>
      </c>
      <c r="D1130" s="28" t="s">
        <v>6846</v>
      </c>
      <c r="E1130" s="25">
        <v>106</v>
      </c>
      <c r="F1130" s="23" t="str">
        <f>VLOOKUP(B1130,'[2]справочник кодов нп'!$A:$D,4,0)</f>
        <v>межселенная территория</v>
      </c>
      <c r="G1130" s="23" t="s">
        <v>1385</v>
      </c>
      <c r="H1130" s="10" t="s">
        <v>1451</v>
      </c>
      <c r="I1130" s="35" t="s">
        <v>7019</v>
      </c>
      <c r="J1130" s="33" t="s">
        <v>1337</v>
      </c>
    </row>
    <row r="1131" spans="1:10" x14ac:dyDescent="0.25">
      <c r="A1131" s="23" t="s">
        <v>3705</v>
      </c>
      <c r="B1131" s="10" t="s">
        <v>3706</v>
      </c>
      <c r="C1131" s="23" t="s">
        <v>3707</v>
      </c>
      <c r="D1131" s="28" t="s">
        <v>3708</v>
      </c>
      <c r="E1131" s="25">
        <v>106</v>
      </c>
      <c r="F1131" s="23" t="str">
        <f>VLOOKUP(B1131,'[2]справочник кодов нп'!$A:$D,4,0)</f>
        <v>сельские населенные пункты с численностью населения менее 1 000 человек.</v>
      </c>
      <c r="G1131" s="23" t="s">
        <v>1385</v>
      </c>
      <c r="H1131" s="10" t="s">
        <v>3707</v>
      </c>
      <c r="I1131" s="35" t="s">
        <v>7017</v>
      </c>
      <c r="J1131" s="33" t="s">
        <v>1337</v>
      </c>
    </row>
    <row r="1132" spans="1:10" x14ac:dyDescent="0.25">
      <c r="A1132" s="23" t="s">
        <v>3709</v>
      </c>
      <c r="B1132" s="10" t="s">
        <v>3710</v>
      </c>
      <c r="C1132" s="23" t="s">
        <v>3707</v>
      </c>
      <c r="D1132" s="28" t="s">
        <v>3711</v>
      </c>
      <c r="E1132" s="25">
        <v>106</v>
      </c>
      <c r="F1132" s="23" t="str">
        <f>VLOOKUP(B1132,'[2]справочник кодов нп'!$A:$D,4,0)</f>
        <v>сельские населенные пункты с численностью населения менее 1 000 человек.</v>
      </c>
      <c r="G1132" s="23" t="s">
        <v>1385</v>
      </c>
      <c r="H1132" s="10" t="s">
        <v>3707</v>
      </c>
      <c r="I1132" s="35" t="s">
        <v>7017</v>
      </c>
      <c r="J1132" s="33" t="s">
        <v>1337</v>
      </c>
    </row>
    <row r="1133" spans="1:10" x14ac:dyDescent="0.25">
      <c r="A1133" s="23" t="s">
        <v>3712</v>
      </c>
      <c r="B1133" s="10" t="s">
        <v>3713</v>
      </c>
      <c r="C1133" s="23" t="s">
        <v>3707</v>
      </c>
      <c r="D1133" s="28" t="s">
        <v>3714</v>
      </c>
      <c r="E1133" s="25">
        <v>106</v>
      </c>
      <c r="F1133" s="23" t="str">
        <f>VLOOKUP(B1133,'[2]справочник кодов нп'!$A:$D,4,0)</f>
        <v>сельские населенные пункты с численностью населения менее 1 000 человек.</v>
      </c>
      <c r="G1133" s="23" t="s">
        <v>1385</v>
      </c>
      <c r="H1133" s="10" t="s">
        <v>3707</v>
      </c>
      <c r="I1133" s="35" t="s">
        <v>7017</v>
      </c>
      <c r="J1133" s="33" t="s">
        <v>1337</v>
      </c>
    </row>
    <row r="1134" spans="1:10" x14ac:dyDescent="0.25">
      <c r="A1134" s="23" t="s">
        <v>3715</v>
      </c>
      <c r="B1134" s="10" t="s">
        <v>3716</v>
      </c>
      <c r="C1134" s="23" t="s">
        <v>3707</v>
      </c>
      <c r="D1134" s="28" t="s">
        <v>3717</v>
      </c>
      <c r="E1134" s="25">
        <v>106</v>
      </c>
      <c r="F1134" s="23" t="str">
        <f>VLOOKUP(B1134,'[2]справочник кодов нп'!$A:$D,4,0)</f>
        <v>сельские населенные пункты с численностью населения более 1 000 человек;</v>
      </c>
      <c r="G1134" s="23" t="s">
        <v>1385</v>
      </c>
      <c r="H1134" s="10" t="s">
        <v>3707</v>
      </c>
      <c r="I1134" s="35" t="s">
        <v>7017</v>
      </c>
      <c r="J1134" s="33" t="s">
        <v>1337</v>
      </c>
    </row>
    <row r="1135" spans="1:10" x14ac:dyDescent="0.25">
      <c r="A1135" s="23" t="s">
        <v>3718</v>
      </c>
      <c r="B1135" s="10" t="s">
        <v>3719</v>
      </c>
      <c r="C1135" s="23" t="s">
        <v>3707</v>
      </c>
      <c r="D1135" s="28" t="s">
        <v>3720</v>
      </c>
      <c r="E1135" s="25">
        <v>106</v>
      </c>
      <c r="F1135" s="23" t="str">
        <f>VLOOKUP(B1135,'[2]справочник кодов нп'!$A:$D,4,0)</f>
        <v>сельские населенные пункты с численностью населения менее 1 000 человек.</v>
      </c>
      <c r="G1135" s="23" t="s">
        <v>1385</v>
      </c>
      <c r="H1135" s="10" t="s">
        <v>3707</v>
      </c>
      <c r="I1135" s="35" t="s">
        <v>7017</v>
      </c>
      <c r="J1135" s="33" t="s">
        <v>1337</v>
      </c>
    </row>
    <row r="1136" spans="1:10" x14ac:dyDescent="0.25">
      <c r="A1136" s="23" t="s">
        <v>3721</v>
      </c>
      <c r="B1136" s="10" t="s">
        <v>3722</v>
      </c>
      <c r="C1136" s="23" t="s">
        <v>3707</v>
      </c>
      <c r="D1136" s="28" t="s">
        <v>3723</v>
      </c>
      <c r="E1136" s="25">
        <v>106</v>
      </c>
      <c r="F1136" s="23" t="str">
        <f>VLOOKUP(B1136,'[2]справочник кодов нп'!$A:$D,4,0)</f>
        <v>сельские населенные пункты с численностью населения менее 1 000 человек.</v>
      </c>
      <c r="G1136" s="23" t="s">
        <v>1385</v>
      </c>
      <c r="H1136" s="10" t="s">
        <v>3707</v>
      </c>
      <c r="I1136" s="35" t="s">
        <v>7017</v>
      </c>
      <c r="J1136" s="33" t="s">
        <v>1337</v>
      </c>
    </row>
    <row r="1137" spans="1:10" x14ac:dyDescent="0.25">
      <c r="A1137" s="23" t="s">
        <v>6290</v>
      </c>
      <c r="B1137" s="10" t="s">
        <v>6291</v>
      </c>
      <c r="C1137" s="23" t="s">
        <v>3707</v>
      </c>
      <c r="D1137" s="28" t="s">
        <v>6292</v>
      </c>
      <c r="E1137" s="25">
        <v>106</v>
      </c>
      <c r="F1137" s="23" t="str">
        <f>VLOOKUP(B1137,'[2]справочник кодов нп'!$A:$D,4,0)</f>
        <v>сельские населенные пункты с численностью населения более 1 000 человек;</v>
      </c>
      <c r="G1137" s="23" t="s">
        <v>1385</v>
      </c>
      <c r="H1137" s="10" t="s">
        <v>3707</v>
      </c>
      <c r="I1137" s="35" t="s">
        <v>7017</v>
      </c>
      <c r="J1137" s="33" t="s">
        <v>1337</v>
      </c>
    </row>
    <row r="1138" spans="1:10" x14ac:dyDescent="0.25">
      <c r="A1138" s="23" t="s">
        <v>6604</v>
      </c>
      <c r="B1138" s="10" t="s">
        <v>6605</v>
      </c>
      <c r="C1138" s="23" t="s">
        <v>3707</v>
      </c>
      <c r="D1138" s="28" t="s">
        <v>6606</v>
      </c>
      <c r="E1138" s="25">
        <v>106</v>
      </c>
      <c r="F1138" s="23" t="str">
        <f>VLOOKUP(B1138,'[2]справочник кодов нп'!$A:$D,4,0)</f>
        <v>сельские населенные пункты с численностью населения менее 1 000 человек.</v>
      </c>
      <c r="G1138" s="23" t="s">
        <v>1385</v>
      </c>
      <c r="H1138" s="10" t="s">
        <v>3707</v>
      </c>
      <c r="I1138" s="35" t="s">
        <v>7017</v>
      </c>
      <c r="J1138" s="33" t="s">
        <v>1337</v>
      </c>
    </row>
    <row r="1139" spans="1:10" x14ac:dyDescent="0.25">
      <c r="A1139" s="23" t="s">
        <v>6733</v>
      </c>
      <c r="B1139" s="10" t="s">
        <v>6734</v>
      </c>
      <c r="C1139" s="23" t="s">
        <v>3707</v>
      </c>
      <c r="D1139" s="28" t="s">
        <v>6735</v>
      </c>
      <c r="E1139" s="25">
        <v>106</v>
      </c>
      <c r="F1139" s="23" t="str">
        <f>VLOOKUP(B1139,'[2]справочник кодов нп'!$A:$D,4,0)</f>
        <v>сельские населенные пункты с численностью населения более 1 000 человек;</v>
      </c>
      <c r="G1139" s="23" t="s">
        <v>1385</v>
      </c>
      <c r="H1139" s="10" t="s">
        <v>3707</v>
      </c>
      <c r="I1139" s="35" t="s">
        <v>7017</v>
      </c>
      <c r="J1139" s="33" t="s">
        <v>1337</v>
      </c>
    </row>
    <row r="1140" spans="1:10" x14ac:dyDescent="0.25">
      <c r="A1140" s="23" t="s">
        <v>6835</v>
      </c>
      <c r="B1140" s="10" t="s">
        <v>6836</v>
      </c>
      <c r="C1140" s="23" t="s">
        <v>3707</v>
      </c>
      <c r="D1140" s="28" t="s">
        <v>6837</v>
      </c>
      <c r="E1140" s="25">
        <v>106</v>
      </c>
      <c r="F1140" s="23" t="str">
        <f>VLOOKUP(B1140,'[2]справочник кодов нп'!$A:$D,4,0)</f>
        <v>городские населенные пункты с численностью населения менее 50 000 человек;</v>
      </c>
      <c r="G1140" s="23" t="s">
        <v>1385</v>
      </c>
      <c r="H1140" s="10" t="s">
        <v>3707</v>
      </c>
      <c r="I1140" s="35" t="s">
        <v>7017</v>
      </c>
      <c r="J1140" s="33" t="s">
        <v>1337</v>
      </c>
    </row>
    <row r="1141" spans="1:10" x14ac:dyDescent="0.25">
      <c r="A1141" s="23" t="s">
        <v>6939</v>
      </c>
      <c r="B1141" s="10" t="s">
        <v>6940</v>
      </c>
      <c r="C1141" s="23" t="s">
        <v>3707</v>
      </c>
      <c r="D1141" s="28" t="s">
        <v>6846</v>
      </c>
      <c r="E1141" s="25">
        <v>106</v>
      </c>
      <c r="F1141" s="23" t="str">
        <f>VLOOKUP(B1141,'[2]справочник кодов нп'!$A:$D,4,0)</f>
        <v>межселенная территория</v>
      </c>
      <c r="G1141" s="23" t="s">
        <v>1385</v>
      </c>
      <c r="H1141" s="10" t="s">
        <v>3707</v>
      </c>
      <c r="I1141" s="35" t="s">
        <v>7019</v>
      </c>
      <c r="J1141" s="33" t="s">
        <v>1337</v>
      </c>
    </row>
    <row r="1142" spans="1:10" x14ac:dyDescent="0.25">
      <c r="A1142" s="23" t="s">
        <v>1465</v>
      </c>
      <c r="B1142" s="10" t="s">
        <v>1466</v>
      </c>
      <c r="C1142" s="23" t="s">
        <v>1467</v>
      </c>
      <c r="D1142" s="28" t="s">
        <v>1468</v>
      </c>
      <c r="E1142" s="25">
        <v>106</v>
      </c>
      <c r="F1142" s="23" t="str">
        <f>VLOOKUP(B1142,'[2]справочник кодов нп'!$A:$D,4,0)</f>
        <v>городские населенные пункты с численностью населения менее 50 000 человек;</v>
      </c>
      <c r="G1142" s="23" t="s">
        <v>1385</v>
      </c>
      <c r="H1142" s="10" t="s">
        <v>1467</v>
      </c>
      <c r="I1142" s="35" t="s">
        <v>7017</v>
      </c>
      <c r="J1142" s="33" t="s">
        <v>1337</v>
      </c>
    </row>
    <row r="1143" spans="1:10" x14ac:dyDescent="0.25">
      <c r="A1143" s="23" t="s">
        <v>6941</v>
      </c>
      <c r="B1143" s="10" t="s">
        <v>6942</v>
      </c>
      <c r="C1143" s="23" t="s">
        <v>1467</v>
      </c>
      <c r="D1143" s="28" t="s">
        <v>6846</v>
      </c>
      <c r="E1143" s="25">
        <v>106</v>
      </c>
      <c r="F1143" s="23" t="str">
        <f>VLOOKUP(B1143,'[2]справочник кодов нп'!$A:$D,4,0)</f>
        <v>межселенная территория</v>
      </c>
      <c r="G1143" s="23" t="s">
        <v>1385</v>
      </c>
      <c r="H1143" s="10" t="s">
        <v>1467</v>
      </c>
      <c r="I1143" s="35" t="s">
        <v>7019</v>
      </c>
      <c r="J1143" s="33" t="s">
        <v>1337</v>
      </c>
    </row>
    <row r="1144" spans="1:10" x14ac:dyDescent="0.25">
      <c r="A1144" s="23" t="s">
        <v>1493</v>
      </c>
      <c r="B1144" s="10" t="s">
        <v>1494</v>
      </c>
      <c r="C1144" s="23" t="s">
        <v>1495</v>
      </c>
      <c r="D1144" s="28" t="s">
        <v>1496</v>
      </c>
      <c r="E1144" s="25">
        <v>103</v>
      </c>
      <c r="F1144" s="23" t="s">
        <v>1497</v>
      </c>
      <c r="G1144" s="23" t="s">
        <v>1498</v>
      </c>
      <c r="H1144" s="10" t="s">
        <v>1497</v>
      </c>
      <c r="I1144" s="35" t="s">
        <v>7017</v>
      </c>
      <c r="J1144" s="45" t="s">
        <v>1341</v>
      </c>
    </row>
    <row r="1145" spans="1:10" x14ac:dyDescent="0.25">
      <c r="A1145" s="23" t="s">
        <v>1502</v>
      </c>
      <c r="B1145" s="10" t="s">
        <v>1503</v>
      </c>
      <c r="C1145" s="23" t="s">
        <v>1495</v>
      </c>
      <c r="D1145" s="28" t="s">
        <v>1504</v>
      </c>
      <c r="E1145" s="25">
        <v>103</v>
      </c>
      <c r="F1145" s="23" t="s">
        <v>1497</v>
      </c>
      <c r="G1145" s="23" t="s">
        <v>1498</v>
      </c>
      <c r="H1145" s="10" t="s">
        <v>1497</v>
      </c>
      <c r="I1145" s="35" t="s">
        <v>7017</v>
      </c>
      <c r="J1145" s="45" t="s">
        <v>1341</v>
      </c>
    </row>
    <row r="1146" spans="1:10" x14ac:dyDescent="0.25">
      <c r="A1146" s="23" t="s">
        <v>1545</v>
      </c>
      <c r="B1146" s="10" t="s">
        <v>1546</v>
      </c>
      <c r="C1146" s="23" t="s">
        <v>1495</v>
      </c>
      <c r="D1146" s="28" t="s">
        <v>1547</v>
      </c>
      <c r="E1146" s="25">
        <v>103</v>
      </c>
      <c r="F1146" s="23" t="s">
        <v>1497</v>
      </c>
      <c r="G1146" s="23" t="s">
        <v>1498</v>
      </c>
      <c r="H1146" s="10" t="s">
        <v>1497</v>
      </c>
      <c r="I1146" s="35" t="s">
        <v>7017</v>
      </c>
      <c r="J1146" s="45" t="s">
        <v>1341</v>
      </c>
    </row>
    <row r="1147" spans="1:10" x14ac:dyDescent="0.25">
      <c r="A1147" s="23" t="s">
        <v>4544</v>
      </c>
      <c r="B1147" s="10" t="s">
        <v>4545</v>
      </c>
      <c r="C1147" s="23" t="s">
        <v>1495</v>
      </c>
      <c r="D1147" s="28" t="s">
        <v>4546</v>
      </c>
      <c r="E1147" s="25">
        <v>103</v>
      </c>
      <c r="F1147" s="23" t="s">
        <v>1497</v>
      </c>
      <c r="G1147" s="23" t="s">
        <v>1498</v>
      </c>
      <c r="H1147" s="10" t="s">
        <v>1497</v>
      </c>
      <c r="I1147" s="35" t="s">
        <v>7017</v>
      </c>
      <c r="J1147" s="45" t="s">
        <v>1341</v>
      </c>
    </row>
    <row r="1148" spans="1:10" x14ac:dyDescent="0.25">
      <c r="A1148" s="23" t="s">
        <v>6322</v>
      </c>
      <c r="B1148" s="10" t="s">
        <v>6323</v>
      </c>
      <c r="C1148" s="23" t="s">
        <v>1495</v>
      </c>
      <c r="D1148" s="28" t="s">
        <v>6324</v>
      </c>
      <c r="E1148" s="25">
        <v>103</v>
      </c>
      <c r="F1148" s="23" t="s">
        <v>1497</v>
      </c>
      <c r="G1148" s="23" t="s">
        <v>1498</v>
      </c>
      <c r="H1148" s="10" t="s">
        <v>1497</v>
      </c>
      <c r="I1148" s="35" t="s">
        <v>7017</v>
      </c>
      <c r="J1148" s="45" t="s">
        <v>1341</v>
      </c>
    </row>
    <row r="1149" spans="1:10" x14ac:dyDescent="0.25">
      <c r="A1149" s="23" t="s">
        <v>6841</v>
      </c>
      <c r="B1149" s="10" t="s">
        <v>6842</v>
      </c>
      <c r="C1149" s="23" t="s">
        <v>1495</v>
      </c>
      <c r="D1149" s="28" t="s">
        <v>6843</v>
      </c>
      <c r="E1149" s="25">
        <v>103</v>
      </c>
      <c r="F1149" s="23" t="s">
        <v>1497</v>
      </c>
      <c r="G1149" s="23" t="s">
        <v>1498</v>
      </c>
      <c r="H1149" s="10" t="s">
        <v>1497</v>
      </c>
      <c r="I1149" s="35" t="s">
        <v>7017</v>
      </c>
      <c r="J1149" s="45" t="s">
        <v>1341</v>
      </c>
    </row>
    <row r="1150" spans="1:10" x14ac:dyDescent="0.25">
      <c r="A1150" s="23" t="s">
        <v>6943</v>
      </c>
      <c r="B1150" s="10" t="s">
        <v>6944</v>
      </c>
      <c r="C1150" s="23" t="s">
        <v>1495</v>
      </c>
      <c r="D1150" s="28" t="s">
        <v>3554</v>
      </c>
      <c r="E1150" s="25">
        <v>103</v>
      </c>
      <c r="F1150" s="23" t="s">
        <v>1497</v>
      </c>
      <c r="G1150" s="23" t="s">
        <v>1498</v>
      </c>
      <c r="H1150" s="10" t="s">
        <v>1497</v>
      </c>
      <c r="I1150" s="35" t="s">
        <v>7017</v>
      </c>
      <c r="J1150" s="45" t="s">
        <v>1341</v>
      </c>
    </row>
    <row r="1151" spans="1:10" x14ac:dyDescent="0.25">
      <c r="A1151" s="26" t="s">
        <v>6990</v>
      </c>
      <c r="B1151" s="10" t="s">
        <v>6991</v>
      </c>
      <c r="C1151" s="28" t="s">
        <v>1495</v>
      </c>
      <c r="D1151" s="28" t="s">
        <v>6846</v>
      </c>
      <c r="E1151" s="25">
        <v>103</v>
      </c>
      <c r="F1151" s="23" t="s">
        <v>1497</v>
      </c>
      <c r="G1151" s="23" t="s">
        <v>1498</v>
      </c>
      <c r="H1151" s="10" t="s">
        <v>1497</v>
      </c>
      <c r="I1151" s="45" t="s">
        <v>7017</v>
      </c>
      <c r="J1151" s="45" t="s">
        <v>1341</v>
      </c>
    </row>
    <row r="1152" spans="1:10" x14ac:dyDescent="0.25">
      <c r="A1152" s="23" t="s">
        <v>1410</v>
      </c>
      <c r="B1152" s="10" t="s">
        <v>1411</v>
      </c>
      <c r="C1152" s="23" t="s">
        <v>1412</v>
      </c>
      <c r="D1152" s="28" t="s">
        <v>1413</v>
      </c>
      <c r="E1152" s="25">
        <v>106</v>
      </c>
      <c r="F1152" s="23" t="str">
        <f>VLOOKUP(B1152,'[2]справочник кодов нп'!$A:$D,4,0)</f>
        <v>сельские населенные пункты с численностью населения менее 1 000 человек.</v>
      </c>
      <c r="G1152" s="23" t="s">
        <v>1385</v>
      </c>
      <c r="H1152" s="10" t="s">
        <v>1412</v>
      </c>
      <c r="I1152" s="35" t="s">
        <v>7017</v>
      </c>
      <c r="J1152" s="33" t="s">
        <v>1337</v>
      </c>
    </row>
    <row r="1153" spans="1:10" x14ac:dyDescent="0.25">
      <c r="A1153" s="23" t="s">
        <v>2189</v>
      </c>
      <c r="B1153" s="10" t="s">
        <v>2190</v>
      </c>
      <c r="C1153" s="23" t="s">
        <v>1412</v>
      </c>
      <c r="D1153" s="28" t="s">
        <v>2191</v>
      </c>
      <c r="E1153" s="25">
        <v>106</v>
      </c>
      <c r="F1153" s="23" t="str">
        <f>VLOOKUP(B1153,'[2]справочник кодов нп'!$A:$D,4,0)</f>
        <v>сельские населенные пункты с численностью населения менее 1 000 человек.</v>
      </c>
      <c r="G1153" s="23" t="s">
        <v>1385</v>
      </c>
      <c r="H1153" s="10" t="s">
        <v>1412</v>
      </c>
      <c r="I1153" s="35" t="s">
        <v>7017</v>
      </c>
      <c r="J1153" s="33" t="s">
        <v>1337</v>
      </c>
    </row>
    <row r="1154" spans="1:10" x14ac:dyDescent="0.25">
      <c r="A1154" s="23" t="s">
        <v>2192</v>
      </c>
      <c r="B1154" s="10" t="s">
        <v>2193</v>
      </c>
      <c r="C1154" s="23" t="s">
        <v>1412</v>
      </c>
      <c r="D1154" s="28" t="s">
        <v>2194</v>
      </c>
      <c r="E1154" s="25">
        <v>106</v>
      </c>
      <c r="F1154" s="23" t="str">
        <f>VLOOKUP(B1154,'[2]справочник кодов нп'!$A:$D,4,0)</f>
        <v>сельские населенные пункты с численностью населения менее 1 000 человек.</v>
      </c>
      <c r="G1154" s="23" t="s">
        <v>1385</v>
      </c>
      <c r="H1154" s="10" t="s">
        <v>1412</v>
      </c>
      <c r="I1154" s="35" t="s">
        <v>7017</v>
      </c>
      <c r="J1154" s="33" t="s">
        <v>1337</v>
      </c>
    </row>
    <row r="1155" spans="1:10" x14ac:dyDescent="0.25">
      <c r="A1155" s="23" t="s">
        <v>2195</v>
      </c>
      <c r="B1155" s="10" t="s">
        <v>2196</v>
      </c>
      <c r="C1155" s="23" t="s">
        <v>1412</v>
      </c>
      <c r="D1155" s="28" t="s">
        <v>2197</v>
      </c>
      <c r="E1155" s="25">
        <v>106</v>
      </c>
      <c r="F1155" s="23" t="str">
        <f>VLOOKUP(B1155,'[2]справочник кодов нп'!$A:$D,4,0)</f>
        <v>сельские населенные пункты с численностью населения более 1 000 человек;</v>
      </c>
      <c r="G1155" s="23" t="s">
        <v>1385</v>
      </c>
      <c r="H1155" s="10" t="s">
        <v>1412</v>
      </c>
      <c r="I1155" s="35" t="s">
        <v>7017</v>
      </c>
      <c r="J1155" s="33" t="s">
        <v>1337</v>
      </c>
    </row>
    <row r="1156" spans="1:10" x14ac:dyDescent="0.25">
      <c r="A1156" s="23" t="s">
        <v>2198</v>
      </c>
      <c r="B1156" s="10" t="s">
        <v>2199</v>
      </c>
      <c r="C1156" s="23" t="s">
        <v>1412</v>
      </c>
      <c r="D1156" s="28" t="s">
        <v>2200</v>
      </c>
      <c r="E1156" s="25">
        <v>106</v>
      </c>
      <c r="F1156" s="23" t="str">
        <f>VLOOKUP(B1156,'[2]справочник кодов нп'!$A:$D,4,0)</f>
        <v>сельские населенные пункты с численностью населения менее 1 000 человек.</v>
      </c>
      <c r="G1156" s="23" t="s">
        <v>1385</v>
      </c>
      <c r="H1156" s="10" t="s">
        <v>1412</v>
      </c>
      <c r="I1156" s="35" t="s">
        <v>7017</v>
      </c>
      <c r="J1156" s="33" t="s">
        <v>1337</v>
      </c>
    </row>
    <row r="1157" spans="1:10" x14ac:dyDescent="0.25">
      <c r="A1157" s="23" t="s">
        <v>2201</v>
      </c>
      <c r="B1157" s="10" t="s">
        <v>2202</v>
      </c>
      <c r="C1157" s="23" t="s">
        <v>1412</v>
      </c>
      <c r="D1157" s="28" t="s">
        <v>2203</v>
      </c>
      <c r="E1157" s="25">
        <v>106</v>
      </c>
      <c r="F1157" s="23" t="str">
        <f>VLOOKUP(B1157,'[2]справочник кодов нп'!$A:$D,4,0)</f>
        <v>сельские населенные пункты с численностью населения менее 1 000 человек.</v>
      </c>
      <c r="G1157" s="23" t="s">
        <v>1385</v>
      </c>
      <c r="H1157" s="10" t="s">
        <v>1412</v>
      </c>
      <c r="I1157" s="35" t="s">
        <v>7017</v>
      </c>
      <c r="J1157" s="33" t="s">
        <v>1337</v>
      </c>
    </row>
    <row r="1158" spans="1:10" x14ac:dyDescent="0.25">
      <c r="A1158" s="23" t="s">
        <v>2204</v>
      </c>
      <c r="B1158" s="10" t="s">
        <v>2205</v>
      </c>
      <c r="C1158" s="23" t="s">
        <v>1412</v>
      </c>
      <c r="D1158" s="28" t="s">
        <v>2206</v>
      </c>
      <c r="E1158" s="25">
        <v>106</v>
      </c>
      <c r="F1158" s="23" t="str">
        <f>VLOOKUP(B1158,'[2]справочник кодов нп'!$A:$D,4,0)</f>
        <v>сельские населенные пункты с численностью населения менее 1 000 человек.</v>
      </c>
      <c r="G1158" s="45" t="s">
        <v>1385</v>
      </c>
      <c r="H1158" s="10" t="s">
        <v>1412</v>
      </c>
      <c r="I1158" s="35" t="s">
        <v>7017</v>
      </c>
      <c r="J1158" s="33" t="s">
        <v>1337</v>
      </c>
    </row>
    <row r="1159" spans="1:10" x14ac:dyDescent="0.25">
      <c r="A1159" s="23" t="s">
        <v>2207</v>
      </c>
      <c r="B1159" s="10" t="s">
        <v>2208</v>
      </c>
      <c r="C1159" s="23" t="s">
        <v>1412</v>
      </c>
      <c r="D1159" s="28" t="s">
        <v>2209</v>
      </c>
      <c r="E1159" s="25">
        <v>106</v>
      </c>
      <c r="F1159" s="23" t="str">
        <f>VLOOKUP(B1159,'[2]справочник кодов нп'!$A:$D,4,0)</f>
        <v>сельские населенные пункты с численностью населения менее 1 000 человек.</v>
      </c>
      <c r="G1159" s="23" t="s">
        <v>1385</v>
      </c>
      <c r="H1159" s="10" t="s">
        <v>1412</v>
      </c>
      <c r="I1159" s="35" t="s">
        <v>7017</v>
      </c>
      <c r="J1159" s="33" t="s">
        <v>1337</v>
      </c>
    </row>
    <row r="1160" spans="1:10" x14ac:dyDescent="0.25">
      <c r="A1160" s="23" t="s">
        <v>2210</v>
      </c>
      <c r="B1160" s="10" t="s">
        <v>2211</v>
      </c>
      <c r="C1160" s="23" t="s">
        <v>1412</v>
      </c>
      <c r="D1160" s="28" t="s">
        <v>2212</v>
      </c>
      <c r="E1160" s="25">
        <v>106</v>
      </c>
      <c r="F1160" s="23" t="str">
        <f>VLOOKUP(B1160,'[2]справочник кодов нп'!$A:$D,4,0)</f>
        <v>сельские населенные пункты с численностью населения менее 1 000 человек.</v>
      </c>
      <c r="G1160" s="23" t="s">
        <v>1385</v>
      </c>
      <c r="H1160" s="10" t="s">
        <v>1412</v>
      </c>
      <c r="I1160" s="35" t="s">
        <v>7017</v>
      </c>
      <c r="J1160" s="33" t="s">
        <v>1337</v>
      </c>
    </row>
    <row r="1161" spans="1:10" x14ac:dyDescent="0.25">
      <c r="A1161" s="23" t="s">
        <v>2213</v>
      </c>
      <c r="B1161" s="10" t="s">
        <v>2214</v>
      </c>
      <c r="C1161" s="23" t="s">
        <v>1412</v>
      </c>
      <c r="D1161" s="28" t="s">
        <v>2215</v>
      </c>
      <c r="E1161" s="25">
        <v>106</v>
      </c>
      <c r="F1161" s="23" t="str">
        <f>VLOOKUP(B1161,'[2]справочник кодов нп'!$A:$D,4,0)</f>
        <v>сельские населенные пункты с численностью населения менее 1 000 человек.</v>
      </c>
      <c r="G1161" s="23" t="s">
        <v>1385</v>
      </c>
      <c r="H1161" s="10" t="s">
        <v>1412</v>
      </c>
      <c r="I1161" s="35" t="s">
        <v>7017</v>
      </c>
      <c r="J1161" s="33" t="s">
        <v>1337</v>
      </c>
    </row>
    <row r="1162" spans="1:10" x14ac:dyDescent="0.25">
      <c r="A1162" s="23" t="s">
        <v>2216</v>
      </c>
      <c r="B1162" s="10" t="s">
        <v>2217</v>
      </c>
      <c r="C1162" s="23" t="s">
        <v>1412</v>
      </c>
      <c r="D1162" s="28" t="s">
        <v>2218</v>
      </c>
      <c r="E1162" s="25">
        <v>106</v>
      </c>
      <c r="F1162" s="23" t="str">
        <f>VLOOKUP(B1162,'[2]справочник кодов нп'!$A:$D,4,0)</f>
        <v>сельские населенные пункты с численностью населения менее 1 000 человек.</v>
      </c>
      <c r="G1162" s="45" t="s">
        <v>1385</v>
      </c>
      <c r="H1162" s="10" t="s">
        <v>1412</v>
      </c>
      <c r="I1162" s="35" t="s">
        <v>7017</v>
      </c>
      <c r="J1162" s="33" t="s">
        <v>1337</v>
      </c>
    </row>
    <row r="1163" spans="1:10" x14ac:dyDescent="0.25">
      <c r="A1163" s="23" t="s">
        <v>2219</v>
      </c>
      <c r="B1163" s="10" t="s">
        <v>2220</v>
      </c>
      <c r="C1163" s="23" t="s">
        <v>1412</v>
      </c>
      <c r="D1163" s="28" t="s">
        <v>2221</v>
      </c>
      <c r="E1163" s="25">
        <v>106</v>
      </c>
      <c r="F1163" s="23" t="str">
        <f>VLOOKUP(B1163,'[2]справочник кодов нп'!$A:$D,4,0)</f>
        <v>сельские населенные пункты с численностью населения менее 1 000 человек.</v>
      </c>
      <c r="G1163" s="23" t="s">
        <v>1385</v>
      </c>
      <c r="H1163" s="10" t="s">
        <v>1412</v>
      </c>
      <c r="I1163" s="35" t="s">
        <v>7017</v>
      </c>
      <c r="J1163" s="33" t="s">
        <v>1337</v>
      </c>
    </row>
    <row r="1164" spans="1:10" x14ac:dyDescent="0.25">
      <c r="A1164" s="23" t="s">
        <v>2222</v>
      </c>
      <c r="B1164" s="10" t="s">
        <v>2223</v>
      </c>
      <c r="C1164" s="23" t="s">
        <v>1412</v>
      </c>
      <c r="D1164" s="28" t="s">
        <v>2224</v>
      </c>
      <c r="E1164" s="25">
        <v>106</v>
      </c>
      <c r="F1164" s="23" t="str">
        <f>VLOOKUP(B1164,'[2]справочник кодов нп'!$A:$D,4,0)</f>
        <v>сельские населенные пункты с численностью населения менее 1 000 человек.</v>
      </c>
      <c r="G1164" s="23" t="s">
        <v>1385</v>
      </c>
      <c r="H1164" s="10" t="s">
        <v>1412</v>
      </c>
      <c r="I1164" s="35" t="s">
        <v>7017</v>
      </c>
      <c r="J1164" s="33" t="s">
        <v>1337</v>
      </c>
    </row>
    <row r="1165" spans="1:10" x14ac:dyDescent="0.25">
      <c r="A1165" s="23" t="s">
        <v>2225</v>
      </c>
      <c r="B1165" s="10" t="s">
        <v>2226</v>
      </c>
      <c r="C1165" s="23" t="s">
        <v>1412</v>
      </c>
      <c r="D1165" s="28" t="s">
        <v>2227</v>
      </c>
      <c r="E1165" s="25">
        <v>106</v>
      </c>
      <c r="F1165" s="23" t="str">
        <f>VLOOKUP(B1165,'[2]справочник кодов нп'!$A:$D,4,0)</f>
        <v>сельские населенные пункты с численностью населения менее 1 000 человек.</v>
      </c>
      <c r="G1165" s="23" t="s">
        <v>1385</v>
      </c>
      <c r="H1165" s="10" t="s">
        <v>1412</v>
      </c>
      <c r="I1165" s="35" t="s">
        <v>7017</v>
      </c>
      <c r="J1165" s="33" t="s">
        <v>1337</v>
      </c>
    </row>
    <row r="1166" spans="1:10" x14ac:dyDescent="0.25">
      <c r="A1166" s="23" t="s">
        <v>2228</v>
      </c>
      <c r="B1166" s="10" t="s">
        <v>2229</v>
      </c>
      <c r="C1166" s="23" t="s">
        <v>1412</v>
      </c>
      <c r="D1166" s="28" t="s">
        <v>2230</v>
      </c>
      <c r="E1166" s="25">
        <v>106</v>
      </c>
      <c r="F1166" s="23" t="str">
        <f>VLOOKUP(B1166,'[2]справочник кодов нп'!$A:$D,4,0)</f>
        <v>сельские населенные пункты с численностью населения менее 1 000 человек.</v>
      </c>
      <c r="G1166" s="23" t="s">
        <v>1385</v>
      </c>
      <c r="H1166" s="10" t="s">
        <v>1412</v>
      </c>
      <c r="I1166" s="35" t="s">
        <v>7017</v>
      </c>
      <c r="J1166" s="33" t="s">
        <v>1337</v>
      </c>
    </row>
    <row r="1167" spans="1:10" x14ac:dyDescent="0.25">
      <c r="A1167" s="23" t="s">
        <v>2231</v>
      </c>
      <c r="B1167" s="10" t="s">
        <v>2232</v>
      </c>
      <c r="C1167" s="23" t="s">
        <v>1412</v>
      </c>
      <c r="D1167" s="28" t="s">
        <v>2233</v>
      </c>
      <c r="E1167" s="25">
        <v>106</v>
      </c>
      <c r="F1167" s="23" t="str">
        <f>VLOOKUP(B1167,'[2]справочник кодов нп'!$A:$D,4,0)</f>
        <v>сельские населенные пункты с численностью населения менее 1 000 человек.</v>
      </c>
      <c r="G1167" s="23" t="s">
        <v>1385</v>
      </c>
      <c r="H1167" s="10" t="s">
        <v>1412</v>
      </c>
      <c r="I1167" s="35" t="s">
        <v>7017</v>
      </c>
      <c r="J1167" s="33" t="s">
        <v>1337</v>
      </c>
    </row>
    <row r="1168" spans="1:10" x14ac:dyDescent="0.25">
      <c r="A1168" s="23" t="s">
        <v>2234</v>
      </c>
      <c r="B1168" s="10" t="s">
        <v>2235</v>
      </c>
      <c r="C1168" s="23" t="s">
        <v>1412</v>
      </c>
      <c r="D1168" s="28" t="s">
        <v>2236</v>
      </c>
      <c r="E1168" s="25">
        <v>106</v>
      </c>
      <c r="F1168" s="23" t="str">
        <f>VLOOKUP(B1168,'[2]справочник кодов нп'!$A:$D,4,0)</f>
        <v>сельские населенные пункты с численностью населения менее 1 000 человек.</v>
      </c>
      <c r="G1168" s="23" t="s">
        <v>1385</v>
      </c>
      <c r="H1168" s="10" t="s">
        <v>1412</v>
      </c>
      <c r="I1168" s="35" t="s">
        <v>7017</v>
      </c>
      <c r="J1168" s="33" t="s">
        <v>1337</v>
      </c>
    </row>
    <row r="1169" spans="1:10" x14ac:dyDescent="0.25">
      <c r="A1169" s="23" t="s">
        <v>2237</v>
      </c>
      <c r="B1169" s="10" t="s">
        <v>2238</v>
      </c>
      <c r="C1169" s="23" t="s">
        <v>1412</v>
      </c>
      <c r="D1169" s="28" t="s">
        <v>2239</v>
      </c>
      <c r="E1169" s="25">
        <v>106</v>
      </c>
      <c r="F1169" s="23" t="str">
        <f>VLOOKUP(B1169,'[2]справочник кодов нп'!$A:$D,4,0)</f>
        <v>сельские населенные пункты с численностью населения менее 1 000 человек.</v>
      </c>
      <c r="G1169" s="23" t="s">
        <v>1385</v>
      </c>
      <c r="H1169" s="10" t="s">
        <v>1412</v>
      </c>
      <c r="I1169" s="35" t="s">
        <v>7017</v>
      </c>
      <c r="J1169" s="33" t="s">
        <v>1337</v>
      </c>
    </row>
    <row r="1170" spans="1:10" x14ac:dyDescent="0.25">
      <c r="A1170" s="23" t="s">
        <v>2240</v>
      </c>
      <c r="B1170" s="10" t="s">
        <v>2241</v>
      </c>
      <c r="C1170" s="23" t="s">
        <v>1412</v>
      </c>
      <c r="D1170" s="28" t="s">
        <v>2242</v>
      </c>
      <c r="E1170" s="25">
        <v>106</v>
      </c>
      <c r="F1170" s="23" t="str">
        <f>VLOOKUP(B1170,'[2]справочник кодов нп'!$A:$D,4,0)</f>
        <v>сельские населенные пункты с численностью населения менее 1 000 человек.</v>
      </c>
      <c r="G1170" s="23" t="s">
        <v>1385</v>
      </c>
      <c r="H1170" s="10" t="s">
        <v>1412</v>
      </c>
      <c r="I1170" s="35" t="s">
        <v>7017</v>
      </c>
      <c r="J1170" s="33" t="s">
        <v>1337</v>
      </c>
    </row>
    <row r="1171" spans="1:10" x14ac:dyDescent="0.25">
      <c r="A1171" s="23" t="s">
        <v>2247</v>
      </c>
      <c r="B1171" s="10" t="s">
        <v>2248</v>
      </c>
      <c r="C1171" s="23" t="s">
        <v>1412</v>
      </c>
      <c r="D1171" s="28" t="s">
        <v>2249</v>
      </c>
      <c r="E1171" s="25">
        <v>106</v>
      </c>
      <c r="F1171" s="23" t="str">
        <f>VLOOKUP(B1171,'[2]справочник кодов нп'!$A:$D,4,0)</f>
        <v>сельские населенные пункты с численностью населения менее 1 000 человек.</v>
      </c>
      <c r="G1171" s="23" t="s">
        <v>1385</v>
      </c>
      <c r="H1171" s="10" t="s">
        <v>1412</v>
      </c>
      <c r="I1171" s="35" t="s">
        <v>7017</v>
      </c>
      <c r="J1171" s="33" t="s">
        <v>1337</v>
      </c>
    </row>
    <row r="1172" spans="1:10" x14ac:dyDescent="0.25">
      <c r="A1172" s="23" t="s">
        <v>2253</v>
      </c>
      <c r="B1172" s="10" t="s">
        <v>2254</v>
      </c>
      <c r="C1172" s="23" t="s">
        <v>1412</v>
      </c>
      <c r="D1172" s="28" t="s">
        <v>2255</v>
      </c>
      <c r="E1172" s="25">
        <v>106</v>
      </c>
      <c r="F1172" s="23" t="str">
        <f>VLOOKUP(B1172,'[2]справочник кодов нп'!$A:$D,4,0)</f>
        <v>сельские населенные пункты с численностью населения менее 1 000 человек.</v>
      </c>
      <c r="G1172" s="23" t="s">
        <v>1385</v>
      </c>
      <c r="H1172" s="10" t="s">
        <v>1412</v>
      </c>
      <c r="I1172" s="35" t="s">
        <v>7017</v>
      </c>
      <c r="J1172" s="33" t="s">
        <v>1337</v>
      </c>
    </row>
    <row r="1173" spans="1:10" x14ac:dyDescent="0.25">
      <c r="A1173" s="23" t="s">
        <v>2256</v>
      </c>
      <c r="B1173" s="10" t="s">
        <v>2257</v>
      </c>
      <c r="C1173" s="23" t="s">
        <v>1412</v>
      </c>
      <c r="D1173" s="28" t="s">
        <v>2258</v>
      </c>
      <c r="E1173" s="25">
        <v>106</v>
      </c>
      <c r="F1173" s="23" t="str">
        <f>VLOOKUP(B1173,'[2]справочник кодов нп'!$A:$D,4,0)</f>
        <v>сельские населенные пункты с численностью населения менее 1 000 человек.</v>
      </c>
      <c r="G1173" s="23" t="s">
        <v>1385</v>
      </c>
      <c r="H1173" s="10" t="s">
        <v>1412</v>
      </c>
      <c r="I1173" s="35" t="s">
        <v>7017</v>
      </c>
      <c r="J1173" s="33" t="s">
        <v>1337</v>
      </c>
    </row>
    <row r="1174" spans="1:10" x14ac:dyDescent="0.25">
      <c r="A1174" s="23" t="s">
        <v>2259</v>
      </c>
      <c r="B1174" s="10" t="s">
        <v>2260</v>
      </c>
      <c r="C1174" s="23" t="s">
        <v>1412</v>
      </c>
      <c r="D1174" s="28" t="s">
        <v>2261</v>
      </c>
      <c r="E1174" s="25">
        <v>106</v>
      </c>
      <c r="F1174" s="23" t="str">
        <f>VLOOKUP(B1174,'[2]справочник кодов нп'!$A:$D,4,0)</f>
        <v>сельские населенные пункты с численностью населения менее 1 000 человек.</v>
      </c>
      <c r="G1174" s="23" t="s">
        <v>1385</v>
      </c>
      <c r="H1174" s="10" t="s">
        <v>1412</v>
      </c>
      <c r="I1174" s="35" t="s">
        <v>7017</v>
      </c>
      <c r="J1174" s="33" t="s">
        <v>1337</v>
      </c>
    </row>
    <row r="1175" spans="1:10" x14ac:dyDescent="0.25">
      <c r="A1175" s="23" t="s">
        <v>2262</v>
      </c>
      <c r="B1175" s="10" t="s">
        <v>2263</v>
      </c>
      <c r="C1175" s="23" t="s">
        <v>1412</v>
      </c>
      <c r="D1175" s="28" t="s">
        <v>2264</v>
      </c>
      <c r="E1175" s="25">
        <v>106</v>
      </c>
      <c r="F1175" s="23" t="str">
        <f>VLOOKUP(B1175,'[2]справочник кодов нп'!$A:$D,4,0)</f>
        <v>сельские населенные пункты с численностью населения менее 1 000 человек.</v>
      </c>
      <c r="G1175" s="23" t="s">
        <v>1385</v>
      </c>
      <c r="H1175" s="10" t="s">
        <v>1412</v>
      </c>
      <c r="I1175" s="35" t="s">
        <v>7017</v>
      </c>
      <c r="J1175" s="33" t="s">
        <v>1337</v>
      </c>
    </row>
    <row r="1176" spans="1:10" x14ac:dyDescent="0.25">
      <c r="A1176" s="23" t="s">
        <v>2938</v>
      </c>
      <c r="B1176" s="10" t="s">
        <v>2939</v>
      </c>
      <c r="C1176" s="23" t="s">
        <v>1412</v>
      </c>
      <c r="D1176" s="28" t="s">
        <v>2940</v>
      </c>
      <c r="E1176" s="25">
        <v>106</v>
      </c>
      <c r="F1176" s="23" t="str">
        <f>VLOOKUP(B1176,'[2]справочник кодов нп'!$A:$D,4,0)</f>
        <v>сельские населенные пункты с численностью населения менее 1 000 человек.</v>
      </c>
      <c r="G1176" s="23" t="s">
        <v>1385</v>
      </c>
      <c r="H1176" s="10" t="s">
        <v>1412</v>
      </c>
      <c r="I1176" s="35" t="s">
        <v>7017</v>
      </c>
      <c r="J1176" s="33" t="s">
        <v>1337</v>
      </c>
    </row>
    <row r="1177" spans="1:10" x14ac:dyDescent="0.25">
      <c r="A1177" s="23" t="s">
        <v>2941</v>
      </c>
      <c r="B1177" s="10" t="s">
        <v>2942</v>
      </c>
      <c r="C1177" s="23" t="s">
        <v>1412</v>
      </c>
      <c r="D1177" s="28" t="s">
        <v>2943</v>
      </c>
      <c r="E1177" s="25">
        <v>106</v>
      </c>
      <c r="F1177" s="23" t="str">
        <f>VLOOKUP(B1177,'[2]справочник кодов нп'!$A:$D,4,0)</f>
        <v>сельские населенные пункты с численностью населения менее 1 000 человек.</v>
      </c>
      <c r="G1177" s="23" t="s">
        <v>1385</v>
      </c>
      <c r="H1177" s="10" t="s">
        <v>1412</v>
      </c>
      <c r="I1177" s="35" t="s">
        <v>7017</v>
      </c>
      <c r="J1177" s="33" t="s">
        <v>1337</v>
      </c>
    </row>
    <row r="1178" spans="1:10" x14ac:dyDescent="0.25">
      <c r="A1178" s="23" t="s">
        <v>2944</v>
      </c>
      <c r="B1178" s="10" t="s">
        <v>2945</v>
      </c>
      <c r="C1178" s="23" t="s">
        <v>1412</v>
      </c>
      <c r="D1178" s="28" t="s">
        <v>2946</v>
      </c>
      <c r="E1178" s="25">
        <v>106</v>
      </c>
      <c r="F1178" s="23" t="str">
        <f>VLOOKUP(B1178,'[2]справочник кодов нп'!$A:$D,4,0)</f>
        <v>сельские населенные пункты с численностью населения более 1 000 человек;</v>
      </c>
      <c r="G1178" s="23" t="s">
        <v>1385</v>
      </c>
      <c r="H1178" s="10" t="s">
        <v>1412</v>
      </c>
      <c r="I1178" s="35" t="s">
        <v>7017</v>
      </c>
      <c r="J1178" s="33" t="s">
        <v>1337</v>
      </c>
    </row>
    <row r="1179" spans="1:10" x14ac:dyDescent="0.25">
      <c r="A1179" s="23" t="s">
        <v>2947</v>
      </c>
      <c r="B1179" s="10" t="s">
        <v>2948</v>
      </c>
      <c r="C1179" s="23" t="s">
        <v>1412</v>
      </c>
      <c r="D1179" s="28" t="s">
        <v>2949</v>
      </c>
      <c r="E1179" s="25">
        <v>106</v>
      </c>
      <c r="F1179" s="23" t="str">
        <f>VLOOKUP(B1179,'[2]справочник кодов нп'!$A:$D,4,0)</f>
        <v>городские населенные пункты с численностью населения менее 50 000 человек;</v>
      </c>
      <c r="G1179" s="23" t="s">
        <v>1385</v>
      </c>
      <c r="H1179" s="10" t="s">
        <v>1412</v>
      </c>
      <c r="I1179" s="35" t="s">
        <v>7017</v>
      </c>
      <c r="J1179" s="33" t="s">
        <v>1337</v>
      </c>
    </row>
    <row r="1180" spans="1:10" x14ac:dyDescent="0.25">
      <c r="A1180" s="23" t="s">
        <v>2950</v>
      </c>
      <c r="B1180" s="10" t="s">
        <v>2951</v>
      </c>
      <c r="C1180" s="23" t="s">
        <v>1412</v>
      </c>
      <c r="D1180" s="28" t="s">
        <v>2952</v>
      </c>
      <c r="E1180" s="25">
        <v>106</v>
      </c>
      <c r="F1180" s="23" t="str">
        <f>VLOOKUP(B1180,'[2]справочник кодов нп'!$A:$D,4,0)</f>
        <v>сельские населенные пункты с численностью населения менее 1 000 человек.</v>
      </c>
      <c r="G1180" s="23" t="s">
        <v>1385</v>
      </c>
      <c r="H1180" s="10" t="s">
        <v>1412</v>
      </c>
      <c r="I1180" s="35" t="s">
        <v>7017</v>
      </c>
      <c r="J1180" s="33" t="s">
        <v>1337</v>
      </c>
    </row>
    <row r="1181" spans="1:10" x14ac:dyDescent="0.25">
      <c r="A1181" s="23" t="s">
        <v>2953</v>
      </c>
      <c r="B1181" s="10" t="s">
        <v>2954</v>
      </c>
      <c r="C1181" s="23" t="s">
        <v>1412</v>
      </c>
      <c r="D1181" s="28" t="s">
        <v>2955</v>
      </c>
      <c r="E1181" s="25">
        <v>106</v>
      </c>
      <c r="F1181" s="23" t="str">
        <f>VLOOKUP(B1181,'[2]справочник кодов нп'!$A:$D,4,0)</f>
        <v>сельские населенные пункты с численностью населения менее 1 000 человек.</v>
      </c>
      <c r="G1181" s="23" t="s">
        <v>1385</v>
      </c>
      <c r="H1181" s="10" t="s">
        <v>1412</v>
      </c>
      <c r="I1181" s="35" t="s">
        <v>7017</v>
      </c>
      <c r="J1181" s="33" t="s">
        <v>1337</v>
      </c>
    </row>
    <row r="1182" spans="1:10" x14ac:dyDescent="0.25">
      <c r="A1182" s="23" t="s">
        <v>2956</v>
      </c>
      <c r="B1182" s="10" t="s">
        <v>2957</v>
      </c>
      <c r="C1182" s="23" t="s">
        <v>1412</v>
      </c>
      <c r="D1182" s="28" t="s">
        <v>2958</v>
      </c>
      <c r="E1182" s="25">
        <v>106</v>
      </c>
      <c r="F1182" s="23" t="str">
        <f>VLOOKUP(B1182,'[2]справочник кодов нп'!$A:$D,4,0)</f>
        <v>сельские населенные пункты с численностью населения менее 1 000 человек.</v>
      </c>
      <c r="G1182" s="23" t="s">
        <v>1385</v>
      </c>
      <c r="H1182" s="10" t="s">
        <v>1412</v>
      </c>
      <c r="I1182" s="35" t="s">
        <v>7017</v>
      </c>
      <c r="J1182" s="33" t="s">
        <v>1337</v>
      </c>
    </row>
    <row r="1183" spans="1:10" x14ac:dyDescent="0.25">
      <c r="A1183" s="23" t="s">
        <v>2959</v>
      </c>
      <c r="B1183" s="10" t="s">
        <v>2960</v>
      </c>
      <c r="C1183" s="23" t="s">
        <v>1412</v>
      </c>
      <c r="D1183" s="28" t="s">
        <v>2961</v>
      </c>
      <c r="E1183" s="25">
        <v>106</v>
      </c>
      <c r="F1183" s="23" t="str">
        <f>VLOOKUP(B1183,'[2]справочник кодов нп'!$A:$D,4,0)</f>
        <v>сельские населенные пункты с численностью населения менее 1 000 человек.</v>
      </c>
      <c r="G1183" s="45" t="s">
        <v>1385</v>
      </c>
      <c r="H1183" s="10" t="s">
        <v>1412</v>
      </c>
      <c r="I1183" s="35" t="s">
        <v>7017</v>
      </c>
      <c r="J1183" s="33" t="s">
        <v>1337</v>
      </c>
    </row>
    <row r="1184" spans="1:10" x14ac:dyDescent="0.25">
      <c r="A1184" s="23" t="s">
        <v>2962</v>
      </c>
      <c r="B1184" s="10" t="s">
        <v>2963</v>
      </c>
      <c r="C1184" s="23" t="s">
        <v>1412</v>
      </c>
      <c r="D1184" s="28" t="s">
        <v>2964</v>
      </c>
      <c r="E1184" s="25">
        <v>106</v>
      </c>
      <c r="F1184" s="23" t="str">
        <f>VLOOKUP(B1184,'[2]справочник кодов нп'!$A:$D,4,0)</f>
        <v>сельские населенные пункты с численностью населения менее 1 000 человек.</v>
      </c>
      <c r="G1184" s="23" t="s">
        <v>1385</v>
      </c>
      <c r="H1184" s="10" t="s">
        <v>1412</v>
      </c>
      <c r="I1184" s="35" t="s">
        <v>7017</v>
      </c>
      <c r="J1184" s="33" t="s">
        <v>1337</v>
      </c>
    </row>
    <row r="1185" spans="1:10" x14ac:dyDescent="0.25">
      <c r="A1185" s="23" t="s">
        <v>2965</v>
      </c>
      <c r="B1185" s="10" t="s">
        <v>2966</v>
      </c>
      <c r="C1185" s="23" t="s">
        <v>1412</v>
      </c>
      <c r="D1185" s="28" t="s">
        <v>2967</v>
      </c>
      <c r="E1185" s="25">
        <v>106</v>
      </c>
      <c r="F1185" s="23" t="str">
        <f>VLOOKUP(B1185,'[2]справочник кодов нп'!$A:$D,4,0)</f>
        <v>сельские населенные пункты с численностью населения менее 1 000 человек.</v>
      </c>
      <c r="G1185" s="23" t="s">
        <v>1385</v>
      </c>
      <c r="H1185" s="10" t="s">
        <v>1412</v>
      </c>
      <c r="I1185" s="35" t="s">
        <v>7017</v>
      </c>
      <c r="J1185" s="33" t="s">
        <v>1337</v>
      </c>
    </row>
    <row r="1186" spans="1:10" x14ac:dyDescent="0.25">
      <c r="A1186" s="23" t="s">
        <v>2968</v>
      </c>
      <c r="B1186" s="10" t="s">
        <v>2969</v>
      </c>
      <c r="C1186" s="23" t="s">
        <v>1412</v>
      </c>
      <c r="D1186" s="28" t="s">
        <v>2970</v>
      </c>
      <c r="E1186" s="25">
        <v>106</v>
      </c>
      <c r="F1186" s="23" t="str">
        <f>VLOOKUP(B1186,'[2]справочник кодов нп'!$A:$D,4,0)</f>
        <v>сельские населенные пункты с численностью населения менее 1 000 человек.</v>
      </c>
      <c r="G1186" s="23" t="s">
        <v>1385</v>
      </c>
      <c r="H1186" s="10" t="s">
        <v>1412</v>
      </c>
      <c r="I1186" s="35" t="s">
        <v>7017</v>
      </c>
      <c r="J1186" s="33" t="s">
        <v>1337</v>
      </c>
    </row>
    <row r="1187" spans="1:10" x14ac:dyDescent="0.25">
      <c r="A1187" s="23" t="s">
        <v>2971</v>
      </c>
      <c r="B1187" s="10" t="s">
        <v>2972</v>
      </c>
      <c r="C1187" s="23" t="s">
        <v>1412</v>
      </c>
      <c r="D1187" s="28" t="s">
        <v>2315</v>
      </c>
      <c r="E1187" s="25">
        <v>106</v>
      </c>
      <c r="F1187" s="23" t="str">
        <f>VLOOKUP(B1187,'[2]справочник кодов нп'!$A:$D,4,0)</f>
        <v>сельские населенные пункты с численностью населения менее 1 000 человек.</v>
      </c>
      <c r="G1187" s="23" t="s">
        <v>1385</v>
      </c>
      <c r="H1187" s="10" t="s">
        <v>1412</v>
      </c>
      <c r="I1187" s="35" t="s">
        <v>7017</v>
      </c>
      <c r="J1187" s="33" t="s">
        <v>1337</v>
      </c>
    </row>
    <row r="1188" spans="1:10" x14ac:dyDescent="0.25">
      <c r="A1188" s="23" t="s">
        <v>4828</v>
      </c>
      <c r="B1188" s="10" t="s">
        <v>4829</v>
      </c>
      <c r="C1188" s="23" t="s">
        <v>1412</v>
      </c>
      <c r="D1188" s="28" t="s">
        <v>4830</v>
      </c>
      <c r="E1188" s="25">
        <v>106</v>
      </c>
      <c r="F1188" s="23" t="str">
        <f>VLOOKUP(B1188,'[2]справочник кодов нп'!$A:$D,4,0)</f>
        <v>сельские населенные пункты с численностью населения более 1 000 человек;</v>
      </c>
      <c r="G1188" s="23" t="s">
        <v>1385</v>
      </c>
      <c r="H1188" s="10" t="s">
        <v>1412</v>
      </c>
      <c r="I1188" s="35" t="s">
        <v>7017</v>
      </c>
      <c r="J1188" s="33" t="s">
        <v>1337</v>
      </c>
    </row>
    <row r="1189" spans="1:10" x14ac:dyDescent="0.25">
      <c r="A1189" s="23" t="s">
        <v>4831</v>
      </c>
      <c r="B1189" s="10" t="s">
        <v>4832</v>
      </c>
      <c r="C1189" s="23" t="s">
        <v>1412</v>
      </c>
      <c r="D1189" s="28" t="s">
        <v>4833</v>
      </c>
      <c r="E1189" s="25">
        <v>106</v>
      </c>
      <c r="F1189" s="23" t="str">
        <f>VLOOKUP(B1189,'[2]справочник кодов нп'!$A:$D,4,0)</f>
        <v>сельские населенные пункты с численностью населения менее 1 000 человек.</v>
      </c>
      <c r="G1189" s="23" t="s">
        <v>1385</v>
      </c>
      <c r="H1189" s="10" t="s">
        <v>1412</v>
      </c>
      <c r="I1189" s="35" t="s">
        <v>7017</v>
      </c>
      <c r="J1189" s="33" t="s">
        <v>1337</v>
      </c>
    </row>
    <row r="1190" spans="1:10" x14ac:dyDescent="0.25">
      <c r="A1190" s="23" t="s">
        <v>4834</v>
      </c>
      <c r="B1190" s="10" t="s">
        <v>4835</v>
      </c>
      <c r="C1190" s="23" t="s">
        <v>1412</v>
      </c>
      <c r="D1190" s="28" t="s">
        <v>4836</v>
      </c>
      <c r="E1190" s="25">
        <v>106</v>
      </c>
      <c r="F1190" s="23" t="str">
        <f>VLOOKUP(B1190,'[2]справочник кодов нп'!$A:$D,4,0)</f>
        <v>сельские населенные пункты с численностью населения менее 1 000 человек.</v>
      </c>
      <c r="G1190" s="23" t="s">
        <v>1385</v>
      </c>
      <c r="H1190" s="10" t="s">
        <v>1412</v>
      </c>
      <c r="I1190" s="35" t="s">
        <v>7017</v>
      </c>
      <c r="J1190" s="33" t="s">
        <v>1337</v>
      </c>
    </row>
    <row r="1191" spans="1:10" x14ac:dyDescent="0.25">
      <c r="A1191" s="23" t="s">
        <v>5062</v>
      </c>
      <c r="B1191" s="10" t="s">
        <v>5063</v>
      </c>
      <c r="C1191" s="23" t="s">
        <v>1412</v>
      </c>
      <c r="D1191" s="28" t="s">
        <v>5064</v>
      </c>
      <c r="E1191" s="25">
        <v>106</v>
      </c>
      <c r="F1191" s="23" t="str">
        <f>VLOOKUP(B1191,'[2]справочник кодов нп'!$A:$D,4,0)</f>
        <v>сельские населенные пункты с численностью населения менее 1 000 человек.</v>
      </c>
      <c r="G1191" s="23" t="s">
        <v>1385</v>
      </c>
      <c r="H1191" s="10" t="s">
        <v>1412</v>
      </c>
      <c r="I1191" s="35" t="s">
        <v>7017</v>
      </c>
      <c r="J1191" s="33" t="s">
        <v>1337</v>
      </c>
    </row>
    <row r="1192" spans="1:10" x14ac:dyDescent="0.25">
      <c r="A1192" s="23" t="s">
        <v>5213</v>
      </c>
      <c r="B1192" s="10" t="s">
        <v>5214</v>
      </c>
      <c r="C1192" s="23" t="s">
        <v>1412</v>
      </c>
      <c r="D1192" s="28" t="s">
        <v>5215</v>
      </c>
      <c r="E1192" s="25">
        <v>106</v>
      </c>
      <c r="F1192" s="23" t="str">
        <f>VLOOKUP(B1192,'[2]справочник кодов нп'!$A:$D,4,0)</f>
        <v>сельские населенные пункты с численностью населения менее 1 000 человек.</v>
      </c>
      <c r="G1192" s="23" t="s">
        <v>1385</v>
      </c>
      <c r="H1192" s="10" t="s">
        <v>1412</v>
      </c>
      <c r="I1192" s="35" t="s">
        <v>7017</v>
      </c>
      <c r="J1192" s="33" t="s">
        <v>1337</v>
      </c>
    </row>
    <row r="1193" spans="1:10" x14ac:dyDescent="0.25">
      <c r="A1193" s="23" t="s">
        <v>5216</v>
      </c>
      <c r="B1193" s="10" t="s">
        <v>5217</v>
      </c>
      <c r="C1193" s="23" t="s">
        <v>1412</v>
      </c>
      <c r="D1193" s="28" t="s">
        <v>5218</v>
      </c>
      <c r="E1193" s="25">
        <v>106</v>
      </c>
      <c r="F1193" s="23" t="str">
        <f>VLOOKUP(B1193,'[2]справочник кодов нп'!$A:$D,4,0)</f>
        <v>сельские населенные пункты с численностью населения менее 1 000 человек.</v>
      </c>
      <c r="G1193" s="23" t="s">
        <v>1385</v>
      </c>
      <c r="H1193" s="10" t="s">
        <v>1412</v>
      </c>
      <c r="I1193" s="35" t="s">
        <v>7017</v>
      </c>
      <c r="J1193" s="33" t="s">
        <v>1337</v>
      </c>
    </row>
    <row r="1194" spans="1:10" x14ac:dyDescent="0.25">
      <c r="A1194" s="23" t="s">
        <v>5219</v>
      </c>
      <c r="B1194" s="10" t="s">
        <v>5220</v>
      </c>
      <c r="C1194" s="23" t="s">
        <v>1412</v>
      </c>
      <c r="D1194" s="28" t="s">
        <v>5221</v>
      </c>
      <c r="E1194" s="25">
        <v>106</v>
      </c>
      <c r="F1194" s="23" t="str">
        <f>VLOOKUP(B1194,'[2]справочник кодов нп'!$A:$D,4,0)</f>
        <v>сельские населенные пункты с численностью населения менее 1 000 человек.</v>
      </c>
      <c r="G1194" s="23" t="s">
        <v>1385</v>
      </c>
      <c r="H1194" s="10" t="s">
        <v>1412</v>
      </c>
      <c r="I1194" s="35" t="s">
        <v>7017</v>
      </c>
      <c r="J1194" s="33" t="s">
        <v>1337</v>
      </c>
    </row>
    <row r="1195" spans="1:10" x14ac:dyDescent="0.25">
      <c r="A1195" s="23" t="s">
        <v>5222</v>
      </c>
      <c r="B1195" s="10" t="s">
        <v>5223</v>
      </c>
      <c r="C1195" s="23" t="s">
        <v>1412</v>
      </c>
      <c r="D1195" s="28" t="s">
        <v>5224</v>
      </c>
      <c r="E1195" s="25">
        <v>106</v>
      </c>
      <c r="F1195" s="23" t="str">
        <f>VLOOKUP(B1195,'[2]справочник кодов нп'!$A:$D,4,0)</f>
        <v>сельские населенные пункты с численностью населения менее 1 000 человек.</v>
      </c>
      <c r="G1195" s="23" t="s">
        <v>1385</v>
      </c>
      <c r="H1195" s="10" t="s">
        <v>1412</v>
      </c>
      <c r="I1195" s="35" t="s">
        <v>7017</v>
      </c>
      <c r="J1195" s="33" t="s">
        <v>1337</v>
      </c>
    </row>
    <row r="1196" spans="1:10" x14ac:dyDescent="0.25">
      <c r="A1196" s="23" t="s">
        <v>5225</v>
      </c>
      <c r="B1196" s="10" t="s">
        <v>5226</v>
      </c>
      <c r="C1196" s="23" t="s">
        <v>1412</v>
      </c>
      <c r="D1196" s="28" t="s">
        <v>5227</v>
      </c>
      <c r="E1196" s="25">
        <v>106</v>
      </c>
      <c r="F1196" s="23" t="str">
        <f>VLOOKUP(B1196,'[2]справочник кодов нп'!$A:$D,4,0)</f>
        <v>сельские населенные пункты с численностью населения менее 1 000 человек.</v>
      </c>
      <c r="G1196" s="23" t="s">
        <v>1385</v>
      </c>
      <c r="H1196" s="10" t="s">
        <v>1412</v>
      </c>
      <c r="I1196" s="35" t="s">
        <v>7017</v>
      </c>
      <c r="J1196" s="33" t="s">
        <v>1337</v>
      </c>
    </row>
    <row r="1197" spans="1:10" x14ac:dyDescent="0.25">
      <c r="A1197" s="23" t="s">
        <v>5228</v>
      </c>
      <c r="B1197" s="10" t="s">
        <v>5229</v>
      </c>
      <c r="C1197" s="23" t="s">
        <v>1412</v>
      </c>
      <c r="D1197" s="28" t="s">
        <v>5230</v>
      </c>
      <c r="E1197" s="25">
        <v>106</v>
      </c>
      <c r="F1197" s="23" t="str">
        <f>VLOOKUP(B1197,'[2]справочник кодов нп'!$A:$D,4,0)</f>
        <v>сельские населенные пункты с численностью населения менее 1 000 человек.</v>
      </c>
      <c r="G1197" s="23" t="s">
        <v>1385</v>
      </c>
      <c r="H1197" s="10" t="s">
        <v>1412</v>
      </c>
      <c r="I1197" s="35" t="s">
        <v>7017</v>
      </c>
      <c r="J1197" s="33" t="s">
        <v>1337</v>
      </c>
    </row>
    <row r="1198" spans="1:10" x14ac:dyDescent="0.25">
      <c r="A1198" s="23" t="s">
        <v>5362</v>
      </c>
      <c r="B1198" s="10" t="s">
        <v>5363</v>
      </c>
      <c r="C1198" s="23" t="s">
        <v>1412</v>
      </c>
      <c r="D1198" s="28" t="s">
        <v>5364</v>
      </c>
      <c r="E1198" s="25">
        <v>106</v>
      </c>
      <c r="F1198" s="23" t="str">
        <f>VLOOKUP(B1198,'[2]справочник кодов нп'!$A:$D,4,0)</f>
        <v>сельские населенные пункты с численностью населения менее 1 000 человек.</v>
      </c>
      <c r="G1198" s="23" t="s">
        <v>1385</v>
      </c>
      <c r="H1198" s="10" t="s">
        <v>1412</v>
      </c>
      <c r="I1198" s="35" t="s">
        <v>7017</v>
      </c>
      <c r="J1198" s="33" t="s">
        <v>1337</v>
      </c>
    </row>
    <row r="1199" spans="1:10" x14ac:dyDescent="0.25">
      <c r="A1199" s="23" t="s">
        <v>5938</v>
      </c>
      <c r="B1199" s="10" t="s">
        <v>5939</v>
      </c>
      <c r="C1199" s="23" t="s">
        <v>1412</v>
      </c>
      <c r="D1199" s="28" t="s">
        <v>5940</v>
      </c>
      <c r="E1199" s="25">
        <v>106</v>
      </c>
      <c r="F1199" s="23" t="str">
        <f>VLOOKUP(B1199,'[2]справочник кодов нп'!$A:$D,4,0)</f>
        <v>сельские населенные пункты с численностью населения менее 1 000 человек.</v>
      </c>
      <c r="G1199" s="23" t="s">
        <v>1385</v>
      </c>
      <c r="H1199" s="10" t="s">
        <v>1412</v>
      </c>
      <c r="I1199" s="35" t="s">
        <v>7017</v>
      </c>
      <c r="J1199" s="33" t="s">
        <v>1337</v>
      </c>
    </row>
    <row r="1200" spans="1:10" x14ac:dyDescent="0.25">
      <c r="A1200" s="23" t="s">
        <v>5941</v>
      </c>
      <c r="B1200" s="10" t="s">
        <v>5942</v>
      </c>
      <c r="C1200" s="23" t="s">
        <v>1412</v>
      </c>
      <c r="D1200" s="28" t="s">
        <v>5943</v>
      </c>
      <c r="E1200" s="25">
        <v>106</v>
      </c>
      <c r="F1200" s="23" t="str">
        <f>VLOOKUP(B1200,'[2]справочник кодов нп'!$A:$D,4,0)</f>
        <v>сельские населенные пункты с численностью населения менее 1 000 человек.</v>
      </c>
      <c r="G1200" s="23" t="s">
        <v>1385</v>
      </c>
      <c r="H1200" s="10" t="s">
        <v>1412</v>
      </c>
      <c r="I1200" s="35" t="s">
        <v>7017</v>
      </c>
      <c r="J1200" s="33" t="s">
        <v>1337</v>
      </c>
    </row>
    <row r="1201" spans="1:10" x14ac:dyDescent="0.25">
      <c r="A1201" s="23" t="s">
        <v>5944</v>
      </c>
      <c r="B1201" s="10" t="s">
        <v>5945</v>
      </c>
      <c r="C1201" s="23" t="s">
        <v>1412</v>
      </c>
      <c r="D1201" s="28" t="s">
        <v>5946</v>
      </c>
      <c r="E1201" s="25">
        <v>106</v>
      </c>
      <c r="F1201" s="23" t="str">
        <f>VLOOKUP(B1201,'[2]справочник кодов нп'!$A:$D,4,0)</f>
        <v>сельские населенные пункты с численностью населения менее 1 000 человек.</v>
      </c>
      <c r="G1201" s="23" t="s">
        <v>1385</v>
      </c>
      <c r="H1201" s="10" t="s">
        <v>1412</v>
      </c>
      <c r="I1201" s="35" t="s">
        <v>7017</v>
      </c>
      <c r="J1201" s="33" t="s">
        <v>1337</v>
      </c>
    </row>
    <row r="1202" spans="1:10" x14ac:dyDescent="0.25">
      <c r="A1202" s="23" t="s">
        <v>6427</v>
      </c>
      <c r="B1202" s="10" t="s">
        <v>6428</v>
      </c>
      <c r="C1202" s="23" t="s">
        <v>1412</v>
      </c>
      <c r="D1202" s="28" t="s">
        <v>6429</v>
      </c>
      <c r="E1202" s="25">
        <v>106</v>
      </c>
      <c r="F1202" s="23" t="str">
        <f>VLOOKUP(B1202,'[2]справочник кодов нп'!$A:$D,4,0)</f>
        <v>сельские населенные пункты с численностью населения менее 1 000 человек.</v>
      </c>
      <c r="G1202" s="23" t="s">
        <v>1385</v>
      </c>
      <c r="H1202" s="10" t="s">
        <v>1412</v>
      </c>
      <c r="I1202" s="35" t="s">
        <v>7017</v>
      </c>
      <c r="J1202" s="33" t="s">
        <v>1337</v>
      </c>
    </row>
    <row r="1203" spans="1:10" x14ac:dyDescent="0.25">
      <c r="A1203" s="23" t="s">
        <v>6430</v>
      </c>
      <c r="B1203" s="10" t="s">
        <v>6431</v>
      </c>
      <c r="C1203" s="23" t="s">
        <v>1412</v>
      </c>
      <c r="D1203" s="28" t="s">
        <v>6432</v>
      </c>
      <c r="E1203" s="25">
        <v>106</v>
      </c>
      <c r="F1203" s="23" t="str">
        <f>VLOOKUP(B1203,'[2]справочник кодов нп'!$A:$D,4,0)</f>
        <v>сельские населенные пункты с численностью населения менее 1 000 человек.</v>
      </c>
      <c r="G1203" s="23" t="s">
        <v>1385</v>
      </c>
      <c r="H1203" s="10" t="s">
        <v>1412</v>
      </c>
      <c r="I1203" s="35" t="s">
        <v>7017</v>
      </c>
      <c r="J1203" s="33" t="s">
        <v>1337</v>
      </c>
    </row>
    <row r="1204" spans="1:10" x14ac:dyDescent="0.25">
      <c r="A1204" s="23" t="s">
        <v>6433</v>
      </c>
      <c r="B1204" s="10" t="s">
        <v>6434</v>
      </c>
      <c r="C1204" s="23" t="s">
        <v>1412</v>
      </c>
      <c r="D1204" s="28" t="s">
        <v>6435</v>
      </c>
      <c r="E1204" s="25">
        <v>106</v>
      </c>
      <c r="F1204" s="23" t="str">
        <f>VLOOKUP(B1204,'[2]справочник кодов нп'!$A:$D,4,0)</f>
        <v>сельские населенные пункты с численностью населения менее 1 000 человек.</v>
      </c>
      <c r="G1204" s="23" t="s">
        <v>1385</v>
      </c>
      <c r="H1204" s="10" t="s">
        <v>1412</v>
      </c>
      <c r="I1204" s="35" t="s">
        <v>7017</v>
      </c>
      <c r="J1204" s="33" t="s">
        <v>1337</v>
      </c>
    </row>
    <row r="1205" spans="1:10" x14ac:dyDescent="0.25">
      <c r="A1205" s="23" t="s">
        <v>6436</v>
      </c>
      <c r="B1205" s="10" t="s">
        <v>6437</v>
      </c>
      <c r="C1205" s="23" t="s">
        <v>1412</v>
      </c>
      <c r="D1205" s="28" t="s">
        <v>6438</v>
      </c>
      <c r="E1205" s="25">
        <v>106</v>
      </c>
      <c r="F1205" s="23" t="str">
        <f>VLOOKUP(B1205,'[2]справочник кодов нп'!$A:$D,4,0)</f>
        <v>сельские населенные пункты с численностью населения менее 1 000 человек.</v>
      </c>
      <c r="G1205" s="23" t="s">
        <v>1385</v>
      </c>
      <c r="H1205" s="10" t="s">
        <v>1412</v>
      </c>
      <c r="I1205" s="35" t="s">
        <v>7017</v>
      </c>
      <c r="J1205" s="33" t="s">
        <v>1337</v>
      </c>
    </row>
    <row r="1206" spans="1:10" x14ac:dyDescent="0.25">
      <c r="A1206" s="23" t="s">
        <v>6439</v>
      </c>
      <c r="B1206" s="10" t="s">
        <v>6440</v>
      </c>
      <c r="C1206" s="23" t="s">
        <v>1412</v>
      </c>
      <c r="D1206" s="28" t="s">
        <v>6441</v>
      </c>
      <c r="E1206" s="25">
        <v>106</v>
      </c>
      <c r="F1206" s="23" t="str">
        <f>VLOOKUP(B1206,'[2]справочник кодов нп'!$A:$D,4,0)</f>
        <v>сельские населенные пункты с численностью населения менее 1 000 человек.</v>
      </c>
      <c r="G1206" s="23" t="s">
        <v>1385</v>
      </c>
      <c r="H1206" s="10" t="s">
        <v>1412</v>
      </c>
      <c r="I1206" s="35" t="s">
        <v>7017</v>
      </c>
      <c r="J1206" s="33" t="s">
        <v>1337</v>
      </c>
    </row>
    <row r="1207" spans="1:10" x14ac:dyDescent="0.25">
      <c r="A1207" s="23" t="s">
        <v>6442</v>
      </c>
      <c r="B1207" s="10" t="s">
        <v>6443</v>
      </c>
      <c r="C1207" s="23" t="s">
        <v>1412</v>
      </c>
      <c r="D1207" s="28" t="s">
        <v>6444</v>
      </c>
      <c r="E1207" s="25">
        <v>106</v>
      </c>
      <c r="F1207" s="23" t="str">
        <f>VLOOKUP(B1207,'[2]справочник кодов нп'!$A:$D,4,0)</f>
        <v>сельские населенные пункты с численностью населения менее 1 000 человек.</v>
      </c>
      <c r="G1207" s="23" t="s">
        <v>1385</v>
      </c>
      <c r="H1207" s="10" t="s">
        <v>1412</v>
      </c>
      <c r="I1207" s="35" t="s">
        <v>7017</v>
      </c>
      <c r="J1207" s="33" t="s">
        <v>1337</v>
      </c>
    </row>
    <row r="1208" spans="1:10" x14ac:dyDescent="0.25">
      <c r="A1208" s="23" t="s">
        <v>6445</v>
      </c>
      <c r="B1208" s="10" t="s">
        <v>6446</v>
      </c>
      <c r="C1208" s="23" t="s">
        <v>1412</v>
      </c>
      <c r="D1208" s="28" t="s">
        <v>6447</v>
      </c>
      <c r="E1208" s="25">
        <v>106</v>
      </c>
      <c r="F1208" s="23" t="str">
        <f>VLOOKUP(B1208,'[2]справочник кодов нп'!$A:$D,4,0)</f>
        <v>сельские населенные пункты с численностью населения менее 1 000 человек.</v>
      </c>
      <c r="G1208" s="23" t="s">
        <v>1385</v>
      </c>
      <c r="H1208" s="10" t="s">
        <v>1412</v>
      </c>
      <c r="I1208" s="35" t="s">
        <v>7017</v>
      </c>
      <c r="J1208" s="33" t="s">
        <v>1337</v>
      </c>
    </row>
    <row r="1209" spans="1:10" x14ac:dyDescent="0.25">
      <c r="A1209" s="23" t="s">
        <v>6448</v>
      </c>
      <c r="B1209" s="10" t="s">
        <v>6449</v>
      </c>
      <c r="C1209" s="23" t="s">
        <v>1412</v>
      </c>
      <c r="D1209" s="28" t="s">
        <v>6450</v>
      </c>
      <c r="E1209" s="25">
        <v>106</v>
      </c>
      <c r="F1209" s="23" t="str">
        <f>VLOOKUP(B1209,'[2]справочник кодов нп'!$A:$D,4,0)</f>
        <v>сельские населенные пункты с численностью населения менее 1 000 человек.</v>
      </c>
      <c r="G1209" s="23" t="s">
        <v>1385</v>
      </c>
      <c r="H1209" s="10" t="s">
        <v>1412</v>
      </c>
      <c r="I1209" s="35" t="s">
        <v>7017</v>
      </c>
      <c r="J1209" s="33" t="s">
        <v>1337</v>
      </c>
    </row>
    <row r="1210" spans="1:10" x14ac:dyDescent="0.25">
      <c r="A1210" s="23" t="s">
        <v>6451</v>
      </c>
      <c r="B1210" s="10" t="s">
        <v>6452</v>
      </c>
      <c r="C1210" s="23" t="s">
        <v>1412</v>
      </c>
      <c r="D1210" s="28" t="s">
        <v>6453</v>
      </c>
      <c r="E1210" s="25">
        <v>106</v>
      </c>
      <c r="F1210" s="23" t="str">
        <f>VLOOKUP(B1210,'[2]справочник кодов нп'!$A:$D,4,0)</f>
        <v>сельские населенные пункты с численностью населения менее 1 000 человек.</v>
      </c>
      <c r="G1210" s="23" t="s">
        <v>1385</v>
      </c>
      <c r="H1210" s="10" t="s">
        <v>1412</v>
      </c>
      <c r="I1210" s="35" t="s">
        <v>7017</v>
      </c>
      <c r="J1210" s="33" t="s">
        <v>1337</v>
      </c>
    </row>
    <row r="1211" spans="1:10" x14ac:dyDescent="0.25">
      <c r="A1211" s="23" t="s">
        <v>6454</v>
      </c>
      <c r="B1211" s="10" t="s">
        <v>6455</v>
      </c>
      <c r="C1211" s="23" t="s">
        <v>1412</v>
      </c>
      <c r="D1211" s="28" t="s">
        <v>6456</v>
      </c>
      <c r="E1211" s="25">
        <v>106</v>
      </c>
      <c r="F1211" s="23" t="str">
        <f>VLOOKUP(B1211,'[2]справочник кодов нп'!$A:$D,4,0)</f>
        <v>сельские населенные пункты с численностью населения более 1 000 человек;</v>
      </c>
      <c r="G1211" s="23" t="s">
        <v>1385</v>
      </c>
      <c r="H1211" s="10" t="s">
        <v>1412</v>
      </c>
      <c r="I1211" s="35" t="s">
        <v>7017</v>
      </c>
      <c r="J1211" s="33" t="s">
        <v>1337</v>
      </c>
    </row>
    <row r="1212" spans="1:10" x14ac:dyDescent="0.25">
      <c r="A1212" s="23" t="s">
        <v>6457</v>
      </c>
      <c r="B1212" s="10" t="s">
        <v>6458</v>
      </c>
      <c r="C1212" s="23" t="s">
        <v>1412</v>
      </c>
      <c r="D1212" s="28" t="s">
        <v>6459</v>
      </c>
      <c r="E1212" s="25">
        <v>106</v>
      </c>
      <c r="F1212" s="23" t="str">
        <f>VLOOKUP(B1212,'[2]справочник кодов нп'!$A:$D,4,0)</f>
        <v>сельские населенные пункты с численностью населения менее 1 000 человек.</v>
      </c>
      <c r="G1212" s="23" t="s">
        <v>1385</v>
      </c>
      <c r="H1212" s="10" t="s">
        <v>1412</v>
      </c>
      <c r="I1212" s="35" t="s">
        <v>7017</v>
      </c>
      <c r="J1212" s="33" t="s">
        <v>1337</v>
      </c>
    </row>
    <row r="1213" spans="1:10" x14ac:dyDescent="0.25">
      <c r="A1213" s="23" t="s">
        <v>6460</v>
      </c>
      <c r="B1213" s="10" t="s">
        <v>6461</v>
      </c>
      <c r="C1213" s="23" t="s">
        <v>1412</v>
      </c>
      <c r="D1213" s="28" t="s">
        <v>6462</v>
      </c>
      <c r="E1213" s="25">
        <v>106</v>
      </c>
      <c r="F1213" s="23" t="str">
        <f>VLOOKUP(B1213,'[2]справочник кодов нп'!$A:$D,4,0)</f>
        <v>сельские населенные пункты с численностью населения менее 1 000 человек.</v>
      </c>
      <c r="G1213" s="23" t="s">
        <v>1385</v>
      </c>
      <c r="H1213" s="10" t="s">
        <v>1412</v>
      </c>
      <c r="I1213" s="35" t="s">
        <v>7017</v>
      </c>
      <c r="J1213" s="33" t="s">
        <v>1337</v>
      </c>
    </row>
    <row r="1214" spans="1:10" x14ac:dyDescent="0.25">
      <c r="A1214" s="23" t="s">
        <v>6463</v>
      </c>
      <c r="B1214" s="10" t="s">
        <v>6464</v>
      </c>
      <c r="C1214" s="23" t="s">
        <v>1412</v>
      </c>
      <c r="D1214" s="28" t="s">
        <v>6465</v>
      </c>
      <c r="E1214" s="25">
        <v>106</v>
      </c>
      <c r="F1214" s="23" t="str">
        <f>VLOOKUP(B1214,'[2]справочник кодов нп'!$A:$D,4,0)</f>
        <v>сельские населенные пункты с численностью населения менее 1 000 человек.</v>
      </c>
      <c r="G1214" s="23" t="s">
        <v>1385</v>
      </c>
      <c r="H1214" s="10" t="s">
        <v>1412</v>
      </c>
      <c r="I1214" s="35" t="s">
        <v>7017</v>
      </c>
      <c r="J1214" s="33" t="s">
        <v>1337</v>
      </c>
    </row>
    <row r="1215" spans="1:10" x14ac:dyDescent="0.25">
      <c r="A1215" s="23" t="s">
        <v>6622</v>
      </c>
      <c r="B1215" s="10" t="s">
        <v>6623</v>
      </c>
      <c r="C1215" s="23" t="s">
        <v>1412</v>
      </c>
      <c r="D1215" s="28" t="s">
        <v>6624</v>
      </c>
      <c r="E1215" s="25">
        <v>106</v>
      </c>
      <c r="F1215" s="23" t="str">
        <f>VLOOKUP(B1215,'[2]справочник кодов нп'!$A:$D,4,0)</f>
        <v>сельские населенные пункты с численностью населения менее 1 000 человек.</v>
      </c>
      <c r="G1215" s="23" t="s">
        <v>1385</v>
      </c>
      <c r="H1215" s="10" t="s">
        <v>1412</v>
      </c>
      <c r="I1215" s="35" t="s">
        <v>7017</v>
      </c>
      <c r="J1215" s="33" t="s">
        <v>1337</v>
      </c>
    </row>
    <row r="1216" spans="1:10" x14ac:dyDescent="0.25">
      <c r="A1216" s="23" t="s">
        <v>6625</v>
      </c>
      <c r="B1216" s="10" t="s">
        <v>6626</v>
      </c>
      <c r="C1216" s="23" t="s">
        <v>1412</v>
      </c>
      <c r="D1216" s="28" t="s">
        <v>6627</v>
      </c>
      <c r="E1216" s="25">
        <v>106</v>
      </c>
      <c r="F1216" s="23" t="str">
        <f>VLOOKUP(B1216,'[2]справочник кодов нп'!$A:$D,4,0)</f>
        <v>сельские населенные пункты с численностью населения менее 1 000 человек.</v>
      </c>
      <c r="G1216" s="23" t="s">
        <v>1385</v>
      </c>
      <c r="H1216" s="10" t="s">
        <v>1412</v>
      </c>
      <c r="I1216" s="35" t="s">
        <v>7017</v>
      </c>
      <c r="J1216" s="33" t="s">
        <v>1337</v>
      </c>
    </row>
    <row r="1217" spans="1:10" x14ac:dyDescent="0.25">
      <c r="A1217" s="23" t="s">
        <v>6628</v>
      </c>
      <c r="B1217" s="10" t="s">
        <v>6629</v>
      </c>
      <c r="C1217" s="23" t="s">
        <v>1412</v>
      </c>
      <c r="D1217" s="28" t="s">
        <v>6630</v>
      </c>
      <c r="E1217" s="25">
        <v>106</v>
      </c>
      <c r="F1217" s="23" t="str">
        <f>VLOOKUP(B1217,'[2]справочник кодов нп'!$A:$D,4,0)</f>
        <v>сельские населенные пункты с численностью населения менее 1 000 человек.</v>
      </c>
      <c r="G1217" s="23" t="s">
        <v>1385</v>
      </c>
      <c r="H1217" s="10" t="s">
        <v>1412</v>
      </c>
      <c r="I1217" s="35" t="s">
        <v>7017</v>
      </c>
      <c r="J1217" s="33" t="s">
        <v>1337</v>
      </c>
    </row>
    <row r="1218" spans="1:10" x14ac:dyDescent="0.25">
      <c r="A1218" s="23" t="s">
        <v>6631</v>
      </c>
      <c r="B1218" s="10" t="s">
        <v>6632</v>
      </c>
      <c r="C1218" s="23" t="s">
        <v>1412</v>
      </c>
      <c r="D1218" s="28" t="s">
        <v>6633</v>
      </c>
      <c r="E1218" s="25">
        <v>106</v>
      </c>
      <c r="F1218" s="23" t="str">
        <f>VLOOKUP(B1218,'[2]справочник кодов нп'!$A:$D,4,0)</f>
        <v>сельские населенные пункты с численностью населения более 1 000 человек;</v>
      </c>
      <c r="G1218" s="23" t="s">
        <v>1385</v>
      </c>
      <c r="H1218" s="10" t="s">
        <v>1412</v>
      </c>
      <c r="I1218" s="35" t="s">
        <v>7017</v>
      </c>
      <c r="J1218" s="33" t="s">
        <v>1337</v>
      </c>
    </row>
    <row r="1219" spans="1:10" x14ac:dyDescent="0.25">
      <c r="A1219" s="23" t="s">
        <v>6947</v>
      </c>
      <c r="B1219" s="10" t="s">
        <v>6948</v>
      </c>
      <c r="C1219" s="23" t="s">
        <v>1412</v>
      </c>
      <c r="D1219" s="28" t="s">
        <v>6846</v>
      </c>
      <c r="E1219" s="25">
        <v>106</v>
      </c>
      <c r="F1219" s="23" t="str">
        <f>VLOOKUP(B1219,'[2]справочник кодов нп'!$A:$D,4,0)</f>
        <v>межселенная территория</v>
      </c>
      <c r="G1219" s="23" t="s">
        <v>1385</v>
      </c>
      <c r="H1219" s="10" t="s">
        <v>1412</v>
      </c>
      <c r="I1219" s="35" t="s">
        <v>7019</v>
      </c>
      <c r="J1219" s="33" t="s">
        <v>1337</v>
      </c>
    </row>
    <row r="1220" spans="1:10" x14ac:dyDescent="0.25">
      <c r="A1220" s="23" t="s">
        <v>2973</v>
      </c>
      <c r="B1220" s="10" t="s">
        <v>2974</v>
      </c>
      <c r="C1220" s="23" t="s">
        <v>2975</v>
      </c>
      <c r="D1220" s="28" t="s">
        <v>2976</v>
      </c>
      <c r="E1220" s="25">
        <v>106</v>
      </c>
      <c r="F1220" s="23" t="str">
        <f>VLOOKUP(B1220,'[2]справочник кодов нп'!$A:$D,4,0)</f>
        <v>городские населенные пункты с численностью населения менее 50 000 человек;</v>
      </c>
      <c r="G1220" s="23" t="s">
        <v>1385</v>
      </c>
      <c r="H1220" s="10" t="s">
        <v>2975</v>
      </c>
      <c r="I1220" s="35" t="s">
        <v>7017</v>
      </c>
      <c r="J1220" s="33" t="s">
        <v>1337</v>
      </c>
    </row>
    <row r="1221" spans="1:10" x14ac:dyDescent="0.25">
      <c r="A1221" s="23" t="s">
        <v>2977</v>
      </c>
      <c r="B1221" s="10" t="s">
        <v>2978</v>
      </c>
      <c r="C1221" s="23" t="s">
        <v>2975</v>
      </c>
      <c r="D1221" s="28" t="s">
        <v>2979</v>
      </c>
      <c r="E1221" s="25">
        <v>106</v>
      </c>
      <c r="F1221" s="23" t="str">
        <f>VLOOKUP(B1221,'[2]справочник кодов нп'!$A:$D,4,0)</f>
        <v>сельские населенные пункты с численностью населения менее 1 000 человек.</v>
      </c>
      <c r="G1221" s="23" t="s">
        <v>1385</v>
      </c>
      <c r="H1221" s="10" t="s">
        <v>2975</v>
      </c>
      <c r="I1221" s="35" t="s">
        <v>7017</v>
      </c>
      <c r="J1221" s="33" t="s">
        <v>1337</v>
      </c>
    </row>
    <row r="1222" spans="1:10" x14ac:dyDescent="0.25">
      <c r="A1222" s="23" t="s">
        <v>2980</v>
      </c>
      <c r="B1222" s="10" t="s">
        <v>2981</v>
      </c>
      <c r="C1222" s="23" t="s">
        <v>2975</v>
      </c>
      <c r="D1222" s="28" t="s">
        <v>2982</v>
      </c>
      <c r="E1222" s="25">
        <v>106</v>
      </c>
      <c r="F1222" s="23" t="str">
        <f>VLOOKUP(B1222,'[2]справочник кодов нп'!$A:$D,4,0)</f>
        <v>сельские населенные пункты с численностью населения менее 1 000 человек.</v>
      </c>
      <c r="G1222" s="23" t="s">
        <v>1385</v>
      </c>
      <c r="H1222" s="10" t="s">
        <v>2975</v>
      </c>
      <c r="I1222" s="35" t="s">
        <v>7017</v>
      </c>
      <c r="J1222" s="33" t="s">
        <v>1337</v>
      </c>
    </row>
    <row r="1223" spans="1:10" x14ac:dyDescent="0.25">
      <c r="A1223" s="23" t="s">
        <v>2983</v>
      </c>
      <c r="B1223" s="10" t="s">
        <v>2984</v>
      </c>
      <c r="C1223" s="23" t="s">
        <v>2975</v>
      </c>
      <c r="D1223" s="28" t="s">
        <v>2985</v>
      </c>
      <c r="E1223" s="25">
        <v>106</v>
      </c>
      <c r="F1223" s="23" t="str">
        <f>VLOOKUP(B1223,'[2]справочник кодов нп'!$A:$D,4,0)</f>
        <v>сельские населенные пункты с численностью населения менее 1 000 человек.</v>
      </c>
      <c r="G1223" s="23" t="s">
        <v>1385</v>
      </c>
      <c r="H1223" s="10" t="s">
        <v>2975</v>
      </c>
      <c r="I1223" s="35" t="s">
        <v>7017</v>
      </c>
      <c r="J1223" s="33" t="s">
        <v>1337</v>
      </c>
    </row>
    <row r="1224" spans="1:10" x14ac:dyDescent="0.25">
      <c r="A1224" s="23" t="s">
        <v>2986</v>
      </c>
      <c r="B1224" s="10" t="s">
        <v>2987</v>
      </c>
      <c r="C1224" s="23" t="s">
        <v>2975</v>
      </c>
      <c r="D1224" s="28" t="s">
        <v>2988</v>
      </c>
      <c r="E1224" s="25">
        <v>106</v>
      </c>
      <c r="F1224" s="23" t="str">
        <f>VLOOKUP(B1224,'[2]справочник кодов нп'!$A:$D,4,0)</f>
        <v>сельские населенные пункты с численностью населения менее 1 000 человек.</v>
      </c>
      <c r="G1224" s="23" t="s">
        <v>1385</v>
      </c>
      <c r="H1224" s="10" t="s">
        <v>2975</v>
      </c>
      <c r="I1224" s="35" t="s">
        <v>7017</v>
      </c>
      <c r="J1224" s="33" t="s">
        <v>1337</v>
      </c>
    </row>
    <row r="1225" spans="1:10" x14ac:dyDescent="0.25">
      <c r="A1225" s="23" t="s">
        <v>2989</v>
      </c>
      <c r="B1225" s="10" t="s">
        <v>2990</v>
      </c>
      <c r="C1225" s="23" t="s">
        <v>2975</v>
      </c>
      <c r="D1225" s="28" t="s">
        <v>2991</v>
      </c>
      <c r="E1225" s="25">
        <v>106</v>
      </c>
      <c r="F1225" s="23" t="str">
        <f>VLOOKUP(B1225,'[2]справочник кодов нп'!$A:$D,4,0)</f>
        <v>сельские населенные пункты с численностью населения менее 1 000 человек.</v>
      </c>
      <c r="G1225" s="23" t="s">
        <v>1385</v>
      </c>
      <c r="H1225" s="10" t="s">
        <v>2975</v>
      </c>
      <c r="I1225" s="35" t="s">
        <v>7017</v>
      </c>
      <c r="J1225" s="33" t="s">
        <v>1337</v>
      </c>
    </row>
    <row r="1226" spans="1:10" x14ac:dyDescent="0.25">
      <c r="A1226" s="23" t="s">
        <v>2992</v>
      </c>
      <c r="B1226" s="10" t="s">
        <v>2993</v>
      </c>
      <c r="C1226" s="23" t="s">
        <v>2975</v>
      </c>
      <c r="D1226" s="28" t="s">
        <v>2994</v>
      </c>
      <c r="E1226" s="25">
        <v>106</v>
      </c>
      <c r="F1226" s="23" t="str">
        <f>VLOOKUP(B1226,'[2]справочник кодов нп'!$A:$D,4,0)</f>
        <v>сельские населенные пункты с численностью населения менее 1 000 человек.</v>
      </c>
      <c r="G1226" s="23" t="s">
        <v>1385</v>
      </c>
      <c r="H1226" s="10" t="s">
        <v>2975</v>
      </c>
      <c r="I1226" s="35" t="s">
        <v>7017</v>
      </c>
      <c r="J1226" s="33" t="s">
        <v>1337</v>
      </c>
    </row>
    <row r="1227" spans="1:10" x14ac:dyDescent="0.25">
      <c r="A1227" s="23" t="s">
        <v>2995</v>
      </c>
      <c r="B1227" s="10" t="s">
        <v>2996</v>
      </c>
      <c r="C1227" s="23" t="s">
        <v>2975</v>
      </c>
      <c r="D1227" s="28" t="s">
        <v>2997</v>
      </c>
      <c r="E1227" s="25">
        <v>106</v>
      </c>
      <c r="F1227" s="23" t="str">
        <f>VLOOKUP(B1227,'[2]справочник кодов нп'!$A:$D,4,0)</f>
        <v>сельские населенные пункты с численностью населения менее 1 000 человек.</v>
      </c>
      <c r="G1227" s="23" t="s">
        <v>1385</v>
      </c>
      <c r="H1227" s="10" t="s">
        <v>2975</v>
      </c>
      <c r="I1227" s="35" t="s">
        <v>7017</v>
      </c>
      <c r="J1227" s="33" t="s">
        <v>1337</v>
      </c>
    </row>
    <row r="1228" spans="1:10" x14ac:dyDescent="0.25">
      <c r="A1228" s="23" t="s">
        <v>2998</v>
      </c>
      <c r="B1228" s="10" t="s">
        <v>2999</v>
      </c>
      <c r="C1228" s="23" t="s">
        <v>2975</v>
      </c>
      <c r="D1228" s="28" t="s">
        <v>3000</v>
      </c>
      <c r="E1228" s="25">
        <v>106</v>
      </c>
      <c r="F1228" s="23" t="str">
        <f>VLOOKUP(B1228,'[2]справочник кодов нп'!$A:$D,4,0)</f>
        <v>сельские населенные пункты с численностью населения менее 1 000 человек.</v>
      </c>
      <c r="G1228" s="23" t="s">
        <v>1385</v>
      </c>
      <c r="H1228" s="10" t="s">
        <v>2975</v>
      </c>
      <c r="I1228" s="35" t="s">
        <v>7017</v>
      </c>
      <c r="J1228" s="33" t="s">
        <v>1337</v>
      </c>
    </row>
    <row r="1229" spans="1:10" x14ac:dyDescent="0.25">
      <c r="A1229" s="23" t="s">
        <v>3001</v>
      </c>
      <c r="B1229" s="10" t="s">
        <v>3002</v>
      </c>
      <c r="C1229" s="23" t="s">
        <v>2975</v>
      </c>
      <c r="D1229" s="28" t="s">
        <v>3003</v>
      </c>
      <c r="E1229" s="25">
        <v>106</v>
      </c>
      <c r="F1229" s="23" t="str">
        <f>VLOOKUP(B1229,'[2]справочник кодов нп'!$A:$D,4,0)</f>
        <v>сельские населенные пункты с численностью населения менее 1 000 человек.</v>
      </c>
      <c r="G1229" s="45" t="s">
        <v>1385</v>
      </c>
      <c r="H1229" s="10" t="s">
        <v>2975</v>
      </c>
      <c r="I1229" s="35" t="s">
        <v>7017</v>
      </c>
      <c r="J1229" s="33" t="s">
        <v>1337</v>
      </c>
    </row>
    <row r="1230" spans="1:10" x14ac:dyDescent="0.25">
      <c r="A1230" s="23" t="s">
        <v>3004</v>
      </c>
      <c r="B1230" s="10" t="s">
        <v>3005</v>
      </c>
      <c r="C1230" s="23" t="s">
        <v>2975</v>
      </c>
      <c r="D1230" s="28" t="s">
        <v>3006</v>
      </c>
      <c r="E1230" s="25">
        <v>106</v>
      </c>
      <c r="F1230" s="23" t="str">
        <f>VLOOKUP(B1230,'[2]справочник кодов нп'!$A:$D,4,0)</f>
        <v>сельские населенные пункты с численностью населения менее 1 000 человек.</v>
      </c>
      <c r="G1230" s="45" t="s">
        <v>1385</v>
      </c>
      <c r="H1230" s="10" t="s">
        <v>2975</v>
      </c>
      <c r="I1230" s="35" t="s">
        <v>7017</v>
      </c>
      <c r="J1230" s="33" t="s">
        <v>1337</v>
      </c>
    </row>
    <row r="1231" spans="1:10" x14ac:dyDescent="0.25">
      <c r="A1231" s="23" t="s">
        <v>3007</v>
      </c>
      <c r="B1231" s="10" t="s">
        <v>3008</v>
      </c>
      <c r="C1231" s="23" t="s">
        <v>2975</v>
      </c>
      <c r="D1231" s="28" t="s">
        <v>3009</v>
      </c>
      <c r="E1231" s="25">
        <v>106</v>
      </c>
      <c r="F1231" s="23" t="str">
        <f>VLOOKUP(B1231,'[2]справочник кодов нп'!$A:$D,4,0)</f>
        <v>сельские населенные пункты с численностью населения менее 1 000 человек.</v>
      </c>
      <c r="G1231" s="23" t="s">
        <v>1385</v>
      </c>
      <c r="H1231" s="10" t="s">
        <v>2975</v>
      </c>
      <c r="I1231" s="35" t="s">
        <v>7017</v>
      </c>
      <c r="J1231" s="33" t="s">
        <v>1337</v>
      </c>
    </row>
    <row r="1232" spans="1:10" x14ac:dyDescent="0.25">
      <c r="A1232" s="23" t="s">
        <v>3010</v>
      </c>
      <c r="B1232" s="10" t="s">
        <v>3011</v>
      </c>
      <c r="C1232" s="23" t="s">
        <v>2975</v>
      </c>
      <c r="D1232" s="28" t="s">
        <v>3012</v>
      </c>
      <c r="E1232" s="25">
        <v>106</v>
      </c>
      <c r="F1232" s="23" t="str">
        <f>VLOOKUP(B1232,'[2]справочник кодов нп'!$A:$D,4,0)</f>
        <v>сельские населенные пункты с численностью населения менее 1 000 человек.</v>
      </c>
      <c r="G1232" s="23" t="s">
        <v>1385</v>
      </c>
      <c r="H1232" s="10" t="s">
        <v>2975</v>
      </c>
      <c r="I1232" s="35" t="s">
        <v>7017</v>
      </c>
      <c r="J1232" s="33" t="s">
        <v>1337</v>
      </c>
    </row>
    <row r="1233" spans="1:10" x14ac:dyDescent="0.25">
      <c r="A1233" s="23" t="s">
        <v>3013</v>
      </c>
      <c r="B1233" s="10" t="s">
        <v>3014</v>
      </c>
      <c r="C1233" s="23" t="s">
        <v>2975</v>
      </c>
      <c r="D1233" s="28" t="s">
        <v>3015</v>
      </c>
      <c r="E1233" s="25">
        <v>106</v>
      </c>
      <c r="F1233" s="23" t="str">
        <f>VLOOKUP(B1233,'[2]справочник кодов нп'!$A:$D,4,0)</f>
        <v>сельские населенные пункты с численностью населения менее 1 000 человек.</v>
      </c>
      <c r="G1233" s="23" t="s">
        <v>1385</v>
      </c>
      <c r="H1233" s="10" t="s">
        <v>2975</v>
      </c>
      <c r="I1233" s="35" t="s">
        <v>7017</v>
      </c>
      <c r="J1233" s="33" t="s">
        <v>1337</v>
      </c>
    </row>
    <row r="1234" spans="1:10" x14ac:dyDescent="0.25">
      <c r="A1234" s="23" t="s">
        <v>3016</v>
      </c>
      <c r="B1234" s="10" t="s">
        <v>3017</v>
      </c>
      <c r="C1234" s="23" t="s">
        <v>2975</v>
      </c>
      <c r="D1234" s="28" t="s">
        <v>3018</v>
      </c>
      <c r="E1234" s="25">
        <v>106</v>
      </c>
      <c r="F1234" s="23" t="str">
        <f>VLOOKUP(B1234,'[2]справочник кодов нп'!$A:$D,4,0)</f>
        <v>сельские населенные пункты с численностью населения менее 1 000 человек.</v>
      </c>
      <c r="G1234" s="23" t="s">
        <v>1385</v>
      </c>
      <c r="H1234" s="10" t="s">
        <v>2975</v>
      </c>
      <c r="I1234" s="35" t="s">
        <v>7017</v>
      </c>
      <c r="J1234" s="33" t="s">
        <v>1337</v>
      </c>
    </row>
    <row r="1235" spans="1:10" x14ac:dyDescent="0.25">
      <c r="A1235" s="23" t="s">
        <v>3019</v>
      </c>
      <c r="B1235" s="10" t="s">
        <v>3020</v>
      </c>
      <c r="C1235" s="23" t="s">
        <v>2975</v>
      </c>
      <c r="D1235" s="28" t="s">
        <v>3021</v>
      </c>
      <c r="E1235" s="25">
        <v>106</v>
      </c>
      <c r="F1235" s="23" t="str">
        <f>VLOOKUP(B1235,'[2]справочник кодов нп'!$A:$D,4,0)</f>
        <v>сельские населенные пункты с численностью населения менее 1 000 человек.</v>
      </c>
      <c r="G1235" s="23" t="s">
        <v>1385</v>
      </c>
      <c r="H1235" s="10" t="s">
        <v>2975</v>
      </c>
      <c r="I1235" s="35" t="s">
        <v>7017</v>
      </c>
      <c r="J1235" s="33" t="s">
        <v>1337</v>
      </c>
    </row>
    <row r="1236" spans="1:10" x14ac:dyDescent="0.25">
      <c r="A1236" s="23" t="s">
        <v>3022</v>
      </c>
      <c r="B1236" s="10" t="s">
        <v>3023</v>
      </c>
      <c r="C1236" s="23" t="s">
        <v>2975</v>
      </c>
      <c r="D1236" s="28" t="s">
        <v>3024</v>
      </c>
      <c r="E1236" s="25">
        <v>106</v>
      </c>
      <c r="F1236" s="23" t="str">
        <f>VLOOKUP(B1236,'[2]справочник кодов нп'!$A:$D,4,0)</f>
        <v>сельские населенные пункты с численностью населения менее 1 000 человек.</v>
      </c>
      <c r="G1236" s="23" t="s">
        <v>1385</v>
      </c>
      <c r="H1236" s="10" t="s">
        <v>2975</v>
      </c>
      <c r="I1236" s="35" t="s">
        <v>7017</v>
      </c>
      <c r="J1236" s="33" t="s">
        <v>1337</v>
      </c>
    </row>
    <row r="1237" spans="1:10" x14ac:dyDescent="0.25">
      <c r="A1237" s="23" t="s">
        <v>3025</v>
      </c>
      <c r="B1237" s="10" t="s">
        <v>3026</v>
      </c>
      <c r="C1237" s="23" t="s">
        <v>2975</v>
      </c>
      <c r="D1237" s="28" t="s">
        <v>3027</v>
      </c>
      <c r="E1237" s="25">
        <v>106</v>
      </c>
      <c r="F1237" s="23" t="str">
        <f>VLOOKUP(B1237,'[2]справочник кодов нп'!$A:$D,4,0)</f>
        <v>сельские населенные пункты с численностью населения менее 1 000 человек.</v>
      </c>
      <c r="G1237" s="23" t="s">
        <v>1385</v>
      </c>
      <c r="H1237" s="10" t="s">
        <v>2975</v>
      </c>
      <c r="I1237" s="35" t="s">
        <v>7017</v>
      </c>
      <c r="J1237" s="33" t="s">
        <v>1337</v>
      </c>
    </row>
    <row r="1238" spans="1:10" x14ac:dyDescent="0.25">
      <c r="A1238" s="23" t="s">
        <v>3028</v>
      </c>
      <c r="B1238" s="10" t="s">
        <v>3029</v>
      </c>
      <c r="C1238" s="23" t="s">
        <v>2975</v>
      </c>
      <c r="D1238" s="28" t="s">
        <v>3030</v>
      </c>
      <c r="E1238" s="25">
        <v>106</v>
      </c>
      <c r="F1238" s="23" t="str">
        <f>VLOOKUP(B1238,'[2]справочник кодов нп'!$A:$D,4,0)</f>
        <v>сельские населенные пункты с численностью населения менее 1 000 человек.</v>
      </c>
      <c r="G1238" s="23" t="s">
        <v>1385</v>
      </c>
      <c r="H1238" s="10" t="s">
        <v>2975</v>
      </c>
      <c r="I1238" s="35" t="s">
        <v>7017</v>
      </c>
      <c r="J1238" s="33" t="s">
        <v>1337</v>
      </c>
    </row>
    <row r="1239" spans="1:10" x14ac:dyDescent="0.25">
      <c r="A1239" s="23" t="s">
        <v>3031</v>
      </c>
      <c r="B1239" s="10" t="s">
        <v>3032</v>
      </c>
      <c r="C1239" s="23" t="s">
        <v>2975</v>
      </c>
      <c r="D1239" s="28" t="s">
        <v>3033</v>
      </c>
      <c r="E1239" s="25">
        <v>106</v>
      </c>
      <c r="F1239" s="23" t="str">
        <f>VLOOKUP(B1239,'[2]справочник кодов нп'!$A:$D,4,0)</f>
        <v>сельские населенные пункты с численностью населения менее 1 000 человек.</v>
      </c>
      <c r="G1239" s="23" t="s">
        <v>1385</v>
      </c>
      <c r="H1239" s="10" t="s">
        <v>2975</v>
      </c>
      <c r="I1239" s="35" t="s">
        <v>7017</v>
      </c>
      <c r="J1239" s="33" t="s">
        <v>1337</v>
      </c>
    </row>
    <row r="1240" spans="1:10" x14ac:dyDescent="0.25">
      <c r="A1240" s="23" t="s">
        <v>3034</v>
      </c>
      <c r="B1240" s="10" t="s">
        <v>3035</v>
      </c>
      <c r="C1240" s="23" t="s">
        <v>2975</v>
      </c>
      <c r="D1240" s="28" t="s">
        <v>3036</v>
      </c>
      <c r="E1240" s="25">
        <v>106</v>
      </c>
      <c r="F1240" s="23" t="str">
        <f>VLOOKUP(B1240,'[2]справочник кодов нп'!$A:$D,4,0)</f>
        <v>сельские населенные пункты с численностью населения менее 1 000 человек.</v>
      </c>
      <c r="G1240" s="23" t="s">
        <v>1385</v>
      </c>
      <c r="H1240" s="10" t="s">
        <v>2975</v>
      </c>
      <c r="I1240" s="35" t="s">
        <v>7017</v>
      </c>
      <c r="J1240" s="33" t="s">
        <v>1337</v>
      </c>
    </row>
    <row r="1241" spans="1:10" x14ac:dyDescent="0.25">
      <c r="A1241" s="23" t="s">
        <v>3037</v>
      </c>
      <c r="B1241" s="10" t="s">
        <v>3038</v>
      </c>
      <c r="C1241" s="23" t="s">
        <v>2975</v>
      </c>
      <c r="D1241" s="28" t="s">
        <v>3039</v>
      </c>
      <c r="E1241" s="25">
        <v>106</v>
      </c>
      <c r="F1241" s="23" t="str">
        <f>VLOOKUP(B1241,'[2]справочник кодов нп'!$A:$D,4,0)</f>
        <v>сельские населенные пункты с численностью населения менее 1 000 человек.</v>
      </c>
      <c r="G1241" s="23" t="s">
        <v>1385</v>
      </c>
      <c r="H1241" s="10" t="s">
        <v>2975</v>
      </c>
      <c r="I1241" s="35" t="s">
        <v>7017</v>
      </c>
      <c r="J1241" s="33" t="s">
        <v>1337</v>
      </c>
    </row>
    <row r="1242" spans="1:10" x14ac:dyDescent="0.25">
      <c r="A1242" s="23" t="s">
        <v>3040</v>
      </c>
      <c r="B1242" s="10" t="s">
        <v>3041</v>
      </c>
      <c r="C1242" s="23" t="s">
        <v>2975</v>
      </c>
      <c r="D1242" s="28" t="s">
        <v>3042</v>
      </c>
      <c r="E1242" s="25">
        <v>106</v>
      </c>
      <c r="F1242" s="23" t="str">
        <f>VLOOKUP(B1242,'[2]справочник кодов нп'!$A:$D,4,0)</f>
        <v>сельские населенные пункты с численностью населения менее 1 000 человек.</v>
      </c>
      <c r="G1242" s="23" t="s">
        <v>1385</v>
      </c>
      <c r="H1242" s="10" t="s">
        <v>2975</v>
      </c>
      <c r="I1242" s="35" t="s">
        <v>7017</v>
      </c>
      <c r="J1242" s="33" t="s">
        <v>1337</v>
      </c>
    </row>
    <row r="1243" spans="1:10" x14ac:dyDescent="0.25">
      <c r="A1243" s="23" t="s">
        <v>3043</v>
      </c>
      <c r="B1243" s="10" t="s">
        <v>3044</v>
      </c>
      <c r="C1243" s="23" t="s">
        <v>2975</v>
      </c>
      <c r="D1243" s="28" t="s">
        <v>3045</v>
      </c>
      <c r="E1243" s="25">
        <v>106</v>
      </c>
      <c r="F1243" s="23" t="str">
        <f>VLOOKUP(B1243,'[2]справочник кодов нп'!$A:$D,4,0)</f>
        <v>сельские населенные пункты с численностью населения менее 1 000 человек.</v>
      </c>
      <c r="G1243" s="23" t="s">
        <v>1385</v>
      </c>
      <c r="H1243" s="10" t="s">
        <v>2975</v>
      </c>
      <c r="I1243" s="35" t="s">
        <v>7017</v>
      </c>
      <c r="J1243" s="33" t="s">
        <v>1337</v>
      </c>
    </row>
    <row r="1244" spans="1:10" x14ac:dyDescent="0.25">
      <c r="A1244" s="23" t="s">
        <v>3046</v>
      </c>
      <c r="B1244" s="10" t="s">
        <v>3047</v>
      </c>
      <c r="C1244" s="23" t="s">
        <v>2975</v>
      </c>
      <c r="D1244" s="28" t="s">
        <v>3048</v>
      </c>
      <c r="E1244" s="25">
        <v>106</v>
      </c>
      <c r="F1244" s="23" t="str">
        <f>VLOOKUP(B1244,'[2]справочник кодов нп'!$A:$D,4,0)</f>
        <v>сельские населенные пункты с численностью населения менее 1 000 человек.</v>
      </c>
      <c r="G1244" s="23" t="s">
        <v>1385</v>
      </c>
      <c r="H1244" s="10" t="s">
        <v>2975</v>
      </c>
      <c r="I1244" s="35" t="s">
        <v>7017</v>
      </c>
      <c r="J1244" s="33" t="s">
        <v>1337</v>
      </c>
    </row>
    <row r="1245" spans="1:10" x14ac:dyDescent="0.25">
      <c r="A1245" s="23" t="s">
        <v>3049</v>
      </c>
      <c r="B1245" s="10" t="s">
        <v>3050</v>
      </c>
      <c r="C1245" s="23" t="s">
        <v>2975</v>
      </c>
      <c r="D1245" s="28" t="s">
        <v>3051</v>
      </c>
      <c r="E1245" s="25">
        <v>106</v>
      </c>
      <c r="F1245" s="23" t="str">
        <f>VLOOKUP(B1245,'[2]справочник кодов нп'!$A:$D,4,0)</f>
        <v>сельские населенные пункты с численностью населения менее 1 000 человек.</v>
      </c>
      <c r="G1245" s="23" t="s">
        <v>1385</v>
      </c>
      <c r="H1245" s="10" t="s">
        <v>2975</v>
      </c>
      <c r="I1245" s="35" t="s">
        <v>7017</v>
      </c>
      <c r="J1245" s="33" t="s">
        <v>1337</v>
      </c>
    </row>
    <row r="1246" spans="1:10" x14ac:dyDescent="0.25">
      <c r="A1246" s="23" t="s">
        <v>3052</v>
      </c>
      <c r="B1246" s="10" t="s">
        <v>3053</v>
      </c>
      <c r="C1246" s="23" t="s">
        <v>2975</v>
      </c>
      <c r="D1246" s="28" t="s">
        <v>3054</v>
      </c>
      <c r="E1246" s="25">
        <v>106</v>
      </c>
      <c r="F1246" s="23" t="str">
        <f>VLOOKUP(B1246,'[2]справочник кодов нп'!$A:$D,4,0)</f>
        <v>сельские населенные пункты с численностью населения менее 1 000 человек.</v>
      </c>
      <c r="G1246" s="23" t="s">
        <v>1385</v>
      </c>
      <c r="H1246" s="10" t="s">
        <v>2975</v>
      </c>
      <c r="I1246" s="35" t="s">
        <v>7017</v>
      </c>
      <c r="J1246" s="33" t="s">
        <v>1337</v>
      </c>
    </row>
    <row r="1247" spans="1:10" x14ac:dyDescent="0.25">
      <c r="A1247" s="23" t="s">
        <v>3055</v>
      </c>
      <c r="B1247" s="10" t="s">
        <v>3056</v>
      </c>
      <c r="C1247" s="23" t="s">
        <v>2975</v>
      </c>
      <c r="D1247" s="28" t="s">
        <v>3057</v>
      </c>
      <c r="E1247" s="25">
        <v>106</v>
      </c>
      <c r="F1247" s="23" t="str">
        <f>VLOOKUP(B1247,'[2]справочник кодов нп'!$A:$D,4,0)</f>
        <v>сельские населенные пункты с численностью населения менее 1 000 человек.</v>
      </c>
      <c r="G1247" s="23" t="s">
        <v>1385</v>
      </c>
      <c r="H1247" s="10" t="s">
        <v>2975</v>
      </c>
      <c r="I1247" s="35" t="s">
        <v>7017</v>
      </c>
      <c r="J1247" s="33" t="s">
        <v>1337</v>
      </c>
    </row>
    <row r="1248" spans="1:10" x14ac:dyDescent="0.25">
      <c r="A1248" s="23" t="s">
        <v>3058</v>
      </c>
      <c r="B1248" s="10" t="s">
        <v>3059</v>
      </c>
      <c r="C1248" s="23" t="s">
        <v>2975</v>
      </c>
      <c r="D1248" s="28" t="s">
        <v>3060</v>
      </c>
      <c r="E1248" s="25">
        <v>106</v>
      </c>
      <c r="F1248" s="23" t="str">
        <f>VLOOKUP(B1248,'[2]справочник кодов нп'!$A:$D,4,0)</f>
        <v>сельские населенные пункты с численностью населения менее 1 000 человек.</v>
      </c>
      <c r="G1248" s="23" t="s">
        <v>1385</v>
      </c>
      <c r="H1248" s="10" t="s">
        <v>2975</v>
      </c>
      <c r="I1248" s="35" t="s">
        <v>7017</v>
      </c>
      <c r="J1248" s="33" t="s">
        <v>1337</v>
      </c>
    </row>
    <row r="1249" spans="1:10" x14ac:dyDescent="0.25">
      <c r="A1249" s="23" t="s">
        <v>3061</v>
      </c>
      <c r="B1249" s="10" t="s">
        <v>3062</v>
      </c>
      <c r="C1249" s="23" t="s">
        <v>2975</v>
      </c>
      <c r="D1249" s="28" t="s">
        <v>3063</v>
      </c>
      <c r="E1249" s="25">
        <v>106</v>
      </c>
      <c r="F1249" s="23" t="str">
        <f>VLOOKUP(B1249,'[2]справочник кодов нп'!$A:$D,4,0)</f>
        <v>сельские населенные пункты с численностью населения менее 1 000 человек.</v>
      </c>
      <c r="G1249" s="23" t="s">
        <v>1385</v>
      </c>
      <c r="H1249" s="10" t="s">
        <v>2975</v>
      </c>
      <c r="I1249" s="35" t="s">
        <v>7017</v>
      </c>
      <c r="J1249" s="33" t="s">
        <v>1337</v>
      </c>
    </row>
    <row r="1250" spans="1:10" x14ac:dyDescent="0.25">
      <c r="A1250" s="23" t="s">
        <v>3064</v>
      </c>
      <c r="B1250" s="10" t="s">
        <v>3065</v>
      </c>
      <c r="C1250" s="23" t="s">
        <v>2975</v>
      </c>
      <c r="D1250" s="28" t="s">
        <v>3066</v>
      </c>
      <c r="E1250" s="25">
        <v>106</v>
      </c>
      <c r="F1250" s="23" t="str">
        <f>VLOOKUP(B1250,'[2]справочник кодов нп'!$A:$D,4,0)</f>
        <v>сельские населенные пункты с численностью населения менее 1 000 человек.</v>
      </c>
      <c r="G1250" s="23" t="s">
        <v>1385</v>
      </c>
      <c r="H1250" s="10" t="s">
        <v>2975</v>
      </c>
      <c r="I1250" s="35" t="s">
        <v>7017</v>
      </c>
      <c r="J1250" s="33" t="s">
        <v>1337</v>
      </c>
    </row>
    <row r="1251" spans="1:10" x14ac:dyDescent="0.25">
      <c r="A1251" s="23" t="s">
        <v>3067</v>
      </c>
      <c r="B1251" s="10" t="s">
        <v>3068</v>
      </c>
      <c r="C1251" s="23" t="s">
        <v>2975</v>
      </c>
      <c r="D1251" s="28" t="s">
        <v>3069</v>
      </c>
      <c r="E1251" s="25">
        <v>106</v>
      </c>
      <c r="F1251" s="23" t="str">
        <f>VLOOKUP(B1251,'[2]справочник кодов нп'!$A:$D,4,0)</f>
        <v>сельские населенные пункты с численностью населения менее 1 000 человек.</v>
      </c>
      <c r="G1251" s="23" t="s">
        <v>1385</v>
      </c>
      <c r="H1251" s="10" t="s">
        <v>2975</v>
      </c>
      <c r="I1251" s="35" t="s">
        <v>7017</v>
      </c>
      <c r="J1251" s="33" t="s">
        <v>1337</v>
      </c>
    </row>
    <row r="1252" spans="1:10" x14ac:dyDescent="0.25">
      <c r="A1252" s="23" t="s">
        <v>4851</v>
      </c>
      <c r="B1252" s="10" t="s">
        <v>4852</v>
      </c>
      <c r="C1252" s="23" t="s">
        <v>2975</v>
      </c>
      <c r="D1252" s="28" t="s">
        <v>4853</v>
      </c>
      <c r="E1252" s="25">
        <v>106</v>
      </c>
      <c r="F1252" s="23" t="str">
        <f>VLOOKUP(B1252,'[2]справочник кодов нп'!$A:$D,4,0)</f>
        <v>сельские населенные пункты с численностью населения менее 1 000 человек.</v>
      </c>
      <c r="G1252" s="23" t="s">
        <v>1385</v>
      </c>
      <c r="H1252" s="10" t="s">
        <v>2975</v>
      </c>
      <c r="I1252" s="35" t="s">
        <v>7017</v>
      </c>
      <c r="J1252" s="33" t="s">
        <v>1337</v>
      </c>
    </row>
    <row r="1253" spans="1:10" x14ac:dyDescent="0.25">
      <c r="A1253" s="23" t="s">
        <v>6634</v>
      </c>
      <c r="B1253" s="10" t="s">
        <v>6635</v>
      </c>
      <c r="C1253" s="23" t="s">
        <v>2975</v>
      </c>
      <c r="D1253" s="28" t="s">
        <v>6636</v>
      </c>
      <c r="E1253" s="25">
        <v>106</v>
      </c>
      <c r="F1253" s="23" t="str">
        <f>VLOOKUP(B1253,'[2]справочник кодов нп'!$A:$D,4,0)</f>
        <v>сельские населенные пункты с численностью населения менее 1 000 человек.</v>
      </c>
      <c r="G1253" s="23" t="s">
        <v>1385</v>
      </c>
      <c r="H1253" s="10" t="s">
        <v>2975</v>
      </c>
      <c r="I1253" s="35" t="s">
        <v>7017</v>
      </c>
      <c r="J1253" s="33" t="s">
        <v>1337</v>
      </c>
    </row>
    <row r="1254" spans="1:10" x14ac:dyDescent="0.25">
      <c r="A1254" s="23" t="s">
        <v>6637</v>
      </c>
      <c r="B1254" s="10" t="s">
        <v>6638</v>
      </c>
      <c r="C1254" s="23" t="s">
        <v>2975</v>
      </c>
      <c r="D1254" s="28" t="s">
        <v>6639</v>
      </c>
      <c r="E1254" s="25">
        <v>106</v>
      </c>
      <c r="F1254" s="23" t="str">
        <f>VLOOKUP(B1254,'[2]справочник кодов нп'!$A:$D,4,0)</f>
        <v>сельские населенные пункты с численностью населения менее 1 000 человек.</v>
      </c>
      <c r="G1254" s="23" t="s">
        <v>1385</v>
      </c>
      <c r="H1254" s="10" t="s">
        <v>2975</v>
      </c>
      <c r="I1254" s="35" t="s">
        <v>7017</v>
      </c>
      <c r="J1254" s="33" t="s">
        <v>1337</v>
      </c>
    </row>
    <row r="1255" spans="1:10" x14ac:dyDescent="0.25">
      <c r="A1255" s="23" t="s">
        <v>6949</v>
      </c>
      <c r="B1255" s="10" t="s">
        <v>6950</v>
      </c>
      <c r="C1255" s="23" t="s">
        <v>2975</v>
      </c>
      <c r="D1255" s="28" t="s">
        <v>6846</v>
      </c>
      <c r="E1255" s="25">
        <v>106</v>
      </c>
      <c r="F1255" s="23" t="str">
        <f>VLOOKUP(B1255,'[2]справочник кодов нп'!$A:$D,4,0)</f>
        <v>межселенная территория</v>
      </c>
      <c r="G1255" s="23" t="s">
        <v>1385</v>
      </c>
      <c r="H1255" s="10" t="s">
        <v>2975</v>
      </c>
      <c r="I1255" s="35" t="s">
        <v>7019</v>
      </c>
      <c r="J1255" s="33" t="s">
        <v>1337</v>
      </c>
    </row>
    <row r="1256" spans="1:10" x14ac:dyDescent="0.25">
      <c r="A1256" s="23" t="s">
        <v>1398</v>
      </c>
      <c r="B1256" s="10" t="s">
        <v>1399</v>
      </c>
      <c r="C1256" s="23" t="s">
        <v>1400</v>
      </c>
      <c r="D1256" s="28" t="s">
        <v>1401</v>
      </c>
      <c r="E1256" s="25">
        <v>106</v>
      </c>
      <c r="F1256" s="23" t="str">
        <f>VLOOKUP(B1256,'[2]справочник кодов нп'!$A:$D,4,0)</f>
        <v>сельские населенные пункты с численностью населения менее 1 000 человек.</v>
      </c>
      <c r="G1256" s="23" t="s">
        <v>1385</v>
      </c>
      <c r="H1256" s="10" t="s">
        <v>1400</v>
      </c>
      <c r="I1256" s="35" t="s">
        <v>7017</v>
      </c>
      <c r="J1256" s="33" t="s">
        <v>1337</v>
      </c>
    </row>
    <row r="1257" spans="1:10" x14ac:dyDescent="0.25">
      <c r="A1257" s="23" t="s">
        <v>1526</v>
      </c>
      <c r="B1257" s="10" t="s">
        <v>1527</v>
      </c>
      <c r="C1257" s="23" t="s">
        <v>1400</v>
      </c>
      <c r="D1257" s="28" t="s">
        <v>1528</v>
      </c>
      <c r="E1257" s="25">
        <v>106</v>
      </c>
      <c r="F1257" s="23" t="str">
        <f>VLOOKUP(B1257,'[2]справочник кодов нп'!$A:$D,4,0)</f>
        <v>сельские населенные пункты с численностью населения менее 1 000 человек.</v>
      </c>
      <c r="G1257" s="23" t="s">
        <v>1385</v>
      </c>
      <c r="H1257" s="10" t="s">
        <v>1400</v>
      </c>
      <c r="I1257" s="35" t="s">
        <v>7017</v>
      </c>
      <c r="J1257" s="33" t="s">
        <v>1337</v>
      </c>
    </row>
    <row r="1258" spans="1:10" x14ac:dyDescent="0.25">
      <c r="A1258" s="23" t="s">
        <v>3070</v>
      </c>
      <c r="B1258" s="10" t="s">
        <v>3071</v>
      </c>
      <c r="C1258" s="23" t="s">
        <v>1400</v>
      </c>
      <c r="D1258" s="28" t="s">
        <v>3072</v>
      </c>
      <c r="E1258" s="25">
        <v>106</v>
      </c>
      <c r="F1258" s="23" t="str">
        <f>VLOOKUP(B1258,'[2]справочник кодов нп'!$A:$D,4,0)</f>
        <v>сельские населенные пункты с численностью населения менее 1 000 человек.</v>
      </c>
      <c r="G1258" s="23" t="s">
        <v>1385</v>
      </c>
      <c r="H1258" s="10" t="s">
        <v>1400</v>
      </c>
      <c r="I1258" s="35" t="s">
        <v>7017</v>
      </c>
      <c r="J1258" s="33" t="s">
        <v>1337</v>
      </c>
    </row>
    <row r="1259" spans="1:10" x14ac:dyDescent="0.25">
      <c r="A1259" s="23" t="s">
        <v>3073</v>
      </c>
      <c r="B1259" s="10" t="s">
        <v>3074</v>
      </c>
      <c r="C1259" s="23" t="s">
        <v>1400</v>
      </c>
      <c r="D1259" s="28" t="s">
        <v>3075</v>
      </c>
      <c r="E1259" s="25">
        <v>106</v>
      </c>
      <c r="F1259" s="23" t="str">
        <f>VLOOKUP(B1259,'[2]справочник кодов нп'!$A:$D,4,0)</f>
        <v>сельские населенные пункты с численностью населения менее 1 000 человек.</v>
      </c>
      <c r="G1259" s="23" t="s">
        <v>1385</v>
      </c>
      <c r="H1259" s="10" t="s">
        <v>1400</v>
      </c>
      <c r="I1259" s="35" t="s">
        <v>7017</v>
      </c>
      <c r="J1259" s="33" t="s">
        <v>1337</v>
      </c>
    </row>
    <row r="1260" spans="1:10" x14ac:dyDescent="0.25">
      <c r="A1260" s="23" t="s">
        <v>3076</v>
      </c>
      <c r="B1260" s="10" t="s">
        <v>3077</v>
      </c>
      <c r="C1260" s="23" t="s">
        <v>1400</v>
      </c>
      <c r="D1260" s="28" t="s">
        <v>3078</v>
      </c>
      <c r="E1260" s="25">
        <v>106</v>
      </c>
      <c r="F1260" s="23" t="str">
        <f>VLOOKUP(B1260,'[2]справочник кодов нп'!$A:$D,4,0)</f>
        <v>сельские населенные пункты с численностью населения менее 1 000 человек.</v>
      </c>
      <c r="G1260" s="23" t="s">
        <v>1385</v>
      </c>
      <c r="H1260" s="10" t="s">
        <v>1400</v>
      </c>
      <c r="I1260" s="35" t="s">
        <v>7017</v>
      </c>
      <c r="J1260" s="33" t="s">
        <v>1337</v>
      </c>
    </row>
    <row r="1261" spans="1:10" x14ac:dyDescent="0.25">
      <c r="A1261" s="23" t="s">
        <v>3079</v>
      </c>
      <c r="B1261" s="10" t="s">
        <v>3080</v>
      </c>
      <c r="C1261" s="23" t="s">
        <v>1400</v>
      </c>
      <c r="D1261" s="28" t="s">
        <v>3081</v>
      </c>
      <c r="E1261" s="25">
        <v>106</v>
      </c>
      <c r="F1261" s="23" t="str">
        <f>VLOOKUP(B1261,'[2]справочник кодов нп'!$A:$D,4,0)</f>
        <v>сельские населенные пункты с численностью населения менее 1 000 человек.</v>
      </c>
      <c r="G1261" s="23" t="s">
        <v>1385</v>
      </c>
      <c r="H1261" s="10" t="s">
        <v>1400</v>
      </c>
      <c r="I1261" s="35" t="s">
        <v>7017</v>
      </c>
      <c r="J1261" s="33" t="s">
        <v>1337</v>
      </c>
    </row>
    <row r="1262" spans="1:10" x14ac:dyDescent="0.25">
      <c r="A1262" s="23" t="s">
        <v>3082</v>
      </c>
      <c r="B1262" s="10" t="s">
        <v>3083</v>
      </c>
      <c r="C1262" s="23" t="s">
        <v>1400</v>
      </c>
      <c r="D1262" s="28" t="s">
        <v>3084</v>
      </c>
      <c r="E1262" s="25">
        <v>106</v>
      </c>
      <c r="F1262" s="23" t="str">
        <f>VLOOKUP(B1262,'[2]справочник кодов нп'!$A:$D,4,0)</f>
        <v>сельские населенные пункты с численностью населения менее 1 000 человек.</v>
      </c>
      <c r="G1262" s="23" t="s">
        <v>1385</v>
      </c>
      <c r="H1262" s="10" t="s">
        <v>1400</v>
      </c>
      <c r="I1262" s="35" t="s">
        <v>7017</v>
      </c>
      <c r="J1262" s="33" t="s">
        <v>1337</v>
      </c>
    </row>
    <row r="1263" spans="1:10" x14ac:dyDescent="0.25">
      <c r="A1263" s="23" t="s">
        <v>3085</v>
      </c>
      <c r="B1263" s="10" t="s">
        <v>3086</v>
      </c>
      <c r="C1263" s="23" t="s">
        <v>1400</v>
      </c>
      <c r="D1263" s="28" t="s">
        <v>3087</v>
      </c>
      <c r="E1263" s="25">
        <v>106</v>
      </c>
      <c r="F1263" s="23" t="str">
        <f>VLOOKUP(B1263,'[2]справочник кодов нп'!$A:$D,4,0)</f>
        <v>сельские населенные пункты с численностью населения менее 1 000 человек.</v>
      </c>
      <c r="G1263" s="45" t="s">
        <v>1385</v>
      </c>
      <c r="H1263" s="10" t="s">
        <v>1400</v>
      </c>
      <c r="I1263" s="35" t="s">
        <v>7017</v>
      </c>
      <c r="J1263" s="33" t="s">
        <v>1337</v>
      </c>
    </row>
    <row r="1264" spans="1:10" x14ac:dyDescent="0.25">
      <c r="A1264" s="23" t="s">
        <v>3088</v>
      </c>
      <c r="B1264" s="10" t="s">
        <v>3089</v>
      </c>
      <c r="C1264" s="23" t="s">
        <v>1400</v>
      </c>
      <c r="D1264" s="28" t="s">
        <v>3090</v>
      </c>
      <c r="E1264" s="25">
        <v>106</v>
      </c>
      <c r="F1264" s="23" t="str">
        <f>VLOOKUP(B1264,'[2]справочник кодов нп'!$A:$D,4,0)</f>
        <v>сельские населенные пункты с численностью населения менее 1 000 человек.</v>
      </c>
      <c r="G1264" s="23" t="s">
        <v>1385</v>
      </c>
      <c r="H1264" s="10" t="s">
        <v>1400</v>
      </c>
      <c r="I1264" s="35" t="s">
        <v>7017</v>
      </c>
      <c r="J1264" s="33" t="s">
        <v>1337</v>
      </c>
    </row>
    <row r="1265" spans="1:10" x14ac:dyDescent="0.25">
      <c r="A1265" s="23" t="s">
        <v>3091</v>
      </c>
      <c r="B1265" s="10" t="s">
        <v>3092</v>
      </c>
      <c r="C1265" s="23" t="s">
        <v>1400</v>
      </c>
      <c r="D1265" s="28" t="s">
        <v>3093</v>
      </c>
      <c r="E1265" s="25">
        <v>106</v>
      </c>
      <c r="F1265" s="23" t="str">
        <f>VLOOKUP(B1265,'[2]справочник кодов нп'!$A:$D,4,0)</f>
        <v>городские населенные пункты с численностью населения менее 50 000 человек;</v>
      </c>
      <c r="G1265" s="23" t="s">
        <v>1385</v>
      </c>
      <c r="H1265" s="10" t="s">
        <v>1400</v>
      </c>
      <c r="I1265" s="35" t="s">
        <v>7017</v>
      </c>
      <c r="J1265" s="33" t="s">
        <v>1337</v>
      </c>
    </row>
    <row r="1266" spans="1:10" x14ac:dyDescent="0.25">
      <c r="A1266" s="23" t="s">
        <v>3094</v>
      </c>
      <c r="B1266" s="10" t="s">
        <v>3095</v>
      </c>
      <c r="C1266" s="23" t="s">
        <v>1400</v>
      </c>
      <c r="D1266" s="28" t="s">
        <v>3096</v>
      </c>
      <c r="E1266" s="25">
        <v>106</v>
      </c>
      <c r="F1266" s="23" t="str">
        <f>VLOOKUP(B1266,'[2]справочник кодов нп'!$A:$D,4,0)</f>
        <v>сельские населенные пункты с численностью населения менее 1 000 человек.</v>
      </c>
      <c r="G1266" s="23" t="s">
        <v>1385</v>
      </c>
      <c r="H1266" s="10" t="s">
        <v>1400</v>
      </c>
      <c r="I1266" s="35" t="s">
        <v>7017</v>
      </c>
      <c r="J1266" s="33" t="s">
        <v>1337</v>
      </c>
    </row>
    <row r="1267" spans="1:10" x14ac:dyDescent="0.25">
      <c r="A1267" s="23" t="s">
        <v>3097</v>
      </c>
      <c r="B1267" s="10" t="s">
        <v>3098</v>
      </c>
      <c r="C1267" s="23" t="s">
        <v>1400</v>
      </c>
      <c r="D1267" s="28" t="s">
        <v>3099</v>
      </c>
      <c r="E1267" s="25">
        <v>106</v>
      </c>
      <c r="F1267" s="23" t="str">
        <f>VLOOKUP(B1267,'[2]справочник кодов нп'!$A:$D,4,0)</f>
        <v>сельские населенные пункты с численностью населения менее 1 000 человек.</v>
      </c>
      <c r="G1267" s="23" t="s">
        <v>1385</v>
      </c>
      <c r="H1267" s="10" t="s">
        <v>1400</v>
      </c>
      <c r="I1267" s="35" t="s">
        <v>7017</v>
      </c>
      <c r="J1267" s="33" t="s">
        <v>1337</v>
      </c>
    </row>
    <row r="1268" spans="1:10" x14ac:dyDescent="0.25">
      <c r="A1268" s="23" t="s">
        <v>3100</v>
      </c>
      <c r="B1268" s="10" t="s">
        <v>3101</v>
      </c>
      <c r="C1268" s="23" t="s">
        <v>1400</v>
      </c>
      <c r="D1268" s="28" t="s">
        <v>3102</v>
      </c>
      <c r="E1268" s="25">
        <v>106</v>
      </c>
      <c r="F1268" s="23" t="str">
        <f>VLOOKUP(B1268,'[2]справочник кодов нп'!$A:$D,4,0)</f>
        <v>сельские населенные пункты с численностью населения менее 1 000 человек.</v>
      </c>
      <c r="G1268" s="23" t="s">
        <v>1385</v>
      </c>
      <c r="H1268" s="10" t="s">
        <v>1400</v>
      </c>
      <c r="I1268" s="35" t="s">
        <v>7017</v>
      </c>
      <c r="J1268" s="33" t="s">
        <v>1337</v>
      </c>
    </row>
    <row r="1269" spans="1:10" x14ac:dyDescent="0.25">
      <c r="A1269" s="23" t="s">
        <v>3103</v>
      </c>
      <c r="B1269" s="10" t="s">
        <v>3104</v>
      </c>
      <c r="C1269" s="23" t="s">
        <v>1400</v>
      </c>
      <c r="D1269" s="28" t="s">
        <v>3105</v>
      </c>
      <c r="E1269" s="25">
        <v>106</v>
      </c>
      <c r="F1269" s="23" t="str">
        <f>VLOOKUP(B1269,'[2]справочник кодов нп'!$A:$D,4,0)</f>
        <v>сельские населенные пункты с численностью населения менее 1 000 человек.</v>
      </c>
      <c r="G1269" s="23" t="s">
        <v>1385</v>
      </c>
      <c r="H1269" s="10" t="s">
        <v>1400</v>
      </c>
      <c r="I1269" s="35" t="s">
        <v>7017</v>
      </c>
      <c r="J1269" s="33" t="s">
        <v>1337</v>
      </c>
    </row>
    <row r="1270" spans="1:10" x14ac:dyDescent="0.25">
      <c r="A1270" s="23" t="s">
        <v>3106</v>
      </c>
      <c r="B1270" s="10" t="s">
        <v>3107</v>
      </c>
      <c r="C1270" s="23" t="s">
        <v>1400</v>
      </c>
      <c r="D1270" s="28" t="s">
        <v>3108</v>
      </c>
      <c r="E1270" s="25">
        <v>106</v>
      </c>
      <c r="F1270" s="23" t="str">
        <f>VLOOKUP(B1270,'[2]справочник кодов нп'!$A:$D,4,0)</f>
        <v>сельские населенные пункты с численностью населения менее 1 000 человек.</v>
      </c>
      <c r="G1270" s="23" t="s">
        <v>1385</v>
      </c>
      <c r="H1270" s="10" t="s">
        <v>1400</v>
      </c>
      <c r="I1270" s="35" t="s">
        <v>7017</v>
      </c>
      <c r="J1270" s="33" t="s">
        <v>1337</v>
      </c>
    </row>
    <row r="1271" spans="1:10" x14ac:dyDescent="0.25">
      <c r="A1271" s="23" t="s">
        <v>3109</v>
      </c>
      <c r="B1271" s="10" t="s">
        <v>3110</v>
      </c>
      <c r="C1271" s="23" t="s">
        <v>1400</v>
      </c>
      <c r="D1271" s="28" t="s">
        <v>3111</v>
      </c>
      <c r="E1271" s="25">
        <v>106</v>
      </c>
      <c r="F1271" s="23" t="str">
        <f>VLOOKUP(B1271,'[2]справочник кодов нп'!$A:$D,4,0)</f>
        <v>сельские населенные пункты с численностью населения менее 1 000 человек.</v>
      </c>
      <c r="G1271" s="23" t="s">
        <v>1385</v>
      </c>
      <c r="H1271" s="10" t="s">
        <v>1400</v>
      </c>
      <c r="I1271" s="35" t="s">
        <v>7017</v>
      </c>
      <c r="J1271" s="33" t="s">
        <v>1337</v>
      </c>
    </row>
    <row r="1272" spans="1:10" x14ac:dyDescent="0.25">
      <c r="A1272" s="23" t="s">
        <v>3112</v>
      </c>
      <c r="B1272" s="10" t="s">
        <v>3113</v>
      </c>
      <c r="C1272" s="23" t="s">
        <v>1400</v>
      </c>
      <c r="D1272" s="28" t="s">
        <v>3114</v>
      </c>
      <c r="E1272" s="25">
        <v>106</v>
      </c>
      <c r="F1272" s="23" t="str">
        <f>VLOOKUP(B1272,'[2]справочник кодов нп'!$A:$D,4,0)</f>
        <v>сельские населенные пункты с численностью населения менее 1 000 человек.</v>
      </c>
      <c r="G1272" s="23" t="s">
        <v>1385</v>
      </c>
      <c r="H1272" s="10" t="s">
        <v>1400</v>
      </c>
      <c r="I1272" s="35" t="s">
        <v>7017</v>
      </c>
      <c r="J1272" s="33" t="s">
        <v>1337</v>
      </c>
    </row>
    <row r="1273" spans="1:10" x14ac:dyDescent="0.25">
      <c r="A1273" s="23" t="s">
        <v>3115</v>
      </c>
      <c r="B1273" s="10" t="s">
        <v>3116</v>
      </c>
      <c r="C1273" s="23" t="s">
        <v>1400</v>
      </c>
      <c r="D1273" s="28" t="s">
        <v>3117</v>
      </c>
      <c r="E1273" s="25">
        <v>106</v>
      </c>
      <c r="F1273" s="23" t="str">
        <f>VLOOKUP(B1273,'[2]справочник кодов нп'!$A:$D,4,0)</f>
        <v>сельские населенные пункты с численностью населения менее 1 000 человек.</v>
      </c>
      <c r="G1273" s="23" t="s">
        <v>1385</v>
      </c>
      <c r="H1273" s="10" t="s">
        <v>1400</v>
      </c>
      <c r="I1273" s="35" t="s">
        <v>7017</v>
      </c>
      <c r="J1273" s="33" t="s">
        <v>1337</v>
      </c>
    </row>
    <row r="1274" spans="1:10" x14ac:dyDescent="0.25">
      <c r="A1274" s="23" t="s">
        <v>3118</v>
      </c>
      <c r="B1274" s="10" t="s">
        <v>3119</v>
      </c>
      <c r="C1274" s="23" t="s">
        <v>1400</v>
      </c>
      <c r="D1274" s="28" t="s">
        <v>3120</v>
      </c>
      <c r="E1274" s="25">
        <v>106</v>
      </c>
      <c r="F1274" s="23" t="str">
        <f>VLOOKUP(B1274,'[2]справочник кодов нп'!$A:$D,4,0)</f>
        <v>сельские населенные пункты с численностью населения менее 1 000 человек.</v>
      </c>
      <c r="G1274" s="23" t="s">
        <v>1385</v>
      </c>
      <c r="H1274" s="10" t="s">
        <v>1400</v>
      </c>
      <c r="I1274" s="35" t="s">
        <v>7017</v>
      </c>
      <c r="J1274" s="33" t="s">
        <v>1337</v>
      </c>
    </row>
    <row r="1275" spans="1:10" x14ac:dyDescent="0.25">
      <c r="A1275" s="23" t="s">
        <v>3121</v>
      </c>
      <c r="B1275" s="10" t="s">
        <v>3122</v>
      </c>
      <c r="C1275" s="23" t="s">
        <v>1400</v>
      </c>
      <c r="D1275" s="28" t="s">
        <v>3123</v>
      </c>
      <c r="E1275" s="25">
        <v>106</v>
      </c>
      <c r="F1275" s="23" t="str">
        <f>VLOOKUP(B1275,'[2]справочник кодов нп'!$A:$D,4,0)</f>
        <v>сельские населенные пункты с численностью населения менее 1 000 человек.</v>
      </c>
      <c r="G1275" s="23" t="s">
        <v>1385</v>
      </c>
      <c r="H1275" s="10" t="s">
        <v>1400</v>
      </c>
      <c r="I1275" s="35" t="s">
        <v>7017</v>
      </c>
      <c r="J1275" s="33" t="s">
        <v>1337</v>
      </c>
    </row>
    <row r="1276" spans="1:10" x14ac:dyDescent="0.25">
      <c r="A1276" s="23" t="s">
        <v>3124</v>
      </c>
      <c r="B1276" s="10" t="s">
        <v>3125</v>
      </c>
      <c r="C1276" s="23" t="s">
        <v>1400</v>
      </c>
      <c r="D1276" s="28" t="s">
        <v>3126</v>
      </c>
      <c r="E1276" s="25">
        <v>106</v>
      </c>
      <c r="F1276" s="23" t="str">
        <f>VLOOKUP(B1276,'[2]справочник кодов нп'!$A:$D,4,0)</f>
        <v>сельские населенные пункты с численностью населения менее 1 000 человек.</v>
      </c>
      <c r="G1276" s="23" t="s">
        <v>1385</v>
      </c>
      <c r="H1276" s="10" t="s">
        <v>1400</v>
      </c>
      <c r="I1276" s="35" t="s">
        <v>7017</v>
      </c>
      <c r="J1276" s="33" t="s">
        <v>1337</v>
      </c>
    </row>
    <row r="1277" spans="1:10" x14ac:dyDescent="0.25">
      <c r="A1277" s="23" t="s">
        <v>3127</v>
      </c>
      <c r="B1277" s="10" t="s">
        <v>3128</v>
      </c>
      <c r="C1277" s="23" t="s">
        <v>1400</v>
      </c>
      <c r="D1277" s="28" t="s">
        <v>3129</v>
      </c>
      <c r="E1277" s="25">
        <v>106</v>
      </c>
      <c r="F1277" s="23" t="str">
        <f>VLOOKUP(B1277,'[2]справочник кодов нп'!$A:$D,4,0)</f>
        <v>городские населенные пункты с численностью населения менее 50 000 человек;</v>
      </c>
      <c r="G1277" s="23" t="s">
        <v>1385</v>
      </c>
      <c r="H1277" s="10" t="s">
        <v>1400</v>
      </c>
      <c r="I1277" s="35" t="s">
        <v>7017</v>
      </c>
      <c r="J1277" s="33" t="s">
        <v>1337</v>
      </c>
    </row>
    <row r="1278" spans="1:10" x14ac:dyDescent="0.25">
      <c r="A1278" s="23" t="s">
        <v>3130</v>
      </c>
      <c r="B1278" s="10" t="s">
        <v>3131</v>
      </c>
      <c r="C1278" s="23" t="s">
        <v>1400</v>
      </c>
      <c r="D1278" s="28" t="s">
        <v>3132</v>
      </c>
      <c r="E1278" s="25">
        <v>106</v>
      </c>
      <c r="F1278" s="23" t="str">
        <f>VLOOKUP(B1278,'[2]справочник кодов нп'!$A:$D,4,0)</f>
        <v>сельские населенные пункты с численностью населения менее 1 000 человек.</v>
      </c>
      <c r="G1278" s="23" t="s">
        <v>1385</v>
      </c>
      <c r="H1278" s="10" t="s">
        <v>1400</v>
      </c>
      <c r="I1278" s="35" t="s">
        <v>7017</v>
      </c>
      <c r="J1278" s="33" t="s">
        <v>1337</v>
      </c>
    </row>
    <row r="1279" spans="1:10" x14ac:dyDescent="0.25">
      <c r="A1279" s="23" t="s">
        <v>3133</v>
      </c>
      <c r="B1279" s="10" t="s">
        <v>3134</v>
      </c>
      <c r="C1279" s="23" t="s">
        <v>1400</v>
      </c>
      <c r="D1279" s="28" t="s">
        <v>3135</v>
      </c>
      <c r="E1279" s="25">
        <v>106</v>
      </c>
      <c r="F1279" s="23" t="str">
        <f>VLOOKUP(B1279,'[2]справочник кодов нп'!$A:$D,4,0)</f>
        <v>сельские населенные пункты с численностью населения менее 1 000 человек.</v>
      </c>
      <c r="G1279" s="23" t="s">
        <v>1385</v>
      </c>
      <c r="H1279" s="10" t="s">
        <v>1400</v>
      </c>
      <c r="I1279" s="35" t="s">
        <v>7017</v>
      </c>
      <c r="J1279" s="33" t="s">
        <v>1337</v>
      </c>
    </row>
    <row r="1280" spans="1:10" x14ac:dyDescent="0.25">
      <c r="A1280" s="23" t="s">
        <v>3136</v>
      </c>
      <c r="B1280" s="10" t="s">
        <v>3137</v>
      </c>
      <c r="C1280" s="23" t="s">
        <v>1400</v>
      </c>
      <c r="D1280" s="28" t="s">
        <v>3138</v>
      </c>
      <c r="E1280" s="25">
        <v>106</v>
      </c>
      <c r="F1280" s="23" t="str">
        <f>VLOOKUP(B1280,'[2]справочник кодов нп'!$A:$D,4,0)</f>
        <v>сельские населенные пункты с численностью населения менее 1 000 человек.</v>
      </c>
      <c r="G1280" s="23" t="s">
        <v>1385</v>
      </c>
      <c r="H1280" s="10" t="s">
        <v>1400</v>
      </c>
      <c r="I1280" s="35" t="s">
        <v>7017</v>
      </c>
      <c r="J1280" s="33" t="s">
        <v>1337</v>
      </c>
    </row>
    <row r="1281" spans="1:10" x14ac:dyDescent="0.25">
      <c r="A1281" s="23" t="s">
        <v>3139</v>
      </c>
      <c r="B1281" s="10" t="s">
        <v>3140</v>
      </c>
      <c r="C1281" s="23" t="s">
        <v>1400</v>
      </c>
      <c r="D1281" s="28" t="s">
        <v>3141</v>
      </c>
      <c r="E1281" s="25">
        <v>106</v>
      </c>
      <c r="F1281" s="23" t="str">
        <f>VLOOKUP(B1281,'[2]справочник кодов нп'!$A:$D,4,0)</f>
        <v>городские населенные пункты с численностью населения менее 50 000 человек;</v>
      </c>
      <c r="G1281" s="23" t="s">
        <v>1385</v>
      </c>
      <c r="H1281" s="10" t="s">
        <v>1400</v>
      </c>
      <c r="I1281" s="35" t="s">
        <v>7017</v>
      </c>
      <c r="J1281" s="33" t="s">
        <v>1337</v>
      </c>
    </row>
    <row r="1282" spans="1:10" x14ac:dyDescent="0.25">
      <c r="A1282" s="23" t="s">
        <v>3142</v>
      </c>
      <c r="B1282" s="10" t="s">
        <v>3143</v>
      </c>
      <c r="C1282" s="23" t="s">
        <v>1400</v>
      </c>
      <c r="D1282" s="28" t="s">
        <v>3144</v>
      </c>
      <c r="E1282" s="25">
        <v>106</v>
      </c>
      <c r="F1282" s="23" t="str">
        <f>VLOOKUP(B1282,'[2]справочник кодов нп'!$A:$D,4,0)</f>
        <v>сельские населенные пункты с численностью населения менее 1 000 человек.</v>
      </c>
      <c r="G1282" s="23" t="s">
        <v>1385</v>
      </c>
      <c r="H1282" s="10" t="s">
        <v>1400</v>
      </c>
      <c r="I1282" s="35" t="s">
        <v>7017</v>
      </c>
      <c r="J1282" s="33" t="s">
        <v>1337</v>
      </c>
    </row>
    <row r="1283" spans="1:10" x14ac:dyDescent="0.25">
      <c r="A1283" s="23" t="s">
        <v>3145</v>
      </c>
      <c r="B1283" s="10" t="s">
        <v>3146</v>
      </c>
      <c r="C1283" s="23" t="s">
        <v>1400</v>
      </c>
      <c r="D1283" s="28" t="s">
        <v>3147</v>
      </c>
      <c r="E1283" s="25">
        <v>106</v>
      </c>
      <c r="F1283" s="23" t="str">
        <f>VLOOKUP(B1283,'[2]справочник кодов нп'!$A:$D,4,0)</f>
        <v>сельские населенные пункты с численностью населения менее 1 000 человек.</v>
      </c>
      <c r="G1283" s="23" t="s">
        <v>1385</v>
      </c>
      <c r="H1283" s="10" t="s">
        <v>1400</v>
      </c>
      <c r="I1283" s="35" t="s">
        <v>7017</v>
      </c>
      <c r="J1283" s="33" t="s">
        <v>1337</v>
      </c>
    </row>
    <row r="1284" spans="1:10" x14ac:dyDescent="0.25">
      <c r="A1284" s="23" t="s">
        <v>3148</v>
      </c>
      <c r="B1284" s="10" t="s">
        <v>3149</v>
      </c>
      <c r="C1284" s="23" t="s">
        <v>1400</v>
      </c>
      <c r="D1284" s="28" t="s">
        <v>3150</v>
      </c>
      <c r="E1284" s="25">
        <v>106</v>
      </c>
      <c r="F1284" s="23" t="str">
        <f>VLOOKUP(B1284,'[2]справочник кодов нп'!$A:$D,4,0)</f>
        <v>сельские населенные пункты с численностью населения менее 1 000 человек.</v>
      </c>
      <c r="G1284" s="23" t="s">
        <v>1385</v>
      </c>
      <c r="H1284" s="10" t="s">
        <v>1400</v>
      </c>
      <c r="I1284" s="35" t="s">
        <v>7017</v>
      </c>
      <c r="J1284" s="33" t="s">
        <v>1337</v>
      </c>
    </row>
    <row r="1285" spans="1:10" x14ac:dyDescent="0.25">
      <c r="A1285" s="23" t="s">
        <v>3151</v>
      </c>
      <c r="B1285" s="10" t="s">
        <v>3152</v>
      </c>
      <c r="C1285" s="23" t="s">
        <v>1400</v>
      </c>
      <c r="D1285" s="28" t="s">
        <v>3153</v>
      </c>
      <c r="E1285" s="25">
        <v>106</v>
      </c>
      <c r="F1285" s="23" t="str">
        <f>VLOOKUP(B1285,'[2]справочник кодов нп'!$A:$D,4,0)</f>
        <v>городские населенные пункты с численностью населения менее 50 000 человек;</v>
      </c>
      <c r="G1285" s="23" t="s">
        <v>1385</v>
      </c>
      <c r="H1285" s="10" t="s">
        <v>1400</v>
      </c>
      <c r="I1285" s="35" t="s">
        <v>7017</v>
      </c>
      <c r="J1285" s="33" t="s">
        <v>1337</v>
      </c>
    </row>
    <row r="1286" spans="1:10" x14ac:dyDescent="0.25">
      <c r="A1286" s="23" t="s">
        <v>3154</v>
      </c>
      <c r="B1286" s="10" t="s">
        <v>3155</v>
      </c>
      <c r="C1286" s="23" t="s">
        <v>1400</v>
      </c>
      <c r="D1286" s="28" t="s">
        <v>3156</v>
      </c>
      <c r="E1286" s="25">
        <v>106</v>
      </c>
      <c r="F1286" s="23" t="str">
        <f>VLOOKUP(B1286,'[2]справочник кодов нп'!$A:$D,4,0)</f>
        <v>сельские населенные пункты с численностью населения менее 1 000 человек.</v>
      </c>
      <c r="G1286" s="23" t="s">
        <v>1385</v>
      </c>
      <c r="H1286" s="10" t="s">
        <v>1400</v>
      </c>
      <c r="I1286" s="35" t="s">
        <v>7017</v>
      </c>
      <c r="J1286" s="33" t="s">
        <v>1337</v>
      </c>
    </row>
    <row r="1287" spans="1:10" x14ac:dyDescent="0.25">
      <c r="A1287" s="23" t="s">
        <v>3157</v>
      </c>
      <c r="B1287" s="10" t="s">
        <v>3158</v>
      </c>
      <c r="C1287" s="23" t="s">
        <v>1400</v>
      </c>
      <c r="D1287" s="28" t="s">
        <v>3159</v>
      </c>
      <c r="E1287" s="25">
        <v>106</v>
      </c>
      <c r="F1287" s="23" t="str">
        <f>VLOOKUP(B1287,'[2]справочник кодов нп'!$A:$D,4,0)</f>
        <v>сельские населенные пункты с численностью населения менее 1 000 человек.</v>
      </c>
      <c r="G1287" s="23" t="s">
        <v>1385</v>
      </c>
      <c r="H1287" s="10" t="s">
        <v>1400</v>
      </c>
      <c r="I1287" s="35" t="s">
        <v>7017</v>
      </c>
      <c r="J1287" s="33" t="s">
        <v>1337</v>
      </c>
    </row>
    <row r="1288" spans="1:10" x14ac:dyDescent="0.25">
      <c r="A1288" s="23" t="s">
        <v>3160</v>
      </c>
      <c r="B1288" s="10" t="s">
        <v>3161</v>
      </c>
      <c r="C1288" s="23" t="s">
        <v>1400</v>
      </c>
      <c r="D1288" s="28" t="s">
        <v>3162</v>
      </c>
      <c r="E1288" s="25">
        <v>106</v>
      </c>
      <c r="F1288" s="23" t="str">
        <f>VLOOKUP(B1288,'[2]справочник кодов нп'!$A:$D,4,0)</f>
        <v>сельские населенные пункты с численностью населения менее 1 000 человек.</v>
      </c>
      <c r="G1288" s="23" t="s">
        <v>1385</v>
      </c>
      <c r="H1288" s="10" t="s">
        <v>1400</v>
      </c>
      <c r="I1288" s="35" t="s">
        <v>7017</v>
      </c>
      <c r="J1288" s="33" t="s">
        <v>1337</v>
      </c>
    </row>
    <row r="1289" spans="1:10" x14ac:dyDescent="0.25">
      <c r="A1289" s="23" t="s">
        <v>3163</v>
      </c>
      <c r="B1289" s="10" t="s">
        <v>3164</v>
      </c>
      <c r="C1289" s="23" t="s">
        <v>1400</v>
      </c>
      <c r="D1289" s="28" t="s">
        <v>3165</v>
      </c>
      <c r="E1289" s="25">
        <v>106</v>
      </c>
      <c r="F1289" s="23" t="str">
        <f>VLOOKUP(B1289,'[2]справочник кодов нп'!$A:$D,4,0)</f>
        <v>сельские населенные пункты с численностью населения менее 1 000 человек.</v>
      </c>
      <c r="G1289" s="23" t="s">
        <v>1385</v>
      </c>
      <c r="H1289" s="10" t="s">
        <v>1400</v>
      </c>
      <c r="I1289" s="35" t="s">
        <v>7017</v>
      </c>
      <c r="J1289" s="33" t="s">
        <v>1337</v>
      </c>
    </row>
    <row r="1290" spans="1:10" x14ac:dyDescent="0.25">
      <c r="A1290" s="23" t="s">
        <v>3166</v>
      </c>
      <c r="B1290" s="10" t="s">
        <v>3167</v>
      </c>
      <c r="C1290" s="23" t="s">
        <v>1400</v>
      </c>
      <c r="D1290" s="28" t="s">
        <v>3168</v>
      </c>
      <c r="E1290" s="25">
        <v>106</v>
      </c>
      <c r="F1290" s="23" t="str">
        <f>VLOOKUP(B1290,'[2]справочник кодов нп'!$A:$D,4,0)</f>
        <v>сельские населенные пункты с численностью населения менее 1 000 человек.</v>
      </c>
      <c r="G1290" s="23" t="s">
        <v>1385</v>
      </c>
      <c r="H1290" s="10" t="s">
        <v>1400</v>
      </c>
      <c r="I1290" s="35" t="s">
        <v>7017</v>
      </c>
      <c r="J1290" s="33" t="s">
        <v>1337</v>
      </c>
    </row>
    <row r="1291" spans="1:10" x14ac:dyDescent="0.25">
      <c r="A1291" s="23" t="s">
        <v>3169</v>
      </c>
      <c r="B1291" s="10" t="s">
        <v>3170</v>
      </c>
      <c r="C1291" s="23" t="s">
        <v>1400</v>
      </c>
      <c r="D1291" s="28" t="s">
        <v>3171</v>
      </c>
      <c r="E1291" s="25">
        <v>106</v>
      </c>
      <c r="F1291" s="23" t="str">
        <f>VLOOKUP(B1291,'[2]справочник кодов нп'!$A:$D,4,0)</f>
        <v>сельские населенные пункты с численностью населения менее 1 000 человек.</v>
      </c>
      <c r="G1291" s="23" t="s">
        <v>1385</v>
      </c>
      <c r="H1291" s="10" t="s">
        <v>1400</v>
      </c>
      <c r="I1291" s="35" t="s">
        <v>7017</v>
      </c>
      <c r="J1291" s="33" t="s">
        <v>1337</v>
      </c>
    </row>
    <row r="1292" spans="1:10" x14ac:dyDescent="0.25">
      <c r="A1292" s="23" t="s">
        <v>3172</v>
      </c>
      <c r="B1292" s="10" t="s">
        <v>3173</v>
      </c>
      <c r="C1292" s="23" t="s">
        <v>1400</v>
      </c>
      <c r="D1292" s="28" t="s">
        <v>3174</v>
      </c>
      <c r="E1292" s="25">
        <v>106</v>
      </c>
      <c r="F1292" s="23" t="str">
        <f>VLOOKUP(B1292,'[2]справочник кодов нп'!$A:$D,4,0)</f>
        <v>сельские населенные пункты с численностью населения менее 1 000 человек.</v>
      </c>
      <c r="G1292" s="23" t="s">
        <v>1385</v>
      </c>
      <c r="H1292" s="10" t="s">
        <v>1400</v>
      </c>
      <c r="I1292" s="35" t="s">
        <v>7017</v>
      </c>
      <c r="J1292" s="33" t="s">
        <v>1337</v>
      </c>
    </row>
    <row r="1293" spans="1:10" x14ac:dyDescent="0.25">
      <c r="A1293" s="23" t="s">
        <v>5237</v>
      </c>
      <c r="B1293" s="10" t="s">
        <v>5238</v>
      </c>
      <c r="C1293" s="23" t="s">
        <v>1400</v>
      </c>
      <c r="D1293" s="28" t="s">
        <v>5239</v>
      </c>
      <c r="E1293" s="25">
        <v>106</v>
      </c>
      <c r="F1293" s="23" t="str">
        <f>VLOOKUP(B1293,'[2]справочник кодов нп'!$A:$D,4,0)</f>
        <v>городские населенные пункты с численностью населения менее 50 000 человек;</v>
      </c>
      <c r="G1293" s="23" t="s">
        <v>1385</v>
      </c>
      <c r="H1293" s="10" t="s">
        <v>1400</v>
      </c>
      <c r="I1293" s="35" t="s">
        <v>7017</v>
      </c>
      <c r="J1293" s="33" t="s">
        <v>1337</v>
      </c>
    </row>
    <row r="1294" spans="1:10" x14ac:dyDescent="0.25">
      <c r="A1294" s="23" t="s">
        <v>6951</v>
      </c>
      <c r="B1294" s="10" t="s">
        <v>6952</v>
      </c>
      <c r="C1294" s="23" t="s">
        <v>1400</v>
      </c>
      <c r="D1294" s="28" t="s">
        <v>6846</v>
      </c>
      <c r="E1294" s="25">
        <v>106</v>
      </c>
      <c r="F1294" s="23" t="str">
        <f>VLOOKUP(B1294,'[2]справочник кодов нп'!$A:$D,4,0)</f>
        <v>межселенная территория</v>
      </c>
      <c r="G1294" s="23" t="s">
        <v>1385</v>
      </c>
      <c r="H1294" s="10" t="s">
        <v>1400</v>
      </c>
      <c r="I1294" s="35" t="s">
        <v>7019</v>
      </c>
      <c r="J1294" s="33" t="s">
        <v>1337</v>
      </c>
    </row>
    <row r="1295" spans="1:10" x14ac:dyDescent="0.25">
      <c r="A1295" s="23" t="s">
        <v>7006</v>
      </c>
      <c r="B1295" s="10" t="s">
        <v>6952</v>
      </c>
      <c r="C1295" s="23" t="s">
        <v>1400</v>
      </c>
      <c r="D1295" s="28" t="s">
        <v>6846</v>
      </c>
      <c r="E1295" s="25">
        <v>106</v>
      </c>
      <c r="F1295" s="23" t="str">
        <f>VLOOKUP(B1295,'[2]справочник кодов нп'!$A:$D,4,0)</f>
        <v>межселенная территория</v>
      </c>
      <c r="G1295" s="45" t="s">
        <v>1385</v>
      </c>
      <c r="H1295" s="10" t="s">
        <v>1400</v>
      </c>
      <c r="I1295" s="35" t="s">
        <v>7019</v>
      </c>
      <c r="J1295" s="33" t="s">
        <v>1337</v>
      </c>
    </row>
    <row r="1296" spans="1:10" x14ac:dyDescent="0.25">
      <c r="A1296" s="23" t="s">
        <v>7007</v>
      </c>
      <c r="B1296" s="10" t="s">
        <v>6952</v>
      </c>
      <c r="C1296" s="23" t="s">
        <v>1400</v>
      </c>
      <c r="D1296" s="28" t="s">
        <v>6846</v>
      </c>
      <c r="E1296" s="25">
        <v>106</v>
      </c>
      <c r="F1296" s="23" t="str">
        <f>VLOOKUP(B1296,'[2]справочник кодов нп'!$A:$D,4,0)</f>
        <v>межселенная территория</v>
      </c>
      <c r="G1296" s="23" t="s">
        <v>1385</v>
      </c>
      <c r="H1296" s="10" t="s">
        <v>1400</v>
      </c>
      <c r="I1296" s="35" t="s">
        <v>7019</v>
      </c>
      <c r="J1296" s="33" t="s">
        <v>1337</v>
      </c>
    </row>
    <row r="1297" spans="1:10" x14ac:dyDescent="0.25">
      <c r="A1297" s="23" t="s">
        <v>7008</v>
      </c>
      <c r="B1297" s="10" t="s">
        <v>6952</v>
      </c>
      <c r="C1297" s="23" t="s">
        <v>1400</v>
      </c>
      <c r="D1297" s="28" t="s">
        <v>6846</v>
      </c>
      <c r="E1297" s="25">
        <v>106</v>
      </c>
      <c r="F1297" s="23" t="str">
        <f>VLOOKUP(B1297,'[2]справочник кодов нп'!$A:$D,4,0)</f>
        <v>межселенная территория</v>
      </c>
      <c r="G1297" s="23" t="s">
        <v>1385</v>
      </c>
      <c r="H1297" s="10" t="s">
        <v>1400</v>
      </c>
      <c r="I1297" s="35" t="s">
        <v>7019</v>
      </c>
      <c r="J1297" s="33" t="s">
        <v>1337</v>
      </c>
    </row>
    <row r="1298" spans="1:10" x14ac:dyDescent="0.25">
      <c r="A1298" s="23" t="s">
        <v>7009</v>
      </c>
      <c r="B1298" s="10" t="s">
        <v>6952</v>
      </c>
      <c r="C1298" s="23" t="s">
        <v>1400</v>
      </c>
      <c r="D1298" s="28" t="s">
        <v>6846</v>
      </c>
      <c r="E1298" s="25">
        <v>106</v>
      </c>
      <c r="F1298" s="23" t="str">
        <f>VLOOKUP(B1298,'[2]справочник кодов нп'!$A:$D,4,0)</f>
        <v>межселенная территория</v>
      </c>
      <c r="G1298" s="23" t="s">
        <v>1385</v>
      </c>
      <c r="H1298" s="10" t="s">
        <v>1400</v>
      </c>
      <c r="I1298" s="35" t="s">
        <v>7019</v>
      </c>
      <c r="J1298" s="33" t="s">
        <v>1337</v>
      </c>
    </row>
    <row r="1299" spans="1:10" x14ac:dyDescent="0.25">
      <c r="A1299" s="23" t="s">
        <v>7010</v>
      </c>
      <c r="B1299" s="10" t="s">
        <v>6952</v>
      </c>
      <c r="C1299" s="23" t="s">
        <v>1400</v>
      </c>
      <c r="D1299" s="28" t="s">
        <v>6846</v>
      </c>
      <c r="E1299" s="25">
        <v>106</v>
      </c>
      <c r="F1299" s="23" t="str">
        <f>VLOOKUP(B1299,'[2]справочник кодов нп'!$A:$D,4,0)</f>
        <v>межселенная территория</v>
      </c>
      <c r="G1299" s="23" t="s">
        <v>1385</v>
      </c>
      <c r="H1299" s="10" t="s">
        <v>1400</v>
      </c>
      <c r="I1299" s="35" t="s">
        <v>7019</v>
      </c>
      <c r="J1299" s="33" t="s">
        <v>1337</v>
      </c>
    </row>
    <row r="1300" spans="1:10" x14ac:dyDescent="0.25">
      <c r="A1300" s="23" t="s">
        <v>7011</v>
      </c>
      <c r="B1300" s="10" t="s">
        <v>6952</v>
      </c>
      <c r="C1300" s="23" t="s">
        <v>1400</v>
      </c>
      <c r="D1300" s="28" t="s">
        <v>6846</v>
      </c>
      <c r="E1300" s="25">
        <v>106</v>
      </c>
      <c r="F1300" s="23" t="str">
        <f>VLOOKUP(B1300,'[2]справочник кодов нп'!$A:$D,4,0)</f>
        <v>межселенная территория</v>
      </c>
      <c r="G1300" s="23" t="s">
        <v>1385</v>
      </c>
      <c r="H1300" s="10" t="s">
        <v>1400</v>
      </c>
      <c r="I1300" s="35" t="s">
        <v>7019</v>
      </c>
      <c r="J1300" s="33" t="s">
        <v>1337</v>
      </c>
    </row>
    <row r="1301" spans="1:10" x14ac:dyDescent="0.25">
      <c r="A1301" s="23" t="s">
        <v>1381</v>
      </c>
      <c r="B1301" s="10" t="s">
        <v>1382</v>
      </c>
      <c r="C1301" s="23" t="s">
        <v>1383</v>
      </c>
      <c r="D1301" s="28" t="s">
        <v>1384</v>
      </c>
      <c r="E1301" s="25">
        <v>106</v>
      </c>
      <c r="F1301" s="23" t="str">
        <f>VLOOKUP(B1301,'[2]справочник кодов нп'!$A:$D,4,0)</f>
        <v>городские населенные пункты с численностью населения менее 50 000 человек;</v>
      </c>
      <c r="G1301" s="45" t="s">
        <v>1385</v>
      </c>
      <c r="H1301" s="10" t="s">
        <v>1383</v>
      </c>
      <c r="I1301" s="35" t="s">
        <v>7017</v>
      </c>
      <c r="J1301" s="45" t="s">
        <v>1341</v>
      </c>
    </row>
    <row r="1302" spans="1:10" x14ac:dyDescent="0.25">
      <c r="A1302" s="23" t="s">
        <v>3175</v>
      </c>
      <c r="B1302" s="10" t="s">
        <v>3176</v>
      </c>
      <c r="C1302" s="23" t="s">
        <v>1383</v>
      </c>
      <c r="D1302" s="28" t="s">
        <v>3177</v>
      </c>
      <c r="E1302" s="25">
        <v>106</v>
      </c>
      <c r="F1302" s="23" t="str">
        <f>VLOOKUP(B1302,'[2]справочник кодов нп'!$A:$D,4,0)</f>
        <v>сельские населенные пункты с численностью населения менее 1 000 человек.</v>
      </c>
      <c r="G1302" s="45" t="s">
        <v>1385</v>
      </c>
      <c r="H1302" s="10" t="s">
        <v>1383</v>
      </c>
      <c r="I1302" s="35" t="s">
        <v>7017</v>
      </c>
      <c r="J1302" s="33" t="s">
        <v>1337</v>
      </c>
    </row>
    <row r="1303" spans="1:10" x14ac:dyDescent="0.25">
      <c r="A1303" s="23" t="s">
        <v>3178</v>
      </c>
      <c r="B1303" s="10" t="s">
        <v>3179</v>
      </c>
      <c r="C1303" s="23" t="s">
        <v>1383</v>
      </c>
      <c r="D1303" s="28" t="s">
        <v>3180</v>
      </c>
      <c r="E1303" s="25">
        <v>106</v>
      </c>
      <c r="F1303" s="23" t="str">
        <f>VLOOKUP(B1303,'[2]справочник кодов нп'!$A:$D,4,0)</f>
        <v>сельские населенные пункты с численностью населения менее 1 000 человек.</v>
      </c>
      <c r="G1303" s="45" t="s">
        <v>1385</v>
      </c>
      <c r="H1303" s="10" t="s">
        <v>1383</v>
      </c>
      <c r="I1303" s="35" t="s">
        <v>7017</v>
      </c>
      <c r="J1303" s="33" t="s">
        <v>1337</v>
      </c>
    </row>
    <row r="1304" spans="1:10" x14ac:dyDescent="0.25">
      <c r="A1304" s="23" t="s">
        <v>3181</v>
      </c>
      <c r="B1304" s="10" t="s">
        <v>3182</v>
      </c>
      <c r="C1304" s="23" t="s">
        <v>1383</v>
      </c>
      <c r="D1304" s="28" t="s">
        <v>3183</v>
      </c>
      <c r="E1304" s="25">
        <v>106</v>
      </c>
      <c r="F1304" s="23" t="str">
        <f>VLOOKUP(B1304,'[2]справочник кодов нп'!$A:$D,4,0)</f>
        <v>сельские населенные пункты с численностью населения менее 1 000 человек.</v>
      </c>
      <c r="G1304" s="45" t="s">
        <v>1385</v>
      </c>
      <c r="H1304" s="10" t="s">
        <v>1383</v>
      </c>
      <c r="I1304" s="35" t="s">
        <v>7017</v>
      </c>
      <c r="J1304" s="33" t="s">
        <v>1337</v>
      </c>
    </row>
    <row r="1305" spans="1:10" x14ac:dyDescent="0.25">
      <c r="A1305" s="23" t="s">
        <v>3184</v>
      </c>
      <c r="B1305" s="10" t="s">
        <v>3185</v>
      </c>
      <c r="C1305" s="23" t="s">
        <v>1383</v>
      </c>
      <c r="D1305" s="28" t="s">
        <v>3186</v>
      </c>
      <c r="E1305" s="25">
        <v>106</v>
      </c>
      <c r="F1305" s="23" t="str">
        <f>VLOOKUP(B1305,'[2]справочник кодов нп'!$A:$D,4,0)</f>
        <v>сельские населенные пункты с численностью населения менее 1 000 человек.</v>
      </c>
      <c r="G1305" s="45" t="s">
        <v>1385</v>
      </c>
      <c r="H1305" s="10" t="s">
        <v>1383</v>
      </c>
      <c r="I1305" s="35" t="s">
        <v>7017</v>
      </c>
      <c r="J1305" s="33" t="s">
        <v>1337</v>
      </c>
    </row>
    <row r="1306" spans="1:10" x14ac:dyDescent="0.25">
      <c r="A1306" s="23" t="s">
        <v>3187</v>
      </c>
      <c r="B1306" s="10" t="s">
        <v>3188</v>
      </c>
      <c r="C1306" s="23" t="s">
        <v>1383</v>
      </c>
      <c r="D1306" s="28" t="s">
        <v>3189</v>
      </c>
      <c r="E1306" s="25">
        <v>106</v>
      </c>
      <c r="F1306" s="23" t="str">
        <f>VLOOKUP(B1306,'[2]справочник кодов нп'!$A:$D,4,0)</f>
        <v>сельские населенные пункты с численностью населения менее 1 000 человек.</v>
      </c>
      <c r="G1306" s="45" t="s">
        <v>1385</v>
      </c>
      <c r="H1306" s="10" t="s">
        <v>1383</v>
      </c>
      <c r="I1306" s="35" t="s">
        <v>7017</v>
      </c>
      <c r="J1306" s="33" t="s">
        <v>1337</v>
      </c>
    </row>
    <row r="1307" spans="1:10" x14ac:dyDescent="0.25">
      <c r="A1307" s="23" t="s">
        <v>3190</v>
      </c>
      <c r="B1307" s="10" t="s">
        <v>3191</v>
      </c>
      <c r="C1307" s="23" t="s">
        <v>1383</v>
      </c>
      <c r="D1307" s="28" t="s">
        <v>3192</v>
      </c>
      <c r="E1307" s="25">
        <v>106</v>
      </c>
      <c r="F1307" s="23" t="str">
        <f>VLOOKUP(B1307,'[2]справочник кодов нп'!$A:$D,4,0)</f>
        <v>сельские населенные пункты с численностью населения менее 1 000 человек.</v>
      </c>
      <c r="G1307" s="23" t="s">
        <v>1385</v>
      </c>
      <c r="H1307" s="10" t="s">
        <v>1383</v>
      </c>
      <c r="I1307" s="35" t="s">
        <v>7017</v>
      </c>
      <c r="J1307" s="33" t="s">
        <v>1337</v>
      </c>
    </row>
    <row r="1308" spans="1:10" x14ac:dyDescent="0.25">
      <c r="A1308" s="23" t="s">
        <v>3193</v>
      </c>
      <c r="B1308" s="10" t="s">
        <v>3194</v>
      </c>
      <c r="C1308" s="23" t="s">
        <v>1383</v>
      </c>
      <c r="D1308" s="28" t="s">
        <v>3195</v>
      </c>
      <c r="E1308" s="25">
        <v>106</v>
      </c>
      <c r="F1308" s="23" t="str">
        <f>VLOOKUP(B1308,'[2]справочник кодов нп'!$A:$D,4,0)</f>
        <v>сельские населенные пункты с численностью населения менее 1 000 человек.</v>
      </c>
      <c r="G1308" s="23" t="s">
        <v>1385</v>
      </c>
      <c r="H1308" s="10" t="s">
        <v>1383</v>
      </c>
      <c r="I1308" s="35" t="s">
        <v>7017</v>
      </c>
      <c r="J1308" s="33" t="s">
        <v>1337</v>
      </c>
    </row>
    <row r="1309" spans="1:10" x14ac:dyDescent="0.25">
      <c r="A1309" s="23" t="s">
        <v>3196</v>
      </c>
      <c r="B1309" s="10" t="s">
        <v>3197</v>
      </c>
      <c r="C1309" s="23" t="s">
        <v>1383</v>
      </c>
      <c r="D1309" s="28" t="s">
        <v>3198</v>
      </c>
      <c r="E1309" s="25">
        <v>106</v>
      </c>
      <c r="F1309" s="23" t="str">
        <f>VLOOKUP(B1309,'[2]справочник кодов нп'!$A:$D,4,0)</f>
        <v>сельские населенные пункты с численностью населения менее 1 000 человек.</v>
      </c>
      <c r="G1309" s="23" t="s">
        <v>1385</v>
      </c>
      <c r="H1309" s="10" t="s">
        <v>1383</v>
      </c>
      <c r="I1309" s="35" t="s">
        <v>7017</v>
      </c>
      <c r="J1309" s="33" t="s">
        <v>1337</v>
      </c>
    </row>
    <row r="1310" spans="1:10" x14ac:dyDescent="0.25">
      <c r="A1310" s="23" t="s">
        <v>3199</v>
      </c>
      <c r="B1310" s="10" t="s">
        <v>3200</v>
      </c>
      <c r="C1310" s="23" t="s">
        <v>1383</v>
      </c>
      <c r="D1310" s="28" t="s">
        <v>3201</v>
      </c>
      <c r="E1310" s="25">
        <v>106</v>
      </c>
      <c r="F1310" s="23" t="str">
        <f>VLOOKUP(B1310,'[2]справочник кодов нп'!$A:$D,4,0)</f>
        <v>сельские населенные пункты с численностью населения менее 1 000 человек.</v>
      </c>
      <c r="G1310" s="23" t="s">
        <v>1385</v>
      </c>
      <c r="H1310" s="10" t="s">
        <v>1383</v>
      </c>
      <c r="I1310" s="35" t="s">
        <v>7017</v>
      </c>
      <c r="J1310" s="33" t="s">
        <v>1337</v>
      </c>
    </row>
    <row r="1311" spans="1:10" x14ac:dyDescent="0.25">
      <c r="A1311" s="23" t="s">
        <v>3202</v>
      </c>
      <c r="B1311" s="10" t="s">
        <v>3203</v>
      </c>
      <c r="C1311" s="23" t="s">
        <v>1383</v>
      </c>
      <c r="D1311" s="28" t="s">
        <v>3204</v>
      </c>
      <c r="E1311" s="25">
        <v>106</v>
      </c>
      <c r="F1311" s="23" t="str">
        <f>VLOOKUP(B1311,'[2]справочник кодов нп'!$A:$D,4,0)</f>
        <v>сельские населенные пункты с численностью населения менее 1 000 человек.</v>
      </c>
      <c r="G1311" s="23" t="s">
        <v>1385</v>
      </c>
      <c r="H1311" s="10" t="s">
        <v>1383</v>
      </c>
      <c r="I1311" s="35" t="s">
        <v>7017</v>
      </c>
      <c r="J1311" s="33" t="s">
        <v>1337</v>
      </c>
    </row>
    <row r="1312" spans="1:10" x14ac:dyDescent="0.25">
      <c r="A1312" s="23" t="s">
        <v>3205</v>
      </c>
      <c r="B1312" s="10" t="s">
        <v>3206</v>
      </c>
      <c r="C1312" s="23" t="s">
        <v>1383</v>
      </c>
      <c r="D1312" s="28" t="s">
        <v>3207</v>
      </c>
      <c r="E1312" s="25">
        <v>106</v>
      </c>
      <c r="F1312" s="23" t="str">
        <f>VLOOKUP(B1312,'[2]справочник кодов нп'!$A:$D,4,0)</f>
        <v>сельские населенные пункты с численностью населения менее 1 000 человек.</v>
      </c>
      <c r="G1312" s="23" t="s">
        <v>1385</v>
      </c>
      <c r="H1312" s="10" t="s">
        <v>1383</v>
      </c>
      <c r="I1312" s="35" t="s">
        <v>7017</v>
      </c>
      <c r="J1312" s="33" t="s">
        <v>1337</v>
      </c>
    </row>
    <row r="1313" spans="1:10" x14ac:dyDescent="0.25">
      <c r="A1313" s="23" t="s">
        <v>3208</v>
      </c>
      <c r="B1313" s="10" t="s">
        <v>3209</v>
      </c>
      <c r="C1313" s="23" t="s">
        <v>1383</v>
      </c>
      <c r="D1313" s="28" t="s">
        <v>3210</v>
      </c>
      <c r="E1313" s="25">
        <v>106</v>
      </c>
      <c r="F1313" s="23" t="str">
        <f>VLOOKUP(B1313,'[2]справочник кодов нп'!$A:$D,4,0)</f>
        <v>сельские населенные пункты с численностью населения менее 1 000 человек.</v>
      </c>
      <c r="G1313" s="45" t="s">
        <v>1385</v>
      </c>
      <c r="H1313" s="10" t="s">
        <v>1383</v>
      </c>
      <c r="I1313" s="35" t="s">
        <v>7017</v>
      </c>
      <c r="J1313" s="33" t="s">
        <v>1337</v>
      </c>
    </row>
    <row r="1314" spans="1:10" x14ac:dyDescent="0.25">
      <c r="A1314" s="23" t="s">
        <v>3211</v>
      </c>
      <c r="B1314" s="10" t="s">
        <v>3212</v>
      </c>
      <c r="C1314" s="23" t="s">
        <v>1383</v>
      </c>
      <c r="D1314" s="28" t="s">
        <v>3213</v>
      </c>
      <c r="E1314" s="25">
        <v>106</v>
      </c>
      <c r="F1314" s="23" t="str">
        <f>VLOOKUP(B1314,'[2]справочник кодов нп'!$A:$D,4,0)</f>
        <v>сельские населенные пункты с численностью населения менее 1 000 человек.</v>
      </c>
      <c r="G1314" s="45" t="s">
        <v>1385</v>
      </c>
      <c r="H1314" s="10" t="s">
        <v>1383</v>
      </c>
      <c r="I1314" s="35" t="s">
        <v>7017</v>
      </c>
      <c r="J1314" s="33" t="s">
        <v>1337</v>
      </c>
    </row>
    <row r="1315" spans="1:10" x14ac:dyDescent="0.25">
      <c r="A1315" s="23" t="s">
        <v>3214</v>
      </c>
      <c r="B1315" s="10" t="s">
        <v>3215</v>
      </c>
      <c r="C1315" s="23" t="s">
        <v>1383</v>
      </c>
      <c r="D1315" s="28" t="s">
        <v>3216</v>
      </c>
      <c r="E1315" s="25">
        <v>106</v>
      </c>
      <c r="F1315" s="23" t="str">
        <f>VLOOKUP(B1315,'[2]справочник кодов нп'!$A:$D,4,0)</f>
        <v>сельские населенные пункты с численностью населения менее 1 000 человек.</v>
      </c>
      <c r="G1315" s="23" t="s">
        <v>1385</v>
      </c>
      <c r="H1315" s="10" t="s">
        <v>1383</v>
      </c>
      <c r="I1315" s="35" t="s">
        <v>7017</v>
      </c>
      <c r="J1315" s="33" t="s">
        <v>1337</v>
      </c>
    </row>
    <row r="1316" spans="1:10" x14ac:dyDescent="0.25">
      <c r="A1316" s="23" t="s">
        <v>3217</v>
      </c>
      <c r="B1316" s="10" t="s">
        <v>3218</v>
      </c>
      <c r="C1316" s="23" t="s">
        <v>1383</v>
      </c>
      <c r="D1316" s="28" t="s">
        <v>3219</v>
      </c>
      <c r="E1316" s="25">
        <v>106</v>
      </c>
      <c r="F1316" s="23" t="str">
        <f>VLOOKUP(B1316,'[2]справочник кодов нп'!$A:$D,4,0)</f>
        <v>сельские населенные пункты с численностью населения менее 1 000 человек.</v>
      </c>
      <c r="G1316" s="23" t="s">
        <v>1385</v>
      </c>
      <c r="H1316" s="10" t="s">
        <v>1383</v>
      </c>
      <c r="I1316" s="35" t="s">
        <v>7017</v>
      </c>
      <c r="J1316" s="33" t="s">
        <v>1337</v>
      </c>
    </row>
    <row r="1317" spans="1:10" x14ac:dyDescent="0.25">
      <c r="A1317" s="23" t="s">
        <v>3220</v>
      </c>
      <c r="B1317" s="10" t="s">
        <v>3221</v>
      </c>
      <c r="C1317" s="23" t="s">
        <v>1383</v>
      </c>
      <c r="D1317" s="28" t="s">
        <v>3222</v>
      </c>
      <c r="E1317" s="25">
        <v>106</v>
      </c>
      <c r="F1317" s="23" t="str">
        <f>VLOOKUP(B1317,'[2]справочник кодов нп'!$A:$D,4,0)</f>
        <v>сельские населенные пункты с численностью населения менее 1 000 человек.</v>
      </c>
      <c r="G1317" s="23" t="s">
        <v>1385</v>
      </c>
      <c r="H1317" s="10" t="s">
        <v>1383</v>
      </c>
      <c r="I1317" s="35" t="s">
        <v>7017</v>
      </c>
      <c r="J1317" s="33" t="s">
        <v>1337</v>
      </c>
    </row>
    <row r="1318" spans="1:10" x14ac:dyDescent="0.25">
      <c r="A1318" s="23" t="s">
        <v>3223</v>
      </c>
      <c r="B1318" s="10" t="s">
        <v>3224</v>
      </c>
      <c r="C1318" s="23" t="s">
        <v>1383</v>
      </c>
      <c r="D1318" s="28" t="s">
        <v>3225</v>
      </c>
      <c r="E1318" s="25">
        <v>106</v>
      </c>
      <c r="F1318" s="23" t="str">
        <f>VLOOKUP(B1318,'[2]справочник кодов нп'!$A:$D,4,0)</f>
        <v>сельские населенные пункты с численностью населения менее 1 000 человек.</v>
      </c>
      <c r="G1318" s="23" t="s">
        <v>1385</v>
      </c>
      <c r="H1318" s="10" t="s">
        <v>1383</v>
      </c>
      <c r="I1318" s="35" t="s">
        <v>7017</v>
      </c>
      <c r="J1318" s="33" t="s">
        <v>1337</v>
      </c>
    </row>
    <row r="1319" spans="1:10" x14ac:dyDescent="0.25">
      <c r="A1319" s="23" t="s">
        <v>3226</v>
      </c>
      <c r="B1319" s="10" t="s">
        <v>3227</v>
      </c>
      <c r="C1319" s="23" t="s">
        <v>1383</v>
      </c>
      <c r="D1319" s="28" t="s">
        <v>3228</v>
      </c>
      <c r="E1319" s="25">
        <v>106</v>
      </c>
      <c r="F1319" s="23" t="str">
        <f>VLOOKUP(B1319,'[2]справочник кодов нп'!$A:$D,4,0)</f>
        <v>сельские населенные пункты с численностью населения менее 1 000 человек.</v>
      </c>
      <c r="G1319" s="23" t="s">
        <v>1385</v>
      </c>
      <c r="H1319" s="10" t="s">
        <v>1383</v>
      </c>
      <c r="I1319" s="35" t="s">
        <v>7017</v>
      </c>
      <c r="J1319" s="33" t="s">
        <v>1337</v>
      </c>
    </row>
    <row r="1320" spans="1:10" x14ac:dyDescent="0.25">
      <c r="A1320" s="23" t="s">
        <v>3229</v>
      </c>
      <c r="B1320" s="10" t="s">
        <v>3230</v>
      </c>
      <c r="C1320" s="23" t="s">
        <v>1383</v>
      </c>
      <c r="D1320" s="28" t="s">
        <v>3231</v>
      </c>
      <c r="E1320" s="25">
        <v>106</v>
      </c>
      <c r="F1320" s="23" t="str">
        <f>VLOOKUP(B1320,'[2]справочник кодов нп'!$A:$D,4,0)</f>
        <v>сельские населенные пункты с численностью населения менее 1 000 человек.</v>
      </c>
      <c r="G1320" s="23" t="s">
        <v>1385</v>
      </c>
      <c r="H1320" s="10" t="s">
        <v>1383</v>
      </c>
      <c r="I1320" s="35" t="s">
        <v>7017</v>
      </c>
      <c r="J1320" s="33" t="s">
        <v>1337</v>
      </c>
    </row>
    <row r="1321" spans="1:10" x14ac:dyDescent="0.25">
      <c r="A1321" s="23" t="s">
        <v>5201</v>
      </c>
      <c r="B1321" s="10" t="s">
        <v>5202</v>
      </c>
      <c r="C1321" s="23" t="s">
        <v>1383</v>
      </c>
      <c r="D1321" s="28" t="s">
        <v>5203</v>
      </c>
      <c r="E1321" s="25">
        <v>106</v>
      </c>
      <c r="F1321" s="23" t="str">
        <f>VLOOKUP(B1321,'[2]справочник кодов нп'!$A:$D,4,0)</f>
        <v>сельские населенные пункты с численностью населения менее 1 000 человек.</v>
      </c>
      <c r="G1321" s="23" t="s">
        <v>1385</v>
      </c>
      <c r="H1321" s="10" t="s">
        <v>1383</v>
      </c>
      <c r="I1321" s="35" t="s">
        <v>7017</v>
      </c>
      <c r="J1321" s="33" t="s">
        <v>1337</v>
      </c>
    </row>
    <row r="1322" spans="1:10" x14ac:dyDescent="0.25">
      <c r="A1322" s="23" t="s">
        <v>5480</v>
      </c>
      <c r="B1322" s="10" t="s">
        <v>5481</v>
      </c>
      <c r="C1322" s="23" t="s">
        <v>1383</v>
      </c>
      <c r="D1322" s="28" t="s">
        <v>5482</v>
      </c>
      <c r="E1322" s="25">
        <v>106</v>
      </c>
      <c r="F1322" s="23" t="str">
        <f>VLOOKUP(B1322,'[2]справочник кодов нп'!$A:$D,4,0)</f>
        <v>сельские населенные пункты с численностью населения менее 1 000 человек.</v>
      </c>
      <c r="G1322" s="45" t="s">
        <v>1385</v>
      </c>
      <c r="H1322" s="10" t="s">
        <v>1383</v>
      </c>
      <c r="I1322" s="35" t="s">
        <v>7017</v>
      </c>
      <c r="J1322" s="33" t="s">
        <v>1337</v>
      </c>
    </row>
    <row r="1323" spans="1:10" x14ac:dyDescent="0.25">
      <c r="A1323" s="23" t="s">
        <v>6953</v>
      </c>
      <c r="B1323" s="10" t="s">
        <v>6954</v>
      </c>
      <c r="C1323" s="23" t="s">
        <v>1383</v>
      </c>
      <c r="D1323" s="28" t="s">
        <v>6846</v>
      </c>
      <c r="E1323" s="25">
        <v>106</v>
      </c>
      <c r="F1323" s="23" t="str">
        <f>VLOOKUP(B1323,'[2]справочник кодов нп'!$A:$D,4,0)</f>
        <v>межселенная территория</v>
      </c>
      <c r="G1323" s="45" t="s">
        <v>1385</v>
      </c>
      <c r="H1323" s="10" t="s">
        <v>1383</v>
      </c>
      <c r="I1323" s="35" t="s">
        <v>7019</v>
      </c>
      <c r="J1323" s="33" t="s">
        <v>1337</v>
      </c>
    </row>
    <row r="1324" spans="1:10" x14ac:dyDescent="0.25">
      <c r="A1324" s="23" t="s">
        <v>3232</v>
      </c>
      <c r="B1324" s="10" t="s">
        <v>3233</v>
      </c>
      <c r="C1324" s="23" t="s">
        <v>3234</v>
      </c>
      <c r="D1324" s="28" t="s">
        <v>3235</v>
      </c>
      <c r="E1324" s="25">
        <v>106</v>
      </c>
      <c r="F1324" s="23" t="str">
        <f>VLOOKUP(B1324,'[2]справочник кодов нп'!$A:$D,4,0)</f>
        <v>сельские населенные пункты с численностью населения менее 1 000 человек.</v>
      </c>
      <c r="G1324" s="45" t="s">
        <v>1385</v>
      </c>
      <c r="H1324" s="10" t="s">
        <v>3234</v>
      </c>
      <c r="I1324" s="35" t="s">
        <v>7017</v>
      </c>
      <c r="J1324" s="33" t="s">
        <v>1337</v>
      </c>
    </row>
    <row r="1325" spans="1:10" x14ac:dyDescent="0.25">
      <c r="A1325" s="23" t="s">
        <v>3236</v>
      </c>
      <c r="B1325" s="10" t="s">
        <v>3237</v>
      </c>
      <c r="C1325" s="23" t="s">
        <v>3234</v>
      </c>
      <c r="D1325" s="28" t="s">
        <v>3238</v>
      </c>
      <c r="E1325" s="25">
        <v>106</v>
      </c>
      <c r="F1325" s="23" t="str">
        <f>VLOOKUP(B1325,'[2]справочник кодов нп'!$A:$D,4,0)</f>
        <v>сельские населенные пункты с численностью населения менее 1 000 человек.</v>
      </c>
      <c r="G1325" s="45" t="s">
        <v>1385</v>
      </c>
      <c r="H1325" s="10" t="s">
        <v>3234</v>
      </c>
      <c r="I1325" s="35" t="s">
        <v>7017</v>
      </c>
      <c r="J1325" s="33" t="s">
        <v>1337</v>
      </c>
    </row>
    <row r="1326" spans="1:10" x14ac:dyDescent="0.25">
      <c r="A1326" s="23" t="s">
        <v>3239</v>
      </c>
      <c r="B1326" s="10" t="s">
        <v>3240</v>
      </c>
      <c r="C1326" s="23" t="s">
        <v>3234</v>
      </c>
      <c r="D1326" s="28" t="s">
        <v>3241</v>
      </c>
      <c r="E1326" s="25">
        <v>106</v>
      </c>
      <c r="F1326" s="23" t="str">
        <f>VLOOKUP(B1326,'[2]справочник кодов нп'!$A:$D,4,0)</f>
        <v>сельские населенные пункты с численностью населения менее 1 000 человек.</v>
      </c>
      <c r="G1326" s="45" t="s">
        <v>1385</v>
      </c>
      <c r="H1326" s="10" t="s">
        <v>3234</v>
      </c>
      <c r="I1326" s="35" t="s">
        <v>7017</v>
      </c>
      <c r="J1326" s="33" t="s">
        <v>1337</v>
      </c>
    </row>
    <row r="1327" spans="1:10" x14ac:dyDescent="0.25">
      <c r="A1327" s="23" t="s">
        <v>3242</v>
      </c>
      <c r="B1327" s="10" t="s">
        <v>3243</v>
      </c>
      <c r="C1327" s="23" t="s">
        <v>3234</v>
      </c>
      <c r="D1327" s="28" t="s">
        <v>3244</v>
      </c>
      <c r="E1327" s="25">
        <v>106</v>
      </c>
      <c r="F1327" s="23" t="str">
        <f>VLOOKUP(B1327,'[2]справочник кодов нп'!$A:$D,4,0)</f>
        <v>сельские населенные пункты с численностью населения менее 1 000 человек.</v>
      </c>
      <c r="G1327" s="45" t="s">
        <v>1385</v>
      </c>
      <c r="H1327" s="10" t="s">
        <v>3234</v>
      </c>
      <c r="I1327" s="35" t="s">
        <v>7017</v>
      </c>
      <c r="J1327" s="33" t="s">
        <v>1337</v>
      </c>
    </row>
    <row r="1328" spans="1:10" x14ac:dyDescent="0.25">
      <c r="A1328" s="23" t="s">
        <v>3245</v>
      </c>
      <c r="B1328" s="10" t="s">
        <v>3246</v>
      </c>
      <c r="C1328" s="23" t="s">
        <v>3234</v>
      </c>
      <c r="D1328" s="28" t="s">
        <v>3247</v>
      </c>
      <c r="E1328" s="25">
        <v>106</v>
      </c>
      <c r="F1328" s="23" t="str">
        <f>VLOOKUP(B1328,'[2]справочник кодов нп'!$A:$D,4,0)</f>
        <v>сельские населенные пункты с численностью населения менее 1 000 человек.</v>
      </c>
      <c r="G1328" s="45" t="s">
        <v>1385</v>
      </c>
      <c r="H1328" s="10" t="s">
        <v>3234</v>
      </c>
      <c r="I1328" s="35" t="s">
        <v>7017</v>
      </c>
      <c r="J1328" s="33" t="s">
        <v>1337</v>
      </c>
    </row>
    <row r="1329" spans="1:10" x14ac:dyDescent="0.25">
      <c r="A1329" s="23" t="s">
        <v>3248</v>
      </c>
      <c r="B1329" s="10" t="s">
        <v>3249</v>
      </c>
      <c r="C1329" s="23" t="s">
        <v>3234</v>
      </c>
      <c r="D1329" s="28" t="s">
        <v>3250</v>
      </c>
      <c r="E1329" s="25">
        <v>106</v>
      </c>
      <c r="F1329" s="23" t="str">
        <f>VLOOKUP(B1329,'[2]справочник кодов нп'!$A:$D,4,0)</f>
        <v>сельские населенные пункты с численностью населения менее 1 000 человек.</v>
      </c>
      <c r="G1329" s="23" t="s">
        <v>1385</v>
      </c>
      <c r="H1329" s="10" t="s">
        <v>3234</v>
      </c>
      <c r="I1329" s="35" t="s">
        <v>7017</v>
      </c>
      <c r="J1329" s="33" t="s">
        <v>1337</v>
      </c>
    </row>
    <row r="1330" spans="1:10" x14ac:dyDescent="0.25">
      <c r="A1330" s="23" t="s">
        <v>3251</v>
      </c>
      <c r="B1330" s="10" t="s">
        <v>3252</v>
      </c>
      <c r="C1330" s="23" t="s">
        <v>3234</v>
      </c>
      <c r="D1330" s="28" t="s">
        <v>3253</v>
      </c>
      <c r="E1330" s="25">
        <v>106</v>
      </c>
      <c r="F1330" s="23" t="str">
        <f>VLOOKUP(B1330,'[2]справочник кодов нп'!$A:$D,4,0)</f>
        <v>сельские населенные пункты с численностью населения менее 1 000 человек.</v>
      </c>
      <c r="G1330" s="23" t="s">
        <v>1385</v>
      </c>
      <c r="H1330" s="10" t="s">
        <v>3234</v>
      </c>
      <c r="I1330" s="35" t="s">
        <v>7017</v>
      </c>
      <c r="J1330" s="33" t="s">
        <v>1337</v>
      </c>
    </row>
    <row r="1331" spans="1:10" x14ac:dyDescent="0.25">
      <c r="A1331" s="23" t="s">
        <v>3254</v>
      </c>
      <c r="B1331" s="10" t="s">
        <v>3255</v>
      </c>
      <c r="C1331" s="23" t="s">
        <v>3234</v>
      </c>
      <c r="D1331" s="28" t="s">
        <v>3256</v>
      </c>
      <c r="E1331" s="25">
        <v>106</v>
      </c>
      <c r="F1331" s="23" t="str">
        <f>VLOOKUP(B1331,'[2]справочник кодов нп'!$A:$D,4,0)</f>
        <v>сельские населенные пункты с численностью населения менее 1 000 человек.</v>
      </c>
      <c r="G1331" s="23" t="s">
        <v>1385</v>
      </c>
      <c r="H1331" s="10" t="s">
        <v>3234</v>
      </c>
      <c r="I1331" s="35" t="s">
        <v>7017</v>
      </c>
      <c r="J1331" s="33" t="s">
        <v>1337</v>
      </c>
    </row>
    <row r="1332" spans="1:10" x14ac:dyDescent="0.25">
      <c r="A1332" s="23" t="s">
        <v>3257</v>
      </c>
      <c r="B1332" s="10" t="s">
        <v>3258</v>
      </c>
      <c r="C1332" s="23" t="s">
        <v>3234</v>
      </c>
      <c r="D1332" s="28" t="s">
        <v>3259</v>
      </c>
      <c r="E1332" s="25">
        <v>106</v>
      </c>
      <c r="F1332" s="23" t="str">
        <f>VLOOKUP(B1332,'[2]справочник кодов нп'!$A:$D,4,0)</f>
        <v>сельские населенные пункты с численностью населения менее 1 000 человек.</v>
      </c>
      <c r="G1332" s="23" t="s">
        <v>1385</v>
      </c>
      <c r="H1332" s="10" t="s">
        <v>3234</v>
      </c>
      <c r="I1332" s="35" t="s">
        <v>7017</v>
      </c>
      <c r="J1332" s="33" t="s">
        <v>1337</v>
      </c>
    </row>
    <row r="1333" spans="1:10" x14ac:dyDescent="0.25">
      <c r="A1333" s="23" t="s">
        <v>3260</v>
      </c>
      <c r="B1333" s="10" t="s">
        <v>3261</v>
      </c>
      <c r="C1333" s="23" t="s">
        <v>3234</v>
      </c>
      <c r="D1333" s="28" t="s">
        <v>3262</v>
      </c>
      <c r="E1333" s="25">
        <v>106</v>
      </c>
      <c r="F1333" s="23" t="str">
        <f>VLOOKUP(B1333,'[2]справочник кодов нп'!$A:$D,4,0)</f>
        <v>сельские населенные пункты с численностью населения менее 1 000 человек.</v>
      </c>
      <c r="G1333" s="23" t="s">
        <v>1385</v>
      </c>
      <c r="H1333" s="10" t="s">
        <v>3234</v>
      </c>
      <c r="I1333" s="35" t="s">
        <v>7017</v>
      </c>
      <c r="J1333" s="33" t="s">
        <v>1337</v>
      </c>
    </row>
    <row r="1334" spans="1:10" x14ac:dyDescent="0.25">
      <c r="A1334" s="23" t="s">
        <v>3263</v>
      </c>
      <c r="B1334" s="10" t="s">
        <v>3264</v>
      </c>
      <c r="C1334" s="23" t="s">
        <v>3234</v>
      </c>
      <c r="D1334" s="28" t="s">
        <v>3265</v>
      </c>
      <c r="E1334" s="25">
        <v>106</v>
      </c>
      <c r="F1334" s="23" t="str">
        <f>VLOOKUP(B1334,'[2]справочник кодов нп'!$A:$D,4,0)</f>
        <v>сельские населенные пункты с численностью населения менее 1 000 человек.</v>
      </c>
      <c r="G1334" s="45" t="s">
        <v>1385</v>
      </c>
      <c r="H1334" s="10" t="s">
        <v>3234</v>
      </c>
      <c r="I1334" s="35" t="s">
        <v>7017</v>
      </c>
      <c r="J1334" s="33" t="s">
        <v>1337</v>
      </c>
    </row>
    <row r="1335" spans="1:10" x14ac:dyDescent="0.25">
      <c r="A1335" s="23" t="s">
        <v>3266</v>
      </c>
      <c r="B1335" s="10" t="s">
        <v>3267</v>
      </c>
      <c r="C1335" s="23" t="s">
        <v>3234</v>
      </c>
      <c r="D1335" s="28" t="s">
        <v>3268</v>
      </c>
      <c r="E1335" s="25">
        <v>106</v>
      </c>
      <c r="F1335" s="23" t="str">
        <f>VLOOKUP(B1335,'[2]справочник кодов нп'!$A:$D,4,0)</f>
        <v>сельские населенные пункты с численностью населения менее 1 000 человек.</v>
      </c>
      <c r="G1335" s="45" t="s">
        <v>1385</v>
      </c>
      <c r="H1335" s="10" t="s">
        <v>3234</v>
      </c>
      <c r="I1335" s="35" t="s">
        <v>7017</v>
      </c>
      <c r="J1335" s="33" t="s">
        <v>1337</v>
      </c>
    </row>
    <row r="1336" spans="1:10" x14ac:dyDescent="0.25">
      <c r="A1336" s="23" t="s">
        <v>3269</v>
      </c>
      <c r="B1336" s="10" t="s">
        <v>3270</v>
      </c>
      <c r="C1336" s="23" t="s">
        <v>3234</v>
      </c>
      <c r="D1336" s="28" t="s">
        <v>3271</v>
      </c>
      <c r="E1336" s="25">
        <v>106</v>
      </c>
      <c r="F1336" s="23" t="str">
        <f>VLOOKUP(B1336,'[2]справочник кодов нп'!$A:$D,4,0)</f>
        <v>сельские населенные пункты с численностью населения менее 1 000 человек.</v>
      </c>
      <c r="G1336" s="45" t="s">
        <v>1385</v>
      </c>
      <c r="H1336" s="10" t="s">
        <v>3234</v>
      </c>
      <c r="I1336" s="35" t="s">
        <v>7017</v>
      </c>
      <c r="J1336" s="33" t="s">
        <v>1337</v>
      </c>
    </row>
    <row r="1337" spans="1:10" x14ac:dyDescent="0.25">
      <c r="A1337" s="23" t="s">
        <v>5204</v>
      </c>
      <c r="B1337" s="10" t="s">
        <v>5205</v>
      </c>
      <c r="C1337" s="23" t="s">
        <v>3234</v>
      </c>
      <c r="D1337" s="28" t="s">
        <v>5206</v>
      </c>
      <c r="E1337" s="25">
        <v>106</v>
      </c>
      <c r="F1337" s="23" t="str">
        <f>VLOOKUP(B1337,'[2]справочник кодов нп'!$A:$D,4,0)</f>
        <v>сельские населенные пункты с численностью населения более 1 000 человек;</v>
      </c>
      <c r="G1337" s="23" t="s">
        <v>1385</v>
      </c>
      <c r="H1337" s="10" t="s">
        <v>3234</v>
      </c>
      <c r="I1337" s="35" t="s">
        <v>7017</v>
      </c>
      <c r="J1337" s="33" t="s">
        <v>1337</v>
      </c>
    </row>
    <row r="1338" spans="1:10" x14ac:dyDescent="0.25">
      <c r="A1338" s="23" t="s">
        <v>5207</v>
      </c>
      <c r="B1338" s="10" t="s">
        <v>5208</v>
      </c>
      <c r="C1338" s="23" t="s">
        <v>3234</v>
      </c>
      <c r="D1338" s="28" t="s">
        <v>5209</v>
      </c>
      <c r="E1338" s="25">
        <v>106</v>
      </c>
      <c r="F1338" s="23" t="str">
        <f>VLOOKUP(B1338,'[2]справочник кодов нп'!$A:$D,4,0)</f>
        <v>городские населенные пункты с численностью населения менее 50 000 человек;</v>
      </c>
      <c r="G1338" s="23" t="s">
        <v>1385</v>
      </c>
      <c r="H1338" s="10" t="s">
        <v>3234</v>
      </c>
      <c r="I1338" s="35" t="s">
        <v>7017</v>
      </c>
      <c r="J1338" s="33" t="s">
        <v>1337</v>
      </c>
    </row>
    <row r="1339" spans="1:10" x14ac:dyDescent="0.25">
      <c r="A1339" s="23" t="s">
        <v>5240</v>
      </c>
      <c r="B1339" s="10" t="s">
        <v>5241</v>
      </c>
      <c r="C1339" s="23" t="s">
        <v>3234</v>
      </c>
      <c r="D1339" s="28" t="s">
        <v>5242</v>
      </c>
      <c r="E1339" s="25">
        <v>106</v>
      </c>
      <c r="F1339" s="23" t="str">
        <f>VLOOKUP(B1339,'[2]справочник кодов нп'!$A:$D,4,0)</f>
        <v>сельские населенные пункты с численностью населения менее 1 000 человек.</v>
      </c>
      <c r="G1339" s="45" t="s">
        <v>1385</v>
      </c>
      <c r="H1339" s="10" t="s">
        <v>3234</v>
      </c>
      <c r="I1339" s="35" t="s">
        <v>7017</v>
      </c>
      <c r="J1339" s="33" t="s">
        <v>1337</v>
      </c>
    </row>
    <row r="1340" spans="1:10" x14ac:dyDescent="0.25">
      <c r="A1340" s="23" t="s">
        <v>5243</v>
      </c>
      <c r="B1340" s="10" t="s">
        <v>5244</v>
      </c>
      <c r="C1340" s="23" t="s">
        <v>3234</v>
      </c>
      <c r="D1340" s="28" t="s">
        <v>5245</v>
      </c>
      <c r="E1340" s="25">
        <v>106</v>
      </c>
      <c r="F1340" s="23" t="str">
        <f>VLOOKUP(B1340,'[2]справочник кодов нп'!$A:$D,4,0)</f>
        <v>сельские населенные пункты с численностью населения менее 1 000 человек.</v>
      </c>
      <c r="G1340" s="23" t="s">
        <v>1385</v>
      </c>
      <c r="H1340" s="10" t="s">
        <v>3234</v>
      </c>
      <c r="I1340" s="35" t="s">
        <v>7017</v>
      </c>
      <c r="J1340" s="33" t="s">
        <v>1337</v>
      </c>
    </row>
    <row r="1341" spans="1:10" x14ac:dyDescent="0.25">
      <c r="A1341" s="23" t="s">
        <v>5246</v>
      </c>
      <c r="B1341" s="10" t="s">
        <v>5247</v>
      </c>
      <c r="C1341" s="23" t="s">
        <v>3234</v>
      </c>
      <c r="D1341" s="28" t="s">
        <v>5248</v>
      </c>
      <c r="E1341" s="25">
        <v>106</v>
      </c>
      <c r="F1341" s="23" t="str">
        <f>VLOOKUP(B1341,'[2]справочник кодов нп'!$A:$D,4,0)</f>
        <v>сельские населенные пункты с численностью населения менее 1 000 человек.</v>
      </c>
      <c r="G1341" s="23" t="s">
        <v>1385</v>
      </c>
      <c r="H1341" s="10" t="s">
        <v>3234</v>
      </c>
      <c r="I1341" s="35" t="s">
        <v>7017</v>
      </c>
      <c r="J1341" s="33" t="s">
        <v>1337</v>
      </c>
    </row>
    <row r="1342" spans="1:10" x14ac:dyDescent="0.25">
      <c r="A1342" s="23" t="s">
        <v>5249</v>
      </c>
      <c r="B1342" s="10" t="s">
        <v>5250</v>
      </c>
      <c r="C1342" s="23" t="s">
        <v>3234</v>
      </c>
      <c r="D1342" s="28" t="s">
        <v>5251</v>
      </c>
      <c r="E1342" s="25">
        <v>106</v>
      </c>
      <c r="F1342" s="23" t="str">
        <f>VLOOKUP(B1342,'[2]справочник кодов нп'!$A:$D,4,0)</f>
        <v>сельские населенные пункты с численностью населения менее 1 000 человек.</v>
      </c>
      <c r="G1342" s="23" t="s">
        <v>1385</v>
      </c>
      <c r="H1342" s="10" t="s">
        <v>3234</v>
      </c>
      <c r="I1342" s="35" t="s">
        <v>7017</v>
      </c>
      <c r="J1342" s="33" t="s">
        <v>1337</v>
      </c>
    </row>
    <row r="1343" spans="1:10" x14ac:dyDescent="0.25">
      <c r="A1343" s="23" t="s">
        <v>5252</v>
      </c>
      <c r="B1343" s="10" t="s">
        <v>5253</v>
      </c>
      <c r="C1343" s="23" t="s">
        <v>3234</v>
      </c>
      <c r="D1343" s="28" t="s">
        <v>1474</v>
      </c>
      <c r="E1343" s="25">
        <v>106</v>
      </c>
      <c r="F1343" s="23" t="str">
        <f>VLOOKUP(B1343,'[2]справочник кодов нп'!$A:$D,4,0)</f>
        <v>сельские населенные пункты с численностью населения менее 1 000 человек.</v>
      </c>
      <c r="G1343" s="23" t="s">
        <v>1385</v>
      </c>
      <c r="H1343" s="10" t="s">
        <v>3234</v>
      </c>
      <c r="I1343" s="35" t="s">
        <v>7017</v>
      </c>
      <c r="J1343" s="33" t="s">
        <v>1337</v>
      </c>
    </row>
    <row r="1344" spans="1:10" x14ac:dyDescent="0.25">
      <c r="A1344" s="23" t="s">
        <v>6714</v>
      </c>
      <c r="B1344" s="10" t="s">
        <v>6715</v>
      </c>
      <c r="C1344" s="23" t="s">
        <v>3234</v>
      </c>
      <c r="D1344" s="28" t="s">
        <v>6716</v>
      </c>
      <c r="E1344" s="25">
        <v>106</v>
      </c>
      <c r="F1344" s="23" t="str">
        <f>VLOOKUP(B1344,'[2]справочник кодов нп'!$A:$D,4,0)</f>
        <v>сельские населенные пункты с численностью населения менее 1 000 человек.</v>
      </c>
      <c r="G1344" s="23" t="s">
        <v>1385</v>
      </c>
      <c r="H1344" s="10" t="s">
        <v>3234</v>
      </c>
      <c r="I1344" s="35" t="s">
        <v>7017</v>
      </c>
      <c r="J1344" s="33" t="s">
        <v>1337</v>
      </c>
    </row>
    <row r="1345" spans="1:10" x14ac:dyDescent="0.25">
      <c r="A1345" s="23" t="s">
        <v>6742</v>
      </c>
      <c r="B1345" s="10" t="s">
        <v>6743</v>
      </c>
      <c r="C1345" s="23" t="s">
        <v>3234</v>
      </c>
      <c r="D1345" s="28" t="s">
        <v>6744</v>
      </c>
      <c r="E1345" s="25">
        <v>106</v>
      </c>
      <c r="F1345" s="23" t="str">
        <f>VLOOKUP(B1345,'[2]справочник кодов нп'!$A:$D,4,0)</f>
        <v>сельские населенные пункты с численностью населения менее 1 000 человек.</v>
      </c>
      <c r="G1345" s="23" t="s">
        <v>1385</v>
      </c>
      <c r="H1345" s="10" t="s">
        <v>3234</v>
      </c>
      <c r="I1345" s="35" t="s">
        <v>7017</v>
      </c>
      <c r="J1345" s="33" t="s">
        <v>1337</v>
      </c>
    </row>
    <row r="1346" spans="1:10" x14ac:dyDescent="0.25">
      <c r="A1346" s="23" t="s">
        <v>6955</v>
      </c>
      <c r="B1346" s="10" t="s">
        <v>6956</v>
      </c>
      <c r="C1346" s="23" t="s">
        <v>3234</v>
      </c>
      <c r="D1346" s="28" t="s">
        <v>6846</v>
      </c>
      <c r="E1346" s="25">
        <v>106</v>
      </c>
      <c r="F1346" s="23" t="str">
        <f>VLOOKUP(B1346,'[2]справочник кодов нп'!$A:$D,4,0)</f>
        <v>межселенная территория</v>
      </c>
      <c r="G1346" s="23" t="s">
        <v>1385</v>
      </c>
      <c r="H1346" s="10" t="s">
        <v>3234</v>
      </c>
      <c r="I1346" s="35" t="s">
        <v>7019</v>
      </c>
      <c r="J1346" s="33" t="s">
        <v>1337</v>
      </c>
    </row>
    <row r="1347" spans="1:10" x14ac:dyDescent="0.25">
      <c r="A1347" s="23" t="s">
        <v>1508</v>
      </c>
      <c r="B1347" s="10" t="s">
        <v>1509</v>
      </c>
      <c r="C1347" s="23" t="s">
        <v>1510</v>
      </c>
      <c r="D1347" s="28" t="s">
        <v>1511</v>
      </c>
      <c r="E1347" s="25">
        <v>105</v>
      </c>
      <c r="F1347" s="23" t="str">
        <f>VLOOKUP(B1347,'[2]справочник кодов нп'!$A:$D,4,0)</f>
        <v>сельские населенные пункты с численностью населения менее 1 000 человек.</v>
      </c>
      <c r="G1347" s="27" t="s">
        <v>1448</v>
      </c>
      <c r="H1347" s="10" t="s">
        <v>1510</v>
      </c>
      <c r="I1347" s="35" t="s">
        <v>7017</v>
      </c>
      <c r="J1347" s="33" t="s">
        <v>1337</v>
      </c>
    </row>
    <row r="1348" spans="1:10" x14ac:dyDescent="0.25">
      <c r="A1348" s="23" t="s">
        <v>4661</v>
      </c>
      <c r="B1348" s="10" t="s">
        <v>4662</v>
      </c>
      <c r="C1348" s="23" t="s">
        <v>1510</v>
      </c>
      <c r="D1348" s="28" t="s">
        <v>4663</v>
      </c>
      <c r="E1348" s="25">
        <v>105</v>
      </c>
      <c r="F1348" s="23" t="str">
        <f>VLOOKUP(B1348,'[2]справочник кодов нп'!$A:$D,4,0)</f>
        <v>сельские населенные пункты с численностью населения более 1 000 человек;</v>
      </c>
      <c r="G1348" s="27" t="s">
        <v>1448</v>
      </c>
      <c r="H1348" s="10" t="s">
        <v>1510</v>
      </c>
      <c r="I1348" s="35" t="s">
        <v>7017</v>
      </c>
      <c r="J1348" s="33" t="s">
        <v>1337</v>
      </c>
    </row>
    <row r="1349" spans="1:10" x14ac:dyDescent="0.25">
      <c r="A1349" s="23" t="s">
        <v>4664</v>
      </c>
      <c r="B1349" s="10" t="s">
        <v>4665</v>
      </c>
      <c r="C1349" s="23" t="s">
        <v>1510</v>
      </c>
      <c r="D1349" s="28" t="s">
        <v>4666</v>
      </c>
      <c r="E1349" s="25">
        <v>105</v>
      </c>
      <c r="F1349" s="23" t="str">
        <f>VLOOKUP(B1349,'[2]справочник кодов нп'!$A:$D,4,0)</f>
        <v>сельские населенные пункты с численностью населения менее 1 000 человек.</v>
      </c>
      <c r="G1349" s="27" t="s">
        <v>1448</v>
      </c>
      <c r="H1349" s="10" t="s">
        <v>1510</v>
      </c>
      <c r="I1349" s="35" t="s">
        <v>7017</v>
      </c>
      <c r="J1349" s="33" t="s">
        <v>1337</v>
      </c>
    </row>
    <row r="1350" spans="1:10" x14ac:dyDescent="0.25">
      <c r="A1350" s="23" t="s">
        <v>4667</v>
      </c>
      <c r="B1350" s="10" t="s">
        <v>4668</v>
      </c>
      <c r="C1350" s="23" t="s">
        <v>1510</v>
      </c>
      <c r="D1350" s="28" t="s">
        <v>4669</v>
      </c>
      <c r="E1350" s="25">
        <v>105</v>
      </c>
      <c r="F1350" s="23" t="str">
        <f>VLOOKUP(B1350,'[2]справочник кодов нп'!$A:$D,4,0)</f>
        <v>сельские населенные пункты с численностью населения менее 1 000 человек.</v>
      </c>
      <c r="G1350" s="27" t="s">
        <v>1448</v>
      </c>
      <c r="H1350" s="10" t="s">
        <v>1510</v>
      </c>
      <c r="I1350" s="35" t="s">
        <v>7017</v>
      </c>
      <c r="J1350" s="33" t="s">
        <v>1337</v>
      </c>
    </row>
    <row r="1351" spans="1:10" x14ac:dyDescent="0.25">
      <c r="A1351" s="23" t="s">
        <v>4670</v>
      </c>
      <c r="B1351" s="10" t="s">
        <v>4671</v>
      </c>
      <c r="C1351" s="23" t="s">
        <v>1510</v>
      </c>
      <c r="D1351" s="28" t="s">
        <v>4672</v>
      </c>
      <c r="E1351" s="25">
        <v>105</v>
      </c>
      <c r="F1351" s="23" t="str">
        <f>VLOOKUP(B1351,'[2]справочник кодов нп'!$A:$D,4,0)</f>
        <v>сельские населенные пункты с численностью населения более 1 000 человек;</v>
      </c>
      <c r="G1351" s="27" t="s">
        <v>1448</v>
      </c>
      <c r="H1351" s="10" t="s">
        <v>1510</v>
      </c>
      <c r="I1351" s="35" t="s">
        <v>7017</v>
      </c>
      <c r="J1351" s="33" t="s">
        <v>1337</v>
      </c>
    </row>
    <row r="1352" spans="1:10" x14ac:dyDescent="0.25">
      <c r="A1352" s="23" t="s">
        <v>6387</v>
      </c>
      <c r="B1352" s="10" t="s">
        <v>6388</v>
      </c>
      <c r="C1352" s="23" t="s">
        <v>1510</v>
      </c>
      <c r="D1352" s="28" t="s">
        <v>6389</v>
      </c>
      <c r="E1352" s="25">
        <v>105</v>
      </c>
      <c r="F1352" s="23" t="s">
        <v>1447</v>
      </c>
      <c r="G1352" s="27" t="s">
        <v>1448</v>
      </c>
      <c r="H1352" s="10" t="s">
        <v>1510</v>
      </c>
      <c r="I1352" s="35" t="s">
        <v>7017</v>
      </c>
      <c r="J1352" s="45" t="s">
        <v>1341</v>
      </c>
    </row>
    <row r="1353" spans="1:10" x14ac:dyDescent="0.25">
      <c r="A1353" s="23" t="s">
        <v>6957</v>
      </c>
      <c r="B1353" s="10" t="s">
        <v>6958</v>
      </c>
      <c r="C1353" s="23" t="s">
        <v>1510</v>
      </c>
      <c r="D1353" s="28" t="s">
        <v>6846</v>
      </c>
      <c r="E1353" s="25">
        <v>105</v>
      </c>
      <c r="F1353" s="23" t="str">
        <f>VLOOKUP(B1353,'[2]справочник кодов нп'!$A:$D,4,0)</f>
        <v>межселенная территория</v>
      </c>
      <c r="G1353" s="27" t="s">
        <v>1448</v>
      </c>
      <c r="H1353" s="10" t="s">
        <v>1510</v>
      </c>
      <c r="I1353" s="35" t="s">
        <v>7019</v>
      </c>
      <c r="J1353" s="33" t="s">
        <v>1337</v>
      </c>
    </row>
    <row r="1354" spans="1:10" x14ac:dyDescent="0.25">
      <c r="A1354" s="23" t="s">
        <v>4929</v>
      </c>
      <c r="B1354" s="10" t="s">
        <v>4930</v>
      </c>
      <c r="C1354" s="23" t="s">
        <v>4931</v>
      </c>
      <c r="D1354" s="28" t="s">
        <v>4932</v>
      </c>
      <c r="E1354" s="25">
        <v>105</v>
      </c>
      <c r="F1354" s="23" t="str">
        <f>VLOOKUP(B1354,'[2]справочник кодов нп'!$A:$D,4,0)</f>
        <v>сельские населенные пункты с численностью населения менее 1 000 человек.</v>
      </c>
      <c r="G1354" s="27" t="s">
        <v>1448</v>
      </c>
      <c r="H1354" s="10" t="s">
        <v>4931</v>
      </c>
      <c r="I1354" s="35" t="s">
        <v>7017</v>
      </c>
      <c r="J1354" s="33" t="s">
        <v>1337</v>
      </c>
    </row>
    <row r="1355" spans="1:10" x14ac:dyDescent="0.25">
      <c r="A1355" s="23" t="s">
        <v>5350</v>
      </c>
      <c r="B1355" s="10" t="s">
        <v>5351</v>
      </c>
      <c r="C1355" s="23" t="s">
        <v>4931</v>
      </c>
      <c r="D1355" s="28" t="s">
        <v>5352</v>
      </c>
      <c r="E1355" s="25">
        <v>105</v>
      </c>
      <c r="F1355" s="23" t="str">
        <f>VLOOKUP(B1355,'[2]справочник кодов нп'!$A:$D,4,0)</f>
        <v>сельские населенные пункты с численностью населения менее 1 000 человек.</v>
      </c>
      <c r="G1355" s="27" t="s">
        <v>1448</v>
      </c>
      <c r="H1355" s="10" t="s">
        <v>4931</v>
      </c>
      <c r="I1355" s="35" t="s">
        <v>7017</v>
      </c>
      <c r="J1355" s="33" t="s">
        <v>1337</v>
      </c>
    </row>
    <row r="1356" spans="1:10" x14ac:dyDescent="0.25">
      <c r="A1356" s="23" t="s">
        <v>5353</v>
      </c>
      <c r="B1356" s="10" t="s">
        <v>5354</v>
      </c>
      <c r="C1356" s="23" t="s">
        <v>4931</v>
      </c>
      <c r="D1356" s="28" t="s">
        <v>5355</v>
      </c>
      <c r="E1356" s="25">
        <v>105</v>
      </c>
      <c r="F1356" s="23" t="str">
        <f>VLOOKUP(B1356,'[2]справочник кодов нп'!$A:$D,4,0)</f>
        <v>сельские населенные пункты с численностью населения менее 1 000 человек.</v>
      </c>
      <c r="G1356" s="27" t="s">
        <v>1448</v>
      </c>
      <c r="H1356" s="10" t="s">
        <v>4931</v>
      </c>
      <c r="I1356" s="35" t="s">
        <v>7017</v>
      </c>
      <c r="J1356" s="33" t="s">
        <v>1337</v>
      </c>
    </row>
    <row r="1357" spans="1:10" x14ac:dyDescent="0.25">
      <c r="A1357" s="23" t="s">
        <v>6357</v>
      </c>
      <c r="B1357" s="10" t="s">
        <v>6358</v>
      </c>
      <c r="C1357" s="23" t="s">
        <v>4931</v>
      </c>
      <c r="D1357" s="28" t="s">
        <v>6359</v>
      </c>
      <c r="E1357" s="25">
        <v>105</v>
      </c>
      <c r="F1357" s="23" t="str">
        <f>VLOOKUP(B1357,'[2]справочник кодов нп'!$A:$D,4,0)</f>
        <v>сельские населенные пункты с численностью населения менее 1 000 человек.</v>
      </c>
      <c r="G1357" s="27" t="s">
        <v>1448</v>
      </c>
      <c r="H1357" s="10" t="s">
        <v>4931</v>
      </c>
      <c r="I1357" s="35" t="s">
        <v>7017</v>
      </c>
      <c r="J1357" s="33" t="s">
        <v>1337</v>
      </c>
    </row>
    <row r="1358" spans="1:10" x14ac:dyDescent="0.25">
      <c r="A1358" s="23" t="s">
        <v>6360</v>
      </c>
      <c r="B1358" s="10" t="s">
        <v>6361</v>
      </c>
      <c r="C1358" s="23" t="s">
        <v>4931</v>
      </c>
      <c r="D1358" s="28" t="s">
        <v>6362</v>
      </c>
      <c r="E1358" s="25">
        <v>105</v>
      </c>
      <c r="F1358" s="23" t="str">
        <f>VLOOKUP(B1358,'[2]справочник кодов нп'!$A:$D,4,0)</f>
        <v>сельские населенные пункты с численностью населения менее 1 000 человек.</v>
      </c>
      <c r="G1358" s="27" t="s">
        <v>1448</v>
      </c>
      <c r="H1358" s="10" t="s">
        <v>4931</v>
      </c>
      <c r="I1358" s="35" t="s">
        <v>7017</v>
      </c>
      <c r="J1358" s="33" t="s">
        <v>1337</v>
      </c>
    </row>
    <row r="1359" spans="1:10" x14ac:dyDescent="0.25">
      <c r="A1359" s="23" t="s">
        <v>6363</v>
      </c>
      <c r="B1359" s="10" t="s">
        <v>6364</v>
      </c>
      <c r="C1359" s="23" t="s">
        <v>4931</v>
      </c>
      <c r="D1359" s="28" t="s">
        <v>6365</v>
      </c>
      <c r="E1359" s="25">
        <v>105</v>
      </c>
      <c r="F1359" s="23" t="str">
        <f>VLOOKUP(B1359,'[2]справочник кодов нп'!$A:$D,4,0)</f>
        <v>сельские населенные пункты с численностью населения менее 1 000 человек.</v>
      </c>
      <c r="G1359" s="27" t="s">
        <v>1448</v>
      </c>
      <c r="H1359" s="10" t="s">
        <v>4931</v>
      </c>
      <c r="I1359" s="35" t="s">
        <v>7017</v>
      </c>
      <c r="J1359" s="33" t="s">
        <v>1337</v>
      </c>
    </row>
    <row r="1360" spans="1:10" x14ac:dyDescent="0.25">
      <c r="A1360" s="23" t="s">
        <v>6366</v>
      </c>
      <c r="B1360" s="10" t="s">
        <v>6367</v>
      </c>
      <c r="C1360" s="23" t="s">
        <v>4931</v>
      </c>
      <c r="D1360" s="28" t="s">
        <v>6368</v>
      </c>
      <c r="E1360" s="25">
        <v>105</v>
      </c>
      <c r="F1360" s="23" t="str">
        <f>VLOOKUP(B1360,'[2]справочник кодов нп'!$A:$D,4,0)</f>
        <v>сельские населенные пункты с численностью населения менее 1 000 человек.</v>
      </c>
      <c r="G1360" s="27" t="s">
        <v>1448</v>
      </c>
      <c r="H1360" s="10" t="s">
        <v>4931</v>
      </c>
      <c r="I1360" s="35" t="s">
        <v>7017</v>
      </c>
      <c r="J1360" s="33" t="s">
        <v>1337</v>
      </c>
    </row>
    <row r="1361" spans="1:10" x14ac:dyDescent="0.25">
      <c r="A1361" s="23" t="s">
        <v>6369</v>
      </c>
      <c r="B1361" s="10" t="s">
        <v>6370</v>
      </c>
      <c r="C1361" s="23" t="s">
        <v>4931</v>
      </c>
      <c r="D1361" s="28" t="s">
        <v>6371</v>
      </c>
      <c r="E1361" s="25">
        <v>105</v>
      </c>
      <c r="F1361" s="23" t="str">
        <f>VLOOKUP(B1361,'[2]справочник кодов нп'!$A:$D,4,0)</f>
        <v>сельские населенные пункты с численностью населения менее 1 000 человек.</v>
      </c>
      <c r="G1361" s="27" t="s">
        <v>1448</v>
      </c>
      <c r="H1361" s="10" t="s">
        <v>4931</v>
      </c>
      <c r="I1361" s="35" t="s">
        <v>7017</v>
      </c>
      <c r="J1361" s="33" t="s">
        <v>1337</v>
      </c>
    </row>
    <row r="1362" spans="1:10" x14ac:dyDescent="0.25">
      <c r="A1362" s="23" t="s">
        <v>6640</v>
      </c>
      <c r="B1362" s="10" t="s">
        <v>6641</v>
      </c>
      <c r="C1362" s="23" t="s">
        <v>4931</v>
      </c>
      <c r="D1362" s="28" t="s">
        <v>6642</v>
      </c>
      <c r="E1362" s="25">
        <v>105</v>
      </c>
      <c r="F1362" s="23" t="str">
        <f>VLOOKUP(B1362,'[2]справочник кодов нп'!$A:$D,4,0)</f>
        <v>сельские населенные пункты с численностью населения менее 1 000 человек.</v>
      </c>
      <c r="G1362" s="27" t="s">
        <v>1448</v>
      </c>
      <c r="H1362" s="10" t="s">
        <v>4931</v>
      </c>
      <c r="I1362" s="35" t="s">
        <v>7017</v>
      </c>
      <c r="J1362" s="33" t="s">
        <v>1337</v>
      </c>
    </row>
    <row r="1363" spans="1:10" x14ac:dyDescent="0.25">
      <c r="A1363" s="23" t="s">
        <v>6643</v>
      </c>
      <c r="B1363" s="10" t="s">
        <v>6644</v>
      </c>
      <c r="C1363" s="23" t="s">
        <v>4931</v>
      </c>
      <c r="D1363" s="28" t="s">
        <v>6645</v>
      </c>
      <c r="E1363" s="25">
        <v>105</v>
      </c>
      <c r="F1363" s="23" t="str">
        <f>VLOOKUP(B1363,'[2]справочник кодов нп'!$A:$D,4,0)</f>
        <v>сельские населенные пункты с численностью населения менее 1 000 человек.</v>
      </c>
      <c r="G1363" s="27" t="s">
        <v>1448</v>
      </c>
      <c r="H1363" s="10" t="s">
        <v>4931</v>
      </c>
      <c r="I1363" s="35" t="s">
        <v>7017</v>
      </c>
      <c r="J1363" s="33" t="s">
        <v>1337</v>
      </c>
    </row>
    <row r="1364" spans="1:10" x14ac:dyDescent="0.25">
      <c r="A1364" s="23" t="s">
        <v>6646</v>
      </c>
      <c r="B1364" s="10" t="s">
        <v>6647</v>
      </c>
      <c r="C1364" s="23" t="s">
        <v>4931</v>
      </c>
      <c r="D1364" s="28" t="s">
        <v>6648</v>
      </c>
      <c r="E1364" s="25">
        <v>105</v>
      </c>
      <c r="F1364" s="23" t="str">
        <f>VLOOKUP(B1364,'[2]справочник кодов нп'!$A:$D,4,0)</f>
        <v>сельские населенные пункты с численностью населения менее 1 000 человек.</v>
      </c>
      <c r="G1364" s="27" t="s">
        <v>1448</v>
      </c>
      <c r="H1364" s="10" t="s">
        <v>4931</v>
      </c>
      <c r="I1364" s="35" t="s">
        <v>7017</v>
      </c>
      <c r="J1364" s="33" t="s">
        <v>1337</v>
      </c>
    </row>
    <row r="1365" spans="1:10" x14ac:dyDescent="0.25">
      <c r="A1365" s="23" t="s">
        <v>6649</v>
      </c>
      <c r="B1365" s="10" t="s">
        <v>6650</v>
      </c>
      <c r="C1365" s="23" t="s">
        <v>4931</v>
      </c>
      <c r="D1365" s="28" t="s">
        <v>6651</v>
      </c>
      <c r="E1365" s="25">
        <v>105</v>
      </c>
      <c r="F1365" s="23" t="str">
        <f>VLOOKUP(B1365,'[2]справочник кодов нп'!$A:$D,4,0)</f>
        <v>сельские населенные пункты с численностью населения менее 1 000 человек.</v>
      </c>
      <c r="G1365" s="27" t="s">
        <v>1448</v>
      </c>
      <c r="H1365" s="10" t="s">
        <v>4931</v>
      </c>
      <c r="I1365" s="35" t="s">
        <v>7017</v>
      </c>
      <c r="J1365" s="33" t="s">
        <v>1337</v>
      </c>
    </row>
    <row r="1366" spans="1:10" x14ac:dyDescent="0.25">
      <c r="A1366" s="23" t="s">
        <v>6823</v>
      </c>
      <c r="B1366" s="10" t="s">
        <v>6824</v>
      </c>
      <c r="C1366" s="23" t="s">
        <v>4931</v>
      </c>
      <c r="D1366" s="28" t="s">
        <v>6825</v>
      </c>
      <c r="E1366" s="25">
        <v>105</v>
      </c>
      <c r="F1366" s="23" t="s">
        <v>1447</v>
      </c>
      <c r="G1366" s="27" t="s">
        <v>1448</v>
      </c>
      <c r="H1366" s="10" t="s">
        <v>4931</v>
      </c>
      <c r="I1366" s="35" t="s">
        <v>7017</v>
      </c>
      <c r="J1366" s="33" t="s">
        <v>1337</v>
      </c>
    </row>
    <row r="1367" spans="1:10" x14ac:dyDescent="0.25">
      <c r="A1367" s="23" t="s">
        <v>6959</v>
      </c>
      <c r="B1367" s="10" t="s">
        <v>6960</v>
      </c>
      <c r="C1367" s="23" t="s">
        <v>4931</v>
      </c>
      <c r="D1367" s="28" t="s">
        <v>6846</v>
      </c>
      <c r="E1367" s="25">
        <v>105</v>
      </c>
      <c r="F1367" s="23" t="str">
        <f>VLOOKUP(B1367,'[2]справочник кодов нп'!$A:$D,4,0)</f>
        <v>межселенная территория</v>
      </c>
      <c r="G1367" s="27" t="s">
        <v>1448</v>
      </c>
      <c r="H1367" s="10" t="s">
        <v>4931</v>
      </c>
      <c r="I1367" s="35" t="s">
        <v>7019</v>
      </c>
      <c r="J1367" s="33" t="s">
        <v>1337</v>
      </c>
    </row>
    <row r="1368" spans="1:10" x14ac:dyDescent="0.25">
      <c r="A1368" s="23" t="s">
        <v>3331</v>
      </c>
      <c r="B1368" s="10" t="s">
        <v>3332</v>
      </c>
      <c r="C1368" s="23" t="s">
        <v>3333</v>
      </c>
      <c r="D1368" s="28" t="s">
        <v>3334</v>
      </c>
      <c r="E1368" s="25">
        <v>106</v>
      </c>
      <c r="F1368" s="23" t="str">
        <f>VLOOKUP(B1368,'[2]справочник кодов нп'!$A:$D,4,0)</f>
        <v>сельские населенные пункты с численностью населения менее 1 000 человек.</v>
      </c>
      <c r="G1368" s="23" t="s">
        <v>1385</v>
      </c>
      <c r="H1368" s="10" t="s">
        <v>3333</v>
      </c>
      <c r="I1368" s="35" t="s">
        <v>7017</v>
      </c>
      <c r="J1368" s="33" t="s">
        <v>1337</v>
      </c>
    </row>
    <row r="1369" spans="1:10" x14ac:dyDescent="0.25">
      <c r="A1369" s="23" t="s">
        <v>3335</v>
      </c>
      <c r="B1369" s="10" t="s">
        <v>3336</v>
      </c>
      <c r="C1369" s="23" t="s">
        <v>3333</v>
      </c>
      <c r="D1369" s="28" t="s">
        <v>3337</v>
      </c>
      <c r="E1369" s="25">
        <v>106</v>
      </c>
      <c r="F1369" s="23" t="str">
        <f>VLOOKUP(B1369,'[2]справочник кодов нп'!$A:$D,4,0)</f>
        <v>сельские населенные пункты с численностью населения менее 1 000 человек.</v>
      </c>
      <c r="G1369" s="23" t="s">
        <v>1385</v>
      </c>
      <c r="H1369" s="10" t="s">
        <v>3333</v>
      </c>
      <c r="I1369" s="35" t="s">
        <v>7017</v>
      </c>
      <c r="J1369" s="33" t="s">
        <v>1337</v>
      </c>
    </row>
    <row r="1370" spans="1:10" x14ac:dyDescent="0.25">
      <c r="A1370" s="23" t="s">
        <v>3338</v>
      </c>
      <c r="B1370" s="10" t="s">
        <v>3339</v>
      </c>
      <c r="C1370" s="23" t="s">
        <v>3333</v>
      </c>
      <c r="D1370" s="28" t="s">
        <v>3340</v>
      </c>
      <c r="E1370" s="25">
        <v>106</v>
      </c>
      <c r="F1370" s="23" t="str">
        <f>VLOOKUP(B1370,'[2]справочник кодов нп'!$A:$D,4,0)</f>
        <v>сельские населенные пункты с численностью населения менее 1 000 человек.</v>
      </c>
      <c r="G1370" s="23" t="s">
        <v>1385</v>
      </c>
      <c r="H1370" s="10" t="s">
        <v>3333</v>
      </c>
      <c r="I1370" s="35" t="s">
        <v>7017</v>
      </c>
      <c r="J1370" s="33" t="s">
        <v>1337</v>
      </c>
    </row>
    <row r="1371" spans="1:10" x14ac:dyDescent="0.25">
      <c r="A1371" s="23" t="s">
        <v>3341</v>
      </c>
      <c r="B1371" s="10" t="s">
        <v>3342</v>
      </c>
      <c r="C1371" s="23" t="s">
        <v>3333</v>
      </c>
      <c r="D1371" s="28" t="s">
        <v>3343</v>
      </c>
      <c r="E1371" s="25">
        <v>106</v>
      </c>
      <c r="F1371" s="23" t="str">
        <f>VLOOKUP(B1371,'[2]справочник кодов нп'!$A:$D,4,0)</f>
        <v>сельские населенные пункты с численностью населения менее 1 000 человек.</v>
      </c>
      <c r="G1371" s="23" t="s">
        <v>1385</v>
      </c>
      <c r="H1371" s="10" t="s">
        <v>3333</v>
      </c>
      <c r="I1371" s="35" t="s">
        <v>7017</v>
      </c>
      <c r="J1371" s="33" t="s">
        <v>1337</v>
      </c>
    </row>
    <row r="1372" spans="1:10" x14ac:dyDescent="0.25">
      <c r="A1372" s="23" t="s">
        <v>3344</v>
      </c>
      <c r="B1372" s="10" t="s">
        <v>3345</v>
      </c>
      <c r="C1372" s="23" t="s">
        <v>3333</v>
      </c>
      <c r="D1372" s="28" t="s">
        <v>3346</v>
      </c>
      <c r="E1372" s="25">
        <v>106</v>
      </c>
      <c r="F1372" s="23" t="str">
        <f>VLOOKUP(B1372,'[2]справочник кодов нп'!$A:$D,4,0)</f>
        <v>сельские населенные пункты с численностью населения менее 1 000 человек.</v>
      </c>
      <c r="G1372" s="23" t="s">
        <v>1385</v>
      </c>
      <c r="H1372" s="10" t="s">
        <v>3333</v>
      </c>
      <c r="I1372" s="35" t="s">
        <v>7017</v>
      </c>
      <c r="J1372" s="33" t="s">
        <v>1337</v>
      </c>
    </row>
    <row r="1373" spans="1:10" x14ac:dyDescent="0.25">
      <c r="A1373" s="23" t="s">
        <v>3347</v>
      </c>
      <c r="B1373" s="10" t="s">
        <v>3348</v>
      </c>
      <c r="C1373" s="23" t="s">
        <v>3333</v>
      </c>
      <c r="D1373" s="28" t="s">
        <v>3349</v>
      </c>
      <c r="E1373" s="25">
        <v>106</v>
      </c>
      <c r="F1373" s="23" t="str">
        <f>VLOOKUP(B1373,'[2]справочник кодов нп'!$A:$D,4,0)</f>
        <v>сельские населенные пункты с численностью населения менее 1 000 человек.</v>
      </c>
      <c r="G1373" s="23" t="s">
        <v>1385</v>
      </c>
      <c r="H1373" s="10" t="s">
        <v>3333</v>
      </c>
      <c r="I1373" s="35" t="s">
        <v>7017</v>
      </c>
      <c r="J1373" s="33" t="s">
        <v>1337</v>
      </c>
    </row>
    <row r="1374" spans="1:10" x14ac:dyDescent="0.25">
      <c r="A1374" s="23" t="s">
        <v>3350</v>
      </c>
      <c r="B1374" s="10" t="s">
        <v>3351</v>
      </c>
      <c r="C1374" s="23" t="s">
        <v>3333</v>
      </c>
      <c r="D1374" s="28" t="s">
        <v>3352</v>
      </c>
      <c r="E1374" s="25">
        <v>106</v>
      </c>
      <c r="F1374" s="23" t="str">
        <f>VLOOKUP(B1374,'[2]справочник кодов нп'!$A:$D,4,0)</f>
        <v>сельские населенные пункты с численностью населения менее 1 000 человек.</v>
      </c>
      <c r="G1374" s="23" t="s">
        <v>1385</v>
      </c>
      <c r="H1374" s="10" t="s">
        <v>3333</v>
      </c>
      <c r="I1374" s="35" t="s">
        <v>7017</v>
      </c>
      <c r="J1374" s="33" t="s">
        <v>1337</v>
      </c>
    </row>
    <row r="1375" spans="1:10" x14ac:dyDescent="0.25">
      <c r="A1375" s="23" t="s">
        <v>3353</v>
      </c>
      <c r="B1375" s="10" t="s">
        <v>3354</v>
      </c>
      <c r="C1375" s="23" t="s">
        <v>3333</v>
      </c>
      <c r="D1375" s="28" t="s">
        <v>3355</v>
      </c>
      <c r="E1375" s="25">
        <v>106</v>
      </c>
      <c r="F1375" s="23" t="str">
        <f>VLOOKUP(B1375,'[2]справочник кодов нп'!$A:$D,4,0)</f>
        <v>сельские населенные пункты с численностью населения менее 1 000 человек.</v>
      </c>
      <c r="G1375" s="45" t="s">
        <v>1385</v>
      </c>
      <c r="H1375" s="10" t="s">
        <v>3333</v>
      </c>
      <c r="I1375" s="35" t="s">
        <v>7017</v>
      </c>
      <c r="J1375" s="33" t="s">
        <v>1337</v>
      </c>
    </row>
    <row r="1376" spans="1:10" x14ac:dyDescent="0.25">
      <c r="A1376" s="23" t="s">
        <v>3356</v>
      </c>
      <c r="B1376" s="10" t="s">
        <v>3357</v>
      </c>
      <c r="C1376" s="23" t="s">
        <v>3333</v>
      </c>
      <c r="D1376" s="28" t="s">
        <v>3358</v>
      </c>
      <c r="E1376" s="25">
        <v>106</v>
      </c>
      <c r="F1376" s="23" t="str">
        <f>VLOOKUP(B1376,'[2]справочник кодов нп'!$A:$D,4,0)</f>
        <v>сельские населенные пункты с численностью населения менее 1 000 человек.</v>
      </c>
      <c r="G1376" s="23" t="s">
        <v>1385</v>
      </c>
      <c r="H1376" s="10" t="s">
        <v>3333</v>
      </c>
      <c r="I1376" s="35" t="s">
        <v>7017</v>
      </c>
      <c r="J1376" s="33" t="s">
        <v>1337</v>
      </c>
    </row>
    <row r="1377" spans="1:10" x14ac:dyDescent="0.25">
      <c r="A1377" s="23" t="s">
        <v>3359</v>
      </c>
      <c r="B1377" s="10" t="s">
        <v>3360</v>
      </c>
      <c r="C1377" s="23" t="s">
        <v>3333</v>
      </c>
      <c r="D1377" s="28" t="s">
        <v>3361</v>
      </c>
      <c r="E1377" s="25">
        <v>106</v>
      </c>
      <c r="F1377" s="23" t="str">
        <f>VLOOKUP(B1377,'[2]справочник кодов нп'!$A:$D,4,0)</f>
        <v>городские населенные пункты с численностью населения менее 50 000 человек;</v>
      </c>
      <c r="G1377" s="45" t="s">
        <v>1385</v>
      </c>
      <c r="H1377" s="10" t="s">
        <v>3333</v>
      </c>
      <c r="I1377" s="35" t="s">
        <v>7017</v>
      </c>
      <c r="J1377" s="33" t="s">
        <v>1337</v>
      </c>
    </row>
    <row r="1378" spans="1:10" x14ac:dyDescent="0.25">
      <c r="A1378" s="23" t="s">
        <v>3362</v>
      </c>
      <c r="B1378" s="10" t="s">
        <v>3363</v>
      </c>
      <c r="C1378" s="23" t="s">
        <v>3333</v>
      </c>
      <c r="D1378" s="28" t="s">
        <v>3364</v>
      </c>
      <c r="E1378" s="25">
        <v>106</v>
      </c>
      <c r="F1378" s="23" t="str">
        <f>VLOOKUP(B1378,'[2]справочник кодов нп'!$A:$D,4,0)</f>
        <v>сельские населенные пункты с численностью населения менее 1 000 человек.</v>
      </c>
      <c r="G1378" s="23" t="s">
        <v>1385</v>
      </c>
      <c r="H1378" s="10" t="s">
        <v>3333</v>
      </c>
      <c r="I1378" s="35" t="s">
        <v>7017</v>
      </c>
      <c r="J1378" s="33" t="s">
        <v>1337</v>
      </c>
    </row>
    <row r="1379" spans="1:10" x14ac:dyDescent="0.25">
      <c r="A1379" s="23" t="s">
        <v>3365</v>
      </c>
      <c r="B1379" s="10" t="s">
        <v>3366</v>
      </c>
      <c r="C1379" s="23" t="s">
        <v>3333</v>
      </c>
      <c r="D1379" s="28" t="s">
        <v>3367</v>
      </c>
      <c r="E1379" s="25">
        <v>106</v>
      </c>
      <c r="F1379" s="23" t="str">
        <f>VLOOKUP(B1379,'[2]справочник кодов нп'!$A:$D,4,0)</f>
        <v>сельские населенные пункты с численностью населения менее 1 000 человек.</v>
      </c>
      <c r="G1379" s="23" t="s">
        <v>1385</v>
      </c>
      <c r="H1379" s="10" t="s">
        <v>3333</v>
      </c>
      <c r="I1379" s="35" t="s">
        <v>7017</v>
      </c>
      <c r="J1379" s="33" t="s">
        <v>1337</v>
      </c>
    </row>
    <row r="1380" spans="1:10" x14ac:dyDescent="0.25">
      <c r="A1380" s="23" t="s">
        <v>3368</v>
      </c>
      <c r="B1380" s="10" t="s">
        <v>3369</v>
      </c>
      <c r="C1380" s="23" t="s">
        <v>3333</v>
      </c>
      <c r="D1380" s="28" t="s">
        <v>3370</v>
      </c>
      <c r="E1380" s="25">
        <v>106</v>
      </c>
      <c r="F1380" s="23" t="str">
        <f>VLOOKUP(B1380,'[2]справочник кодов нп'!$A:$D,4,0)</f>
        <v>сельские населенные пункты с численностью населения менее 1 000 человек.</v>
      </c>
      <c r="G1380" s="23" t="s">
        <v>1385</v>
      </c>
      <c r="H1380" s="10" t="s">
        <v>3333</v>
      </c>
      <c r="I1380" s="35" t="s">
        <v>7017</v>
      </c>
      <c r="J1380" s="33" t="s">
        <v>1337</v>
      </c>
    </row>
    <row r="1381" spans="1:10" x14ac:dyDescent="0.25">
      <c r="A1381" s="23" t="s">
        <v>3371</v>
      </c>
      <c r="B1381" s="10" t="s">
        <v>3372</v>
      </c>
      <c r="C1381" s="23" t="s">
        <v>3333</v>
      </c>
      <c r="D1381" s="28" t="s">
        <v>2768</v>
      </c>
      <c r="E1381" s="25">
        <v>106</v>
      </c>
      <c r="F1381" s="23" t="str">
        <f>VLOOKUP(B1381,'[2]справочник кодов нп'!$A:$D,4,0)</f>
        <v>сельские населенные пункты с численностью населения менее 1 000 человек.</v>
      </c>
      <c r="G1381" s="23" t="s">
        <v>1385</v>
      </c>
      <c r="H1381" s="10" t="s">
        <v>3333</v>
      </c>
      <c r="I1381" s="35" t="s">
        <v>7017</v>
      </c>
      <c r="J1381" s="33" t="s">
        <v>1337</v>
      </c>
    </row>
    <row r="1382" spans="1:10" x14ac:dyDescent="0.25">
      <c r="A1382" s="23" t="s">
        <v>3373</v>
      </c>
      <c r="B1382" s="10" t="s">
        <v>3374</v>
      </c>
      <c r="C1382" s="23" t="s">
        <v>3333</v>
      </c>
      <c r="D1382" s="28" t="s">
        <v>3375</v>
      </c>
      <c r="E1382" s="25">
        <v>106</v>
      </c>
      <c r="F1382" s="23" t="str">
        <f>VLOOKUP(B1382,'[2]справочник кодов нп'!$A:$D,4,0)</f>
        <v>сельские населенные пункты с численностью населения менее 1 000 человек.</v>
      </c>
      <c r="G1382" s="23" t="s">
        <v>1385</v>
      </c>
      <c r="H1382" s="10" t="s">
        <v>3333</v>
      </c>
      <c r="I1382" s="35" t="s">
        <v>7017</v>
      </c>
      <c r="J1382" s="33" t="s">
        <v>1337</v>
      </c>
    </row>
    <row r="1383" spans="1:10" x14ac:dyDescent="0.25">
      <c r="A1383" s="23" t="s">
        <v>3376</v>
      </c>
      <c r="B1383" s="10" t="s">
        <v>3377</v>
      </c>
      <c r="C1383" s="23" t="s">
        <v>3333</v>
      </c>
      <c r="D1383" s="28" t="s">
        <v>3378</v>
      </c>
      <c r="E1383" s="25">
        <v>106</v>
      </c>
      <c r="F1383" s="23" t="str">
        <f>VLOOKUP(B1383,'[2]справочник кодов нп'!$A:$D,4,0)</f>
        <v>сельские населенные пункты с численностью населения менее 1 000 человек.</v>
      </c>
      <c r="G1383" s="23" t="s">
        <v>1385</v>
      </c>
      <c r="H1383" s="10" t="s">
        <v>3333</v>
      </c>
      <c r="I1383" s="35" t="s">
        <v>7017</v>
      </c>
      <c r="J1383" s="33" t="s">
        <v>1337</v>
      </c>
    </row>
    <row r="1384" spans="1:10" x14ac:dyDescent="0.25">
      <c r="A1384" s="23" t="s">
        <v>3379</v>
      </c>
      <c r="B1384" s="10" t="s">
        <v>3380</v>
      </c>
      <c r="C1384" s="23" t="s">
        <v>3333</v>
      </c>
      <c r="D1384" s="28" t="s">
        <v>3381</v>
      </c>
      <c r="E1384" s="25">
        <v>106</v>
      </c>
      <c r="F1384" s="23" t="str">
        <f>VLOOKUP(B1384,'[2]справочник кодов нп'!$A:$D,4,0)</f>
        <v>сельские населенные пункты с численностью населения менее 1 000 человек.</v>
      </c>
      <c r="G1384" s="23" t="s">
        <v>1385</v>
      </c>
      <c r="H1384" s="10" t="s">
        <v>3333</v>
      </c>
      <c r="I1384" s="35" t="s">
        <v>7017</v>
      </c>
      <c r="J1384" s="33" t="s">
        <v>1337</v>
      </c>
    </row>
    <row r="1385" spans="1:10" x14ac:dyDescent="0.25">
      <c r="A1385" s="23" t="s">
        <v>3382</v>
      </c>
      <c r="B1385" s="10" t="s">
        <v>3383</v>
      </c>
      <c r="C1385" s="23" t="s">
        <v>3333</v>
      </c>
      <c r="D1385" s="28" t="s">
        <v>3384</v>
      </c>
      <c r="E1385" s="25">
        <v>106</v>
      </c>
      <c r="F1385" s="23" t="str">
        <f>VLOOKUP(B1385,'[2]справочник кодов нп'!$A:$D,4,0)</f>
        <v>сельские населенные пункты с численностью населения менее 1 000 человек.</v>
      </c>
      <c r="G1385" s="23" t="s">
        <v>1385</v>
      </c>
      <c r="H1385" s="10" t="s">
        <v>3333</v>
      </c>
      <c r="I1385" s="35" t="s">
        <v>7017</v>
      </c>
      <c r="J1385" s="33" t="s">
        <v>1337</v>
      </c>
    </row>
    <row r="1386" spans="1:10" x14ac:dyDescent="0.25">
      <c r="A1386" s="23" t="s">
        <v>3385</v>
      </c>
      <c r="B1386" s="10" t="s">
        <v>3386</v>
      </c>
      <c r="C1386" s="23" t="s">
        <v>3333</v>
      </c>
      <c r="D1386" s="28" t="s">
        <v>3387</v>
      </c>
      <c r="E1386" s="25">
        <v>106</v>
      </c>
      <c r="F1386" s="23" t="str">
        <f>VLOOKUP(B1386,'[2]справочник кодов нп'!$A:$D,4,0)</f>
        <v>сельские населенные пункты с численностью населения менее 1 000 человек.</v>
      </c>
      <c r="G1386" s="23" t="s">
        <v>1385</v>
      </c>
      <c r="H1386" s="10" t="s">
        <v>3333</v>
      </c>
      <c r="I1386" s="35" t="s">
        <v>7017</v>
      </c>
      <c r="J1386" s="33" t="s">
        <v>1337</v>
      </c>
    </row>
    <row r="1387" spans="1:10" x14ac:dyDescent="0.25">
      <c r="A1387" s="23" t="s">
        <v>3388</v>
      </c>
      <c r="B1387" s="10" t="s">
        <v>3389</v>
      </c>
      <c r="C1387" s="23" t="s">
        <v>3333</v>
      </c>
      <c r="D1387" s="28" t="s">
        <v>3390</v>
      </c>
      <c r="E1387" s="25">
        <v>106</v>
      </c>
      <c r="F1387" s="23" t="str">
        <f>VLOOKUP(B1387,'[2]справочник кодов нп'!$A:$D,4,0)</f>
        <v>сельские населенные пункты с численностью населения менее 1 000 человек.</v>
      </c>
      <c r="G1387" s="23" t="s">
        <v>1385</v>
      </c>
      <c r="H1387" s="10" t="s">
        <v>3333</v>
      </c>
      <c r="I1387" s="35" t="s">
        <v>7017</v>
      </c>
      <c r="J1387" s="33" t="s">
        <v>1337</v>
      </c>
    </row>
    <row r="1388" spans="1:10" x14ac:dyDescent="0.25">
      <c r="A1388" s="23" t="s">
        <v>3391</v>
      </c>
      <c r="B1388" s="10" t="s">
        <v>3392</v>
      </c>
      <c r="C1388" s="23" t="s">
        <v>3333</v>
      </c>
      <c r="D1388" s="28" t="s">
        <v>3393</v>
      </c>
      <c r="E1388" s="25">
        <v>106</v>
      </c>
      <c r="F1388" s="23" t="str">
        <f>VLOOKUP(B1388,'[2]справочник кодов нп'!$A:$D,4,0)</f>
        <v>сельские населенные пункты с численностью населения менее 1 000 человек.</v>
      </c>
      <c r="G1388" s="23" t="s">
        <v>1385</v>
      </c>
      <c r="H1388" s="10" t="s">
        <v>3333</v>
      </c>
      <c r="I1388" s="35" t="s">
        <v>7017</v>
      </c>
      <c r="J1388" s="33" t="s">
        <v>1337</v>
      </c>
    </row>
    <row r="1389" spans="1:10" x14ac:dyDescent="0.25">
      <c r="A1389" s="23" t="s">
        <v>3394</v>
      </c>
      <c r="B1389" s="10" t="s">
        <v>3395</v>
      </c>
      <c r="C1389" s="23" t="s">
        <v>3333</v>
      </c>
      <c r="D1389" s="28" t="s">
        <v>1652</v>
      </c>
      <c r="E1389" s="25">
        <v>106</v>
      </c>
      <c r="F1389" s="23" t="str">
        <f>VLOOKUP(B1389,'[2]справочник кодов нп'!$A:$D,4,0)</f>
        <v>сельские населенные пункты с численностью населения менее 1 000 человек.</v>
      </c>
      <c r="G1389" s="23" t="s">
        <v>1385</v>
      </c>
      <c r="H1389" s="10" t="s">
        <v>3333</v>
      </c>
      <c r="I1389" s="35" t="s">
        <v>7017</v>
      </c>
      <c r="J1389" s="33" t="s">
        <v>1337</v>
      </c>
    </row>
    <row r="1390" spans="1:10" x14ac:dyDescent="0.25">
      <c r="A1390" s="23" t="s">
        <v>3396</v>
      </c>
      <c r="B1390" s="10" t="s">
        <v>3397</v>
      </c>
      <c r="C1390" s="23" t="s">
        <v>3333</v>
      </c>
      <c r="D1390" s="28" t="s">
        <v>3398</v>
      </c>
      <c r="E1390" s="25">
        <v>106</v>
      </c>
      <c r="F1390" s="23" t="str">
        <f>VLOOKUP(B1390,'[2]справочник кодов нп'!$A:$D,4,0)</f>
        <v>сельские населенные пункты с численностью населения менее 1 000 человек.</v>
      </c>
      <c r="G1390" s="23" t="s">
        <v>1385</v>
      </c>
      <c r="H1390" s="10" t="s">
        <v>3333</v>
      </c>
      <c r="I1390" s="35" t="s">
        <v>7017</v>
      </c>
      <c r="J1390" s="33" t="s">
        <v>1337</v>
      </c>
    </row>
    <row r="1391" spans="1:10" x14ac:dyDescent="0.25">
      <c r="A1391" s="23" t="s">
        <v>3399</v>
      </c>
      <c r="B1391" s="10" t="s">
        <v>3400</v>
      </c>
      <c r="C1391" s="23" t="s">
        <v>3333</v>
      </c>
      <c r="D1391" s="28" t="s">
        <v>1544</v>
      </c>
      <c r="E1391" s="25">
        <v>106</v>
      </c>
      <c r="F1391" s="23" t="str">
        <f>VLOOKUP(B1391,'[2]справочник кодов нп'!$A:$D,4,0)</f>
        <v>сельские населенные пункты с численностью населения менее 1 000 человек.</v>
      </c>
      <c r="G1391" s="45" t="s">
        <v>1385</v>
      </c>
      <c r="H1391" s="10" t="s">
        <v>3333</v>
      </c>
      <c r="I1391" s="35" t="s">
        <v>7017</v>
      </c>
      <c r="J1391" s="33" t="s">
        <v>1337</v>
      </c>
    </row>
    <row r="1392" spans="1:10" x14ac:dyDescent="0.25">
      <c r="A1392" s="23" t="s">
        <v>3401</v>
      </c>
      <c r="B1392" s="10" t="s">
        <v>3402</v>
      </c>
      <c r="C1392" s="23" t="s">
        <v>3333</v>
      </c>
      <c r="D1392" s="28" t="s">
        <v>3403</v>
      </c>
      <c r="E1392" s="25">
        <v>106</v>
      </c>
      <c r="F1392" s="23" t="str">
        <f>VLOOKUP(B1392,'[2]справочник кодов нп'!$A:$D,4,0)</f>
        <v>сельские населенные пункты с численностью населения менее 1 000 человек.</v>
      </c>
      <c r="G1392" s="23" t="s">
        <v>1385</v>
      </c>
      <c r="H1392" s="10" t="s">
        <v>3333</v>
      </c>
      <c r="I1392" s="35" t="s">
        <v>7017</v>
      </c>
      <c r="J1392" s="33" t="s">
        <v>1337</v>
      </c>
    </row>
    <row r="1393" spans="1:10" x14ac:dyDescent="0.25">
      <c r="A1393" s="23" t="s">
        <v>3404</v>
      </c>
      <c r="B1393" s="10" t="s">
        <v>3405</v>
      </c>
      <c r="C1393" s="23" t="s">
        <v>3333</v>
      </c>
      <c r="D1393" s="28" t="s">
        <v>3406</v>
      </c>
      <c r="E1393" s="25">
        <v>106</v>
      </c>
      <c r="F1393" s="23" t="str">
        <f>VLOOKUP(B1393,'[2]справочник кодов нп'!$A:$D,4,0)</f>
        <v>сельские населенные пункты с численностью населения менее 1 000 человек.</v>
      </c>
      <c r="G1393" s="23" t="s">
        <v>1385</v>
      </c>
      <c r="H1393" s="10" t="s">
        <v>3333</v>
      </c>
      <c r="I1393" s="35" t="s">
        <v>7017</v>
      </c>
      <c r="J1393" s="33" t="s">
        <v>1337</v>
      </c>
    </row>
    <row r="1394" spans="1:10" x14ac:dyDescent="0.25">
      <c r="A1394" s="23" t="s">
        <v>3407</v>
      </c>
      <c r="B1394" s="10" t="s">
        <v>3408</v>
      </c>
      <c r="C1394" s="23" t="s">
        <v>3333</v>
      </c>
      <c r="D1394" s="28" t="s">
        <v>3409</v>
      </c>
      <c r="E1394" s="25">
        <v>106</v>
      </c>
      <c r="F1394" s="23" t="str">
        <f>VLOOKUP(B1394,'[2]справочник кодов нп'!$A:$D,4,0)</f>
        <v>сельские населенные пункты с численностью населения менее 1 000 человек.</v>
      </c>
      <c r="G1394" s="45" t="s">
        <v>1385</v>
      </c>
      <c r="H1394" s="10" t="s">
        <v>3333</v>
      </c>
      <c r="I1394" s="35" t="s">
        <v>7017</v>
      </c>
      <c r="J1394" s="33" t="s">
        <v>1337</v>
      </c>
    </row>
    <row r="1395" spans="1:10" x14ac:dyDescent="0.25">
      <c r="A1395" s="23" t="s">
        <v>3410</v>
      </c>
      <c r="B1395" s="10" t="s">
        <v>3411</v>
      </c>
      <c r="C1395" s="23" t="s">
        <v>3333</v>
      </c>
      <c r="D1395" s="28" t="s">
        <v>3412</v>
      </c>
      <c r="E1395" s="25">
        <v>106</v>
      </c>
      <c r="F1395" s="23" t="str">
        <f>VLOOKUP(B1395,'[2]справочник кодов нп'!$A:$D,4,0)</f>
        <v>сельские населенные пункты с численностью населения менее 1 000 человек.</v>
      </c>
      <c r="G1395" s="23" t="s">
        <v>1385</v>
      </c>
      <c r="H1395" s="10" t="s">
        <v>3333</v>
      </c>
      <c r="I1395" s="35" t="s">
        <v>7017</v>
      </c>
      <c r="J1395" s="33" t="s">
        <v>1337</v>
      </c>
    </row>
    <row r="1396" spans="1:10" x14ac:dyDescent="0.25">
      <c r="A1396" s="23" t="s">
        <v>5080</v>
      </c>
      <c r="B1396" s="10" t="s">
        <v>5081</v>
      </c>
      <c r="C1396" s="23" t="s">
        <v>3333</v>
      </c>
      <c r="D1396" s="28" t="s">
        <v>3120</v>
      </c>
      <c r="E1396" s="25">
        <v>106</v>
      </c>
      <c r="F1396" s="23" t="str">
        <f>VLOOKUP(B1396,'[2]справочник кодов нп'!$A:$D,4,0)</f>
        <v>сельские населенные пункты с численностью населения менее 1 000 человек.</v>
      </c>
      <c r="G1396" s="23" t="s">
        <v>1385</v>
      </c>
      <c r="H1396" s="10" t="s">
        <v>3333</v>
      </c>
      <c r="I1396" s="35" t="s">
        <v>7017</v>
      </c>
      <c r="J1396" s="33" t="s">
        <v>1337</v>
      </c>
    </row>
    <row r="1397" spans="1:10" x14ac:dyDescent="0.25">
      <c r="A1397" s="23" t="s">
        <v>5082</v>
      </c>
      <c r="B1397" s="10" t="s">
        <v>5083</v>
      </c>
      <c r="C1397" s="23" t="s">
        <v>3333</v>
      </c>
      <c r="D1397" s="28" t="s">
        <v>5084</v>
      </c>
      <c r="E1397" s="25">
        <v>106</v>
      </c>
      <c r="F1397" s="23" t="str">
        <f>VLOOKUP(B1397,'[2]справочник кодов нп'!$A:$D,4,0)</f>
        <v>сельские населенные пункты с численностью населения менее 1 000 человек.</v>
      </c>
      <c r="G1397" s="23" t="s">
        <v>1385</v>
      </c>
      <c r="H1397" s="10" t="s">
        <v>3333</v>
      </c>
      <c r="I1397" s="35" t="s">
        <v>7017</v>
      </c>
      <c r="J1397" s="33" t="s">
        <v>1337</v>
      </c>
    </row>
    <row r="1398" spans="1:10" x14ac:dyDescent="0.25">
      <c r="A1398" s="23" t="s">
        <v>6017</v>
      </c>
      <c r="B1398" s="10" t="s">
        <v>6018</v>
      </c>
      <c r="C1398" s="23" t="s">
        <v>3333</v>
      </c>
      <c r="D1398" s="28" t="s">
        <v>6019</v>
      </c>
      <c r="E1398" s="25">
        <v>106</v>
      </c>
      <c r="F1398" s="23" t="str">
        <f>VLOOKUP(B1398,'[2]справочник кодов нп'!$A:$D,4,0)</f>
        <v>сельские населенные пункты с численностью населения менее 1 000 человек.</v>
      </c>
      <c r="G1398" s="23" t="s">
        <v>1385</v>
      </c>
      <c r="H1398" s="10" t="s">
        <v>3333</v>
      </c>
      <c r="I1398" s="35" t="s">
        <v>7017</v>
      </c>
      <c r="J1398" s="33" t="s">
        <v>1337</v>
      </c>
    </row>
    <row r="1399" spans="1:10" x14ac:dyDescent="0.25">
      <c r="A1399" s="23" t="s">
        <v>6020</v>
      </c>
      <c r="B1399" s="10" t="s">
        <v>6021</v>
      </c>
      <c r="C1399" s="23" t="s">
        <v>3333</v>
      </c>
      <c r="D1399" s="28" t="s">
        <v>2339</v>
      </c>
      <c r="E1399" s="25">
        <v>106</v>
      </c>
      <c r="F1399" s="23" t="str">
        <f>VLOOKUP(B1399,'[2]справочник кодов нп'!$A:$D,4,0)</f>
        <v>сельские населенные пункты с численностью населения менее 1 000 человек.</v>
      </c>
      <c r="G1399" s="23" t="s">
        <v>1385</v>
      </c>
      <c r="H1399" s="10" t="s">
        <v>3333</v>
      </c>
      <c r="I1399" s="35" t="s">
        <v>7017</v>
      </c>
      <c r="J1399" s="33" t="s">
        <v>1337</v>
      </c>
    </row>
    <row r="1400" spans="1:10" x14ac:dyDescent="0.25">
      <c r="A1400" s="23" t="s">
        <v>6022</v>
      </c>
      <c r="B1400" s="10" t="s">
        <v>6023</v>
      </c>
      <c r="C1400" s="23" t="s">
        <v>3333</v>
      </c>
      <c r="D1400" s="28" t="s">
        <v>6024</v>
      </c>
      <c r="E1400" s="25">
        <v>106</v>
      </c>
      <c r="F1400" s="23" t="str">
        <f>VLOOKUP(B1400,'[2]справочник кодов нп'!$A:$D,4,0)</f>
        <v>сельские населенные пункты с численностью населения менее 1 000 человек.</v>
      </c>
      <c r="G1400" s="23" t="s">
        <v>1385</v>
      </c>
      <c r="H1400" s="10" t="s">
        <v>3333</v>
      </c>
      <c r="I1400" s="35" t="s">
        <v>7017</v>
      </c>
      <c r="J1400" s="33" t="s">
        <v>1337</v>
      </c>
    </row>
    <row r="1401" spans="1:10" x14ac:dyDescent="0.25">
      <c r="A1401" s="23" t="s">
        <v>6025</v>
      </c>
      <c r="B1401" s="10" t="s">
        <v>6026</v>
      </c>
      <c r="C1401" s="23" t="s">
        <v>3333</v>
      </c>
      <c r="D1401" s="28" t="s">
        <v>6027</v>
      </c>
      <c r="E1401" s="25">
        <v>106</v>
      </c>
      <c r="F1401" s="23" t="str">
        <f>VLOOKUP(B1401,'[2]справочник кодов нп'!$A:$D,4,0)</f>
        <v>сельские населенные пункты с численностью населения менее 1 000 человек.</v>
      </c>
      <c r="G1401" s="23" t="s">
        <v>1385</v>
      </c>
      <c r="H1401" s="10" t="s">
        <v>3333</v>
      </c>
      <c r="I1401" s="35" t="s">
        <v>7017</v>
      </c>
      <c r="J1401" s="33" t="s">
        <v>1337</v>
      </c>
    </row>
    <row r="1402" spans="1:10" x14ac:dyDescent="0.25">
      <c r="A1402" s="23" t="s">
        <v>6028</v>
      </c>
      <c r="B1402" s="10" t="s">
        <v>6029</v>
      </c>
      <c r="C1402" s="23" t="s">
        <v>3333</v>
      </c>
      <c r="D1402" s="28" t="s">
        <v>6030</v>
      </c>
      <c r="E1402" s="25">
        <v>106</v>
      </c>
      <c r="F1402" s="23" t="str">
        <f>VLOOKUP(B1402,'[2]справочник кодов нп'!$A:$D,4,0)</f>
        <v>сельские населенные пункты с численностью населения менее 1 000 человек.</v>
      </c>
      <c r="G1402" s="23" t="s">
        <v>1385</v>
      </c>
      <c r="H1402" s="10" t="s">
        <v>3333</v>
      </c>
      <c r="I1402" s="35" t="s">
        <v>7017</v>
      </c>
      <c r="J1402" s="33" t="s">
        <v>1337</v>
      </c>
    </row>
    <row r="1403" spans="1:10" x14ac:dyDescent="0.25">
      <c r="A1403" s="23" t="s">
        <v>6031</v>
      </c>
      <c r="B1403" s="10" t="s">
        <v>6032</v>
      </c>
      <c r="C1403" s="23" t="s">
        <v>3333</v>
      </c>
      <c r="D1403" s="28" t="s">
        <v>6033</v>
      </c>
      <c r="E1403" s="25">
        <v>106</v>
      </c>
      <c r="F1403" s="23" t="str">
        <f>VLOOKUP(B1403,'[2]справочник кодов нп'!$A:$D,4,0)</f>
        <v>сельские населенные пункты с численностью населения менее 1 000 человек.</v>
      </c>
      <c r="G1403" s="23" t="s">
        <v>1385</v>
      </c>
      <c r="H1403" s="10" t="s">
        <v>3333</v>
      </c>
      <c r="I1403" s="35" t="s">
        <v>7017</v>
      </c>
      <c r="J1403" s="33" t="s">
        <v>1337</v>
      </c>
    </row>
    <row r="1404" spans="1:10" x14ac:dyDescent="0.25">
      <c r="A1404" s="23" t="s">
        <v>6034</v>
      </c>
      <c r="B1404" s="10" t="s">
        <v>6035</v>
      </c>
      <c r="C1404" s="23" t="s">
        <v>3333</v>
      </c>
      <c r="D1404" s="28" t="s">
        <v>6036</v>
      </c>
      <c r="E1404" s="25">
        <v>106</v>
      </c>
      <c r="F1404" s="23" t="str">
        <f>VLOOKUP(B1404,'[2]справочник кодов нп'!$A:$D,4,0)</f>
        <v>сельские населенные пункты с численностью населения менее 1 000 человек.</v>
      </c>
      <c r="G1404" s="23" t="s">
        <v>1385</v>
      </c>
      <c r="H1404" s="10" t="s">
        <v>3333</v>
      </c>
      <c r="I1404" s="35" t="s">
        <v>7017</v>
      </c>
      <c r="J1404" s="33" t="s">
        <v>1337</v>
      </c>
    </row>
    <row r="1405" spans="1:10" x14ac:dyDescent="0.25">
      <c r="A1405" s="23" t="s">
        <v>6037</v>
      </c>
      <c r="B1405" s="10" t="s">
        <v>6038</v>
      </c>
      <c r="C1405" s="23" t="s">
        <v>3333</v>
      </c>
      <c r="D1405" s="28" t="s">
        <v>6039</v>
      </c>
      <c r="E1405" s="25">
        <v>106</v>
      </c>
      <c r="F1405" s="23" t="str">
        <f>VLOOKUP(B1405,'[2]справочник кодов нп'!$A:$D,4,0)</f>
        <v>сельские населенные пункты с численностью населения менее 1 000 человек.</v>
      </c>
      <c r="G1405" s="23" t="s">
        <v>1385</v>
      </c>
      <c r="H1405" s="10" t="s">
        <v>3333</v>
      </c>
      <c r="I1405" s="35" t="s">
        <v>7017</v>
      </c>
      <c r="J1405" s="33" t="s">
        <v>1337</v>
      </c>
    </row>
    <row r="1406" spans="1:10" x14ac:dyDescent="0.25">
      <c r="A1406" s="23" t="s">
        <v>6040</v>
      </c>
      <c r="B1406" s="10" t="s">
        <v>6041</v>
      </c>
      <c r="C1406" s="23" t="s">
        <v>3333</v>
      </c>
      <c r="D1406" s="28" t="s">
        <v>6042</v>
      </c>
      <c r="E1406" s="25">
        <v>106</v>
      </c>
      <c r="F1406" s="23" t="str">
        <f>VLOOKUP(B1406,'[2]справочник кодов нп'!$A:$D,4,0)</f>
        <v>сельские населенные пункты с численностью населения менее 1 000 человек.</v>
      </c>
      <c r="G1406" s="23" t="s">
        <v>1385</v>
      </c>
      <c r="H1406" s="10" t="s">
        <v>3333</v>
      </c>
      <c r="I1406" s="35" t="s">
        <v>7017</v>
      </c>
      <c r="J1406" s="33" t="s">
        <v>1337</v>
      </c>
    </row>
    <row r="1407" spans="1:10" x14ac:dyDescent="0.25">
      <c r="A1407" s="23" t="s">
        <v>6043</v>
      </c>
      <c r="B1407" s="10" t="s">
        <v>6044</v>
      </c>
      <c r="C1407" s="23" t="s">
        <v>3333</v>
      </c>
      <c r="D1407" s="28" t="s">
        <v>6045</v>
      </c>
      <c r="E1407" s="25">
        <v>106</v>
      </c>
      <c r="F1407" s="23" t="str">
        <f>VLOOKUP(B1407,'[2]справочник кодов нп'!$A:$D,4,0)</f>
        <v>сельские населенные пункты с численностью населения менее 1 000 человек.</v>
      </c>
      <c r="G1407" s="23" t="s">
        <v>1385</v>
      </c>
      <c r="H1407" s="10" t="s">
        <v>3333</v>
      </c>
      <c r="I1407" s="35" t="s">
        <v>7017</v>
      </c>
      <c r="J1407" s="33" t="s">
        <v>1337</v>
      </c>
    </row>
    <row r="1408" spans="1:10" x14ac:dyDescent="0.25">
      <c r="A1408" s="23" t="s">
        <v>6046</v>
      </c>
      <c r="B1408" s="10" t="s">
        <v>6047</v>
      </c>
      <c r="C1408" s="23" t="s">
        <v>3333</v>
      </c>
      <c r="D1408" s="28" t="s">
        <v>6048</v>
      </c>
      <c r="E1408" s="25">
        <v>106</v>
      </c>
      <c r="F1408" s="23" t="str">
        <f>VLOOKUP(B1408,'[2]справочник кодов нп'!$A:$D,4,0)</f>
        <v>сельские населенные пункты с численностью населения менее 1 000 человек.</v>
      </c>
      <c r="G1408" s="23" t="s">
        <v>1385</v>
      </c>
      <c r="H1408" s="10" t="s">
        <v>3333</v>
      </c>
      <c r="I1408" s="35" t="s">
        <v>7017</v>
      </c>
      <c r="J1408" s="33" t="s">
        <v>1337</v>
      </c>
    </row>
    <row r="1409" spans="1:10" x14ac:dyDescent="0.25">
      <c r="A1409" s="23" t="s">
        <v>6717</v>
      </c>
      <c r="B1409" s="10" t="s">
        <v>6718</v>
      </c>
      <c r="C1409" s="23" t="s">
        <v>3333</v>
      </c>
      <c r="D1409" s="28" t="s">
        <v>6719</v>
      </c>
      <c r="E1409" s="25">
        <v>106</v>
      </c>
      <c r="F1409" s="23" t="str">
        <f>VLOOKUP(B1409,'[2]справочник кодов нп'!$A:$D,4,0)</f>
        <v>сельские населенные пункты с численностью населения менее 1 000 человек.</v>
      </c>
      <c r="G1409" s="23" t="s">
        <v>1385</v>
      </c>
      <c r="H1409" s="10" t="s">
        <v>3333</v>
      </c>
      <c r="I1409" s="35" t="s">
        <v>7017</v>
      </c>
      <c r="J1409" s="33" t="s">
        <v>1337</v>
      </c>
    </row>
    <row r="1410" spans="1:10" x14ac:dyDescent="0.25">
      <c r="A1410" s="23" t="s">
        <v>6750</v>
      </c>
      <c r="B1410" s="10" t="s">
        <v>6751</v>
      </c>
      <c r="C1410" s="23" t="s">
        <v>3333</v>
      </c>
      <c r="D1410" s="28" t="s">
        <v>6752</v>
      </c>
      <c r="E1410" s="25">
        <v>106</v>
      </c>
      <c r="F1410" s="23" t="str">
        <f>VLOOKUP(B1410,'[2]справочник кодов нп'!$A:$D,4,0)</f>
        <v>сельские населенные пункты с численностью населения менее 1 000 человек.</v>
      </c>
      <c r="G1410" s="23" t="s">
        <v>1385</v>
      </c>
      <c r="H1410" s="10" t="s">
        <v>3333</v>
      </c>
      <c r="I1410" s="35" t="s">
        <v>7017</v>
      </c>
      <c r="J1410" s="33" t="s">
        <v>1337</v>
      </c>
    </row>
    <row r="1411" spans="1:10" x14ac:dyDescent="0.25">
      <c r="A1411" s="23" t="s">
        <v>6753</v>
      </c>
      <c r="B1411" s="10" t="s">
        <v>6754</v>
      </c>
      <c r="C1411" s="23" t="s">
        <v>3333</v>
      </c>
      <c r="D1411" s="28" t="s">
        <v>2682</v>
      </c>
      <c r="E1411" s="25">
        <v>106</v>
      </c>
      <c r="F1411" s="23" t="str">
        <f>VLOOKUP(B1411,'[2]справочник кодов нп'!$A:$D,4,0)</f>
        <v>сельские населенные пункты с численностью населения менее 1 000 человек.</v>
      </c>
      <c r="G1411" s="23" t="s">
        <v>1385</v>
      </c>
      <c r="H1411" s="10" t="s">
        <v>3333</v>
      </c>
      <c r="I1411" s="35" t="s">
        <v>7017</v>
      </c>
      <c r="J1411" s="33" t="s">
        <v>1337</v>
      </c>
    </row>
    <row r="1412" spans="1:10" x14ac:dyDescent="0.25">
      <c r="A1412" s="23" t="s">
        <v>6961</v>
      </c>
      <c r="B1412" s="10" t="s">
        <v>6962</v>
      </c>
      <c r="C1412" s="23" t="s">
        <v>3333</v>
      </c>
      <c r="D1412" s="28" t="s">
        <v>6846</v>
      </c>
      <c r="E1412" s="25">
        <v>106</v>
      </c>
      <c r="F1412" s="23" t="str">
        <f>VLOOKUP(B1412,'[2]справочник кодов нп'!$A:$D,4,0)</f>
        <v>межселенная территория</v>
      </c>
      <c r="G1412" s="23" t="s">
        <v>1385</v>
      </c>
      <c r="H1412" s="10" t="s">
        <v>3333</v>
      </c>
      <c r="I1412" s="35" t="s">
        <v>7019</v>
      </c>
      <c r="J1412" s="33" t="s">
        <v>1337</v>
      </c>
    </row>
    <row r="1413" spans="1:10" x14ac:dyDescent="0.25">
      <c r="A1413" s="23" t="s">
        <v>3432</v>
      </c>
      <c r="B1413" s="10" t="s">
        <v>3433</v>
      </c>
      <c r="C1413" s="23" t="s">
        <v>3434</v>
      </c>
      <c r="D1413" s="28" t="s">
        <v>3435</v>
      </c>
      <c r="E1413" s="25">
        <v>106</v>
      </c>
      <c r="F1413" s="23" t="str">
        <f>VLOOKUP(B1413,'[2]справочник кодов нп'!$A:$D,4,0)</f>
        <v>сельские населенные пункты с численностью населения более 1 000 человек;</v>
      </c>
      <c r="G1413" s="23" t="s">
        <v>1385</v>
      </c>
      <c r="H1413" s="10" t="s">
        <v>3434</v>
      </c>
      <c r="I1413" s="35" t="s">
        <v>7017</v>
      </c>
      <c r="J1413" s="33" t="s">
        <v>1337</v>
      </c>
    </row>
    <row r="1414" spans="1:10" x14ac:dyDescent="0.25">
      <c r="A1414" s="23" t="s">
        <v>3436</v>
      </c>
      <c r="B1414" s="10" t="s">
        <v>3437</v>
      </c>
      <c r="C1414" s="23" t="s">
        <v>3434</v>
      </c>
      <c r="D1414" s="28" t="s">
        <v>3438</v>
      </c>
      <c r="E1414" s="25">
        <v>106</v>
      </c>
      <c r="F1414" s="23" t="str">
        <f>VLOOKUP(B1414,'[2]справочник кодов нп'!$A:$D,4,0)</f>
        <v>сельские населенные пункты с численностью населения менее 1 000 человек.</v>
      </c>
      <c r="G1414" s="23" t="s">
        <v>1385</v>
      </c>
      <c r="H1414" s="10" t="s">
        <v>3434</v>
      </c>
      <c r="I1414" s="35" t="s">
        <v>7017</v>
      </c>
      <c r="J1414" s="33" t="s">
        <v>1337</v>
      </c>
    </row>
    <row r="1415" spans="1:10" x14ac:dyDescent="0.25">
      <c r="A1415" s="23" t="s">
        <v>3439</v>
      </c>
      <c r="B1415" s="10" t="s">
        <v>3440</v>
      </c>
      <c r="C1415" s="23" t="s">
        <v>3434</v>
      </c>
      <c r="D1415" s="28" t="s">
        <v>3441</v>
      </c>
      <c r="E1415" s="25">
        <v>106</v>
      </c>
      <c r="F1415" s="23" t="str">
        <f>VLOOKUP(B1415,'[2]справочник кодов нп'!$A:$D,4,0)</f>
        <v>сельские населенные пункты с численностью населения менее 1 000 человек.</v>
      </c>
      <c r="G1415" s="23" t="s">
        <v>1385</v>
      </c>
      <c r="H1415" s="10" t="s">
        <v>3434</v>
      </c>
      <c r="I1415" s="35" t="s">
        <v>7017</v>
      </c>
      <c r="J1415" s="33" t="s">
        <v>1337</v>
      </c>
    </row>
    <row r="1416" spans="1:10" x14ac:dyDescent="0.25">
      <c r="A1416" s="23" t="s">
        <v>3442</v>
      </c>
      <c r="B1416" s="10" t="s">
        <v>3443</v>
      </c>
      <c r="C1416" s="23" t="s">
        <v>3434</v>
      </c>
      <c r="D1416" s="28" t="s">
        <v>2726</v>
      </c>
      <c r="E1416" s="25">
        <v>106</v>
      </c>
      <c r="F1416" s="23" t="str">
        <f>VLOOKUP(B1416,'[2]справочник кодов нп'!$A:$D,4,0)</f>
        <v>сельские населенные пункты с численностью населения менее 1 000 человек.</v>
      </c>
      <c r="G1416" s="23" t="s">
        <v>1385</v>
      </c>
      <c r="H1416" s="10" t="s">
        <v>3434</v>
      </c>
      <c r="I1416" s="35" t="s">
        <v>7017</v>
      </c>
      <c r="J1416" s="33" t="s">
        <v>1337</v>
      </c>
    </row>
    <row r="1417" spans="1:10" x14ac:dyDescent="0.25">
      <c r="A1417" s="23" t="s">
        <v>3444</v>
      </c>
      <c r="B1417" s="10" t="s">
        <v>3445</v>
      </c>
      <c r="C1417" s="23" t="s">
        <v>3434</v>
      </c>
      <c r="D1417" s="28" t="s">
        <v>3446</v>
      </c>
      <c r="E1417" s="25">
        <v>106</v>
      </c>
      <c r="F1417" s="23" t="str">
        <f>VLOOKUP(B1417,'[2]справочник кодов нп'!$A:$D,4,0)</f>
        <v>сельские населенные пункты с численностью населения менее 1 000 человек.</v>
      </c>
      <c r="G1417" s="23" t="s">
        <v>1385</v>
      </c>
      <c r="H1417" s="10" t="s">
        <v>3434</v>
      </c>
      <c r="I1417" s="35" t="s">
        <v>7017</v>
      </c>
      <c r="J1417" s="33" t="s">
        <v>1337</v>
      </c>
    </row>
    <row r="1418" spans="1:10" x14ac:dyDescent="0.25">
      <c r="A1418" s="23" t="s">
        <v>3447</v>
      </c>
      <c r="B1418" s="10" t="s">
        <v>3448</v>
      </c>
      <c r="C1418" s="23" t="s">
        <v>3434</v>
      </c>
      <c r="D1418" s="28" t="s">
        <v>3449</v>
      </c>
      <c r="E1418" s="25">
        <v>106</v>
      </c>
      <c r="F1418" s="23" t="str">
        <f>VLOOKUP(B1418,'[2]справочник кодов нп'!$A:$D,4,0)</f>
        <v>сельские населенные пункты с численностью населения менее 1 000 человек.</v>
      </c>
      <c r="G1418" s="23" t="s">
        <v>1385</v>
      </c>
      <c r="H1418" s="10" t="s">
        <v>3434</v>
      </c>
      <c r="I1418" s="35" t="s">
        <v>7017</v>
      </c>
      <c r="J1418" s="33" t="s">
        <v>1337</v>
      </c>
    </row>
    <row r="1419" spans="1:10" x14ac:dyDescent="0.25">
      <c r="A1419" s="23" t="s">
        <v>3450</v>
      </c>
      <c r="B1419" s="10" t="s">
        <v>3451</v>
      </c>
      <c r="C1419" s="23" t="s">
        <v>3434</v>
      </c>
      <c r="D1419" s="28" t="s">
        <v>1703</v>
      </c>
      <c r="E1419" s="25">
        <v>106</v>
      </c>
      <c r="F1419" s="23" t="str">
        <f>VLOOKUP(B1419,'[2]справочник кодов нп'!$A:$D,4,0)</f>
        <v>сельские населенные пункты с численностью населения менее 1 000 человек.</v>
      </c>
      <c r="G1419" s="23" t="s">
        <v>1385</v>
      </c>
      <c r="H1419" s="10" t="s">
        <v>3434</v>
      </c>
      <c r="I1419" s="35" t="s">
        <v>7017</v>
      </c>
      <c r="J1419" s="33" t="s">
        <v>1337</v>
      </c>
    </row>
    <row r="1420" spans="1:10" x14ac:dyDescent="0.25">
      <c r="A1420" s="23" t="s">
        <v>3452</v>
      </c>
      <c r="B1420" s="10" t="s">
        <v>3453</v>
      </c>
      <c r="C1420" s="23" t="s">
        <v>3434</v>
      </c>
      <c r="D1420" s="28" t="s">
        <v>3454</v>
      </c>
      <c r="E1420" s="25">
        <v>106</v>
      </c>
      <c r="F1420" s="23" t="str">
        <f>VLOOKUP(B1420,'[2]справочник кодов нп'!$A:$D,4,0)</f>
        <v>сельские населенные пункты с численностью населения менее 1 000 человек.</v>
      </c>
      <c r="G1420" s="23" t="s">
        <v>1385</v>
      </c>
      <c r="H1420" s="10" t="s">
        <v>3434</v>
      </c>
      <c r="I1420" s="35" t="s">
        <v>7017</v>
      </c>
      <c r="J1420" s="33" t="s">
        <v>1337</v>
      </c>
    </row>
    <row r="1421" spans="1:10" x14ac:dyDescent="0.25">
      <c r="A1421" s="23" t="s">
        <v>3455</v>
      </c>
      <c r="B1421" s="10" t="s">
        <v>3456</v>
      </c>
      <c r="C1421" s="23" t="s">
        <v>3434</v>
      </c>
      <c r="D1421" s="28" t="s">
        <v>3457</v>
      </c>
      <c r="E1421" s="25">
        <v>106</v>
      </c>
      <c r="F1421" s="23" t="str">
        <f>VLOOKUP(B1421,'[2]справочник кодов нп'!$A:$D,4,0)</f>
        <v>сельские населенные пункты с численностью населения менее 1 000 человек.</v>
      </c>
      <c r="G1421" s="23" t="s">
        <v>1385</v>
      </c>
      <c r="H1421" s="10" t="s">
        <v>3434</v>
      </c>
      <c r="I1421" s="35" t="s">
        <v>7017</v>
      </c>
      <c r="J1421" s="33" t="s">
        <v>1337</v>
      </c>
    </row>
    <row r="1422" spans="1:10" x14ac:dyDescent="0.25">
      <c r="A1422" s="23" t="s">
        <v>3458</v>
      </c>
      <c r="B1422" s="10" t="s">
        <v>3459</v>
      </c>
      <c r="C1422" s="23" t="s">
        <v>3434</v>
      </c>
      <c r="D1422" s="28" t="s">
        <v>3460</v>
      </c>
      <c r="E1422" s="25">
        <v>106</v>
      </c>
      <c r="F1422" s="23" t="str">
        <f>VLOOKUP(B1422,'[2]справочник кодов нп'!$A:$D,4,0)</f>
        <v>сельские населенные пункты с численностью населения менее 1 000 человек.</v>
      </c>
      <c r="G1422" s="23" t="s">
        <v>1385</v>
      </c>
      <c r="H1422" s="10" t="s">
        <v>3434</v>
      </c>
      <c r="I1422" s="35" t="s">
        <v>7017</v>
      </c>
      <c r="J1422" s="33" t="s">
        <v>1337</v>
      </c>
    </row>
    <row r="1423" spans="1:10" x14ac:dyDescent="0.25">
      <c r="A1423" s="23" t="s">
        <v>3461</v>
      </c>
      <c r="B1423" s="10" t="s">
        <v>3462</v>
      </c>
      <c r="C1423" s="23" t="s">
        <v>3434</v>
      </c>
      <c r="D1423" s="28" t="s">
        <v>3463</v>
      </c>
      <c r="E1423" s="25">
        <v>106</v>
      </c>
      <c r="F1423" s="23" t="str">
        <f>VLOOKUP(B1423,'[2]справочник кодов нп'!$A:$D,4,0)</f>
        <v>сельские населенные пункты с численностью населения менее 1 000 человек.</v>
      </c>
      <c r="G1423" s="23" t="s">
        <v>1385</v>
      </c>
      <c r="H1423" s="10" t="s">
        <v>3434</v>
      </c>
      <c r="I1423" s="35" t="s">
        <v>7017</v>
      </c>
      <c r="J1423" s="33" t="s">
        <v>1337</v>
      </c>
    </row>
    <row r="1424" spans="1:10" x14ac:dyDescent="0.25">
      <c r="A1424" s="23" t="s">
        <v>3464</v>
      </c>
      <c r="B1424" s="10" t="s">
        <v>3465</v>
      </c>
      <c r="C1424" s="23" t="s">
        <v>3434</v>
      </c>
      <c r="D1424" s="28" t="s">
        <v>3466</v>
      </c>
      <c r="E1424" s="25">
        <v>106</v>
      </c>
      <c r="F1424" s="23" t="str">
        <f>VLOOKUP(B1424,'[2]справочник кодов нп'!$A:$D,4,0)</f>
        <v>сельские населенные пункты с численностью населения менее 1 000 человек.</v>
      </c>
      <c r="G1424" s="23" t="s">
        <v>1385</v>
      </c>
      <c r="H1424" s="10" t="s">
        <v>3434</v>
      </c>
      <c r="I1424" s="35" t="s">
        <v>7017</v>
      </c>
      <c r="J1424" s="33" t="s">
        <v>1337</v>
      </c>
    </row>
    <row r="1425" spans="1:10" x14ac:dyDescent="0.25">
      <c r="A1425" s="23" t="s">
        <v>3467</v>
      </c>
      <c r="B1425" s="10" t="s">
        <v>3468</v>
      </c>
      <c r="C1425" s="23" t="s">
        <v>3434</v>
      </c>
      <c r="D1425" s="28" t="s">
        <v>3469</v>
      </c>
      <c r="E1425" s="25">
        <v>106</v>
      </c>
      <c r="F1425" s="23" t="str">
        <f>VLOOKUP(B1425,'[2]справочник кодов нп'!$A:$D,4,0)</f>
        <v>сельские населенные пункты с численностью населения менее 1 000 человек.</v>
      </c>
      <c r="G1425" s="23" t="s">
        <v>1385</v>
      </c>
      <c r="H1425" s="10" t="s">
        <v>3434</v>
      </c>
      <c r="I1425" s="35" t="s">
        <v>7017</v>
      </c>
      <c r="J1425" s="33" t="s">
        <v>1337</v>
      </c>
    </row>
    <row r="1426" spans="1:10" x14ac:dyDescent="0.25">
      <c r="A1426" s="23" t="s">
        <v>3470</v>
      </c>
      <c r="B1426" s="10" t="s">
        <v>3471</v>
      </c>
      <c r="C1426" s="23" t="s">
        <v>3434</v>
      </c>
      <c r="D1426" s="28" t="s">
        <v>3472</v>
      </c>
      <c r="E1426" s="25">
        <v>106</v>
      </c>
      <c r="F1426" s="23" t="str">
        <f>VLOOKUP(B1426,'[2]справочник кодов нп'!$A:$D,4,0)</f>
        <v>сельские населенные пункты с численностью населения менее 1 000 человек.</v>
      </c>
      <c r="G1426" s="23" t="s">
        <v>1385</v>
      </c>
      <c r="H1426" s="10" t="s">
        <v>3434</v>
      </c>
      <c r="I1426" s="35" t="s">
        <v>7017</v>
      </c>
      <c r="J1426" s="33" t="s">
        <v>1337</v>
      </c>
    </row>
    <row r="1427" spans="1:10" x14ac:dyDescent="0.25">
      <c r="A1427" s="23" t="s">
        <v>3473</v>
      </c>
      <c r="B1427" s="10" t="s">
        <v>3474</v>
      </c>
      <c r="C1427" s="23" t="s">
        <v>3434</v>
      </c>
      <c r="D1427" s="28" t="s">
        <v>3475</v>
      </c>
      <c r="E1427" s="25">
        <v>106</v>
      </c>
      <c r="F1427" s="23" t="str">
        <f>VLOOKUP(B1427,'[2]справочник кодов нп'!$A:$D,4,0)</f>
        <v>сельские населенные пункты с численностью населения менее 1 000 человек.</v>
      </c>
      <c r="G1427" s="23" t="s">
        <v>1385</v>
      </c>
      <c r="H1427" s="10" t="s">
        <v>3434</v>
      </c>
      <c r="I1427" s="35" t="s">
        <v>7017</v>
      </c>
      <c r="J1427" s="33" t="s">
        <v>1337</v>
      </c>
    </row>
    <row r="1428" spans="1:10" x14ac:dyDescent="0.25">
      <c r="A1428" s="23" t="s">
        <v>3476</v>
      </c>
      <c r="B1428" s="10" t="s">
        <v>3477</v>
      </c>
      <c r="C1428" s="23" t="s">
        <v>3434</v>
      </c>
      <c r="D1428" s="28" t="s">
        <v>3478</v>
      </c>
      <c r="E1428" s="25">
        <v>106</v>
      </c>
      <c r="F1428" s="23" t="str">
        <f>VLOOKUP(B1428,'[2]справочник кодов нп'!$A:$D,4,0)</f>
        <v>сельские населенные пункты с численностью населения менее 1 000 человек.</v>
      </c>
      <c r="G1428" s="23" t="s">
        <v>1385</v>
      </c>
      <c r="H1428" s="10" t="s">
        <v>3434</v>
      </c>
      <c r="I1428" s="35" t="s">
        <v>7017</v>
      </c>
      <c r="J1428" s="33" t="s">
        <v>1337</v>
      </c>
    </row>
    <row r="1429" spans="1:10" x14ac:dyDescent="0.25">
      <c r="A1429" s="23" t="s">
        <v>3479</v>
      </c>
      <c r="B1429" s="10" t="s">
        <v>3480</v>
      </c>
      <c r="C1429" s="23" t="s">
        <v>3434</v>
      </c>
      <c r="D1429" s="28" t="s">
        <v>3481</v>
      </c>
      <c r="E1429" s="25">
        <v>106</v>
      </c>
      <c r="F1429" s="23" t="str">
        <f>VLOOKUP(B1429,'[2]справочник кодов нп'!$A:$D,4,0)</f>
        <v>сельские населенные пункты с численностью населения более 1 000 человек;</v>
      </c>
      <c r="G1429" s="23" t="s">
        <v>1385</v>
      </c>
      <c r="H1429" s="10" t="s">
        <v>3434</v>
      </c>
      <c r="I1429" s="35" t="s">
        <v>7017</v>
      </c>
      <c r="J1429" s="33" t="s">
        <v>1337</v>
      </c>
    </row>
    <row r="1430" spans="1:10" x14ac:dyDescent="0.25">
      <c r="A1430" s="23" t="s">
        <v>3482</v>
      </c>
      <c r="B1430" s="10" t="s">
        <v>3483</v>
      </c>
      <c r="C1430" s="23" t="s">
        <v>3434</v>
      </c>
      <c r="D1430" s="28" t="s">
        <v>3484</v>
      </c>
      <c r="E1430" s="25">
        <v>106</v>
      </c>
      <c r="F1430" s="23" t="str">
        <f>VLOOKUP(B1430,'[2]справочник кодов нп'!$A:$D,4,0)</f>
        <v>сельские населенные пункты с численностью населения менее 1 000 человек.</v>
      </c>
      <c r="G1430" s="23" t="s">
        <v>1385</v>
      </c>
      <c r="H1430" s="10" t="s">
        <v>3434</v>
      </c>
      <c r="I1430" s="35" t="s">
        <v>7017</v>
      </c>
      <c r="J1430" s="33" t="s">
        <v>1337</v>
      </c>
    </row>
    <row r="1431" spans="1:10" x14ac:dyDescent="0.25">
      <c r="A1431" s="23" t="s">
        <v>3485</v>
      </c>
      <c r="B1431" s="10" t="s">
        <v>3486</v>
      </c>
      <c r="C1431" s="23" t="s">
        <v>3434</v>
      </c>
      <c r="D1431" s="28" t="s">
        <v>3487</v>
      </c>
      <c r="E1431" s="25">
        <v>106</v>
      </c>
      <c r="F1431" s="23" t="str">
        <f>VLOOKUP(B1431,'[2]справочник кодов нп'!$A:$D,4,0)</f>
        <v>сельские населенные пункты с численностью населения менее 1 000 человек.</v>
      </c>
      <c r="G1431" s="23" t="s">
        <v>1385</v>
      </c>
      <c r="H1431" s="10" t="s">
        <v>3434</v>
      </c>
      <c r="I1431" s="35" t="s">
        <v>7017</v>
      </c>
      <c r="J1431" s="33" t="s">
        <v>1337</v>
      </c>
    </row>
    <row r="1432" spans="1:10" x14ac:dyDescent="0.25">
      <c r="A1432" s="23" t="s">
        <v>3488</v>
      </c>
      <c r="B1432" s="10" t="s">
        <v>3489</v>
      </c>
      <c r="C1432" s="23" t="s">
        <v>3434</v>
      </c>
      <c r="D1432" s="28" t="s">
        <v>3490</v>
      </c>
      <c r="E1432" s="25">
        <v>106</v>
      </c>
      <c r="F1432" s="23" t="str">
        <f>VLOOKUP(B1432,'[2]справочник кодов нп'!$A:$D,4,0)</f>
        <v>сельские населенные пункты с численностью населения менее 1 000 человек.</v>
      </c>
      <c r="G1432" s="23" t="s">
        <v>1385</v>
      </c>
      <c r="H1432" s="10" t="s">
        <v>3434</v>
      </c>
      <c r="I1432" s="35" t="s">
        <v>7017</v>
      </c>
      <c r="J1432" s="33" t="s">
        <v>1337</v>
      </c>
    </row>
    <row r="1433" spans="1:10" x14ac:dyDescent="0.25">
      <c r="A1433" s="23" t="s">
        <v>3491</v>
      </c>
      <c r="B1433" s="10" t="s">
        <v>3492</v>
      </c>
      <c r="C1433" s="23" t="s">
        <v>3434</v>
      </c>
      <c r="D1433" s="28" t="s">
        <v>3493</v>
      </c>
      <c r="E1433" s="25">
        <v>106</v>
      </c>
      <c r="F1433" s="23" t="str">
        <f>VLOOKUP(B1433,'[2]справочник кодов нп'!$A:$D,4,0)</f>
        <v>сельские населенные пункты с численностью населения менее 1 000 человек.</v>
      </c>
      <c r="G1433" s="23" t="s">
        <v>1385</v>
      </c>
      <c r="H1433" s="10" t="s">
        <v>3434</v>
      </c>
      <c r="I1433" s="35" t="s">
        <v>7017</v>
      </c>
      <c r="J1433" s="33" t="s">
        <v>1337</v>
      </c>
    </row>
    <row r="1434" spans="1:10" x14ac:dyDescent="0.25">
      <c r="A1434" s="23" t="s">
        <v>3494</v>
      </c>
      <c r="B1434" s="10" t="s">
        <v>3495</v>
      </c>
      <c r="C1434" s="23" t="s">
        <v>3434</v>
      </c>
      <c r="D1434" s="28" t="s">
        <v>3496</v>
      </c>
      <c r="E1434" s="25">
        <v>106</v>
      </c>
      <c r="F1434" s="23" t="str">
        <f>VLOOKUP(B1434,'[2]справочник кодов нп'!$A:$D,4,0)</f>
        <v>сельские населенные пункты с численностью населения более 1 000 человек;</v>
      </c>
      <c r="G1434" s="23" t="s">
        <v>1385</v>
      </c>
      <c r="H1434" s="10" t="s">
        <v>3434</v>
      </c>
      <c r="I1434" s="35" t="s">
        <v>7017</v>
      </c>
      <c r="J1434" s="33" t="s">
        <v>1337</v>
      </c>
    </row>
    <row r="1435" spans="1:10" x14ac:dyDescent="0.25">
      <c r="A1435" s="23" t="s">
        <v>3497</v>
      </c>
      <c r="B1435" s="10" t="s">
        <v>3498</v>
      </c>
      <c r="C1435" s="23" t="s">
        <v>3434</v>
      </c>
      <c r="D1435" s="28" t="s">
        <v>3499</v>
      </c>
      <c r="E1435" s="25">
        <v>106</v>
      </c>
      <c r="F1435" s="23" t="str">
        <f>VLOOKUP(B1435,'[2]справочник кодов нп'!$A:$D,4,0)</f>
        <v>сельские населенные пункты с численностью населения менее 1 000 человек.</v>
      </c>
      <c r="G1435" s="23" t="s">
        <v>1385</v>
      </c>
      <c r="H1435" s="10" t="s">
        <v>3434</v>
      </c>
      <c r="I1435" s="35" t="s">
        <v>7017</v>
      </c>
      <c r="J1435" s="33" t="s">
        <v>1337</v>
      </c>
    </row>
    <row r="1436" spans="1:10" x14ac:dyDescent="0.25">
      <c r="A1436" s="23" t="s">
        <v>3500</v>
      </c>
      <c r="B1436" s="10" t="s">
        <v>3501</v>
      </c>
      <c r="C1436" s="23" t="s">
        <v>3434</v>
      </c>
      <c r="D1436" s="28" t="s">
        <v>3502</v>
      </c>
      <c r="E1436" s="25">
        <v>106</v>
      </c>
      <c r="F1436" s="23" t="str">
        <f>VLOOKUP(B1436,'[2]справочник кодов нп'!$A:$D,4,0)</f>
        <v>сельские населенные пункты с численностью населения более 1 000 человек;</v>
      </c>
      <c r="G1436" s="23" t="s">
        <v>1385</v>
      </c>
      <c r="H1436" s="10" t="s">
        <v>3434</v>
      </c>
      <c r="I1436" s="35" t="s">
        <v>7017</v>
      </c>
      <c r="J1436" s="33" t="s">
        <v>1337</v>
      </c>
    </row>
    <row r="1437" spans="1:10" x14ac:dyDescent="0.25">
      <c r="A1437" s="23" t="s">
        <v>3503</v>
      </c>
      <c r="B1437" s="10" t="s">
        <v>3504</v>
      </c>
      <c r="C1437" s="23" t="s">
        <v>3434</v>
      </c>
      <c r="D1437" s="28" t="s">
        <v>3505</v>
      </c>
      <c r="E1437" s="25">
        <v>106</v>
      </c>
      <c r="F1437" s="23" t="str">
        <f>VLOOKUP(B1437,'[2]справочник кодов нп'!$A:$D,4,0)</f>
        <v>сельские населенные пункты с численностью населения менее 1 000 человек.</v>
      </c>
      <c r="G1437" s="23" t="s">
        <v>1385</v>
      </c>
      <c r="H1437" s="10" t="s">
        <v>3434</v>
      </c>
      <c r="I1437" s="35" t="s">
        <v>7017</v>
      </c>
      <c r="J1437" s="33" t="s">
        <v>1337</v>
      </c>
    </row>
    <row r="1438" spans="1:10" x14ac:dyDescent="0.25">
      <c r="A1438" s="23" t="s">
        <v>4837</v>
      </c>
      <c r="B1438" s="10" t="s">
        <v>4838</v>
      </c>
      <c r="C1438" s="23" t="s">
        <v>3434</v>
      </c>
      <c r="D1438" s="28" t="s">
        <v>4839</v>
      </c>
      <c r="E1438" s="25">
        <v>106</v>
      </c>
      <c r="F1438" s="23" t="str">
        <f>VLOOKUP(B1438,'[2]справочник кодов нп'!$A:$D,4,0)</f>
        <v>городские населенные пункты с численностью населения менее 50 000 человек;</v>
      </c>
      <c r="G1438" s="23" t="s">
        <v>1385</v>
      </c>
      <c r="H1438" s="10" t="s">
        <v>3434</v>
      </c>
      <c r="I1438" s="35" t="s">
        <v>7017</v>
      </c>
      <c r="J1438" s="33" t="s">
        <v>1337</v>
      </c>
    </row>
    <row r="1439" spans="1:10" x14ac:dyDescent="0.25">
      <c r="A1439" s="23" t="s">
        <v>5085</v>
      </c>
      <c r="B1439" s="10" t="s">
        <v>5086</v>
      </c>
      <c r="C1439" s="23" t="s">
        <v>3434</v>
      </c>
      <c r="D1439" s="28" t="s">
        <v>2402</v>
      </c>
      <c r="E1439" s="25">
        <v>106</v>
      </c>
      <c r="F1439" s="23" t="str">
        <f>VLOOKUP(B1439,'[2]справочник кодов нп'!$A:$D,4,0)</f>
        <v>сельские населенные пункты с численностью населения менее 1 000 человек.</v>
      </c>
      <c r="G1439" s="23" t="s">
        <v>1385</v>
      </c>
      <c r="H1439" s="10" t="s">
        <v>3434</v>
      </c>
      <c r="I1439" s="35" t="s">
        <v>7017</v>
      </c>
      <c r="J1439" s="33" t="s">
        <v>1337</v>
      </c>
    </row>
    <row r="1440" spans="1:10" x14ac:dyDescent="0.25">
      <c r="A1440" s="23" t="s">
        <v>5087</v>
      </c>
      <c r="B1440" s="10" t="s">
        <v>5088</v>
      </c>
      <c r="C1440" s="23" t="s">
        <v>3434</v>
      </c>
      <c r="D1440" s="28" t="s">
        <v>5089</v>
      </c>
      <c r="E1440" s="25">
        <v>106</v>
      </c>
      <c r="F1440" s="23" t="str">
        <f>VLOOKUP(B1440,'[2]справочник кодов нп'!$A:$D,4,0)</f>
        <v>сельские населенные пункты с численностью населения менее 1 000 человек.</v>
      </c>
      <c r="G1440" s="23" t="s">
        <v>1385</v>
      </c>
      <c r="H1440" s="10" t="s">
        <v>3434</v>
      </c>
      <c r="I1440" s="35" t="s">
        <v>7017</v>
      </c>
      <c r="J1440" s="33" t="s">
        <v>1337</v>
      </c>
    </row>
    <row r="1441" spans="1:10" x14ac:dyDescent="0.25">
      <c r="A1441" s="23" t="s">
        <v>5090</v>
      </c>
      <c r="B1441" s="10" t="s">
        <v>5091</v>
      </c>
      <c r="C1441" s="23" t="s">
        <v>3434</v>
      </c>
      <c r="D1441" s="28" t="s">
        <v>5092</v>
      </c>
      <c r="E1441" s="25">
        <v>106</v>
      </c>
      <c r="F1441" s="23" t="str">
        <f>VLOOKUP(B1441,'[2]справочник кодов нп'!$A:$D,4,0)</f>
        <v>сельские населенные пункты с численностью населения менее 1 000 человек.</v>
      </c>
      <c r="G1441" s="23" t="s">
        <v>1385</v>
      </c>
      <c r="H1441" s="10" t="s">
        <v>3434</v>
      </c>
      <c r="I1441" s="35" t="s">
        <v>7017</v>
      </c>
      <c r="J1441" s="33" t="s">
        <v>1337</v>
      </c>
    </row>
    <row r="1442" spans="1:10" x14ac:dyDescent="0.25">
      <c r="A1442" s="23" t="s">
        <v>5305</v>
      </c>
      <c r="B1442" s="10" t="s">
        <v>5306</v>
      </c>
      <c r="C1442" s="23" t="s">
        <v>3434</v>
      </c>
      <c r="D1442" s="28" t="s">
        <v>5307</v>
      </c>
      <c r="E1442" s="25">
        <v>106</v>
      </c>
      <c r="F1442" s="23" t="str">
        <f>VLOOKUP(B1442,'[2]справочник кодов нп'!$A:$D,4,0)</f>
        <v>сельские населенные пункты с численностью населения менее 1 000 человек.</v>
      </c>
      <c r="G1442" s="23" t="s">
        <v>1385</v>
      </c>
      <c r="H1442" s="10" t="s">
        <v>3434</v>
      </c>
      <c r="I1442" s="35" t="s">
        <v>7017</v>
      </c>
      <c r="J1442" s="33" t="s">
        <v>1337</v>
      </c>
    </row>
    <row r="1443" spans="1:10" x14ac:dyDescent="0.25">
      <c r="A1443" s="23" t="s">
        <v>5471</v>
      </c>
      <c r="B1443" s="10" t="s">
        <v>5472</v>
      </c>
      <c r="C1443" s="23" t="s">
        <v>3434</v>
      </c>
      <c r="D1443" s="28" t="s">
        <v>5473</v>
      </c>
      <c r="E1443" s="25">
        <v>106</v>
      </c>
      <c r="F1443" s="23" t="str">
        <f>VLOOKUP(B1443,'[2]справочник кодов нп'!$A:$D,4,0)</f>
        <v>сельские населенные пункты с численностью населения менее 1 000 человек.</v>
      </c>
      <c r="G1443" s="23" t="s">
        <v>1385</v>
      </c>
      <c r="H1443" s="10" t="s">
        <v>3434</v>
      </c>
      <c r="I1443" s="35" t="s">
        <v>7017</v>
      </c>
      <c r="J1443" s="33" t="s">
        <v>1337</v>
      </c>
    </row>
    <row r="1444" spans="1:10" x14ac:dyDescent="0.25">
      <c r="A1444" s="23" t="s">
        <v>6963</v>
      </c>
      <c r="B1444" s="10" t="s">
        <v>6964</v>
      </c>
      <c r="C1444" s="23" t="s">
        <v>3434</v>
      </c>
      <c r="D1444" s="28" t="s">
        <v>6846</v>
      </c>
      <c r="E1444" s="25">
        <v>106</v>
      </c>
      <c r="F1444" s="23" t="str">
        <f>VLOOKUP(B1444,'[2]справочник кодов нп'!$A:$D,4,0)</f>
        <v>межселенная территория</v>
      </c>
      <c r="G1444" s="23" t="s">
        <v>1385</v>
      </c>
      <c r="H1444" s="10" t="s">
        <v>3434</v>
      </c>
      <c r="I1444" s="35" t="s">
        <v>7019</v>
      </c>
      <c r="J1444" s="33" t="s">
        <v>1337</v>
      </c>
    </row>
    <row r="1445" spans="1:10" x14ac:dyDescent="0.25">
      <c r="A1445" s="23" t="s">
        <v>4701</v>
      </c>
      <c r="B1445" s="10" t="s">
        <v>4702</v>
      </c>
      <c r="C1445" s="23" t="s">
        <v>4703</v>
      </c>
      <c r="D1445" s="28" t="s">
        <v>4704</v>
      </c>
      <c r="E1445" s="25">
        <v>106</v>
      </c>
      <c r="F1445" s="23" t="str">
        <f>VLOOKUP(B1445,'[2]справочник кодов нп'!$A:$D,4,0)</f>
        <v>сельские населенные пункты с численностью населения менее 1 000 человек.</v>
      </c>
      <c r="G1445" s="23" t="s">
        <v>1385</v>
      </c>
      <c r="H1445" s="10" t="s">
        <v>4703</v>
      </c>
      <c r="I1445" s="35" t="s">
        <v>7017</v>
      </c>
      <c r="J1445" s="33" t="s">
        <v>1337</v>
      </c>
    </row>
    <row r="1446" spans="1:10" x14ac:dyDescent="0.25">
      <c r="A1446" s="23" t="s">
        <v>4705</v>
      </c>
      <c r="B1446" s="10" t="s">
        <v>4706</v>
      </c>
      <c r="C1446" s="23" t="s">
        <v>4703</v>
      </c>
      <c r="D1446" s="28" t="s">
        <v>4707</v>
      </c>
      <c r="E1446" s="25">
        <v>106</v>
      </c>
      <c r="F1446" s="23" t="str">
        <f>VLOOKUP(B1446,'[2]справочник кодов нп'!$A:$D,4,0)</f>
        <v>сельские населенные пункты с численностью населения более 1 000 человек;</v>
      </c>
      <c r="G1446" s="23" t="s">
        <v>1385</v>
      </c>
      <c r="H1446" s="10" t="s">
        <v>4703</v>
      </c>
      <c r="I1446" s="35" t="s">
        <v>7017</v>
      </c>
      <c r="J1446" s="33" t="s">
        <v>1337</v>
      </c>
    </row>
    <row r="1447" spans="1:10" x14ac:dyDescent="0.25">
      <c r="A1447" s="23" t="s">
        <v>4708</v>
      </c>
      <c r="B1447" s="10" t="s">
        <v>4709</v>
      </c>
      <c r="C1447" s="23" t="s">
        <v>4703</v>
      </c>
      <c r="D1447" s="28" t="s">
        <v>4710</v>
      </c>
      <c r="E1447" s="25">
        <v>106</v>
      </c>
      <c r="F1447" s="23" t="str">
        <f>VLOOKUP(B1447,'[2]справочник кодов нп'!$A:$D,4,0)</f>
        <v>сельские населенные пункты с численностью населения более 1 000 человек;</v>
      </c>
      <c r="G1447" s="23" t="s">
        <v>1385</v>
      </c>
      <c r="H1447" s="10" t="s">
        <v>4703</v>
      </c>
      <c r="I1447" s="35" t="s">
        <v>7017</v>
      </c>
      <c r="J1447" s="33" t="s">
        <v>1337</v>
      </c>
    </row>
    <row r="1448" spans="1:10" x14ac:dyDescent="0.25">
      <c r="A1448" s="23" t="s">
        <v>4711</v>
      </c>
      <c r="B1448" s="10" t="s">
        <v>4712</v>
      </c>
      <c r="C1448" s="23" t="s">
        <v>4703</v>
      </c>
      <c r="D1448" s="28" t="s">
        <v>4713</v>
      </c>
      <c r="E1448" s="25">
        <v>106</v>
      </c>
      <c r="F1448" s="23" t="str">
        <f>VLOOKUP(B1448,'[2]справочник кодов нп'!$A:$D,4,0)</f>
        <v>сельские населенные пункты с численностью населения менее 1 000 человек.</v>
      </c>
      <c r="G1448" s="23" t="s">
        <v>1385</v>
      </c>
      <c r="H1448" s="10" t="s">
        <v>4703</v>
      </c>
      <c r="I1448" s="35" t="s">
        <v>7017</v>
      </c>
      <c r="J1448" s="33" t="s">
        <v>1337</v>
      </c>
    </row>
    <row r="1449" spans="1:10" x14ac:dyDescent="0.25">
      <c r="A1449" s="23" t="s">
        <v>4714</v>
      </c>
      <c r="B1449" s="10" t="s">
        <v>4715</v>
      </c>
      <c r="C1449" s="23" t="s">
        <v>4703</v>
      </c>
      <c r="D1449" s="28" t="s">
        <v>4716</v>
      </c>
      <c r="E1449" s="25">
        <v>106</v>
      </c>
      <c r="F1449" s="23" t="str">
        <f>VLOOKUP(B1449,'[2]справочник кодов нп'!$A:$D,4,0)</f>
        <v>городские населенные пункты с численностью населения менее 50 000 человек;</v>
      </c>
      <c r="G1449" s="23" t="s">
        <v>1385</v>
      </c>
      <c r="H1449" s="10" t="s">
        <v>4703</v>
      </c>
      <c r="I1449" s="35" t="s">
        <v>7017</v>
      </c>
      <c r="J1449" s="33" t="s">
        <v>1337</v>
      </c>
    </row>
    <row r="1450" spans="1:10" x14ac:dyDescent="0.25">
      <c r="A1450" s="23" t="s">
        <v>4717</v>
      </c>
      <c r="B1450" s="10" t="s">
        <v>4718</v>
      </c>
      <c r="C1450" s="23" t="s">
        <v>4703</v>
      </c>
      <c r="D1450" s="28" t="s">
        <v>4719</v>
      </c>
      <c r="E1450" s="25">
        <v>106</v>
      </c>
      <c r="F1450" s="23" t="str">
        <f>VLOOKUP(B1450,'[2]справочник кодов нп'!$A:$D,4,0)</f>
        <v>сельские населенные пункты с численностью населения более 1 000 человек;</v>
      </c>
      <c r="G1450" s="23" t="s">
        <v>1385</v>
      </c>
      <c r="H1450" s="10" t="s">
        <v>4703</v>
      </c>
      <c r="I1450" s="35" t="s">
        <v>7017</v>
      </c>
      <c r="J1450" s="33" t="s">
        <v>1337</v>
      </c>
    </row>
    <row r="1451" spans="1:10" x14ac:dyDescent="0.25">
      <c r="A1451" s="23" t="s">
        <v>4720</v>
      </c>
      <c r="B1451" s="10" t="s">
        <v>4721</v>
      </c>
      <c r="C1451" s="23" t="s">
        <v>4703</v>
      </c>
      <c r="D1451" s="28" t="s">
        <v>4722</v>
      </c>
      <c r="E1451" s="25">
        <v>106</v>
      </c>
      <c r="F1451" s="23" t="str">
        <f>VLOOKUP(B1451,'[2]справочник кодов нп'!$A:$D,4,0)</f>
        <v>сельские населенные пункты с численностью населения более 1 000 человек;</v>
      </c>
      <c r="G1451" s="23" t="s">
        <v>1385</v>
      </c>
      <c r="H1451" s="10" t="s">
        <v>4703</v>
      </c>
      <c r="I1451" s="35" t="s">
        <v>7017</v>
      </c>
      <c r="J1451" s="33" t="s">
        <v>1337</v>
      </c>
    </row>
    <row r="1452" spans="1:10" x14ac:dyDescent="0.25">
      <c r="A1452" s="23" t="s">
        <v>6372</v>
      </c>
      <c r="B1452" s="10" t="s">
        <v>6373</v>
      </c>
      <c r="C1452" s="23" t="s">
        <v>4703</v>
      </c>
      <c r="D1452" s="28" t="s">
        <v>6374</v>
      </c>
      <c r="E1452" s="25">
        <v>106</v>
      </c>
      <c r="F1452" s="23" t="str">
        <f>VLOOKUP(B1452,'[2]справочник кодов нп'!$A:$D,4,0)</f>
        <v>сельские населенные пункты с численностью населения менее 1 000 человек.</v>
      </c>
      <c r="G1452" s="23" t="s">
        <v>1385</v>
      </c>
      <c r="H1452" s="10" t="s">
        <v>4703</v>
      </c>
      <c r="I1452" s="35" t="s">
        <v>7017</v>
      </c>
      <c r="J1452" s="33" t="s">
        <v>1337</v>
      </c>
    </row>
    <row r="1453" spans="1:10" x14ac:dyDescent="0.25">
      <c r="A1453" s="23" t="s">
        <v>6375</v>
      </c>
      <c r="B1453" s="10" t="s">
        <v>6376</v>
      </c>
      <c r="C1453" s="23" t="s">
        <v>4703</v>
      </c>
      <c r="D1453" s="28" t="s">
        <v>6377</v>
      </c>
      <c r="E1453" s="25">
        <v>106</v>
      </c>
      <c r="F1453" s="23" t="str">
        <f>VLOOKUP(B1453,'[2]справочник кодов нп'!$A:$D,4,0)</f>
        <v>сельские населенные пункты с численностью населения менее 1 000 человек.</v>
      </c>
      <c r="G1453" s="23" t="s">
        <v>1385</v>
      </c>
      <c r="H1453" s="10" t="s">
        <v>4703</v>
      </c>
      <c r="I1453" s="35" t="s">
        <v>7017</v>
      </c>
      <c r="J1453" s="33" t="s">
        <v>1337</v>
      </c>
    </row>
    <row r="1454" spans="1:10" x14ac:dyDescent="0.25">
      <c r="A1454" s="23" t="s">
        <v>6965</v>
      </c>
      <c r="B1454" s="10" t="s">
        <v>6966</v>
      </c>
      <c r="C1454" s="23" t="s">
        <v>4703</v>
      </c>
      <c r="D1454" s="28" t="s">
        <v>6846</v>
      </c>
      <c r="E1454" s="25">
        <v>106</v>
      </c>
      <c r="F1454" s="23" t="str">
        <f>VLOOKUP(B1454,'[2]справочник кодов нп'!$A:$D,4,0)</f>
        <v>межселенная территория</v>
      </c>
      <c r="G1454" s="23" t="s">
        <v>1385</v>
      </c>
      <c r="H1454" s="10" t="s">
        <v>4703</v>
      </c>
      <c r="I1454" s="35" t="s">
        <v>7019</v>
      </c>
      <c r="J1454" s="33" t="s">
        <v>1337</v>
      </c>
    </row>
    <row r="1455" spans="1:10" x14ac:dyDescent="0.25">
      <c r="A1455" s="23" t="s">
        <v>5308</v>
      </c>
      <c r="B1455" s="10" t="s">
        <v>5309</v>
      </c>
      <c r="C1455" s="23" t="s">
        <v>5310</v>
      </c>
      <c r="D1455" s="28" t="s">
        <v>5311</v>
      </c>
      <c r="E1455" s="25">
        <v>105</v>
      </c>
      <c r="F1455" s="23" t="s">
        <v>1447</v>
      </c>
      <c r="G1455" s="27" t="s">
        <v>1448</v>
      </c>
      <c r="H1455" s="10" t="s">
        <v>5310</v>
      </c>
      <c r="I1455" s="35" t="s">
        <v>7017</v>
      </c>
      <c r="J1455" s="33" t="s">
        <v>1337</v>
      </c>
    </row>
    <row r="1456" spans="1:10" x14ac:dyDescent="0.25">
      <c r="A1456" s="23" t="s">
        <v>5312</v>
      </c>
      <c r="B1456" s="10" t="s">
        <v>5313</v>
      </c>
      <c r="C1456" s="23" t="s">
        <v>5310</v>
      </c>
      <c r="D1456" s="28" t="s">
        <v>5314</v>
      </c>
      <c r="E1456" s="25">
        <v>105</v>
      </c>
      <c r="F1456" s="23" t="str">
        <f>VLOOKUP(B1456,'[2]справочник кодов нп'!$A:$D,4,0)</f>
        <v>сельские населенные пункты с численностью населения более 1 000 человек;</v>
      </c>
      <c r="G1456" s="27" t="s">
        <v>1448</v>
      </c>
      <c r="H1456" s="10" t="s">
        <v>5310</v>
      </c>
      <c r="I1456" s="35" t="s">
        <v>7017</v>
      </c>
      <c r="J1456" s="33" t="s">
        <v>1337</v>
      </c>
    </row>
    <row r="1457" spans="1:10" x14ac:dyDescent="0.25">
      <c r="A1457" s="23" t="s">
        <v>6049</v>
      </c>
      <c r="B1457" s="10" t="s">
        <v>6050</v>
      </c>
      <c r="C1457" s="23" t="s">
        <v>5310</v>
      </c>
      <c r="D1457" s="28" t="s">
        <v>6051</v>
      </c>
      <c r="E1457" s="25">
        <v>105</v>
      </c>
      <c r="F1457" s="23" t="str">
        <f>VLOOKUP(B1457,'[2]справочник кодов нп'!$A:$D,4,0)</f>
        <v>сельские населенные пункты с численностью населения менее 1 000 человек.</v>
      </c>
      <c r="G1457" s="27" t="s">
        <v>1448</v>
      </c>
      <c r="H1457" s="10" t="s">
        <v>5310</v>
      </c>
      <c r="I1457" s="35" t="s">
        <v>7017</v>
      </c>
      <c r="J1457" s="33" t="s">
        <v>1337</v>
      </c>
    </row>
    <row r="1458" spans="1:10" x14ac:dyDescent="0.25">
      <c r="A1458" s="23" t="s">
        <v>6052</v>
      </c>
      <c r="B1458" s="10" t="s">
        <v>6053</v>
      </c>
      <c r="C1458" s="23" t="s">
        <v>5310</v>
      </c>
      <c r="D1458" s="28" t="s">
        <v>6054</v>
      </c>
      <c r="E1458" s="25">
        <v>105</v>
      </c>
      <c r="F1458" s="23" t="str">
        <f>VLOOKUP(B1458,'[2]справочник кодов нп'!$A:$D,4,0)</f>
        <v>сельские населенные пункты с численностью населения менее 1 000 человек.</v>
      </c>
      <c r="G1458" s="27" t="s">
        <v>1448</v>
      </c>
      <c r="H1458" s="10" t="s">
        <v>5310</v>
      </c>
      <c r="I1458" s="35" t="s">
        <v>7017</v>
      </c>
      <c r="J1458" s="33" t="s">
        <v>1337</v>
      </c>
    </row>
    <row r="1459" spans="1:10" x14ac:dyDescent="0.25">
      <c r="A1459" s="23" t="s">
        <v>6055</v>
      </c>
      <c r="B1459" s="10" t="s">
        <v>6056</v>
      </c>
      <c r="C1459" s="23" t="s">
        <v>5310</v>
      </c>
      <c r="D1459" s="28" t="s">
        <v>6057</v>
      </c>
      <c r="E1459" s="25">
        <v>105</v>
      </c>
      <c r="F1459" s="23" t="str">
        <f>VLOOKUP(B1459,'[2]справочник кодов нп'!$A:$D,4,0)</f>
        <v>сельские населенные пункты с численностью населения менее 1 000 человек.</v>
      </c>
      <c r="G1459" s="27" t="s">
        <v>1448</v>
      </c>
      <c r="H1459" s="10" t="s">
        <v>5310</v>
      </c>
      <c r="I1459" s="35" t="s">
        <v>7017</v>
      </c>
      <c r="J1459" s="33" t="s">
        <v>1337</v>
      </c>
    </row>
    <row r="1460" spans="1:10" x14ac:dyDescent="0.25">
      <c r="A1460" s="23" t="s">
        <v>6058</v>
      </c>
      <c r="B1460" s="10" t="s">
        <v>6059</v>
      </c>
      <c r="C1460" s="23" t="s">
        <v>5310</v>
      </c>
      <c r="D1460" s="28" t="s">
        <v>6060</v>
      </c>
      <c r="E1460" s="25">
        <v>105</v>
      </c>
      <c r="F1460" s="23" t="str">
        <f>VLOOKUP(B1460,'[2]справочник кодов нп'!$A:$D,4,0)</f>
        <v>сельские населенные пункты с численностью населения менее 1 000 человек.</v>
      </c>
      <c r="G1460" s="27" t="s">
        <v>1448</v>
      </c>
      <c r="H1460" s="10" t="s">
        <v>5310</v>
      </c>
      <c r="I1460" s="35" t="s">
        <v>7017</v>
      </c>
      <c r="J1460" s="33" t="s">
        <v>1337</v>
      </c>
    </row>
    <row r="1461" spans="1:10" x14ac:dyDescent="0.25">
      <c r="A1461" s="23" t="s">
        <v>6061</v>
      </c>
      <c r="B1461" s="10" t="s">
        <v>6062</v>
      </c>
      <c r="C1461" s="23" t="s">
        <v>5310</v>
      </c>
      <c r="D1461" s="28" t="s">
        <v>1544</v>
      </c>
      <c r="E1461" s="25">
        <v>105</v>
      </c>
      <c r="F1461" s="23" t="str">
        <f>VLOOKUP(B1461,'[2]справочник кодов нп'!$A:$D,4,0)</f>
        <v>сельские населенные пункты с численностью населения менее 1 000 человек.</v>
      </c>
      <c r="G1461" s="27" t="s">
        <v>1448</v>
      </c>
      <c r="H1461" s="10" t="s">
        <v>5310</v>
      </c>
      <c r="I1461" s="35" t="s">
        <v>7017</v>
      </c>
      <c r="J1461" s="33" t="s">
        <v>1337</v>
      </c>
    </row>
    <row r="1462" spans="1:10" x14ac:dyDescent="0.25">
      <c r="A1462" s="23" t="s">
        <v>6063</v>
      </c>
      <c r="B1462" s="10" t="s">
        <v>6064</v>
      </c>
      <c r="C1462" s="23" t="s">
        <v>5310</v>
      </c>
      <c r="D1462" s="28" t="s">
        <v>6065</v>
      </c>
      <c r="E1462" s="25">
        <v>105</v>
      </c>
      <c r="F1462" s="23" t="str">
        <f>VLOOKUP(B1462,'[2]справочник кодов нп'!$A:$D,4,0)</f>
        <v>сельские населенные пункты с численностью населения менее 1 000 человек.</v>
      </c>
      <c r="G1462" s="27" t="s">
        <v>1448</v>
      </c>
      <c r="H1462" s="10" t="s">
        <v>5310</v>
      </c>
      <c r="I1462" s="35" t="s">
        <v>7017</v>
      </c>
      <c r="J1462" s="33" t="s">
        <v>1337</v>
      </c>
    </row>
    <row r="1463" spans="1:10" x14ac:dyDescent="0.25">
      <c r="A1463" s="23" t="s">
        <v>6066</v>
      </c>
      <c r="B1463" s="10" t="s">
        <v>6067</v>
      </c>
      <c r="C1463" s="23" t="s">
        <v>5310</v>
      </c>
      <c r="D1463" s="28" t="s">
        <v>6068</v>
      </c>
      <c r="E1463" s="25">
        <v>105</v>
      </c>
      <c r="F1463" s="23" t="str">
        <f>VLOOKUP(B1463,'[2]справочник кодов нп'!$A:$D,4,0)</f>
        <v>сельские населенные пункты с численностью населения менее 1 000 человек.</v>
      </c>
      <c r="G1463" s="27" t="s">
        <v>1448</v>
      </c>
      <c r="H1463" s="10" t="s">
        <v>5310</v>
      </c>
      <c r="I1463" s="35" t="s">
        <v>7017</v>
      </c>
      <c r="J1463" s="33" t="s">
        <v>1337</v>
      </c>
    </row>
    <row r="1464" spans="1:10" x14ac:dyDescent="0.25">
      <c r="A1464" s="23" t="s">
        <v>6069</v>
      </c>
      <c r="B1464" s="10" t="s">
        <v>6070</v>
      </c>
      <c r="C1464" s="23" t="s">
        <v>5310</v>
      </c>
      <c r="D1464" s="28" t="s">
        <v>6071</v>
      </c>
      <c r="E1464" s="25">
        <v>105</v>
      </c>
      <c r="F1464" s="23" t="str">
        <f>VLOOKUP(B1464,'[2]справочник кодов нп'!$A:$D,4,0)</f>
        <v>сельские населенные пункты с численностью населения менее 1 000 человек.</v>
      </c>
      <c r="G1464" s="27" t="s">
        <v>1448</v>
      </c>
      <c r="H1464" s="10" t="s">
        <v>5310</v>
      </c>
      <c r="I1464" s="35" t="s">
        <v>7017</v>
      </c>
      <c r="J1464" s="33" t="s">
        <v>1337</v>
      </c>
    </row>
    <row r="1465" spans="1:10" x14ac:dyDescent="0.25">
      <c r="A1465" s="23" t="s">
        <v>6072</v>
      </c>
      <c r="B1465" s="10" t="s">
        <v>6073</v>
      </c>
      <c r="C1465" s="23" t="s">
        <v>5310</v>
      </c>
      <c r="D1465" s="28" t="s">
        <v>6074</v>
      </c>
      <c r="E1465" s="25">
        <v>105</v>
      </c>
      <c r="F1465" s="23" t="str">
        <f>VLOOKUP(B1465,'[2]справочник кодов нп'!$A:$D,4,0)</f>
        <v>сельские населенные пункты с численностью населения менее 1 000 человек.</v>
      </c>
      <c r="G1465" s="27" t="s">
        <v>1448</v>
      </c>
      <c r="H1465" s="10" t="s">
        <v>5310</v>
      </c>
      <c r="I1465" s="35" t="s">
        <v>7017</v>
      </c>
      <c r="J1465" s="33" t="s">
        <v>1337</v>
      </c>
    </row>
    <row r="1466" spans="1:10" x14ac:dyDescent="0.25">
      <c r="A1466" s="23" t="s">
        <v>6075</v>
      </c>
      <c r="B1466" s="10" t="s">
        <v>6076</v>
      </c>
      <c r="C1466" s="23" t="s">
        <v>5310</v>
      </c>
      <c r="D1466" s="28" t="s">
        <v>6077</v>
      </c>
      <c r="E1466" s="25">
        <v>105</v>
      </c>
      <c r="F1466" s="23" t="str">
        <f>VLOOKUP(B1466,'[2]справочник кодов нп'!$A:$D,4,0)</f>
        <v>сельские населенные пункты с численностью населения менее 1 000 человек.</v>
      </c>
      <c r="G1466" s="27" t="s">
        <v>1448</v>
      </c>
      <c r="H1466" s="10" t="s">
        <v>5310</v>
      </c>
      <c r="I1466" s="35" t="s">
        <v>7017</v>
      </c>
      <c r="J1466" s="33" t="s">
        <v>1337</v>
      </c>
    </row>
    <row r="1467" spans="1:10" x14ac:dyDescent="0.25">
      <c r="A1467" s="23" t="s">
        <v>6078</v>
      </c>
      <c r="B1467" s="10" t="s">
        <v>6079</v>
      </c>
      <c r="C1467" s="23" t="s">
        <v>5310</v>
      </c>
      <c r="D1467" s="28" t="s">
        <v>6080</v>
      </c>
      <c r="E1467" s="25">
        <v>105</v>
      </c>
      <c r="F1467" s="23" t="str">
        <f>VLOOKUP(B1467,'[2]справочник кодов нп'!$A:$D,4,0)</f>
        <v>сельские населенные пункты с численностью населения менее 1 000 человек.</v>
      </c>
      <c r="G1467" s="27" t="s">
        <v>1448</v>
      </c>
      <c r="H1467" s="10" t="s">
        <v>5310</v>
      </c>
      <c r="I1467" s="35" t="s">
        <v>7017</v>
      </c>
      <c r="J1467" s="33" t="s">
        <v>1337</v>
      </c>
    </row>
    <row r="1468" spans="1:10" x14ac:dyDescent="0.25">
      <c r="A1468" s="23" t="s">
        <v>6081</v>
      </c>
      <c r="B1468" s="10" t="s">
        <v>6082</v>
      </c>
      <c r="C1468" s="23" t="s">
        <v>5310</v>
      </c>
      <c r="D1468" s="28" t="s">
        <v>6083</v>
      </c>
      <c r="E1468" s="25">
        <v>105</v>
      </c>
      <c r="F1468" s="23" t="str">
        <f>VLOOKUP(B1468,'[2]справочник кодов нп'!$A:$D,4,0)</f>
        <v>сельские населенные пункты с численностью населения менее 1 000 человек.</v>
      </c>
      <c r="G1468" s="27" t="s">
        <v>1448</v>
      </c>
      <c r="H1468" s="10" t="s">
        <v>5310</v>
      </c>
      <c r="I1468" s="35" t="s">
        <v>7017</v>
      </c>
      <c r="J1468" s="33" t="s">
        <v>1337</v>
      </c>
    </row>
    <row r="1469" spans="1:10" x14ac:dyDescent="0.25">
      <c r="A1469" s="23" t="s">
        <v>6084</v>
      </c>
      <c r="B1469" s="10" t="s">
        <v>6085</v>
      </c>
      <c r="C1469" s="23" t="s">
        <v>5310</v>
      </c>
      <c r="D1469" s="28" t="s">
        <v>6086</v>
      </c>
      <c r="E1469" s="25">
        <v>105</v>
      </c>
      <c r="F1469" s="23" t="str">
        <f>VLOOKUP(B1469,'[2]справочник кодов нп'!$A:$D,4,0)</f>
        <v>сельские населенные пункты с численностью населения менее 1 000 человек.</v>
      </c>
      <c r="G1469" s="27" t="s">
        <v>1448</v>
      </c>
      <c r="H1469" s="10" t="s">
        <v>5310</v>
      </c>
      <c r="I1469" s="35" t="s">
        <v>7017</v>
      </c>
      <c r="J1469" s="33" t="s">
        <v>1337</v>
      </c>
    </row>
    <row r="1470" spans="1:10" x14ac:dyDescent="0.25">
      <c r="A1470" s="23" t="s">
        <v>6087</v>
      </c>
      <c r="B1470" s="10" t="s">
        <v>6088</v>
      </c>
      <c r="C1470" s="23" t="s">
        <v>5310</v>
      </c>
      <c r="D1470" s="28" t="s">
        <v>6089</v>
      </c>
      <c r="E1470" s="25">
        <v>105</v>
      </c>
      <c r="F1470" s="23" t="str">
        <f>VLOOKUP(B1470,'[2]справочник кодов нп'!$A:$D,4,0)</f>
        <v>сельские населенные пункты с численностью населения менее 1 000 человек.</v>
      </c>
      <c r="G1470" s="27" t="s">
        <v>1448</v>
      </c>
      <c r="H1470" s="10" t="s">
        <v>5310</v>
      </c>
      <c r="I1470" s="35" t="s">
        <v>7017</v>
      </c>
      <c r="J1470" s="33" t="s">
        <v>1337</v>
      </c>
    </row>
    <row r="1471" spans="1:10" x14ac:dyDescent="0.25">
      <c r="A1471" s="23" t="s">
        <v>6090</v>
      </c>
      <c r="B1471" s="10" t="s">
        <v>6091</v>
      </c>
      <c r="C1471" s="23" t="s">
        <v>5310</v>
      </c>
      <c r="D1471" s="28" t="s">
        <v>6092</v>
      </c>
      <c r="E1471" s="25">
        <v>105</v>
      </c>
      <c r="F1471" s="23" t="str">
        <f>VLOOKUP(B1471,'[2]справочник кодов нп'!$A:$D,4,0)</f>
        <v>сельские населенные пункты с численностью населения менее 1 000 человек.</v>
      </c>
      <c r="G1471" s="27" t="s">
        <v>1448</v>
      </c>
      <c r="H1471" s="10" t="s">
        <v>5310</v>
      </c>
      <c r="I1471" s="35" t="s">
        <v>7017</v>
      </c>
      <c r="J1471" s="33" t="s">
        <v>1337</v>
      </c>
    </row>
    <row r="1472" spans="1:10" x14ac:dyDescent="0.25">
      <c r="A1472" s="23" t="s">
        <v>6093</v>
      </c>
      <c r="B1472" s="10" t="s">
        <v>6094</v>
      </c>
      <c r="C1472" s="23" t="s">
        <v>5310</v>
      </c>
      <c r="D1472" s="28" t="s">
        <v>6095</v>
      </c>
      <c r="E1472" s="25">
        <v>105</v>
      </c>
      <c r="F1472" s="23" t="str">
        <f>VLOOKUP(B1472,'[2]справочник кодов нп'!$A:$D,4,0)</f>
        <v>сельские населенные пункты с численностью населения менее 1 000 человек.</v>
      </c>
      <c r="G1472" s="27" t="s">
        <v>1448</v>
      </c>
      <c r="H1472" s="10" t="s">
        <v>5310</v>
      </c>
      <c r="I1472" s="35" t="s">
        <v>7017</v>
      </c>
      <c r="J1472" s="33" t="s">
        <v>1337</v>
      </c>
    </row>
    <row r="1473" spans="1:10" x14ac:dyDescent="0.25">
      <c r="A1473" s="23" t="s">
        <v>6096</v>
      </c>
      <c r="B1473" s="10" t="s">
        <v>6097</v>
      </c>
      <c r="C1473" s="23" t="s">
        <v>5310</v>
      </c>
      <c r="D1473" s="28" t="s">
        <v>6098</v>
      </c>
      <c r="E1473" s="25">
        <v>105</v>
      </c>
      <c r="F1473" s="23" t="str">
        <f>VLOOKUP(B1473,'[2]справочник кодов нп'!$A:$D,4,0)</f>
        <v>сельские населенные пункты с численностью населения менее 1 000 человек.</v>
      </c>
      <c r="G1473" s="27" t="s">
        <v>1448</v>
      </c>
      <c r="H1473" s="10" t="s">
        <v>5310</v>
      </c>
      <c r="I1473" s="35" t="s">
        <v>7017</v>
      </c>
      <c r="J1473" s="33" t="s">
        <v>1337</v>
      </c>
    </row>
    <row r="1474" spans="1:10" x14ac:dyDescent="0.25">
      <c r="A1474" s="23" t="s">
        <v>6099</v>
      </c>
      <c r="B1474" s="10" t="s">
        <v>6100</v>
      </c>
      <c r="C1474" s="23" t="s">
        <v>5310</v>
      </c>
      <c r="D1474" s="28" t="s">
        <v>5714</v>
      </c>
      <c r="E1474" s="25">
        <v>105</v>
      </c>
      <c r="F1474" s="23" t="str">
        <f>VLOOKUP(B1474,'[2]справочник кодов нп'!$A:$D,4,0)</f>
        <v>сельские населенные пункты с численностью населения менее 1 000 человек.</v>
      </c>
      <c r="G1474" s="27" t="s">
        <v>1448</v>
      </c>
      <c r="H1474" s="10" t="s">
        <v>5310</v>
      </c>
      <c r="I1474" s="35" t="s">
        <v>7017</v>
      </c>
      <c r="J1474" s="33" t="s">
        <v>1337</v>
      </c>
    </row>
    <row r="1475" spans="1:10" x14ac:dyDescent="0.25">
      <c r="A1475" s="23" t="s">
        <v>6101</v>
      </c>
      <c r="B1475" s="10" t="s">
        <v>6102</v>
      </c>
      <c r="C1475" s="23" t="s">
        <v>5310</v>
      </c>
      <c r="D1475" s="28" t="s">
        <v>6103</v>
      </c>
      <c r="E1475" s="25">
        <v>105</v>
      </c>
      <c r="F1475" s="23" t="str">
        <f>VLOOKUP(B1475,'[2]справочник кодов нп'!$A:$D,4,0)</f>
        <v>сельские населенные пункты с численностью населения менее 1 000 человек.</v>
      </c>
      <c r="G1475" s="27" t="s">
        <v>1448</v>
      </c>
      <c r="H1475" s="10" t="s">
        <v>5310</v>
      </c>
      <c r="I1475" s="35" t="s">
        <v>7017</v>
      </c>
      <c r="J1475" s="33" t="s">
        <v>1337</v>
      </c>
    </row>
    <row r="1476" spans="1:10" x14ac:dyDescent="0.25">
      <c r="A1476" s="23" t="s">
        <v>6104</v>
      </c>
      <c r="B1476" s="10" t="s">
        <v>6105</v>
      </c>
      <c r="C1476" s="23" t="s">
        <v>5310</v>
      </c>
      <c r="D1476" s="28" t="s">
        <v>6106</v>
      </c>
      <c r="E1476" s="25">
        <v>105</v>
      </c>
      <c r="F1476" s="23" t="str">
        <f>VLOOKUP(B1476,'[2]справочник кодов нп'!$A:$D,4,0)</f>
        <v>сельские населенные пункты с численностью населения менее 1 000 человек.</v>
      </c>
      <c r="G1476" s="27" t="s">
        <v>1448</v>
      </c>
      <c r="H1476" s="10" t="s">
        <v>5310</v>
      </c>
      <c r="I1476" s="35" t="s">
        <v>7017</v>
      </c>
      <c r="J1476" s="33" t="s">
        <v>1337</v>
      </c>
    </row>
    <row r="1477" spans="1:10" x14ac:dyDescent="0.25">
      <c r="A1477" s="23" t="s">
        <v>6107</v>
      </c>
      <c r="B1477" s="10" t="s">
        <v>6108</v>
      </c>
      <c r="C1477" s="23" t="s">
        <v>5310</v>
      </c>
      <c r="D1477" s="28" t="s">
        <v>6109</v>
      </c>
      <c r="E1477" s="25">
        <v>105</v>
      </c>
      <c r="F1477" s="23" t="str">
        <f>VLOOKUP(B1477,'[2]справочник кодов нп'!$A:$D,4,0)</f>
        <v>сельские населенные пункты с численностью населения менее 1 000 человек.</v>
      </c>
      <c r="G1477" s="27" t="s">
        <v>1448</v>
      </c>
      <c r="H1477" s="10" t="s">
        <v>5310</v>
      </c>
      <c r="I1477" s="35" t="s">
        <v>7017</v>
      </c>
      <c r="J1477" s="33" t="s">
        <v>1337</v>
      </c>
    </row>
    <row r="1478" spans="1:10" x14ac:dyDescent="0.25">
      <c r="A1478" s="23" t="s">
        <v>6110</v>
      </c>
      <c r="B1478" s="10" t="s">
        <v>6111</v>
      </c>
      <c r="C1478" s="23" t="s">
        <v>5310</v>
      </c>
      <c r="D1478" s="28" t="s">
        <v>6112</v>
      </c>
      <c r="E1478" s="25">
        <v>105</v>
      </c>
      <c r="F1478" s="23" t="str">
        <f>VLOOKUP(B1478,'[2]справочник кодов нп'!$A:$D,4,0)</f>
        <v>сельские населенные пункты с численностью населения менее 1 000 человек.</v>
      </c>
      <c r="G1478" s="27" t="s">
        <v>1448</v>
      </c>
      <c r="H1478" s="10" t="s">
        <v>5310</v>
      </c>
      <c r="I1478" s="35" t="s">
        <v>7017</v>
      </c>
      <c r="J1478" s="33" t="s">
        <v>1337</v>
      </c>
    </row>
    <row r="1479" spans="1:10" x14ac:dyDescent="0.25">
      <c r="A1479" s="23" t="s">
        <v>6113</v>
      </c>
      <c r="B1479" s="10" t="s">
        <v>6114</v>
      </c>
      <c r="C1479" s="23" t="s">
        <v>5310</v>
      </c>
      <c r="D1479" s="28" t="s">
        <v>6115</v>
      </c>
      <c r="E1479" s="25">
        <v>105</v>
      </c>
      <c r="F1479" s="23" t="str">
        <f>VLOOKUP(B1479,'[2]справочник кодов нп'!$A:$D,4,0)</f>
        <v>сельские населенные пункты с численностью населения менее 1 000 человек.</v>
      </c>
      <c r="G1479" s="27" t="s">
        <v>1448</v>
      </c>
      <c r="H1479" s="10" t="s">
        <v>5310</v>
      </c>
      <c r="I1479" s="35" t="s">
        <v>7017</v>
      </c>
      <c r="J1479" s="33" t="s">
        <v>1337</v>
      </c>
    </row>
    <row r="1480" spans="1:10" x14ac:dyDescent="0.25">
      <c r="A1480" s="23" t="s">
        <v>6116</v>
      </c>
      <c r="B1480" s="10" t="s">
        <v>6117</v>
      </c>
      <c r="C1480" s="23" t="s">
        <v>5310</v>
      </c>
      <c r="D1480" s="28" t="s">
        <v>6118</v>
      </c>
      <c r="E1480" s="25">
        <v>105</v>
      </c>
      <c r="F1480" s="23" t="str">
        <f>VLOOKUP(B1480,'[2]справочник кодов нп'!$A:$D,4,0)</f>
        <v>сельские населенные пункты с численностью населения менее 1 000 человек.</v>
      </c>
      <c r="G1480" s="27" t="s">
        <v>1448</v>
      </c>
      <c r="H1480" s="10" t="s">
        <v>5310</v>
      </c>
      <c r="I1480" s="35" t="s">
        <v>7017</v>
      </c>
      <c r="J1480" s="33" t="s">
        <v>1337</v>
      </c>
    </row>
    <row r="1481" spans="1:10" x14ac:dyDescent="0.25">
      <c r="A1481" s="23" t="s">
        <v>6119</v>
      </c>
      <c r="B1481" s="10" t="s">
        <v>6120</v>
      </c>
      <c r="C1481" s="23" t="s">
        <v>5310</v>
      </c>
      <c r="D1481" s="28" t="s">
        <v>6121</v>
      </c>
      <c r="E1481" s="25">
        <v>105</v>
      </c>
      <c r="F1481" s="23" t="str">
        <f>VLOOKUP(B1481,'[2]справочник кодов нп'!$A:$D,4,0)</f>
        <v>сельские населенные пункты с численностью населения менее 1 000 человек.</v>
      </c>
      <c r="G1481" s="27" t="s">
        <v>1448</v>
      </c>
      <c r="H1481" s="10" t="s">
        <v>5310</v>
      </c>
      <c r="I1481" s="35" t="s">
        <v>7017</v>
      </c>
      <c r="J1481" s="33" t="s">
        <v>1337</v>
      </c>
    </row>
    <row r="1482" spans="1:10" x14ac:dyDescent="0.25">
      <c r="A1482" s="23" t="s">
        <v>6122</v>
      </c>
      <c r="B1482" s="10" t="s">
        <v>6123</v>
      </c>
      <c r="C1482" s="23" t="s">
        <v>5310</v>
      </c>
      <c r="D1482" s="28" t="s">
        <v>3265</v>
      </c>
      <c r="E1482" s="25">
        <v>105</v>
      </c>
      <c r="F1482" s="23" t="str">
        <f>VLOOKUP(B1482,'[2]справочник кодов нп'!$A:$D,4,0)</f>
        <v>сельские населенные пункты с численностью населения менее 1 000 человек.</v>
      </c>
      <c r="G1482" s="27" t="s">
        <v>1448</v>
      </c>
      <c r="H1482" s="10" t="s">
        <v>5310</v>
      </c>
      <c r="I1482" s="35" t="s">
        <v>7017</v>
      </c>
      <c r="J1482" s="33" t="s">
        <v>1337</v>
      </c>
    </row>
    <row r="1483" spans="1:10" x14ac:dyDescent="0.25">
      <c r="A1483" s="23" t="s">
        <v>6378</v>
      </c>
      <c r="B1483" s="10" t="s">
        <v>6379</v>
      </c>
      <c r="C1483" s="23" t="s">
        <v>5310</v>
      </c>
      <c r="D1483" s="28" t="s">
        <v>6380</v>
      </c>
      <c r="E1483" s="25">
        <v>105</v>
      </c>
      <c r="F1483" s="23" t="str">
        <f>VLOOKUP(B1483,'[2]справочник кодов нп'!$A:$D,4,0)</f>
        <v>сельские населенные пункты с численностью населения менее 1 000 человек.</v>
      </c>
      <c r="G1483" s="27" t="s">
        <v>1448</v>
      </c>
      <c r="H1483" s="10" t="s">
        <v>5310</v>
      </c>
      <c r="I1483" s="35" t="s">
        <v>7017</v>
      </c>
      <c r="J1483" s="33" t="s">
        <v>1337</v>
      </c>
    </row>
    <row r="1484" spans="1:10" x14ac:dyDescent="0.25">
      <c r="A1484" s="23" t="s">
        <v>6381</v>
      </c>
      <c r="B1484" s="10" t="s">
        <v>6382</v>
      </c>
      <c r="C1484" s="23" t="s">
        <v>5310</v>
      </c>
      <c r="D1484" s="28" t="s">
        <v>6383</v>
      </c>
      <c r="E1484" s="25">
        <v>105</v>
      </c>
      <c r="F1484" s="23" t="str">
        <f>VLOOKUP(B1484,'[2]справочник кодов нп'!$A:$D,4,0)</f>
        <v>сельские населенные пункты с численностью населения менее 1 000 человек.</v>
      </c>
      <c r="G1484" s="27" t="s">
        <v>1448</v>
      </c>
      <c r="H1484" s="10" t="s">
        <v>5310</v>
      </c>
      <c r="I1484" s="35" t="s">
        <v>7017</v>
      </c>
      <c r="J1484" s="33" t="s">
        <v>1337</v>
      </c>
    </row>
    <row r="1485" spans="1:10" x14ac:dyDescent="0.25">
      <c r="A1485" s="23" t="s">
        <v>6478</v>
      </c>
      <c r="B1485" s="10" t="s">
        <v>6479</v>
      </c>
      <c r="C1485" s="23" t="s">
        <v>5310</v>
      </c>
      <c r="D1485" s="28" t="s">
        <v>6480</v>
      </c>
      <c r="E1485" s="25">
        <v>105</v>
      </c>
      <c r="F1485" s="23" t="str">
        <f>VLOOKUP(B1485,'[2]справочник кодов нп'!$A:$D,4,0)</f>
        <v>сельские населенные пункты с численностью населения менее 1 000 человек.</v>
      </c>
      <c r="G1485" s="27" t="s">
        <v>1448</v>
      </c>
      <c r="H1485" s="10" t="s">
        <v>5310</v>
      </c>
      <c r="I1485" s="35" t="s">
        <v>7017</v>
      </c>
      <c r="J1485" s="33" t="s">
        <v>1337</v>
      </c>
    </row>
    <row r="1486" spans="1:10" x14ac:dyDescent="0.25">
      <c r="A1486" s="23" t="s">
        <v>6652</v>
      </c>
      <c r="B1486" s="10" t="s">
        <v>6653</v>
      </c>
      <c r="C1486" s="23" t="s">
        <v>5310</v>
      </c>
      <c r="D1486" s="28" t="s">
        <v>6654</v>
      </c>
      <c r="E1486" s="25">
        <v>105</v>
      </c>
      <c r="F1486" s="23" t="str">
        <f>VLOOKUP(B1486,'[2]справочник кодов нп'!$A:$D,4,0)</f>
        <v>сельские населенные пункты с численностью населения менее 1 000 человек.</v>
      </c>
      <c r="G1486" s="27" t="s">
        <v>1448</v>
      </c>
      <c r="H1486" s="10" t="s">
        <v>5310</v>
      </c>
      <c r="I1486" s="35" t="s">
        <v>7017</v>
      </c>
      <c r="J1486" s="33" t="s">
        <v>1337</v>
      </c>
    </row>
    <row r="1487" spans="1:10" x14ac:dyDescent="0.25">
      <c r="A1487" s="23" t="s">
        <v>6655</v>
      </c>
      <c r="B1487" s="10" t="s">
        <v>6656</v>
      </c>
      <c r="C1487" s="23" t="s">
        <v>5310</v>
      </c>
      <c r="D1487" s="28" t="s">
        <v>6657</v>
      </c>
      <c r="E1487" s="25">
        <v>105</v>
      </c>
      <c r="F1487" s="23" t="str">
        <f>VLOOKUP(B1487,'[2]справочник кодов нп'!$A:$D,4,0)</f>
        <v>сельские населенные пункты с численностью населения более 1 000 человек;</v>
      </c>
      <c r="G1487" s="27" t="s">
        <v>1448</v>
      </c>
      <c r="H1487" s="10" t="s">
        <v>5310</v>
      </c>
      <c r="I1487" s="35" t="s">
        <v>7017</v>
      </c>
      <c r="J1487" s="33" t="s">
        <v>1337</v>
      </c>
    </row>
    <row r="1488" spans="1:10" x14ac:dyDescent="0.25">
      <c r="A1488" s="23" t="s">
        <v>6658</v>
      </c>
      <c r="B1488" s="10" t="s">
        <v>6659</v>
      </c>
      <c r="C1488" s="23" t="s">
        <v>5310</v>
      </c>
      <c r="D1488" s="28" t="s">
        <v>6660</v>
      </c>
      <c r="E1488" s="25">
        <v>105</v>
      </c>
      <c r="F1488" s="23" t="str">
        <f>VLOOKUP(B1488,'[2]справочник кодов нп'!$A:$D,4,0)</f>
        <v>сельские населенные пункты с численностью населения менее 1 000 человек.</v>
      </c>
      <c r="G1488" s="27" t="s">
        <v>1448</v>
      </c>
      <c r="H1488" s="10" t="s">
        <v>5310</v>
      </c>
      <c r="I1488" s="35" t="s">
        <v>7017</v>
      </c>
      <c r="J1488" s="33" t="s">
        <v>1337</v>
      </c>
    </row>
    <row r="1489" spans="1:10" x14ac:dyDescent="0.25">
      <c r="A1489" s="23" t="s">
        <v>6661</v>
      </c>
      <c r="B1489" s="10" t="s">
        <v>6662</v>
      </c>
      <c r="C1489" s="23" t="s">
        <v>5310</v>
      </c>
      <c r="D1489" s="28" t="s">
        <v>6663</v>
      </c>
      <c r="E1489" s="25">
        <v>105</v>
      </c>
      <c r="F1489" s="23" t="str">
        <f>VLOOKUP(B1489,'[2]справочник кодов нп'!$A:$D,4,0)</f>
        <v>сельские населенные пункты с численностью населения менее 1 000 человек.</v>
      </c>
      <c r="G1489" s="27" t="s">
        <v>1448</v>
      </c>
      <c r="H1489" s="10" t="s">
        <v>5310</v>
      </c>
      <c r="I1489" s="35" t="s">
        <v>7017</v>
      </c>
      <c r="J1489" s="33" t="s">
        <v>1337</v>
      </c>
    </row>
    <row r="1490" spans="1:10" x14ac:dyDescent="0.25">
      <c r="A1490" s="23" t="s">
        <v>6664</v>
      </c>
      <c r="B1490" s="10" t="s">
        <v>6665</v>
      </c>
      <c r="C1490" s="23" t="s">
        <v>5310</v>
      </c>
      <c r="D1490" s="28" t="s">
        <v>6666</v>
      </c>
      <c r="E1490" s="25">
        <v>105</v>
      </c>
      <c r="F1490" s="23" t="str">
        <f>VLOOKUP(B1490,'[2]справочник кодов нп'!$A:$D,4,0)</f>
        <v>сельские населенные пункты с численностью населения менее 1 000 человек.</v>
      </c>
      <c r="G1490" s="27" t="s">
        <v>1448</v>
      </c>
      <c r="H1490" s="10" t="s">
        <v>5310</v>
      </c>
      <c r="I1490" s="35" t="s">
        <v>7017</v>
      </c>
      <c r="J1490" s="33" t="s">
        <v>1337</v>
      </c>
    </row>
    <row r="1491" spans="1:10" x14ac:dyDescent="0.25">
      <c r="A1491" s="23" t="s">
        <v>6667</v>
      </c>
      <c r="B1491" s="10" t="s">
        <v>6668</v>
      </c>
      <c r="C1491" s="23" t="s">
        <v>5310</v>
      </c>
      <c r="D1491" s="28" t="s">
        <v>6669</v>
      </c>
      <c r="E1491" s="25">
        <v>105</v>
      </c>
      <c r="F1491" s="23" t="str">
        <f>VLOOKUP(B1491,'[2]справочник кодов нп'!$A:$D,4,0)</f>
        <v>сельские населенные пункты с численностью населения менее 1 000 человек.</v>
      </c>
      <c r="G1491" s="27" t="s">
        <v>1448</v>
      </c>
      <c r="H1491" s="10" t="s">
        <v>5310</v>
      </c>
      <c r="I1491" s="35" t="s">
        <v>7017</v>
      </c>
      <c r="J1491" s="33" t="s">
        <v>1337</v>
      </c>
    </row>
    <row r="1492" spans="1:10" x14ac:dyDescent="0.25">
      <c r="A1492" s="23" t="s">
        <v>6967</v>
      </c>
      <c r="B1492" s="10" t="s">
        <v>6968</v>
      </c>
      <c r="C1492" s="23" t="s">
        <v>5310</v>
      </c>
      <c r="D1492" s="28" t="s">
        <v>6846</v>
      </c>
      <c r="E1492" s="25">
        <v>105</v>
      </c>
      <c r="F1492" s="23" t="str">
        <f>VLOOKUP(B1492,'[2]справочник кодов нп'!$A:$D,4,0)</f>
        <v>межселенная территория</v>
      </c>
      <c r="G1492" s="27" t="s">
        <v>1448</v>
      </c>
      <c r="H1492" s="10" t="s">
        <v>5310</v>
      </c>
      <c r="I1492" s="35" t="s">
        <v>7019</v>
      </c>
      <c r="J1492" s="33" t="s">
        <v>1337</v>
      </c>
    </row>
    <row r="1493" spans="1:10" x14ac:dyDescent="0.25">
      <c r="A1493" s="23" t="s">
        <v>3570</v>
      </c>
      <c r="B1493" s="10" t="s">
        <v>3571</v>
      </c>
      <c r="C1493" s="23" t="s">
        <v>3572</v>
      </c>
      <c r="D1493" s="28" t="s">
        <v>3573</v>
      </c>
      <c r="E1493" s="25">
        <v>106</v>
      </c>
      <c r="F1493" s="23" t="str">
        <f>VLOOKUP(B1493,'[2]справочник кодов нп'!$A:$D,4,0)</f>
        <v>сельские населенные пункты с численностью населения менее 1 000 человек.</v>
      </c>
      <c r="G1493" s="23" t="s">
        <v>1385</v>
      </c>
      <c r="H1493" s="10" t="s">
        <v>3572</v>
      </c>
      <c r="I1493" s="35" t="s">
        <v>7017</v>
      </c>
      <c r="J1493" s="33" t="s">
        <v>1337</v>
      </c>
    </row>
    <row r="1494" spans="1:10" x14ac:dyDescent="0.25">
      <c r="A1494" s="23" t="s">
        <v>3574</v>
      </c>
      <c r="B1494" s="10" t="s">
        <v>3575</v>
      </c>
      <c r="C1494" s="23" t="s">
        <v>3572</v>
      </c>
      <c r="D1494" s="28" t="s">
        <v>3576</v>
      </c>
      <c r="E1494" s="25">
        <v>106</v>
      </c>
      <c r="F1494" s="23" t="str">
        <f>VLOOKUP(B1494,'[2]справочник кодов нп'!$A:$D,4,0)</f>
        <v>сельские населенные пункты с численностью населения менее 1 000 человек.</v>
      </c>
      <c r="G1494" s="23" t="s">
        <v>1385</v>
      </c>
      <c r="H1494" s="10" t="s">
        <v>3572</v>
      </c>
      <c r="I1494" s="35" t="s">
        <v>7017</v>
      </c>
      <c r="J1494" s="33" t="s">
        <v>1337</v>
      </c>
    </row>
    <row r="1495" spans="1:10" x14ac:dyDescent="0.25">
      <c r="A1495" s="23" t="s">
        <v>3577</v>
      </c>
      <c r="B1495" s="10" t="s">
        <v>3578</v>
      </c>
      <c r="C1495" s="23" t="s">
        <v>3572</v>
      </c>
      <c r="D1495" s="28" t="s">
        <v>3579</v>
      </c>
      <c r="E1495" s="25">
        <v>106</v>
      </c>
      <c r="F1495" s="23" t="str">
        <f>VLOOKUP(B1495,'[2]справочник кодов нп'!$A:$D,4,0)</f>
        <v>сельские населенные пункты с численностью населения менее 1 000 человек.</v>
      </c>
      <c r="G1495" s="23" t="s">
        <v>1385</v>
      </c>
      <c r="H1495" s="10" t="s">
        <v>3572</v>
      </c>
      <c r="I1495" s="35" t="s">
        <v>7017</v>
      </c>
      <c r="J1495" s="33" t="s">
        <v>1337</v>
      </c>
    </row>
    <row r="1496" spans="1:10" x14ac:dyDescent="0.25">
      <c r="A1496" s="23" t="s">
        <v>3580</v>
      </c>
      <c r="B1496" s="10" t="s">
        <v>3581</v>
      </c>
      <c r="C1496" s="23" t="s">
        <v>3572</v>
      </c>
      <c r="D1496" s="28" t="s">
        <v>3582</v>
      </c>
      <c r="E1496" s="25">
        <v>106</v>
      </c>
      <c r="F1496" s="23" t="str">
        <f>VLOOKUP(B1496,'[2]справочник кодов нп'!$A:$D,4,0)</f>
        <v>сельские населенные пункты с численностью населения менее 1 000 человек.</v>
      </c>
      <c r="G1496" s="23" t="s">
        <v>1385</v>
      </c>
      <c r="H1496" s="10" t="s">
        <v>3572</v>
      </c>
      <c r="I1496" s="35" t="s">
        <v>7017</v>
      </c>
      <c r="J1496" s="33" t="s">
        <v>1337</v>
      </c>
    </row>
    <row r="1497" spans="1:10" x14ac:dyDescent="0.25">
      <c r="A1497" s="23" t="s">
        <v>3583</v>
      </c>
      <c r="B1497" s="10" t="s">
        <v>3584</v>
      </c>
      <c r="C1497" s="23" t="s">
        <v>3572</v>
      </c>
      <c r="D1497" s="28" t="s">
        <v>3585</v>
      </c>
      <c r="E1497" s="25">
        <v>106</v>
      </c>
      <c r="F1497" s="23" t="str">
        <f>VLOOKUP(B1497,'[2]справочник кодов нп'!$A:$D,4,0)</f>
        <v>сельские населенные пункты с численностью населения менее 1 000 человек.</v>
      </c>
      <c r="G1497" s="23" t="s">
        <v>1385</v>
      </c>
      <c r="H1497" s="10" t="s">
        <v>3572</v>
      </c>
      <c r="I1497" s="35" t="s">
        <v>7017</v>
      </c>
      <c r="J1497" s="33" t="s">
        <v>1337</v>
      </c>
    </row>
    <row r="1498" spans="1:10" x14ac:dyDescent="0.25">
      <c r="A1498" s="23" t="s">
        <v>3586</v>
      </c>
      <c r="B1498" s="10" t="s">
        <v>3587</v>
      </c>
      <c r="C1498" s="23" t="s">
        <v>3572</v>
      </c>
      <c r="D1498" s="28" t="s">
        <v>3588</v>
      </c>
      <c r="E1498" s="25">
        <v>106</v>
      </c>
      <c r="F1498" s="23" t="str">
        <f>VLOOKUP(B1498,'[2]справочник кодов нп'!$A:$D,4,0)</f>
        <v>сельские населенные пункты с численностью населения менее 1 000 человек.</v>
      </c>
      <c r="G1498" s="23" t="s">
        <v>1385</v>
      </c>
      <c r="H1498" s="10" t="s">
        <v>3572</v>
      </c>
      <c r="I1498" s="35" t="s">
        <v>7017</v>
      </c>
      <c r="J1498" s="33" t="s">
        <v>1337</v>
      </c>
    </row>
    <row r="1499" spans="1:10" x14ac:dyDescent="0.25">
      <c r="A1499" s="23" t="s">
        <v>3589</v>
      </c>
      <c r="B1499" s="10" t="s">
        <v>3590</v>
      </c>
      <c r="C1499" s="23" t="s">
        <v>3572</v>
      </c>
      <c r="D1499" s="28" t="s">
        <v>3591</v>
      </c>
      <c r="E1499" s="25">
        <v>106</v>
      </c>
      <c r="F1499" s="23" t="str">
        <f>VLOOKUP(B1499,'[2]справочник кодов нп'!$A:$D,4,0)</f>
        <v>сельские населенные пункты с численностью населения менее 1 000 человек.</v>
      </c>
      <c r="G1499" s="23" t="s">
        <v>1385</v>
      </c>
      <c r="H1499" s="10" t="s">
        <v>3572</v>
      </c>
      <c r="I1499" s="35" t="s">
        <v>7017</v>
      </c>
      <c r="J1499" s="33" t="s">
        <v>1337</v>
      </c>
    </row>
    <row r="1500" spans="1:10" x14ac:dyDescent="0.25">
      <c r="A1500" s="23" t="s">
        <v>3592</v>
      </c>
      <c r="B1500" s="10" t="s">
        <v>3593</v>
      </c>
      <c r="C1500" s="23" t="s">
        <v>3572</v>
      </c>
      <c r="D1500" s="28" t="s">
        <v>3594</v>
      </c>
      <c r="E1500" s="25">
        <v>106</v>
      </c>
      <c r="F1500" s="23" t="str">
        <f>VLOOKUP(B1500,'[2]справочник кодов нп'!$A:$D,4,0)</f>
        <v>сельские населенные пункты с численностью населения менее 1 000 человек.</v>
      </c>
      <c r="G1500" s="23" t="s">
        <v>1385</v>
      </c>
      <c r="H1500" s="10" t="s">
        <v>3572</v>
      </c>
      <c r="I1500" s="35" t="s">
        <v>7017</v>
      </c>
      <c r="J1500" s="33" t="s">
        <v>1337</v>
      </c>
    </row>
    <row r="1501" spans="1:10" x14ac:dyDescent="0.25">
      <c r="A1501" s="23" t="s">
        <v>3595</v>
      </c>
      <c r="B1501" s="10" t="s">
        <v>3596</v>
      </c>
      <c r="C1501" s="23" t="s">
        <v>3572</v>
      </c>
      <c r="D1501" s="28" t="s">
        <v>3597</v>
      </c>
      <c r="E1501" s="25">
        <v>106</v>
      </c>
      <c r="F1501" s="23" t="str">
        <f>VLOOKUP(B1501,'[2]справочник кодов нп'!$A:$D,4,0)</f>
        <v>сельские населенные пункты с численностью населения менее 1 000 человек.</v>
      </c>
      <c r="G1501" s="23" t="s">
        <v>1385</v>
      </c>
      <c r="H1501" s="10" t="s">
        <v>3572</v>
      </c>
      <c r="I1501" s="35" t="s">
        <v>7017</v>
      </c>
      <c r="J1501" s="33" t="s">
        <v>1337</v>
      </c>
    </row>
    <row r="1502" spans="1:10" x14ac:dyDescent="0.25">
      <c r="A1502" s="23" t="s">
        <v>3598</v>
      </c>
      <c r="B1502" s="10" t="s">
        <v>3599</v>
      </c>
      <c r="C1502" s="23" t="s">
        <v>3572</v>
      </c>
      <c r="D1502" s="28" t="s">
        <v>3600</v>
      </c>
      <c r="E1502" s="25">
        <v>106</v>
      </c>
      <c r="F1502" s="23" t="str">
        <f>VLOOKUP(B1502,'[2]справочник кодов нп'!$A:$D,4,0)</f>
        <v>сельские населенные пункты с численностью населения менее 1 000 человек.</v>
      </c>
      <c r="G1502" s="23" t="s">
        <v>1385</v>
      </c>
      <c r="H1502" s="10" t="s">
        <v>3572</v>
      </c>
      <c r="I1502" s="35" t="s">
        <v>7017</v>
      </c>
      <c r="J1502" s="33" t="s">
        <v>1337</v>
      </c>
    </row>
    <row r="1503" spans="1:10" x14ac:dyDescent="0.25">
      <c r="A1503" s="23" t="s">
        <v>3601</v>
      </c>
      <c r="B1503" s="10" t="s">
        <v>3602</v>
      </c>
      <c r="C1503" s="23" t="s">
        <v>3572</v>
      </c>
      <c r="D1503" s="28" t="s">
        <v>3603</v>
      </c>
      <c r="E1503" s="25">
        <v>106</v>
      </c>
      <c r="F1503" s="23" t="str">
        <f>VLOOKUP(B1503,'[2]справочник кодов нп'!$A:$D,4,0)</f>
        <v>сельские населенные пункты с численностью населения менее 1 000 человек.</v>
      </c>
      <c r="G1503" s="23" t="s">
        <v>1385</v>
      </c>
      <c r="H1503" s="10" t="s">
        <v>3572</v>
      </c>
      <c r="I1503" s="35" t="s">
        <v>7017</v>
      </c>
      <c r="J1503" s="33" t="s">
        <v>1337</v>
      </c>
    </row>
    <row r="1504" spans="1:10" x14ac:dyDescent="0.25">
      <c r="A1504" s="23" t="s">
        <v>3604</v>
      </c>
      <c r="B1504" s="10" t="s">
        <v>3605</v>
      </c>
      <c r="C1504" s="23" t="s">
        <v>3572</v>
      </c>
      <c r="D1504" s="28" t="s">
        <v>3606</v>
      </c>
      <c r="E1504" s="25">
        <v>106</v>
      </c>
      <c r="F1504" s="23" t="str">
        <f>VLOOKUP(B1504,'[2]справочник кодов нп'!$A:$D,4,0)</f>
        <v>сельские населенные пункты с численностью населения менее 1 000 человек.</v>
      </c>
      <c r="G1504" s="23" t="s">
        <v>1385</v>
      </c>
      <c r="H1504" s="10" t="s">
        <v>3572</v>
      </c>
      <c r="I1504" s="35" t="s">
        <v>7017</v>
      </c>
      <c r="J1504" s="33" t="s">
        <v>1337</v>
      </c>
    </row>
    <row r="1505" spans="1:10" x14ac:dyDescent="0.25">
      <c r="A1505" s="23" t="s">
        <v>3607</v>
      </c>
      <c r="B1505" s="10" t="s">
        <v>3608</v>
      </c>
      <c r="C1505" s="23" t="s">
        <v>3572</v>
      </c>
      <c r="D1505" s="28" t="s">
        <v>3609</v>
      </c>
      <c r="E1505" s="25">
        <v>106</v>
      </c>
      <c r="F1505" s="23" t="str">
        <f>VLOOKUP(B1505,'[2]справочник кодов нп'!$A:$D,4,0)</f>
        <v>сельские населенные пункты с численностью населения менее 1 000 человек.</v>
      </c>
      <c r="G1505" s="23" t="s">
        <v>1385</v>
      </c>
      <c r="H1505" s="10" t="s">
        <v>3572</v>
      </c>
      <c r="I1505" s="35" t="s">
        <v>7017</v>
      </c>
      <c r="J1505" s="33" t="s">
        <v>1337</v>
      </c>
    </row>
    <row r="1506" spans="1:10" x14ac:dyDescent="0.25">
      <c r="A1506" s="23" t="s">
        <v>3610</v>
      </c>
      <c r="B1506" s="10" t="s">
        <v>3611</v>
      </c>
      <c r="C1506" s="23" t="s">
        <v>3572</v>
      </c>
      <c r="D1506" s="28" t="s">
        <v>3612</v>
      </c>
      <c r="E1506" s="25">
        <v>106</v>
      </c>
      <c r="F1506" s="23" t="str">
        <f>VLOOKUP(B1506,'[2]справочник кодов нп'!$A:$D,4,0)</f>
        <v>сельские населенные пункты с численностью населения менее 1 000 человек.</v>
      </c>
      <c r="G1506" s="23" t="s">
        <v>1385</v>
      </c>
      <c r="H1506" s="10" t="s">
        <v>3572</v>
      </c>
      <c r="I1506" s="35" t="s">
        <v>7017</v>
      </c>
      <c r="J1506" s="33" t="s">
        <v>1337</v>
      </c>
    </row>
    <row r="1507" spans="1:10" x14ac:dyDescent="0.25">
      <c r="A1507" s="23" t="s">
        <v>3613</v>
      </c>
      <c r="B1507" s="10" t="s">
        <v>3614</v>
      </c>
      <c r="C1507" s="23" t="s">
        <v>3572</v>
      </c>
      <c r="D1507" s="28" t="s">
        <v>3615</v>
      </c>
      <c r="E1507" s="25">
        <v>106</v>
      </c>
      <c r="F1507" s="23" t="str">
        <f>VLOOKUP(B1507,'[2]справочник кодов нп'!$A:$D,4,0)</f>
        <v>сельские населенные пункты с численностью населения менее 1 000 человек.</v>
      </c>
      <c r="G1507" s="23" t="s">
        <v>1385</v>
      </c>
      <c r="H1507" s="10" t="s">
        <v>3572</v>
      </c>
      <c r="I1507" s="35" t="s">
        <v>7017</v>
      </c>
      <c r="J1507" s="33" t="s">
        <v>1337</v>
      </c>
    </row>
    <row r="1508" spans="1:10" x14ac:dyDescent="0.25">
      <c r="A1508" s="23" t="s">
        <v>3616</v>
      </c>
      <c r="B1508" s="10" t="s">
        <v>3617</v>
      </c>
      <c r="C1508" s="23" t="s">
        <v>3572</v>
      </c>
      <c r="D1508" s="28" t="s">
        <v>2826</v>
      </c>
      <c r="E1508" s="25">
        <v>106</v>
      </c>
      <c r="F1508" s="23" t="str">
        <f>VLOOKUP(B1508,'[2]справочник кодов нп'!$A:$D,4,0)</f>
        <v>сельские населенные пункты с численностью населения менее 1 000 человек.</v>
      </c>
      <c r="G1508" s="23" t="s">
        <v>1385</v>
      </c>
      <c r="H1508" s="10" t="s">
        <v>3572</v>
      </c>
      <c r="I1508" s="35" t="s">
        <v>7017</v>
      </c>
      <c r="J1508" s="33" t="s">
        <v>1337</v>
      </c>
    </row>
    <row r="1509" spans="1:10" x14ac:dyDescent="0.25">
      <c r="A1509" s="23" t="s">
        <v>3618</v>
      </c>
      <c r="B1509" s="10" t="s">
        <v>3619</v>
      </c>
      <c r="C1509" s="23" t="s">
        <v>3572</v>
      </c>
      <c r="D1509" s="28" t="s">
        <v>3620</v>
      </c>
      <c r="E1509" s="25">
        <v>106</v>
      </c>
      <c r="F1509" s="23" t="str">
        <f>VLOOKUP(B1509,'[2]справочник кодов нп'!$A:$D,4,0)</f>
        <v>сельские населенные пункты с численностью населения менее 1 000 человек.</v>
      </c>
      <c r="G1509" s="23" t="s">
        <v>1385</v>
      </c>
      <c r="H1509" s="10" t="s">
        <v>3572</v>
      </c>
      <c r="I1509" s="35" t="s">
        <v>7017</v>
      </c>
      <c r="J1509" s="33" t="s">
        <v>1337</v>
      </c>
    </row>
    <row r="1510" spans="1:10" x14ac:dyDescent="0.25">
      <c r="A1510" s="23" t="s">
        <v>3621</v>
      </c>
      <c r="B1510" s="10" t="s">
        <v>3622</v>
      </c>
      <c r="C1510" s="23" t="s">
        <v>3572</v>
      </c>
      <c r="D1510" s="28" t="s">
        <v>3623</v>
      </c>
      <c r="E1510" s="25">
        <v>106</v>
      </c>
      <c r="F1510" s="23" t="str">
        <f>VLOOKUP(B1510,'[2]справочник кодов нп'!$A:$D,4,0)</f>
        <v>сельские населенные пункты с численностью населения менее 1 000 человек.</v>
      </c>
      <c r="G1510" s="23" t="s">
        <v>1385</v>
      </c>
      <c r="H1510" s="10" t="s">
        <v>3572</v>
      </c>
      <c r="I1510" s="35" t="s">
        <v>7017</v>
      </c>
      <c r="J1510" s="33" t="s">
        <v>1337</v>
      </c>
    </row>
    <row r="1511" spans="1:10" x14ac:dyDescent="0.25">
      <c r="A1511" s="23" t="s">
        <v>3624</v>
      </c>
      <c r="B1511" s="10" t="s">
        <v>3625</v>
      </c>
      <c r="C1511" s="23" t="s">
        <v>3572</v>
      </c>
      <c r="D1511" s="28" t="s">
        <v>3626</v>
      </c>
      <c r="E1511" s="25">
        <v>106</v>
      </c>
      <c r="F1511" s="23" t="str">
        <f>VLOOKUP(B1511,'[2]справочник кодов нп'!$A:$D,4,0)</f>
        <v>сельские населенные пункты с численностью населения менее 1 000 человек.</v>
      </c>
      <c r="G1511" s="23" t="s">
        <v>1385</v>
      </c>
      <c r="H1511" s="10" t="s">
        <v>3572</v>
      </c>
      <c r="I1511" s="35" t="s">
        <v>7017</v>
      </c>
      <c r="J1511" s="33" t="s">
        <v>1337</v>
      </c>
    </row>
    <row r="1512" spans="1:10" x14ac:dyDescent="0.25">
      <c r="A1512" s="23" t="s">
        <v>3627</v>
      </c>
      <c r="B1512" s="10" t="s">
        <v>3628</v>
      </c>
      <c r="C1512" s="23" t="s">
        <v>3572</v>
      </c>
      <c r="D1512" s="28" t="s">
        <v>3629</v>
      </c>
      <c r="E1512" s="25">
        <v>106</v>
      </c>
      <c r="F1512" s="23" t="str">
        <f>VLOOKUP(B1512,'[2]справочник кодов нп'!$A:$D,4,0)</f>
        <v>сельские населенные пункты с численностью населения менее 1 000 человек.</v>
      </c>
      <c r="G1512" s="23" t="s">
        <v>1385</v>
      </c>
      <c r="H1512" s="10" t="s">
        <v>3572</v>
      </c>
      <c r="I1512" s="35" t="s">
        <v>7017</v>
      </c>
      <c r="J1512" s="33" t="s">
        <v>1337</v>
      </c>
    </row>
    <row r="1513" spans="1:10" x14ac:dyDescent="0.25">
      <c r="A1513" s="23" t="s">
        <v>3630</v>
      </c>
      <c r="B1513" s="10" t="s">
        <v>3631</v>
      </c>
      <c r="C1513" s="23" t="s">
        <v>3572</v>
      </c>
      <c r="D1513" s="28" t="s">
        <v>3632</v>
      </c>
      <c r="E1513" s="25">
        <v>106</v>
      </c>
      <c r="F1513" s="23" t="str">
        <f>VLOOKUP(B1513,'[2]справочник кодов нп'!$A:$D,4,0)</f>
        <v>сельские населенные пункты с численностью населения менее 1 000 человек.</v>
      </c>
      <c r="G1513" s="23" t="s">
        <v>1385</v>
      </c>
      <c r="H1513" s="10" t="s">
        <v>3572</v>
      </c>
      <c r="I1513" s="35" t="s">
        <v>7017</v>
      </c>
      <c r="J1513" s="33" t="s">
        <v>1337</v>
      </c>
    </row>
    <row r="1514" spans="1:10" x14ac:dyDescent="0.25">
      <c r="A1514" s="23" t="s">
        <v>3633</v>
      </c>
      <c r="B1514" s="10" t="s">
        <v>3634</v>
      </c>
      <c r="C1514" s="23" t="s">
        <v>3572</v>
      </c>
      <c r="D1514" s="28" t="s">
        <v>3635</v>
      </c>
      <c r="E1514" s="25">
        <v>106</v>
      </c>
      <c r="F1514" s="23" t="str">
        <f>VLOOKUP(B1514,'[2]справочник кодов нп'!$A:$D,4,0)</f>
        <v>сельские населенные пункты с численностью населения менее 1 000 человек.</v>
      </c>
      <c r="G1514" s="23" t="s">
        <v>1385</v>
      </c>
      <c r="H1514" s="10" t="s">
        <v>3572</v>
      </c>
      <c r="I1514" s="35" t="s">
        <v>7017</v>
      </c>
      <c r="J1514" s="33" t="s">
        <v>1337</v>
      </c>
    </row>
    <row r="1515" spans="1:10" x14ac:dyDescent="0.25">
      <c r="A1515" s="23" t="s">
        <v>3636</v>
      </c>
      <c r="B1515" s="10" t="s">
        <v>3637</v>
      </c>
      <c r="C1515" s="23" t="s">
        <v>3572</v>
      </c>
      <c r="D1515" s="28" t="s">
        <v>3638</v>
      </c>
      <c r="E1515" s="25">
        <v>106</v>
      </c>
      <c r="F1515" s="23" t="str">
        <f>VLOOKUP(B1515,'[2]справочник кодов нп'!$A:$D,4,0)</f>
        <v>сельские населенные пункты с численностью населения менее 1 000 человек.</v>
      </c>
      <c r="G1515" s="23" t="s">
        <v>1385</v>
      </c>
      <c r="H1515" s="10" t="s">
        <v>3572</v>
      </c>
      <c r="I1515" s="35" t="s">
        <v>7017</v>
      </c>
      <c r="J1515" s="33" t="s">
        <v>1337</v>
      </c>
    </row>
    <row r="1516" spans="1:10" x14ac:dyDescent="0.25">
      <c r="A1516" s="23" t="s">
        <v>3639</v>
      </c>
      <c r="B1516" s="10" t="s">
        <v>3640</v>
      </c>
      <c r="C1516" s="23" t="s">
        <v>3572</v>
      </c>
      <c r="D1516" s="28" t="s">
        <v>3641</v>
      </c>
      <c r="E1516" s="25">
        <v>106</v>
      </c>
      <c r="F1516" s="23" t="str">
        <f>VLOOKUP(B1516,'[2]справочник кодов нп'!$A:$D,4,0)</f>
        <v>сельские населенные пункты с численностью населения менее 1 000 человек.</v>
      </c>
      <c r="G1516" s="23" t="s">
        <v>1385</v>
      </c>
      <c r="H1516" s="10" t="s">
        <v>3572</v>
      </c>
      <c r="I1516" s="35" t="s">
        <v>7017</v>
      </c>
      <c r="J1516" s="33" t="s">
        <v>1337</v>
      </c>
    </row>
    <row r="1517" spans="1:10" x14ac:dyDescent="0.25">
      <c r="A1517" s="23" t="s">
        <v>3642</v>
      </c>
      <c r="B1517" s="10" t="s">
        <v>3643</v>
      </c>
      <c r="C1517" s="23" t="s">
        <v>3572</v>
      </c>
      <c r="D1517" s="28" t="s">
        <v>3644</v>
      </c>
      <c r="E1517" s="25">
        <v>106</v>
      </c>
      <c r="F1517" s="23" t="str">
        <f>VLOOKUP(B1517,'[2]справочник кодов нп'!$A:$D,4,0)</f>
        <v>сельские населенные пункты с численностью населения менее 1 000 человек.</v>
      </c>
      <c r="G1517" s="23" t="s">
        <v>1385</v>
      </c>
      <c r="H1517" s="10" t="s">
        <v>3572</v>
      </c>
      <c r="I1517" s="35" t="s">
        <v>7017</v>
      </c>
      <c r="J1517" s="33" t="s">
        <v>1337</v>
      </c>
    </row>
    <row r="1518" spans="1:10" x14ac:dyDescent="0.25">
      <c r="A1518" s="23" t="s">
        <v>3645</v>
      </c>
      <c r="B1518" s="10" t="s">
        <v>3646</v>
      </c>
      <c r="C1518" s="23" t="s">
        <v>3572</v>
      </c>
      <c r="D1518" s="28" t="s">
        <v>2025</v>
      </c>
      <c r="E1518" s="25">
        <v>106</v>
      </c>
      <c r="F1518" s="23" t="str">
        <f>VLOOKUP(B1518,'[2]справочник кодов нп'!$A:$D,4,0)</f>
        <v>сельские населенные пункты с численностью населения менее 1 000 человек.</v>
      </c>
      <c r="G1518" s="23" t="s">
        <v>1385</v>
      </c>
      <c r="H1518" s="10" t="s">
        <v>3572</v>
      </c>
      <c r="I1518" s="35" t="s">
        <v>7017</v>
      </c>
      <c r="J1518" s="33" t="s">
        <v>1337</v>
      </c>
    </row>
    <row r="1519" spans="1:10" x14ac:dyDescent="0.25">
      <c r="A1519" s="23" t="s">
        <v>3647</v>
      </c>
      <c r="B1519" s="10" t="s">
        <v>3648</v>
      </c>
      <c r="C1519" s="23" t="s">
        <v>3572</v>
      </c>
      <c r="D1519" s="28" t="s">
        <v>3649</v>
      </c>
      <c r="E1519" s="25">
        <v>106</v>
      </c>
      <c r="F1519" s="23" t="str">
        <f>VLOOKUP(B1519,'[2]справочник кодов нп'!$A:$D,4,0)</f>
        <v>сельские населенные пункты с численностью населения менее 1 000 человек.</v>
      </c>
      <c r="G1519" s="23" t="s">
        <v>1385</v>
      </c>
      <c r="H1519" s="10" t="s">
        <v>3572</v>
      </c>
      <c r="I1519" s="35" t="s">
        <v>7017</v>
      </c>
      <c r="J1519" s="33" t="s">
        <v>1337</v>
      </c>
    </row>
    <row r="1520" spans="1:10" x14ac:dyDescent="0.25">
      <c r="A1520" s="23" t="s">
        <v>3650</v>
      </c>
      <c r="B1520" s="10" t="s">
        <v>3651</v>
      </c>
      <c r="C1520" s="23" t="s">
        <v>3572</v>
      </c>
      <c r="D1520" s="28" t="s">
        <v>3652</v>
      </c>
      <c r="E1520" s="25">
        <v>106</v>
      </c>
      <c r="F1520" s="23" t="str">
        <f>VLOOKUP(B1520,'[2]справочник кодов нп'!$A:$D,4,0)</f>
        <v>сельские населенные пункты с численностью населения менее 1 000 человек.</v>
      </c>
      <c r="G1520" s="23" t="s">
        <v>1385</v>
      </c>
      <c r="H1520" s="10" t="s">
        <v>3572</v>
      </c>
      <c r="I1520" s="35" t="s">
        <v>7017</v>
      </c>
      <c r="J1520" s="33" t="s">
        <v>1337</v>
      </c>
    </row>
    <row r="1521" spans="1:10" x14ac:dyDescent="0.25">
      <c r="A1521" s="23" t="s">
        <v>3653</v>
      </c>
      <c r="B1521" s="10" t="s">
        <v>3654</v>
      </c>
      <c r="C1521" s="23" t="s">
        <v>3572</v>
      </c>
      <c r="D1521" s="28" t="s">
        <v>3655</v>
      </c>
      <c r="E1521" s="25">
        <v>106</v>
      </c>
      <c r="F1521" s="23" t="str">
        <f>VLOOKUP(B1521,'[2]справочник кодов нп'!$A:$D,4,0)</f>
        <v>сельские населенные пункты с численностью населения менее 1 000 человек.</v>
      </c>
      <c r="G1521" s="23" t="s">
        <v>1385</v>
      </c>
      <c r="H1521" s="10" t="s">
        <v>3572</v>
      </c>
      <c r="I1521" s="35" t="s">
        <v>7017</v>
      </c>
      <c r="J1521" s="33" t="s">
        <v>1337</v>
      </c>
    </row>
    <row r="1522" spans="1:10" x14ac:dyDescent="0.25">
      <c r="A1522" s="23" t="s">
        <v>3656</v>
      </c>
      <c r="B1522" s="10" t="s">
        <v>3657</v>
      </c>
      <c r="C1522" s="23" t="s">
        <v>3572</v>
      </c>
      <c r="D1522" s="28" t="s">
        <v>3658</v>
      </c>
      <c r="E1522" s="25">
        <v>106</v>
      </c>
      <c r="F1522" s="23" t="str">
        <f>VLOOKUP(B1522,'[2]справочник кодов нп'!$A:$D,4,0)</f>
        <v>сельские населенные пункты с численностью населения менее 1 000 человек.</v>
      </c>
      <c r="G1522" s="23" t="s">
        <v>1385</v>
      </c>
      <c r="H1522" s="10" t="s">
        <v>3572</v>
      </c>
      <c r="I1522" s="35" t="s">
        <v>7017</v>
      </c>
      <c r="J1522" s="33" t="s">
        <v>1337</v>
      </c>
    </row>
    <row r="1523" spans="1:10" x14ac:dyDescent="0.25">
      <c r="A1523" s="23" t="s">
        <v>3659</v>
      </c>
      <c r="B1523" s="10" t="s">
        <v>3660</v>
      </c>
      <c r="C1523" s="23" t="s">
        <v>3572</v>
      </c>
      <c r="D1523" s="28" t="s">
        <v>1730</v>
      </c>
      <c r="E1523" s="25">
        <v>106</v>
      </c>
      <c r="F1523" s="23" t="str">
        <f>VLOOKUP(B1523,'[2]справочник кодов нп'!$A:$D,4,0)</f>
        <v>сельские населенные пункты с численностью населения менее 1 000 человек.</v>
      </c>
      <c r="G1523" s="23" t="s">
        <v>1385</v>
      </c>
      <c r="H1523" s="10" t="s">
        <v>3572</v>
      </c>
      <c r="I1523" s="35" t="s">
        <v>7017</v>
      </c>
      <c r="J1523" s="33" t="s">
        <v>1337</v>
      </c>
    </row>
    <row r="1524" spans="1:10" x14ac:dyDescent="0.25">
      <c r="A1524" s="23" t="s">
        <v>3661</v>
      </c>
      <c r="B1524" s="10" t="s">
        <v>3662</v>
      </c>
      <c r="C1524" s="23" t="s">
        <v>3572</v>
      </c>
      <c r="D1524" s="28" t="s">
        <v>3663</v>
      </c>
      <c r="E1524" s="25">
        <v>106</v>
      </c>
      <c r="F1524" s="23" t="str">
        <f>VLOOKUP(B1524,'[2]справочник кодов нп'!$A:$D,4,0)</f>
        <v>сельские населенные пункты с численностью населения менее 1 000 человек.</v>
      </c>
      <c r="G1524" s="23" t="s">
        <v>1385</v>
      </c>
      <c r="H1524" s="10" t="s">
        <v>3572</v>
      </c>
      <c r="I1524" s="35" t="s">
        <v>7017</v>
      </c>
      <c r="J1524" s="33" t="s">
        <v>1337</v>
      </c>
    </row>
    <row r="1525" spans="1:10" x14ac:dyDescent="0.25">
      <c r="A1525" s="23" t="s">
        <v>3664</v>
      </c>
      <c r="B1525" s="10" t="s">
        <v>3665</v>
      </c>
      <c r="C1525" s="23" t="s">
        <v>3572</v>
      </c>
      <c r="D1525" s="28" t="s">
        <v>3666</v>
      </c>
      <c r="E1525" s="25">
        <v>106</v>
      </c>
      <c r="F1525" s="23" t="str">
        <f>VLOOKUP(B1525,'[2]справочник кодов нп'!$A:$D,4,0)</f>
        <v>сельские населенные пункты с численностью населения менее 1 000 человек.</v>
      </c>
      <c r="G1525" s="23" t="s">
        <v>1385</v>
      </c>
      <c r="H1525" s="10" t="s">
        <v>3572</v>
      </c>
      <c r="I1525" s="35" t="s">
        <v>7017</v>
      </c>
      <c r="J1525" s="33" t="s">
        <v>1337</v>
      </c>
    </row>
    <row r="1526" spans="1:10" x14ac:dyDescent="0.25">
      <c r="A1526" s="23" t="s">
        <v>3667</v>
      </c>
      <c r="B1526" s="10" t="s">
        <v>3668</v>
      </c>
      <c r="C1526" s="23" t="s">
        <v>3572</v>
      </c>
      <c r="D1526" s="28" t="s">
        <v>2889</v>
      </c>
      <c r="E1526" s="25">
        <v>106</v>
      </c>
      <c r="F1526" s="23" t="str">
        <f>VLOOKUP(B1526,'[2]справочник кодов нп'!$A:$D,4,0)</f>
        <v>сельские населенные пункты с численностью населения менее 1 000 человек.</v>
      </c>
      <c r="G1526" s="23" t="s">
        <v>1385</v>
      </c>
      <c r="H1526" s="10" t="s">
        <v>3572</v>
      </c>
      <c r="I1526" s="35" t="s">
        <v>7017</v>
      </c>
      <c r="J1526" s="33" t="s">
        <v>1337</v>
      </c>
    </row>
    <row r="1527" spans="1:10" x14ac:dyDescent="0.25">
      <c r="A1527" s="23" t="s">
        <v>3669</v>
      </c>
      <c r="B1527" s="10" t="s">
        <v>3670</v>
      </c>
      <c r="C1527" s="23" t="s">
        <v>3572</v>
      </c>
      <c r="D1527" s="28" t="s">
        <v>2375</v>
      </c>
      <c r="E1527" s="25">
        <v>106</v>
      </c>
      <c r="F1527" s="23" t="str">
        <f>VLOOKUP(B1527,'[2]справочник кодов нп'!$A:$D,4,0)</f>
        <v>сельские населенные пункты с численностью населения менее 1 000 человек.</v>
      </c>
      <c r="G1527" s="23" t="s">
        <v>1385</v>
      </c>
      <c r="H1527" s="10" t="s">
        <v>3572</v>
      </c>
      <c r="I1527" s="35" t="s">
        <v>7017</v>
      </c>
      <c r="J1527" s="33" t="s">
        <v>1337</v>
      </c>
    </row>
    <row r="1528" spans="1:10" x14ac:dyDescent="0.25">
      <c r="A1528" s="23" t="s">
        <v>3671</v>
      </c>
      <c r="B1528" s="10" t="s">
        <v>3672</v>
      </c>
      <c r="C1528" s="23" t="s">
        <v>3572</v>
      </c>
      <c r="D1528" s="28" t="s">
        <v>3673</v>
      </c>
      <c r="E1528" s="25">
        <v>106</v>
      </c>
      <c r="F1528" s="23" t="str">
        <f>VLOOKUP(B1528,'[2]справочник кодов нп'!$A:$D,4,0)</f>
        <v>сельские населенные пункты с численностью населения менее 1 000 человек.</v>
      </c>
      <c r="G1528" s="23" t="s">
        <v>1385</v>
      </c>
      <c r="H1528" s="10" t="s">
        <v>3572</v>
      </c>
      <c r="I1528" s="35" t="s">
        <v>7017</v>
      </c>
      <c r="J1528" s="33" t="s">
        <v>1337</v>
      </c>
    </row>
    <row r="1529" spans="1:10" x14ac:dyDescent="0.25">
      <c r="A1529" s="23" t="s">
        <v>3674</v>
      </c>
      <c r="B1529" s="10" t="s">
        <v>3675</v>
      </c>
      <c r="C1529" s="23" t="s">
        <v>3572</v>
      </c>
      <c r="D1529" s="28" t="s">
        <v>3676</v>
      </c>
      <c r="E1529" s="25">
        <v>106</v>
      </c>
      <c r="F1529" s="23" t="str">
        <f>VLOOKUP(B1529,'[2]справочник кодов нп'!$A:$D,4,0)</f>
        <v>сельские населенные пункты с численностью населения менее 1 000 человек.</v>
      </c>
      <c r="G1529" s="23" t="s">
        <v>1385</v>
      </c>
      <c r="H1529" s="10" t="s">
        <v>3572</v>
      </c>
      <c r="I1529" s="35" t="s">
        <v>7017</v>
      </c>
      <c r="J1529" s="33" t="s">
        <v>1337</v>
      </c>
    </row>
    <row r="1530" spans="1:10" x14ac:dyDescent="0.25">
      <c r="A1530" s="23" t="s">
        <v>3677</v>
      </c>
      <c r="B1530" s="10" t="s">
        <v>3678</v>
      </c>
      <c r="C1530" s="23" t="s">
        <v>3572</v>
      </c>
      <c r="D1530" s="28" t="s">
        <v>3679</v>
      </c>
      <c r="E1530" s="25">
        <v>106</v>
      </c>
      <c r="F1530" s="23" t="str">
        <f>VLOOKUP(B1530,'[2]справочник кодов нп'!$A:$D,4,0)</f>
        <v>сельские населенные пункты с численностью населения менее 1 000 человек.</v>
      </c>
      <c r="G1530" s="23" t="s">
        <v>1385</v>
      </c>
      <c r="H1530" s="10" t="s">
        <v>3572</v>
      </c>
      <c r="I1530" s="35" t="s">
        <v>7017</v>
      </c>
      <c r="J1530" s="33" t="s">
        <v>1337</v>
      </c>
    </row>
    <row r="1531" spans="1:10" x14ac:dyDescent="0.25">
      <c r="A1531" s="23" t="s">
        <v>4840</v>
      </c>
      <c r="B1531" s="10" t="s">
        <v>4841</v>
      </c>
      <c r="C1531" s="23" t="s">
        <v>3572</v>
      </c>
      <c r="D1531" s="28" t="s">
        <v>2762</v>
      </c>
      <c r="E1531" s="25">
        <v>106</v>
      </c>
      <c r="F1531" s="23" t="str">
        <f>VLOOKUP(B1531,'[2]справочник кодов нп'!$A:$D,4,0)</f>
        <v>сельские населенные пункты с численностью населения менее 1 000 человек.</v>
      </c>
      <c r="G1531" s="23" t="s">
        <v>1385</v>
      </c>
      <c r="H1531" s="10" t="s">
        <v>3572</v>
      </c>
      <c r="I1531" s="35" t="s">
        <v>7017</v>
      </c>
      <c r="J1531" s="33" t="s">
        <v>1337</v>
      </c>
    </row>
    <row r="1532" spans="1:10" x14ac:dyDescent="0.25">
      <c r="A1532" s="23" t="s">
        <v>4878</v>
      </c>
      <c r="B1532" s="10" t="s">
        <v>4879</v>
      </c>
      <c r="C1532" s="23" t="s">
        <v>3572</v>
      </c>
      <c r="D1532" s="28" t="s">
        <v>2182</v>
      </c>
      <c r="E1532" s="25">
        <v>106</v>
      </c>
      <c r="F1532" s="23" t="str">
        <f>VLOOKUP(B1532,'[2]справочник кодов нп'!$A:$D,4,0)</f>
        <v>сельские населенные пункты с численностью населения менее 1 000 человек.</v>
      </c>
      <c r="G1532" s="23" t="s">
        <v>1385</v>
      </c>
      <c r="H1532" s="10" t="s">
        <v>3572</v>
      </c>
      <c r="I1532" s="35" t="s">
        <v>7017</v>
      </c>
      <c r="J1532" s="33" t="s">
        <v>1337</v>
      </c>
    </row>
    <row r="1533" spans="1:10" x14ac:dyDescent="0.25">
      <c r="A1533" s="23" t="s">
        <v>6124</v>
      </c>
      <c r="B1533" s="10" t="s">
        <v>6125</v>
      </c>
      <c r="C1533" s="23" t="s">
        <v>3572</v>
      </c>
      <c r="D1533" s="28" t="s">
        <v>6126</v>
      </c>
      <c r="E1533" s="25">
        <v>106</v>
      </c>
      <c r="F1533" s="23" t="str">
        <f>VLOOKUP(B1533,'[2]справочник кодов нп'!$A:$D,4,0)</f>
        <v>сельские населенные пункты с численностью населения менее 1 000 человек.</v>
      </c>
      <c r="G1533" s="23" t="s">
        <v>1385</v>
      </c>
      <c r="H1533" s="10" t="s">
        <v>3572</v>
      </c>
      <c r="I1533" s="35" t="s">
        <v>7017</v>
      </c>
      <c r="J1533" s="33" t="s">
        <v>1337</v>
      </c>
    </row>
    <row r="1534" spans="1:10" x14ac:dyDescent="0.25">
      <c r="A1534" s="23" t="s">
        <v>6127</v>
      </c>
      <c r="B1534" s="10" t="s">
        <v>6128</v>
      </c>
      <c r="C1534" s="23" t="s">
        <v>3572</v>
      </c>
      <c r="D1534" s="28" t="s">
        <v>4782</v>
      </c>
      <c r="E1534" s="25">
        <v>106</v>
      </c>
      <c r="F1534" s="23" t="str">
        <f>VLOOKUP(B1534,'[2]справочник кодов нп'!$A:$D,4,0)</f>
        <v>сельские населенные пункты с численностью населения менее 1 000 человек.</v>
      </c>
      <c r="G1534" s="23" t="s">
        <v>1385</v>
      </c>
      <c r="H1534" s="10" t="s">
        <v>3572</v>
      </c>
      <c r="I1534" s="35" t="s">
        <v>7017</v>
      </c>
      <c r="J1534" s="33" t="s">
        <v>1337</v>
      </c>
    </row>
    <row r="1535" spans="1:10" x14ac:dyDescent="0.25">
      <c r="A1535" s="23" t="s">
        <v>6129</v>
      </c>
      <c r="B1535" s="10" t="s">
        <v>6130</v>
      </c>
      <c r="C1535" s="23" t="s">
        <v>3572</v>
      </c>
      <c r="D1535" s="28" t="s">
        <v>6131</v>
      </c>
      <c r="E1535" s="25">
        <v>106</v>
      </c>
      <c r="F1535" s="23" t="str">
        <f>VLOOKUP(B1535,'[2]справочник кодов нп'!$A:$D,4,0)</f>
        <v>сельские населенные пункты с численностью населения менее 1 000 человек.</v>
      </c>
      <c r="G1535" s="23" t="s">
        <v>1385</v>
      </c>
      <c r="H1535" s="10" t="s">
        <v>3572</v>
      </c>
      <c r="I1535" s="35" t="s">
        <v>7017</v>
      </c>
      <c r="J1535" s="33" t="s">
        <v>1337</v>
      </c>
    </row>
    <row r="1536" spans="1:10" x14ac:dyDescent="0.25">
      <c r="A1536" s="23" t="s">
        <v>6132</v>
      </c>
      <c r="B1536" s="10" t="s">
        <v>6133</v>
      </c>
      <c r="C1536" s="23" t="s">
        <v>3572</v>
      </c>
      <c r="D1536" s="28" t="s">
        <v>6134</v>
      </c>
      <c r="E1536" s="25">
        <v>106</v>
      </c>
      <c r="F1536" s="23" t="str">
        <f>VLOOKUP(B1536,'[2]справочник кодов нп'!$A:$D,4,0)</f>
        <v>сельские населенные пункты с численностью населения менее 1 000 человек.</v>
      </c>
      <c r="G1536" s="23" t="s">
        <v>1385</v>
      </c>
      <c r="H1536" s="10" t="s">
        <v>3572</v>
      </c>
      <c r="I1536" s="35" t="s">
        <v>7017</v>
      </c>
      <c r="J1536" s="33" t="s">
        <v>1337</v>
      </c>
    </row>
    <row r="1537" spans="1:10" x14ac:dyDescent="0.25">
      <c r="A1537" s="23" t="s">
        <v>6135</v>
      </c>
      <c r="B1537" s="10" t="s">
        <v>6136</v>
      </c>
      <c r="C1537" s="23" t="s">
        <v>3572</v>
      </c>
      <c r="D1537" s="28" t="s">
        <v>6137</v>
      </c>
      <c r="E1537" s="25">
        <v>106</v>
      </c>
      <c r="F1537" s="23" t="str">
        <f>VLOOKUP(B1537,'[2]справочник кодов нп'!$A:$D,4,0)</f>
        <v>сельские населенные пункты с численностью населения менее 1 000 человек.</v>
      </c>
      <c r="G1537" s="23" t="s">
        <v>1385</v>
      </c>
      <c r="H1537" s="10" t="s">
        <v>3572</v>
      </c>
      <c r="I1537" s="35" t="s">
        <v>7017</v>
      </c>
      <c r="J1537" s="33" t="s">
        <v>1337</v>
      </c>
    </row>
    <row r="1538" spans="1:10" x14ac:dyDescent="0.25">
      <c r="A1538" s="23" t="s">
        <v>6138</v>
      </c>
      <c r="B1538" s="10" t="s">
        <v>6139</v>
      </c>
      <c r="C1538" s="23" t="s">
        <v>3572</v>
      </c>
      <c r="D1538" s="28" t="s">
        <v>6140</v>
      </c>
      <c r="E1538" s="25">
        <v>106</v>
      </c>
      <c r="F1538" s="23" t="str">
        <f>VLOOKUP(B1538,'[2]справочник кодов нп'!$A:$D,4,0)</f>
        <v>сельские населенные пункты с численностью населения менее 1 000 человек.</v>
      </c>
      <c r="G1538" s="23" t="s">
        <v>1385</v>
      </c>
      <c r="H1538" s="10" t="s">
        <v>3572</v>
      </c>
      <c r="I1538" s="35" t="s">
        <v>7017</v>
      </c>
      <c r="J1538" s="33" t="s">
        <v>1337</v>
      </c>
    </row>
    <row r="1539" spans="1:10" x14ac:dyDescent="0.25">
      <c r="A1539" s="23" t="s">
        <v>6670</v>
      </c>
      <c r="B1539" s="10" t="s">
        <v>6671</v>
      </c>
      <c r="C1539" s="23" t="s">
        <v>3572</v>
      </c>
      <c r="D1539" s="28" t="s">
        <v>6672</v>
      </c>
      <c r="E1539" s="25">
        <v>106</v>
      </c>
      <c r="F1539" s="23" t="str">
        <f>VLOOKUP(B1539,'[2]справочник кодов нп'!$A:$D,4,0)</f>
        <v>сельские населенные пункты с численностью населения менее 1 000 человек.</v>
      </c>
      <c r="G1539" s="23" t="s">
        <v>1385</v>
      </c>
      <c r="H1539" s="10" t="s">
        <v>3572</v>
      </c>
      <c r="I1539" s="35" t="s">
        <v>7017</v>
      </c>
      <c r="J1539" s="33" t="s">
        <v>1337</v>
      </c>
    </row>
    <row r="1540" spans="1:10" x14ac:dyDescent="0.25">
      <c r="A1540" s="23" t="s">
        <v>6969</v>
      </c>
      <c r="B1540" s="10" t="s">
        <v>6970</v>
      </c>
      <c r="C1540" s="23" t="s">
        <v>3572</v>
      </c>
      <c r="D1540" s="28" t="s">
        <v>6846</v>
      </c>
      <c r="E1540" s="25">
        <v>106</v>
      </c>
      <c r="F1540" s="23" t="str">
        <f>VLOOKUP(B1540,'[2]справочник кодов нп'!$A:$D,4,0)</f>
        <v>межселенная территория</v>
      </c>
      <c r="G1540" s="23" t="s">
        <v>1385</v>
      </c>
      <c r="H1540" s="10" t="s">
        <v>3572</v>
      </c>
      <c r="I1540" s="35" t="s">
        <v>7019</v>
      </c>
      <c r="J1540" s="33" t="s">
        <v>1337</v>
      </c>
    </row>
    <row r="1541" spans="1:10" x14ac:dyDescent="0.25">
      <c r="A1541" s="23" t="s">
        <v>7012</v>
      </c>
      <c r="B1541" s="10" t="s">
        <v>6970</v>
      </c>
      <c r="C1541" s="23" t="s">
        <v>3572</v>
      </c>
      <c r="D1541" s="28" t="s">
        <v>6846</v>
      </c>
      <c r="E1541" s="25">
        <v>106</v>
      </c>
      <c r="F1541" s="23" t="str">
        <f>VLOOKUP(B1541,'[2]справочник кодов нп'!$A:$D,4,0)</f>
        <v>межселенная территория</v>
      </c>
      <c r="G1541" s="45" t="s">
        <v>1385</v>
      </c>
      <c r="H1541" s="10" t="s">
        <v>3572</v>
      </c>
      <c r="I1541" s="35" t="s">
        <v>7019</v>
      </c>
      <c r="J1541" s="33" t="s">
        <v>1337</v>
      </c>
    </row>
    <row r="1542" spans="1:10" x14ac:dyDescent="0.25">
      <c r="A1542" s="23" t="s">
        <v>7013</v>
      </c>
      <c r="B1542" s="10" t="s">
        <v>6970</v>
      </c>
      <c r="C1542" s="23" t="s">
        <v>3572</v>
      </c>
      <c r="D1542" s="28" t="s">
        <v>6846</v>
      </c>
      <c r="E1542" s="25">
        <v>106</v>
      </c>
      <c r="F1542" s="23" t="str">
        <f>VLOOKUP(B1542,'[2]справочник кодов нп'!$A:$D,4,0)</f>
        <v>межселенная территория</v>
      </c>
      <c r="G1542" s="23" t="s">
        <v>1385</v>
      </c>
      <c r="H1542" s="10" t="s">
        <v>3572</v>
      </c>
      <c r="I1542" s="35" t="s">
        <v>7019</v>
      </c>
      <c r="J1542" s="33" t="s">
        <v>1337</v>
      </c>
    </row>
    <row r="1543" spans="1:10" x14ac:dyDescent="0.25">
      <c r="A1543" s="23" t="s">
        <v>7014</v>
      </c>
      <c r="B1543" s="10" t="s">
        <v>6970</v>
      </c>
      <c r="C1543" s="23" t="s">
        <v>3572</v>
      </c>
      <c r="D1543" s="28" t="s">
        <v>6846</v>
      </c>
      <c r="E1543" s="25">
        <v>106</v>
      </c>
      <c r="F1543" s="23" t="str">
        <f>VLOOKUP(B1543,'[2]справочник кодов нп'!$A:$D,4,0)</f>
        <v>межселенная территория</v>
      </c>
      <c r="G1543" s="23" t="s">
        <v>1385</v>
      </c>
      <c r="H1543" s="10" t="s">
        <v>3572</v>
      </c>
      <c r="I1543" s="35" t="s">
        <v>7019</v>
      </c>
      <c r="J1543" s="33" t="s">
        <v>1337</v>
      </c>
    </row>
    <row r="1544" spans="1:10" x14ac:dyDescent="0.25">
      <c r="A1544" s="23" t="s">
        <v>7015</v>
      </c>
      <c r="B1544" s="10" t="s">
        <v>6970</v>
      </c>
      <c r="C1544" s="23" t="s">
        <v>3572</v>
      </c>
      <c r="D1544" s="28" t="s">
        <v>6846</v>
      </c>
      <c r="E1544" s="25">
        <v>106</v>
      </c>
      <c r="F1544" s="23" t="str">
        <f>VLOOKUP(B1544,'[2]справочник кодов нп'!$A:$D,4,0)</f>
        <v>межселенная территория</v>
      </c>
      <c r="G1544" s="23" t="s">
        <v>1385</v>
      </c>
      <c r="H1544" s="10" t="s">
        <v>3572</v>
      </c>
      <c r="I1544" s="35" t="s">
        <v>7019</v>
      </c>
      <c r="J1544" s="33" t="s">
        <v>1337</v>
      </c>
    </row>
    <row r="1545" spans="1:10" x14ac:dyDescent="0.25">
      <c r="A1545" s="23" t="s">
        <v>3506</v>
      </c>
      <c r="B1545" s="10" t="s">
        <v>3507</v>
      </c>
      <c r="C1545" s="23" t="s">
        <v>3508</v>
      </c>
      <c r="D1545" s="28" t="s">
        <v>3509</v>
      </c>
      <c r="E1545" s="25">
        <v>106</v>
      </c>
      <c r="F1545" s="23" t="str">
        <f>VLOOKUP(B1545,'[2]справочник кодов нп'!$A:$D,4,0)</f>
        <v>сельские населенные пункты с численностью населения менее 1 000 человек.</v>
      </c>
      <c r="G1545" s="45" t="s">
        <v>1385</v>
      </c>
      <c r="H1545" s="10" t="s">
        <v>3508</v>
      </c>
      <c r="I1545" s="35" t="s">
        <v>7017</v>
      </c>
      <c r="J1545" s="33" t="s">
        <v>1337</v>
      </c>
    </row>
    <row r="1546" spans="1:10" x14ac:dyDescent="0.25">
      <c r="A1546" s="23" t="s">
        <v>3510</v>
      </c>
      <c r="B1546" s="10" t="s">
        <v>3511</v>
      </c>
      <c r="C1546" s="23" t="s">
        <v>3508</v>
      </c>
      <c r="D1546" s="28" t="s">
        <v>3512</v>
      </c>
      <c r="E1546" s="25">
        <v>106</v>
      </c>
      <c r="F1546" s="23" t="str">
        <f>VLOOKUP(B1546,'[2]справочник кодов нп'!$A:$D,4,0)</f>
        <v>сельские населенные пункты с численностью населения менее 1 000 человек.</v>
      </c>
      <c r="G1546" s="23" t="s">
        <v>1385</v>
      </c>
      <c r="H1546" s="10" t="s">
        <v>3508</v>
      </c>
      <c r="I1546" s="35" t="s">
        <v>7017</v>
      </c>
      <c r="J1546" s="33" t="s">
        <v>1337</v>
      </c>
    </row>
    <row r="1547" spans="1:10" x14ac:dyDescent="0.25">
      <c r="A1547" s="23" t="s">
        <v>3513</v>
      </c>
      <c r="B1547" s="10" t="s">
        <v>3514</v>
      </c>
      <c r="C1547" s="23" t="s">
        <v>3508</v>
      </c>
      <c r="D1547" s="28" t="s">
        <v>3515</v>
      </c>
      <c r="E1547" s="25">
        <v>106</v>
      </c>
      <c r="F1547" s="23" t="str">
        <f>VLOOKUP(B1547,'[2]справочник кодов нп'!$A:$D,4,0)</f>
        <v>сельские населенные пункты с численностью населения менее 1 000 человек.</v>
      </c>
      <c r="G1547" s="23" t="s">
        <v>1385</v>
      </c>
      <c r="H1547" s="10" t="s">
        <v>3508</v>
      </c>
      <c r="I1547" s="35" t="s">
        <v>7017</v>
      </c>
      <c r="J1547" s="33" t="s">
        <v>1337</v>
      </c>
    </row>
    <row r="1548" spans="1:10" x14ac:dyDescent="0.25">
      <c r="A1548" s="23" t="s">
        <v>3516</v>
      </c>
      <c r="B1548" s="10" t="s">
        <v>3517</v>
      </c>
      <c r="C1548" s="23" t="s">
        <v>3508</v>
      </c>
      <c r="D1548" s="28" t="s">
        <v>3518</v>
      </c>
      <c r="E1548" s="25">
        <v>106</v>
      </c>
      <c r="F1548" s="23" t="str">
        <f>VLOOKUP(B1548,'[2]справочник кодов нп'!$A:$D,4,0)</f>
        <v>сельские населенные пункты с численностью населения менее 1 000 человек.</v>
      </c>
      <c r="G1548" s="23" t="s">
        <v>1385</v>
      </c>
      <c r="H1548" s="10" t="s">
        <v>3508</v>
      </c>
      <c r="I1548" s="35" t="s">
        <v>7017</v>
      </c>
      <c r="J1548" s="33" t="s">
        <v>1337</v>
      </c>
    </row>
    <row r="1549" spans="1:10" x14ac:dyDescent="0.25">
      <c r="A1549" s="23" t="s">
        <v>3519</v>
      </c>
      <c r="B1549" s="10" t="s">
        <v>3520</v>
      </c>
      <c r="C1549" s="23" t="s">
        <v>3508</v>
      </c>
      <c r="D1549" s="28" t="s">
        <v>3521</v>
      </c>
      <c r="E1549" s="25">
        <v>106</v>
      </c>
      <c r="F1549" s="23" t="str">
        <f>VLOOKUP(B1549,'[2]справочник кодов нп'!$A:$D,4,0)</f>
        <v>сельские населенные пункты с численностью населения менее 1 000 человек.</v>
      </c>
      <c r="G1549" s="23" t="s">
        <v>1385</v>
      </c>
      <c r="H1549" s="10" t="s">
        <v>3508</v>
      </c>
      <c r="I1549" s="35" t="s">
        <v>7017</v>
      </c>
      <c r="J1549" s="33" t="s">
        <v>1337</v>
      </c>
    </row>
    <row r="1550" spans="1:10" x14ac:dyDescent="0.25">
      <c r="A1550" s="23" t="s">
        <v>3522</v>
      </c>
      <c r="B1550" s="10" t="s">
        <v>3523</v>
      </c>
      <c r="C1550" s="23" t="s">
        <v>3508</v>
      </c>
      <c r="D1550" s="28" t="s">
        <v>3524</v>
      </c>
      <c r="E1550" s="25">
        <v>106</v>
      </c>
      <c r="F1550" s="23" t="str">
        <f>VLOOKUP(B1550,'[2]справочник кодов нп'!$A:$D,4,0)</f>
        <v>сельские населенные пункты с численностью населения менее 1 000 человек.</v>
      </c>
      <c r="G1550" s="23" t="s">
        <v>1385</v>
      </c>
      <c r="H1550" s="10" t="s">
        <v>3508</v>
      </c>
      <c r="I1550" s="35" t="s">
        <v>7017</v>
      </c>
      <c r="J1550" s="33" t="s">
        <v>1337</v>
      </c>
    </row>
    <row r="1551" spans="1:10" x14ac:dyDescent="0.25">
      <c r="A1551" s="23" t="s">
        <v>3525</v>
      </c>
      <c r="B1551" s="10" t="s">
        <v>3526</v>
      </c>
      <c r="C1551" s="23" t="s">
        <v>3508</v>
      </c>
      <c r="D1551" s="28" t="s">
        <v>3527</v>
      </c>
      <c r="E1551" s="25">
        <v>106</v>
      </c>
      <c r="F1551" s="23" t="str">
        <f>VLOOKUP(B1551,'[2]справочник кодов нп'!$A:$D,4,0)</f>
        <v>сельские населенные пункты с численностью населения менее 1 000 человек.</v>
      </c>
      <c r="G1551" s="23" t="s">
        <v>1385</v>
      </c>
      <c r="H1551" s="10" t="s">
        <v>3508</v>
      </c>
      <c r="I1551" s="35" t="s">
        <v>7017</v>
      </c>
      <c r="J1551" s="33" t="s">
        <v>1337</v>
      </c>
    </row>
    <row r="1552" spans="1:10" x14ac:dyDescent="0.25">
      <c r="A1552" s="23" t="s">
        <v>3528</v>
      </c>
      <c r="B1552" s="10" t="s">
        <v>3529</v>
      </c>
      <c r="C1552" s="23" t="s">
        <v>3508</v>
      </c>
      <c r="D1552" s="28" t="s">
        <v>3530</v>
      </c>
      <c r="E1552" s="25">
        <v>106</v>
      </c>
      <c r="F1552" s="23" t="str">
        <f>VLOOKUP(B1552,'[2]справочник кодов нп'!$A:$D,4,0)</f>
        <v>сельские населенные пункты с численностью населения менее 1 000 человек.</v>
      </c>
      <c r="G1552" s="23" t="s">
        <v>1385</v>
      </c>
      <c r="H1552" s="10" t="s">
        <v>3508</v>
      </c>
      <c r="I1552" s="35" t="s">
        <v>7017</v>
      </c>
      <c r="J1552" s="33" t="s">
        <v>1337</v>
      </c>
    </row>
    <row r="1553" spans="1:10" x14ac:dyDescent="0.25">
      <c r="A1553" s="23" t="s">
        <v>3531</v>
      </c>
      <c r="B1553" s="10" t="s">
        <v>3532</v>
      </c>
      <c r="C1553" s="23" t="s">
        <v>3508</v>
      </c>
      <c r="D1553" s="28" t="s">
        <v>3533</v>
      </c>
      <c r="E1553" s="25">
        <v>106</v>
      </c>
      <c r="F1553" s="23" t="str">
        <f>VLOOKUP(B1553,'[2]справочник кодов нп'!$A:$D,4,0)</f>
        <v>сельские населенные пункты с численностью населения менее 1 000 человек.</v>
      </c>
      <c r="G1553" s="23" t="s">
        <v>1385</v>
      </c>
      <c r="H1553" s="10" t="s">
        <v>3508</v>
      </c>
      <c r="I1553" s="35" t="s">
        <v>7017</v>
      </c>
      <c r="J1553" s="33" t="s">
        <v>1337</v>
      </c>
    </row>
    <row r="1554" spans="1:10" x14ac:dyDescent="0.25">
      <c r="A1554" s="23" t="s">
        <v>3534</v>
      </c>
      <c r="B1554" s="10" t="s">
        <v>3535</v>
      </c>
      <c r="C1554" s="23" t="s">
        <v>3508</v>
      </c>
      <c r="D1554" s="28" t="s">
        <v>3536</v>
      </c>
      <c r="E1554" s="25">
        <v>106</v>
      </c>
      <c r="F1554" s="23" t="str">
        <f>VLOOKUP(B1554,'[2]справочник кодов нп'!$A:$D,4,0)</f>
        <v>сельские населенные пункты с численностью населения менее 1 000 человек.</v>
      </c>
      <c r="G1554" s="23" t="s">
        <v>1385</v>
      </c>
      <c r="H1554" s="10" t="s">
        <v>3508</v>
      </c>
      <c r="I1554" s="35" t="s">
        <v>7017</v>
      </c>
      <c r="J1554" s="33" t="s">
        <v>1337</v>
      </c>
    </row>
    <row r="1555" spans="1:10" x14ac:dyDescent="0.25">
      <c r="A1555" s="23" t="s">
        <v>3537</v>
      </c>
      <c r="B1555" s="10" t="s">
        <v>3538</v>
      </c>
      <c r="C1555" s="23" t="s">
        <v>3508</v>
      </c>
      <c r="D1555" s="28" t="s">
        <v>3539</v>
      </c>
      <c r="E1555" s="25">
        <v>106</v>
      </c>
      <c r="F1555" s="23" t="str">
        <f>VLOOKUP(B1555,'[2]справочник кодов нп'!$A:$D,4,0)</f>
        <v>сельские населенные пункты с численностью населения менее 1 000 человек.</v>
      </c>
      <c r="G1555" s="23" t="s">
        <v>1385</v>
      </c>
      <c r="H1555" s="10" t="s">
        <v>3508</v>
      </c>
      <c r="I1555" s="35" t="s">
        <v>7017</v>
      </c>
      <c r="J1555" s="33" t="s">
        <v>1337</v>
      </c>
    </row>
    <row r="1556" spans="1:10" x14ac:dyDescent="0.25">
      <c r="A1556" s="23" t="s">
        <v>3540</v>
      </c>
      <c r="B1556" s="10" t="s">
        <v>3541</v>
      </c>
      <c r="C1556" s="23" t="s">
        <v>3508</v>
      </c>
      <c r="D1556" s="28" t="s">
        <v>3542</v>
      </c>
      <c r="E1556" s="25">
        <v>106</v>
      </c>
      <c r="F1556" s="23" t="str">
        <f>VLOOKUP(B1556,'[2]справочник кодов нп'!$A:$D,4,0)</f>
        <v>сельские населенные пункты с численностью населения менее 1 000 человек.</v>
      </c>
      <c r="G1556" s="23" t="s">
        <v>1385</v>
      </c>
      <c r="H1556" s="10" t="s">
        <v>3508</v>
      </c>
      <c r="I1556" s="35" t="s">
        <v>7017</v>
      </c>
      <c r="J1556" s="33" t="s">
        <v>1337</v>
      </c>
    </row>
    <row r="1557" spans="1:10" x14ac:dyDescent="0.25">
      <c r="A1557" s="23" t="s">
        <v>3543</v>
      </c>
      <c r="B1557" s="10" t="s">
        <v>3544</v>
      </c>
      <c r="C1557" s="23" t="s">
        <v>3508</v>
      </c>
      <c r="D1557" s="28" t="s">
        <v>3545</v>
      </c>
      <c r="E1557" s="25">
        <v>106</v>
      </c>
      <c r="F1557" s="23" t="str">
        <f>VLOOKUP(B1557,'[2]справочник кодов нп'!$A:$D,4,0)</f>
        <v>сельские населенные пункты с численностью населения менее 1 000 человек.</v>
      </c>
      <c r="G1557" s="23" t="s">
        <v>1385</v>
      </c>
      <c r="H1557" s="10" t="s">
        <v>3508</v>
      </c>
      <c r="I1557" s="35" t="s">
        <v>7017</v>
      </c>
      <c r="J1557" s="33" t="s">
        <v>1337</v>
      </c>
    </row>
    <row r="1558" spans="1:10" x14ac:dyDescent="0.25">
      <c r="A1558" s="23" t="s">
        <v>3546</v>
      </c>
      <c r="B1558" s="10" t="s">
        <v>3547</v>
      </c>
      <c r="C1558" s="23" t="s">
        <v>3508</v>
      </c>
      <c r="D1558" s="28" t="s">
        <v>3548</v>
      </c>
      <c r="E1558" s="25">
        <v>106</v>
      </c>
      <c r="F1558" s="23" t="str">
        <f>VLOOKUP(B1558,'[2]справочник кодов нп'!$A:$D,4,0)</f>
        <v>сельские населенные пункты с численностью населения менее 1 000 человек.</v>
      </c>
      <c r="G1558" s="23" t="s">
        <v>1385</v>
      </c>
      <c r="H1558" s="10" t="s">
        <v>3508</v>
      </c>
      <c r="I1558" s="35" t="s">
        <v>7017</v>
      </c>
      <c r="J1558" s="33" t="s">
        <v>1337</v>
      </c>
    </row>
    <row r="1559" spans="1:10" x14ac:dyDescent="0.25">
      <c r="A1559" s="23" t="s">
        <v>3549</v>
      </c>
      <c r="B1559" s="10" t="s">
        <v>3550</v>
      </c>
      <c r="C1559" s="23" t="s">
        <v>3508</v>
      </c>
      <c r="D1559" s="28" t="s">
        <v>3551</v>
      </c>
      <c r="E1559" s="25">
        <v>106</v>
      </c>
      <c r="F1559" s="23" t="str">
        <f>VLOOKUP(B1559,'[2]справочник кодов нп'!$A:$D,4,0)</f>
        <v>сельские населенные пункты с численностью населения менее 1 000 человек.</v>
      </c>
      <c r="G1559" s="23" t="s">
        <v>1385</v>
      </c>
      <c r="H1559" s="10" t="s">
        <v>3508</v>
      </c>
      <c r="I1559" s="35" t="s">
        <v>7017</v>
      </c>
      <c r="J1559" s="33" t="s">
        <v>1337</v>
      </c>
    </row>
    <row r="1560" spans="1:10" x14ac:dyDescent="0.25">
      <c r="A1560" s="23" t="s">
        <v>3552</v>
      </c>
      <c r="B1560" s="10" t="s">
        <v>3553</v>
      </c>
      <c r="C1560" s="23" t="s">
        <v>3508</v>
      </c>
      <c r="D1560" s="28" t="s">
        <v>3554</v>
      </c>
      <c r="E1560" s="25">
        <v>106</v>
      </c>
      <c r="F1560" s="23" t="str">
        <f>VLOOKUP(B1560,'[2]справочник кодов нп'!$A:$D,4,0)</f>
        <v>сельские населенные пункты с численностью населения менее 1 000 человек.</v>
      </c>
      <c r="G1560" s="45" t="s">
        <v>1385</v>
      </c>
      <c r="H1560" s="10" t="s">
        <v>3508</v>
      </c>
      <c r="I1560" s="35" t="s">
        <v>7017</v>
      </c>
      <c r="J1560" s="33" t="s">
        <v>1337</v>
      </c>
    </row>
    <row r="1561" spans="1:10" x14ac:dyDescent="0.25">
      <c r="A1561" s="23" t="s">
        <v>3555</v>
      </c>
      <c r="B1561" s="10" t="s">
        <v>3556</v>
      </c>
      <c r="C1561" s="23" t="s">
        <v>3508</v>
      </c>
      <c r="D1561" s="28" t="s">
        <v>3557</v>
      </c>
      <c r="E1561" s="25">
        <v>106</v>
      </c>
      <c r="F1561" s="23" t="str">
        <f>VLOOKUP(B1561,'[2]справочник кодов нп'!$A:$D,4,0)</f>
        <v>сельские населенные пункты с численностью населения менее 1 000 человек.</v>
      </c>
      <c r="G1561" s="23" t="s">
        <v>1385</v>
      </c>
      <c r="H1561" s="10" t="s">
        <v>3508</v>
      </c>
      <c r="I1561" s="35" t="s">
        <v>7017</v>
      </c>
      <c r="J1561" s="33" t="s">
        <v>1337</v>
      </c>
    </row>
    <row r="1562" spans="1:10" x14ac:dyDescent="0.25">
      <c r="A1562" s="23" t="s">
        <v>3558</v>
      </c>
      <c r="B1562" s="10" t="s">
        <v>3559</v>
      </c>
      <c r="C1562" s="23" t="s">
        <v>3508</v>
      </c>
      <c r="D1562" s="28" t="s">
        <v>3560</v>
      </c>
      <c r="E1562" s="25">
        <v>106</v>
      </c>
      <c r="F1562" s="23" t="str">
        <f>VLOOKUP(B1562,'[2]справочник кодов нп'!$A:$D,4,0)</f>
        <v>сельские населенные пункты с численностью населения менее 1 000 человек.</v>
      </c>
      <c r="G1562" s="23" t="s">
        <v>1385</v>
      </c>
      <c r="H1562" s="10" t="s">
        <v>3508</v>
      </c>
      <c r="I1562" s="35" t="s">
        <v>7017</v>
      </c>
      <c r="J1562" s="33" t="s">
        <v>1337</v>
      </c>
    </row>
    <row r="1563" spans="1:10" x14ac:dyDescent="0.25">
      <c r="A1563" s="23" t="s">
        <v>3561</v>
      </c>
      <c r="B1563" s="10" t="s">
        <v>3562</v>
      </c>
      <c r="C1563" s="23" t="s">
        <v>3508</v>
      </c>
      <c r="D1563" s="28" t="s">
        <v>3563</v>
      </c>
      <c r="E1563" s="25">
        <v>106</v>
      </c>
      <c r="F1563" s="23" t="str">
        <f>VLOOKUP(B1563,'[2]справочник кодов нп'!$A:$D,4,0)</f>
        <v>сельские населенные пункты с численностью населения менее 1 000 человек.</v>
      </c>
      <c r="G1563" s="23" t="s">
        <v>1385</v>
      </c>
      <c r="H1563" s="10" t="s">
        <v>3508</v>
      </c>
      <c r="I1563" s="35" t="s">
        <v>7017</v>
      </c>
      <c r="J1563" s="33" t="s">
        <v>1337</v>
      </c>
    </row>
    <row r="1564" spans="1:10" x14ac:dyDescent="0.25">
      <c r="A1564" s="23" t="s">
        <v>3564</v>
      </c>
      <c r="B1564" s="10" t="s">
        <v>3565</v>
      </c>
      <c r="C1564" s="23" t="s">
        <v>3508</v>
      </c>
      <c r="D1564" s="28" t="s">
        <v>3566</v>
      </c>
      <c r="E1564" s="25">
        <v>106</v>
      </c>
      <c r="F1564" s="23" t="str">
        <f>VLOOKUP(B1564,'[2]справочник кодов нп'!$A:$D,4,0)</f>
        <v>сельские населенные пункты с численностью населения менее 1 000 человек.</v>
      </c>
      <c r="G1564" s="23" t="s">
        <v>1385</v>
      </c>
      <c r="H1564" s="10" t="s">
        <v>3508</v>
      </c>
      <c r="I1564" s="35" t="s">
        <v>7017</v>
      </c>
      <c r="J1564" s="33" t="s">
        <v>1337</v>
      </c>
    </row>
    <row r="1565" spans="1:10" x14ac:dyDescent="0.25">
      <c r="A1565" s="23" t="s">
        <v>3567</v>
      </c>
      <c r="B1565" s="10" t="s">
        <v>3568</v>
      </c>
      <c r="C1565" s="23" t="s">
        <v>3508</v>
      </c>
      <c r="D1565" s="28" t="s">
        <v>3569</v>
      </c>
      <c r="E1565" s="25">
        <v>106</v>
      </c>
      <c r="F1565" s="23" t="str">
        <f>VLOOKUP(B1565,'[2]справочник кодов нп'!$A:$D,4,0)</f>
        <v>сельские населенные пункты с численностью населения менее 1 000 человек.</v>
      </c>
      <c r="G1565" s="23" t="s">
        <v>1385</v>
      </c>
      <c r="H1565" s="10" t="s">
        <v>3508</v>
      </c>
      <c r="I1565" s="35" t="s">
        <v>7017</v>
      </c>
      <c r="J1565" s="33" t="s">
        <v>1337</v>
      </c>
    </row>
    <row r="1566" spans="1:10" x14ac:dyDescent="0.25">
      <c r="A1566" s="23" t="s">
        <v>5093</v>
      </c>
      <c r="B1566" s="10" t="s">
        <v>5094</v>
      </c>
      <c r="C1566" s="23" t="s">
        <v>3508</v>
      </c>
      <c r="D1566" s="28" t="s">
        <v>5095</v>
      </c>
      <c r="E1566" s="25">
        <v>106</v>
      </c>
      <c r="F1566" s="23" t="str">
        <f>VLOOKUP(B1566,'[2]справочник кодов нп'!$A:$D,4,0)</f>
        <v>сельские населенные пункты с численностью населения менее 1 000 человек.</v>
      </c>
      <c r="G1566" s="23" t="s">
        <v>1385</v>
      </c>
      <c r="H1566" s="10" t="s">
        <v>3508</v>
      </c>
      <c r="I1566" s="35" t="s">
        <v>7017</v>
      </c>
      <c r="J1566" s="33" t="s">
        <v>1337</v>
      </c>
    </row>
    <row r="1567" spans="1:10" x14ac:dyDescent="0.25">
      <c r="A1567" s="23" t="s">
        <v>5096</v>
      </c>
      <c r="B1567" s="10" t="s">
        <v>5097</v>
      </c>
      <c r="C1567" s="23" t="s">
        <v>3508</v>
      </c>
      <c r="D1567" s="28" t="s">
        <v>5098</v>
      </c>
      <c r="E1567" s="25">
        <v>106</v>
      </c>
      <c r="F1567" s="23" t="str">
        <f>VLOOKUP(B1567,'[2]справочник кодов нп'!$A:$D,4,0)</f>
        <v>городские населенные пункты с численностью населения менее 50 000 человек;</v>
      </c>
      <c r="G1567" s="23" t="s">
        <v>1385</v>
      </c>
      <c r="H1567" s="10" t="s">
        <v>3508</v>
      </c>
      <c r="I1567" s="35" t="s">
        <v>7017</v>
      </c>
      <c r="J1567" s="33" t="s">
        <v>1337</v>
      </c>
    </row>
    <row r="1568" spans="1:10" x14ac:dyDescent="0.25">
      <c r="A1568" s="23" t="s">
        <v>5413</v>
      </c>
      <c r="B1568" s="10" t="s">
        <v>5414</v>
      </c>
      <c r="C1568" s="23" t="s">
        <v>3508</v>
      </c>
      <c r="D1568" s="28" t="s">
        <v>2840</v>
      </c>
      <c r="E1568" s="25">
        <v>106</v>
      </c>
      <c r="F1568" s="23" t="str">
        <f>VLOOKUP(B1568,'[2]справочник кодов нп'!$A:$D,4,0)</f>
        <v>сельские населенные пункты с численностью населения более 1 000 человек;</v>
      </c>
      <c r="G1568" s="23" t="s">
        <v>1385</v>
      </c>
      <c r="H1568" s="10" t="s">
        <v>3508</v>
      </c>
      <c r="I1568" s="35" t="s">
        <v>7017</v>
      </c>
      <c r="J1568" s="33" t="s">
        <v>1337</v>
      </c>
    </row>
    <row r="1569" spans="1:10" x14ac:dyDescent="0.25">
      <c r="A1569" s="23" t="s">
        <v>6971</v>
      </c>
      <c r="B1569" s="10" t="s">
        <v>6972</v>
      </c>
      <c r="C1569" s="23" t="s">
        <v>3508</v>
      </c>
      <c r="D1569" s="28" t="s">
        <v>6846</v>
      </c>
      <c r="E1569" s="25">
        <v>106</v>
      </c>
      <c r="F1569" s="23" t="str">
        <f>VLOOKUP(B1569,'[2]справочник кодов нп'!$A:$D,4,0)</f>
        <v>межселенная территория</v>
      </c>
      <c r="G1569" s="23" t="s">
        <v>1385</v>
      </c>
      <c r="H1569" s="10" t="s">
        <v>3508</v>
      </c>
      <c r="I1569" s="35" t="s">
        <v>7019</v>
      </c>
      <c r="J1569" s="33" t="s">
        <v>1337</v>
      </c>
    </row>
    <row r="1570" spans="1:10" x14ac:dyDescent="0.25">
      <c r="A1570" s="23" t="s">
        <v>1394</v>
      </c>
      <c r="B1570" s="10" t="s">
        <v>1395</v>
      </c>
      <c r="C1570" s="23" t="s">
        <v>1396</v>
      </c>
      <c r="D1570" s="28" t="s">
        <v>1397</v>
      </c>
      <c r="E1570" s="25">
        <v>106</v>
      </c>
      <c r="F1570" s="23" t="str">
        <f>VLOOKUP(B1570,'[2]справочник кодов нп'!$A:$D,4,0)</f>
        <v>сельские населенные пункты с численностью населения более 1 000 человек;</v>
      </c>
      <c r="G1570" s="23" t="s">
        <v>1385</v>
      </c>
      <c r="H1570" s="10" t="s">
        <v>1396</v>
      </c>
      <c r="I1570" s="35" t="s">
        <v>7017</v>
      </c>
      <c r="J1570" s="33" t="s">
        <v>1337</v>
      </c>
    </row>
    <row r="1571" spans="1:10" x14ac:dyDescent="0.25">
      <c r="A1571" s="23" t="s">
        <v>1414</v>
      </c>
      <c r="B1571" s="10" t="s">
        <v>1415</v>
      </c>
      <c r="C1571" s="23" t="s">
        <v>1396</v>
      </c>
      <c r="D1571" s="28" t="s">
        <v>1416</v>
      </c>
      <c r="E1571" s="25">
        <v>106</v>
      </c>
      <c r="F1571" s="23" t="str">
        <f>VLOOKUP(B1571,'[2]справочник кодов нп'!$A:$D,4,0)</f>
        <v>сельские населенные пункты с численностью населения менее 1 000 человек.</v>
      </c>
      <c r="G1571" s="23" t="s">
        <v>1385</v>
      </c>
      <c r="H1571" s="10" t="s">
        <v>1396</v>
      </c>
      <c r="I1571" s="35" t="s">
        <v>7017</v>
      </c>
      <c r="J1571" s="33" t="s">
        <v>1337</v>
      </c>
    </row>
    <row r="1572" spans="1:10" x14ac:dyDescent="0.25">
      <c r="A1572" s="23" t="s">
        <v>1535</v>
      </c>
      <c r="B1572" s="10" t="s">
        <v>1536</v>
      </c>
      <c r="C1572" s="23" t="s">
        <v>1396</v>
      </c>
      <c r="D1572" s="28" t="s">
        <v>1537</v>
      </c>
      <c r="E1572" s="25">
        <v>106</v>
      </c>
      <c r="F1572" s="23" t="str">
        <f>VLOOKUP(B1572,'[2]справочник кодов нп'!$A:$D,4,0)</f>
        <v>сельские населенные пункты с численностью населения более 1 000 человек;</v>
      </c>
      <c r="G1572" s="45" t="s">
        <v>1385</v>
      </c>
      <c r="H1572" s="10" t="s">
        <v>1396</v>
      </c>
      <c r="I1572" s="35" t="s">
        <v>7017</v>
      </c>
      <c r="J1572" s="33" t="s">
        <v>1337</v>
      </c>
    </row>
    <row r="1573" spans="1:10" x14ac:dyDescent="0.25">
      <c r="A1573" s="23" t="s">
        <v>1568</v>
      </c>
      <c r="B1573" s="10" t="s">
        <v>1569</v>
      </c>
      <c r="C1573" s="23" t="s">
        <v>1396</v>
      </c>
      <c r="D1573" s="28" t="s">
        <v>1570</v>
      </c>
      <c r="E1573" s="25">
        <v>106</v>
      </c>
      <c r="F1573" s="23" t="str">
        <f>VLOOKUP(B1573,'[2]справочник кодов нп'!$A:$D,4,0)</f>
        <v>сельские населенные пункты с численностью населения менее 1 000 человек.</v>
      </c>
      <c r="G1573" s="45" t="s">
        <v>1385</v>
      </c>
      <c r="H1573" s="10" t="s">
        <v>1396</v>
      </c>
      <c r="I1573" s="35" t="s">
        <v>7017</v>
      </c>
      <c r="J1573" s="33" t="s">
        <v>1337</v>
      </c>
    </row>
    <row r="1574" spans="1:10" x14ac:dyDescent="0.25">
      <c r="A1574" s="23" t="s">
        <v>3680</v>
      </c>
      <c r="B1574" s="10" t="s">
        <v>3681</v>
      </c>
      <c r="C1574" s="23" t="s">
        <v>1396</v>
      </c>
      <c r="D1574" s="28" t="s">
        <v>2871</v>
      </c>
      <c r="E1574" s="25">
        <v>106</v>
      </c>
      <c r="F1574" s="23" t="str">
        <f>VLOOKUP(B1574,'[2]справочник кодов нп'!$A:$D,4,0)</f>
        <v>сельские населенные пункты с численностью населения более 1 000 человек;</v>
      </c>
      <c r="G1574" s="45" t="s">
        <v>1385</v>
      </c>
      <c r="H1574" s="10" t="s">
        <v>1396</v>
      </c>
      <c r="I1574" s="35" t="s">
        <v>7017</v>
      </c>
      <c r="J1574" s="33" t="s">
        <v>1337</v>
      </c>
    </row>
    <row r="1575" spans="1:10" x14ac:dyDescent="0.25">
      <c r="A1575" s="23" t="s">
        <v>3682</v>
      </c>
      <c r="B1575" s="10" t="s">
        <v>3683</v>
      </c>
      <c r="C1575" s="23" t="s">
        <v>1396</v>
      </c>
      <c r="D1575" s="28" t="s">
        <v>3684</v>
      </c>
      <c r="E1575" s="25">
        <v>106</v>
      </c>
      <c r="F1575" s="23" t="str">
        <f>VLOOKUP(B1575,'[2]справочник кодов нп'!$A:$D,4,0)</f>
        <v>сельские населенные пункты с численностью населения менее 1 000 человек.</v>
      </c>
      <c r="G1575" s="45" t="s">
        <v>1385</v>
      </c>
      <c r="H1575" s="10" t="s">
        <v>1396</v>
      </c>
      <c r="I1575" s="35" t="s">
        <v>7017</v>
      </c>
      <c r="J1575" s="33" t="s">
        <v>1337</v>
      </c>
    </row>
    <row r="1576" spans="1:10" x14ac:dyDescent="0.25">
      <c r="A1576" s="23" t="s">
        <v>3685</v>
      </c>
      <c r="B1576" s="10" t="s">
        <v>3686</v>
      </c>
      <c r="C1576" s="23" t="s">
        <v>1396</v>
      </c>
      <c r="D1576" s="28" t="s">
        <v>3687</v>
      </c>
      <c r="E1576" s="25">
        <v>106</v>
      </c>
      <c r="F1576" s="23" t="str">
        <f>VLOOKUP(B1576,'[2]справочник кодов нп'!$A:$D,4,0)</f>
        <v>сельские населенные пункты с численностью населения менее 1 000 человек.</v>
      </c>
      <c r="G1576" s="45" t="s">
        <v>1385</v>
      </c>
      <c r="H1576" s="10" t="s">
        <v>1396</v>
      </c>
      <c r="I1576" s="35" t="s">
        <v>7017</v>
      </c>
      <c r="J1576" s="33" t="s">
        <v>1337</v>
      </c>
    </row>
    <row r="1577" spans="1:10" x14ac:dyDescent="0.25">
      <c r="A1577" s="23" t="s">
        <v>3688</v>
      </c>
      <c r="B1577" s="10" t="s">
        <v>3689</v>
      </c>
      <c r="C1577" s="23" t="s">
        <v>1396</v>
      </c>
      <c r="D1577" s="28" t="s">
        <v>3690</v>
      </c>
      <c r="E1577" s="25">
        <v>106</v>
      </c>
      <c r="F1577" s="23" t="str">
        <f>VLOOKUP(B1577,'[2]справочник кодов нп'!$A:$D,4,0)</f>
        <v>сельские населенные пункты с численностью населения менее 1 000 человек.</v>
      </c>
      <c r="G1577" s="45" t="s">
        <v>1385</v>
      </c>
      <c r="H1577" s="10" t="s">
        <v>1396</v>
      </c>
      <c r="I1577" s="35" t="s">
        <v>7017</v>
      </c>
      <c r="J1577" s="33" t="s">
        <v>1337</v>
      </c>
    </row>
    <row r="1578" spans="1:10" x14ac:dyDescent="0.25">
      <c r="A1578" s="23" t="s">
        <v>3691</v>
      </c>
      <c r="B1578" s="10" t="s">
        <v>3692</v>
      </c>
      <c r="C1578" s="23" t="s">
        <v>1396</v>
      </c>
      <c r="D1578" s="28" t="s">
        <v>3693</v>
      </c>
      <c r="E1578" s="25">
        <v>106</v>
      </c>
      <c r="F1578" s="23" t="str">
        <f>VLOOKUP(B1578,'[2]справочник кодов нп'!$A:$D,4,0)</f>
        <v>сельские населенные пункты с численностью населения менее 1 000 человек.</v>
      </c>
      <c r="G1578" s="45" t="s">
        <v>1385</v>
      </c>
      <c r="H1578" s="10" t="s">
        <v>1396</v>
      </c>
      <c r="I1578" s="35" t="s">
        <v>7017</v>
      </c>
      <c r="J1578" s="33" t="s">
        <v>1337</v>
      </c>
    </row>
    <row r="1579" spans="1:10" x14ac:dyDescent="0.25">
      <c r="A1579" s="23" t="s">
        <v>3694</v>
      </c>
      <c r="B1579" s="10" t="s">
        <v>3695</v>
      </c>
      <c r="C1579" s="23" t="s">
        <v>1396</v>
      </c>
      <c r="D1579" s="28" t="s">
        <v>2720</v>
      </c>
      <c r="E1579" s="25">
        <v>106</v>
      </c>
      <c r="F1579" s="23" t="str">
        <f>VLOOKUP(B1579,'[2]справочник кодов нп'!$A:$D,4,0)</f>
        <v>сельские населенные пункты с численностью населения менее 1 000 человек.</v>
      </c>
      <c r="G1579" s="45" t="s">
        <v>1385</v>
      </c>
      <c r="H1579" s="10" t="s">
        <v>1396</v>
      </c>
      <c r="I1579" s="35" t="s">
        <v>7017</v>
      </c>
      <c r="J1579" s="33" t="s">
        <v>1337</v>
      </c>
    </row>
    <row r="1580" spans="1:10" x14ac:dyDescent="0.25">
      <c r="A1580" s="23" t="s">
        <v>3696</v>
      </c>
      <c r="B1580" s="10" t="s">
        <v>3697</v>
      </c>
      <c r="C1580" s="23" t="s">
        <v>1396</v>
      </c>
      <c r="D1580" s="28" t="s">
        <v>3698</v>
      </c>
      <c r="E1580" s="25">
        <v>106</v>
      </c>
      <c r="F1580" s="23" t="str">
        <f>VLOOKUP(B1580,'[2]справочник кодов нп'!$A:$D,4,0)</f>
        <v>сельские населенные пункты с численностью населения менее 1 000 человек.</v>
      </c>
      <c r="G1580" s="45" t="s">
        <v>1385</v>
      </c>
      <c r="H1580" s="10" t="s">
        <v>1396</v>
      </c>
      <c r="I1580" s="35" t="s">
        <v>7017</v>
      </c>
      <c r="J1580" s="33" t="s">
        <v>1337</v>
      </c>
    </row>
    <row r="1581" spans="1:10" x14ac:dyDescent="0.25">
      <c r="A1581" s="23" t="s">
        <v>3699</v>
      </c>
      <c r="B1581" s="10" t="s">
        <v>3700</v>
      </c>
      <c r="C1581" s="23" t="s">
        <v>1396</v>
      </c>
      <c r="D1581" s="28" t="s">
        <v>2423</v>
      </c>
      <c r="E1581" s="25">
        <v>106</v>
      </c>
      <c r="F1581" s="23" t="str">
        <f>VLOOKUP(B1581,'[2]справочник кодов нп'!$A:$D,4,0)</f>
        <v>сельские населенные пункты с численностью населения более 1 000 человек;</v>
      </c>
      <c r="G1581" s="45" t="s">
        <v>1385</v>
      </c>
      <c r="H1581" s="10" t="s">
        <v>1396</v>
      </c>
      <c r="I1581" s="35" t="s">
        <v>7017</v>
      </c>
      <c r="J1581" s="33" t="s">
        <v>1337</v>
      </c>
    </row>
    <row r="1582" spans="1:10" x14ac:dyDescent="0.25">
      <c r="A1582" s="23" t="s">
        <v>3789</v>
      </c>
      <c r="B1582" s="10" t="s">
        <v>3790</v>
      </c>
      <c r="C1582" s="23" t="s">
        <v>1396</v>
      </c>
      <c r="D1582" s="28" t="s">
        <v>3791</v>
      </c>
      <c r="E1582" s="25">
        <v>106</v>
      </c>
      <c r="F1582" s="23" t="str">
        <f>VLOOKUP(B1582,'[2]справочник кодов нп'!$A:$D,4,0)</f>
        <v>сельские населенные пункты с численностью населения менее 1 000 человек.</v>
      </c>
      <c r="G1582" s="45" t="s">
        <v>1385</v>
      </c>
      <c r="H1582" s="10" t="s">
        <v>1396</v>
      </c>
      <c r="I1582" s="35" t="s">
        <v>7017</v>
      </c>
      <c r="J1582" s="33" t="s">
        <v>1337</v>
      </c>
    </row>
    <row r="1583" spans="1:10" x14ac:dyDescent="0.25">
      <c r="A1583" s="23" t="s">
        <v>3792</v>
      </c>
      <c r="B1583" s="10" t="s">
        <v>3793</v>
      </c>
      <c r="C1583" s="23" t="s">
        <v>1396</v>
      </c>
      <c r="D1583" s="28" t="s">
        <v>3794</v>
      </c>
      <c r="E1583" s="25">
        <v>106</v>
      </c>
      <c r="F1583" s="23" t="str">
        <f>VLOOKUP(B1583,'[2]справочник кодов нп'!$A:$D,4,0)</f>
        <v>сельские населенные пункты с численностью населения менее 1 000 человек.</v>
      </c>
      <c r="G1583" s="45" t="s">
        <v>1385</v>
      </c>
      <c r="H1583" s="10" t="s">
        <v>1396</v>
      </c>
      <c r="I1583" s="35" t="s">
        <v>7017</v>
      </c>
      <c r="J1583" s="33" t="s">
        <v>1337</v>
      </c>
    </row>
    <row r="1584" spans="1:10" x14ac:dyDescent="0.25">
      <c r="A1584" s="23" t="s">
        <v>3795</v>
      </c>
      <c r="B1584" s="10" t="s">
        <v>3796</v>
      </c>
      <c r="C1584" s="23" t="s">
        <v>1396</v>
      </c>
      <c r="D1584" s="28" t="s">
        <v>3797</v>
      </c>
      <c r="E1584" s="25">
        <v>106</v>
      </c>
      <c r="F1584" s="23" t="str">
        <f>VLOOKUP(B1584,'[2]справочник кодов нп'!$A:$D,4,0)</f>
        <v>сельские населенные пункты с численностью населения менее 1 000 человек.</v>
      </c>
      <c r="G1584" s="45" t="s">
        <v>1385</v>
      </c>
      <c r="H1584" s="10" t="s">
        <v>1396</v>
      </c>
      <c r="I1584" s="35" t="s">
        <v>7017</v>
      </c>
      <c r="J1584" s="33" t="s">
        <v>1337</v>
      </c>
    </row>
    <row r="1585" spans="1:10" x14ac:dyDescent="0.25">
      <c r="A1585" s="23" t="s">
        <v>3798</v>
      </c>
      <c r="B1585" s="10" t="s">
        <v>3799</v>
      </c>
      <c r="C1585" s="23" t="s">
        <v>1396</v>
      </c>
      <c r="D1585" s="28" t="s">
        <v>3800</v>
      </c>
      <c r="E1585" s="25">
        <v>106</v>
      </c>
      <c r="F1585" s="23" t="str">
        <f>VLOOKUP(B1585,'[2]справочник кодов нп'!$A:$D,4,0)</f>
        <v>сельские населенные пункты с численностью населения менее 1 000 человек.</v>
      </c>
      <c r="G1585" s="45" t="s">
        <v>1385</v>
      </c>
      <c r="H1585" s="10" t="s">
        <v>1396</v>
      </c>
      <c r="I1585" s="35" t="s">
        <v>7017</v>
      </c>
      <c r="J1585" s="33" t="s">
        <v>1337</v>
      </c>
    </row>
    <row r="1586" spans="1:10" x14ac:dyDescent="0.25">
      <c r="A1586" s="23" t="s">
        <v>3801</v>
      </c>
      <c r="B1586" s="10" t="s">
        <v>3802</v>
      </c>
      <c r="C1586" s="23" t="s">
        <v>1396</v>
      </c>
      <c r="D1586" s="28" t="s">
        <v>3803</v>
      </c>
      <c r="E1586" s="25">
        <v>106</v>
      </c>
      <c r="F1586" s="23" t="str">
        <f>VLOOKUP(B1586,'[2]справочник кодов нп'!$A:$D,4,0)</f>
        <v>сельские населенные пункты с численностью населения менее 1 000 человек.</v>
      </c>
      <c r="G1586" s="45" t="s">
        <v>1385</v>
      </c>
      <c r="H1586" s="10" t="s">
        <v>1396</v>
      </c>
      <c r="I1586" s="35" t="s">
        <v>7017</v>
      </c>
      <c r="J1586" s="33" t="s">
        <v>1337</v>
      </c>
    </row>
    <row r="1587" spans="1:10" x14ac:dyDescent="0.25">
      <c r="A1587" s="23" t="s">
        <v>3804</v>
      </c>
      <c r="B1587" s="10" t="s">
        <v>3805</v>
      </c>
      <c r="C1587" s="23" t="s">
        <v>1396</v>
      </c>
      <c r="D1587" s="28" t="s">
        <v>1544</v>
      </c>
      <c r="E1587" s="25">
        <v>106</v>
      </c>
      <c r="F1587" s="23" t="str">
        <f>VLOOKUP(B1587,'[2]справочник кодов нп'!$A:$D,4,0)</f>
        <v>сельские населенные пункты с численностью населения более 1 000 человек;</v>
      </c>
      <c r="G1587" s="45" t="s">
        <v>1385</v>
      </c>
      <c r="H1587" s="10" t="s">
        <v>1396</v>
      </c>
      <c r="I1587" s="35" t="s">
        <v>7017</v>
      </c>
      <c r="J1587" s="33" t="s">
        <v>1337</v>
      </c>
    </row>
    <row r="1588" spans="1:10" x14ac:dyDescent="0.25">
      <c r="A1588" s="23" t="s">
        <v>3806</v>
      </c>
      <c r="B1588" s="10" t="s">
        <v>3807</v>
      </c>
      <c r="C1588" s="23" t="s">
        <v>1396</v>
      </c>
      <c r="D1588" s="28" t="s">
        <v>3808</v>
      </c>
      <c r="E1588" s="25">
        <v>106</v>
      </c>
      <c r="F1588" s="23" t="str">
        <f>VLOOKUP(B1588,'[2]справочник кодов нп'!$A:$D,4,0)</f>
        <v>сельские населенные пункты с численностью населения менее 1 000 человек.</v>
      </c>
      <c r="G1588" s="45" t="s">
        <v>1385</v>
      </c>
      <c r="H1588" s="10" t="s">
        <v>1396</v>
      </c>
      <c r="I1588" s="35" t="s">
        <v>7017</v>
      </c>
      <c r="J1588" s="33" t="s">
        <v>1337</v>
      </c>
    </row>
    <row r="1589" spans="1:10" x14ac:dyDescent="0.25">
      <c r="A1589" s="23" t="s">
        <v>3809</v>
      </c>
      <c r="B1589" s="10" t="s">
        <v>3810</v>
      </c>
      <c r="C1589" s="23" t="s">
        <v>1396</v>
      </c>
      <c r="D1589" s="28" t="s">
        <v>1474</v>
      </c>
      <c r="E1589" s="25">
        <v>106</v>
      </c>
      <c r="F1589" s="23" t="str">
        <f>VLOOKUP(B1589,'[2]справочник кодов нп'!$A:$D,4,0)</f>
        <v>сельские населенные пункты с численностью населения менее 1 000 человек.</v>
      </c>
      <c r="G1589" s="45" t="s">
        <v>1385</v>
      </c>
      <c r="H1589" s="10" t="s">
        <v>1396</v>
      </c>
      <c r="I1589" s="35" t="s">
        <v>7017</v>
      </c>
      <c r="J1589" s="33" t="s">
        <v>1337</v>
      </c>
    </row>
    <row r="1590" spans="1:10" x14ac:dyDescent="0.25">
      <c r="A1590" s="23" t="s">
        <v>3811</v>
      </c>
      <c r="B1590" s="10" t="s">
        <v>3812</v>
      </c>
      <c r="C1590" s="23" t="s">
        <v>1396</v>
      </c>
      <c r="D1590" s="28" t="s">
        <v>3813</v>
      </c>
      <c r="E1590" s="25">
        <v>106</v>
      </c>
      <c r="F1590" s="23" t="str">
        <f>VLOOKUP(B1590,'[2]справочник кодов нп'!$A:$D,4,0)</f>
        <v>сельские населенные пункты с численностью населения менее 1 000 человек.</v>
      </c>
      <c r="G1590" s="45" t="s">
        <v>1385</v>
      </c>
      <c r="H1590" s="10" t="s">
        <v>1396</v>
      </c>
      <c r="I1590" s="35" t="s">
        <v>7017</v>
      </c>
      <c r="J1590" s="33" t="s">
        <v>1337</v>
      </c>
    </row>
    <row r="1591" spans="1:10" x14ac:dyDescent="0.25">
      <c r="A1591" s="23" t="s">
        <v>3814</v>
      </c>
      <c r="B1591" s="10" t="s">
        <v>3815</v>
      </c>
      <c r="C1591" s="23" t="s">
        <v>1396</v>
      </c>
      <c r="D1591" s="28" t="s">
        <v>3816</v>
      </c>
      <c r="E1591" s="25">
        <v>106</v>
      </c>
      <c r="F1591" s="23" t="str">
        <f>VLOOKUP(B1591,'[2]справочник кодов нп'!$A:$D,4,0)</f>
        <v>сельские населенные пункты с численностью населения менее 1 000 человек.</v>
      </c>
      <c r="G1591" s="45" t="s">
        <v>1385</v>
      </c>
      <c r="H1591" s="10" t="s">
        <v>1396</v>
      </c>
      <c r="I1591" s="35" t="s">
        <v>7017</v>
      </c>
      <c r="J1591" s="33" t="s">
        <v>1337</v>
      </c>
    </row>
    <row r="1592" spans="1:10" x14ac:dyDescent="0.25">
      <c r="A1592" s="23" t="s">
        <v>5315</v>
      </c>
      <c r="B1592" s="10" t="s">
        <v>5316</v>
      </c>
      <c r="C1592" s="23" t="s">
        <v>1396</v>
      </c>
      <c r="D1592" s="28" t="s">
        <v>5317</v>
      </c>
      <c r="E1592" s="25">
        <v>106</v>
      </c>
      <c r="F1592" s="23" t="str">
        <f>VLOOKUP(B1592,'[2]справочник кодов нп'!$A:$D,4,0)</f>
        <v>сельские населенные пункты с численностью населения более 1 000 человек;</v>
      </c>
      <c r="G1592" s="45" t="s">
        <v>1385</v>
      </c>
      <c r="H1592" s="10" t="s">
        <v>1396</v>
      </c>
      <c r="I1592" s="35" t="s">
        <v>7017</v>
      </c>
      <c r="J1592" s="33" t="s">
        <v>1337</v>
      </c>
    </row>
    <row r="1593" spans="1:10" x14ac:dyDescent="0.25">
      <c r="A1593" s="23" t="s">
        <v>5395</v>
      </c>
      <c r="B1593" s="10" t="s">
        <v>5396</v>
      </c>
      <c r="C1593" s="23" t="s">
        <v>1396</v>
      </c>
      <c r="D1593" s="28" t="s">
        <v>5397</v>
      </c>
      <c r="E1593" s="25">
        <v>106</v>
      </c>
      <c r="F1593" s="23" t="str">
        <f>VLOOKUP(B1593,'[2]справочник кодов нп'!$A:$D,4,0)</f>
        <v>сельские населенные пункты с численностью населения менее 1 000 человек.</v>
      </c>
      <c r="G1593" s="45" t="s">
        <v>1385</v>
      </c>
      <c r="H1593" s="10" t="s">
        <v>1396</v>
      </c>
      <c r="I1593" s="35" t="s">
        <v>7017</v>
      </c>
      <c r="J1593" s="33" t="s">
        <v>1337</v>
      </c>
    </row>
    <row r="1594" spans="1:10" x14ac:dyDescent="0.25">
      <c r="A1594" s="23" t="s">
        <v>5513</v>
      </c>
      <c r="B1594" s="10" t="s">
        <v>5514</v>
      </c>
      <c r="C1594" s="23" t="s">
        <v>1396</v>
      </c>
      <c r="D1594" s="28" t="s">
        <v>5515</v>
      </c>
      <c r="E1594" s="25">
        <v>106</v>
      </c>
      <c r="F1594" s="23" t="str">
        <f>VLOOKUP(B1594,'[2]справочник кодов нп'!$A:$D,4,0)</f>
        <v>сельские населенные пункты с численностью населения менее 1 000 человек.</v>
      </c>
      <c r="G1594" s="45" t="s">
        <v>1385</v>
      </c>
      <c r="H1594" s="10" t="s">
        <v>1396</v>
      </c>
      <c r="I1594" s="35" t="s">
        <v>7017</v>
      </c>
      <c r="J1594" s="33" t="s">
        <v>1337</v>
      </c>
    </row>
    <row r="1595" spans="1:10" x14ac:dyDescent="0.25">
      <c r="A1595" s="23" t="s">
        <v>5516</v>
      </c>
      <c r="B1595" s="10" t="s">
        <v>5517</v>
      </c>
      <c r="C1595" s="23" t="s">
        <v>1396</v>
      </c>
      <c r="D1595" s="28" t="s">
        <v>5518</v>
      </c>
      <c r="E1595" s="25">
        <v>106</v>
      </c>
      <c r="F1595" s="23" t="str">
        <f>VLOOKUP(B1595,'[2]справочник кодов нп'!$A:$D,4,0)</f>
        <v>сельские населенные пункты с численностью населения менее 1 000 человек.</v>
      </c>
      <c r="G1595" s="45" t="s">
        <v>1385</v>
      </c>
      <c r="H1595" s="10" t="s">
        <v>1396</v>
      </c>
      <c r="I1595" s="35" t="s">
        <v>7017</v>
      </c>
      <c r="J1595" s="33" t="s">
        <v>1337</v>
      </c>
    </row>
    <row r="1596" spans="1:10" x14ac:dyDescent="0.25">
      <c r="A1596" s="23" t="s">
        <v>5519</v>
      </c>
      <c r="B1596" s="10" t="s">
        <v>5520</v>
      </c>
      <c r="C1596" s="23" t="s">
        <v>1396</v>
      </c>
      <c r="D1596" s="28" t="s">
        <v>5521</v>
      </c>
      <c r="E1596" s="25">
        <v>106</v>
      </c>
      <c r="F1596" s="23" t="str">
        <f>VLOOKUP(B1596,'[2]справочник кодов нп'!$A:$D,4,0)</f>
        <v>сельские населенные пункты с численностью населения менее 1 000 человек.</v>
      </c>
      <c r="G1596" s="45" t="s">
        <v>1385</v>
      </c>
      <c r="H1596" s="10" t="s">
        <v>1396</v>
      </c>
      <c r="I1596" s="35" t="s">
        <v>7017</v>
      </c>
      <c r="J1596" s="33" t="s">
        <v>1337</v>
      </c>
    </row>
    <row r="1597" spans="1:10" x14ac:dyDescent="0.25">
      <c r="A1597" s="23" t="s">
        <v>5522</v>
      </c>
      <c r="B1597" s="10" t="s">
        <v>5523</v>
      </c>
      <c r="C1597" s="23" t="s">
        <v>1396</v>
      </c>
      <c r="D1597" s="28" t="s">
        <v>5524</v>
      </c>
      <c r="E1597" s="25">
        <v>106</v>
      </c>
      <c r="F1597" s="23" t="str">
        <f>VLOOKUP(B1597,'[2]справочник кодов нп'!$A:$D,4,0)</f>
        <v>городские населенные пункты с численностью населения менее 50 000 человек;</v>
      </c>
      <c r="G1597" s="45" t="s">
        <v>1385</v>
      </c>
      <c r="H1597" s="10" t="s">
        <v>1396</v>
      </c>
      <c r="I1597" s="35" t="s">
        <v>7017</v>
      </c>
      <c r="J1597" s="33" t="s">
        <v>1337</v>
      </c>
    </row>
    <row r="1598" spans="1:10" x14ac:dyDescent="0.25">
      <c r="A1598" s="23" t="s">
        <v>5525</v>
      </c>
      <c r="B1598" s="10" t="s">
        <v>5526</v>
      </c>
      <c r="C1598" s="23" t="s">
        <v>1396</v>
      </c>
      <c r="D1598" s="28" t="s">
        <v>5527</v>
      </c>
      <c r="E1598" s="25">
        <v>106</v>
      </c>
      <c r="F1598" s="23" t="str">
        <f>VLOOKUP(B1598,'[2]справочник кодов нп'!$A:$D,4,0)</f>
        <v>сельские населенные пункты с численностью населения менее 1 000 человек.</v>
      </c>
      <c r="G1598" s="23" t="s">
        <v>1385</v>
      </c>
      <c r="H1598" s="10" t="s">
        <v>1396</v>
      </c>
      <c r="I1598" s="35" t="s">
        <v>7017</v>
      </c>
      <c r="J1598" s="33" t="s">
        <v>1337</v>
      </c>
    </row>
    <row r="1599" spans="1:10" x14ac:dyDescent="0.25">
      <c r="A1599" s="23" t="s">
        <v>5528</v>
      </c>
      <c r="B1599" s="10" t="s">
        <v>5529</v>
      </c>
      <c r="C1599" s="23" t="s">
        <v>1396</v>
      </c>
      <c r="D1599" s="28" t="s">
        <v>5530</v>
      </c>
      <c r="E1599" s="25">
        <v>106</v>
      </c>
      <c r="F1599" s="23" t="str">
        <f>VLOOKUP(B1599,'[2]справочник кодов нп'!$A:$D,4,0)</f>
        <v>сельские населенные пункты с численностью населения более 1 000 человек;</v>
      </c>
      <c r="G1599" s="23" t="s">
        <v>1385</v>
      </c>
      <c r="H1599" s="10" t="s">
        <v>1396</v>
      </c>
      <c r="I1599" s="35" t="s">
        <v>7017</v>
      </c>
      <c r="J1599" s="33" t="s">
        <v>1337</v>
      </c>
    </row>
    <row r="1600" spans="1:10" x14ac:dyDescent="0.25">
      <c r="A1600" s="23" t="s">
        <v>5531</v>
      </c>
      <c r="B1600" s="10" t="s">
        <v>5532</v>
      </c>
      <c r="C1600" s="23" t="s">
        <v>1396</v>
      </c>
      <c r="D1600" s="28" t="s">
        <v>5533</v>
      </c>
      <c r="E1600" s="25">
        <v>106</v>
      </c>
      <c r="F1600" s="23" t="str">
        <f>VLOOKUP(B1600,'[2]справочник кодов нп'!$A:$D,4,0)</f>
        <v>сельские населенные пункты с численностью населения менее 1 000 человек.</v>
      </c>
      <c r="G1600" s="23" t="s">
        <v>1385</v>
      </c>
      <c r="H1600" s="10" t="s">
        <v>1396</v>
      </c>
      <c r="I1600" s="35" t="s">
        <v>7017</v>
      </c>
      <c r="J1600" s="33" t="s">
        <v>1337</v>
      </c>
    </row>
    <row r="1601" spans="1:10" x14ac:dyDescent="0.25">
      <c r="A1601" s="23" t="s">
        <v>5542</v>
      </c>
      <c r="B1601" s="10" t="s">
        <v>5543</v>
      </c>
      <c r="C1601" s="23" t="s">
        <v>1396</v>
      </c>
      <c r="D1601" s="28" t="s">
        <v>5544</v>
      </c>
      <c r="E1601" s="25">
        <v>106</v>
      </c>
      <c r="F1601" s="23" t="str">
        <f>VLOOKUP(B1601,'[2]справочник кодов нп'!$A:$D,4,0)</f>
        <v>сельские населенные пункты с численностью населения более 1 000 человек;</v>
      </c>
      <c r="G1601" s="23" t="s">
        <v>1385</v>
      </c>
      <c r="H1601" s="10" t="s">
        <v>1396</v>
      </c>
      <c r="I1601" s="35" t="s">
        <v>7017</v>
      </c>
      <c r="J1601" s="33" t="s">
        <v>1337</v>
      </c>
    </row>
    <row r="1602" spans="1:10" x14ac:dyDescent="0.25">
      <c r="A1602" s="23" t="s">
        <v>6499</v>
      </c>
      <c r="B1602" s="10" t="s">
        <v>6500</v>
      </c>
      <c r="C1602" s="23" t="s">
        <v>1396</v>
      </c>
      <c r="D1602" s="28" t="s">
        <v>6501</v>
      </c>
      <c r="E1602" s="25">
        <v>106</v>
      </c>
      <c r="F1602" s="23" t="str">
        <f>VLOOKUP(B1602,'[2]справочник кодов нп'!$A:$D,4,0)</f>
        <v>сельские населенные пункты с численностью населения более 1 000 человек;</v>
      </c>
      <c r="G1602" s="23" t="s">
        <v>1385</v>
      </c>
      <c r="H1602" s="10" t="s">
        <v>1396</v>
      </c>
      <c r="I1602" s="35" t="s">
        <v>7017</v>
      </c>
      <c r="J1602" s="33" t="s">
        <v>1337</v>
      </c>
    </row>
    <row r="1603" spans="1:10" x14ac:dyDescent="0.25">
      <c r="A1603" s="23" t="s">
        <v>6673</v>
      </c>
      <c r="B1603" s="10" t="s">
        <v>6674</v>
      </c>
      <c r="C1603" s="23" t="s">
        <v>1396</v>
      </c>
      <c r="D1603" s="28" t="s">
        <v>6675</v>
      </c>
      <c r="E1603" s="25">
        <v>106</v>
      </c>
      <c r="F1603" s="23" t="str">
        <f>VLOOKUP(B1603,'[2]справочник кодов нп'!$A:$D,4,0)</f>
        <v>сельские населенные пункты с численностью населения менее 1 000 человек.</v>
      </c>
      <c r="G1603" s="23" t="s">
        <v>1385</v>
      </c>
      <c r="H1603" s="10" t="s">
        <v>1396</v>
      </c>
      <c r="I1603" s="35" t="s">
        <v>7017</v>
      </c>
      <c r="J1603" s="33" t="s">
        <v>1337</v>
      </c>
    </row>
    <row r="1604" spans="1:10" x14ac:dyDescent="0.25">
      <c r="A1604" s="23" t="s">
        <v>6676</v>
      </c>
      <c r="B1604" s="10" t="s">
        <v>6677</v>
      </c>
      <c r="C1604" s="23" t="s">
        <v>1396</v>
      </c>
      <c r="D1604" s="28" t="s">
        <v>6678</v>
      </c>
      <c r="E1604" s="25">
        <v>106</v>
      </c>
      <c r="F1604" s="23" t="str">
        <f>VLOOKUP(B1604,'[2]справочник кодов нп'!$A:$D,4,0)</f>
        <v>сельские населенные пункты с численностью населения более 1 000 человек;</v>
      </c>
      <c r="G1604" s="23" t="s">
        <v>1385</v>
      </c>
      <c r="H1604" s="10" t="s">
        <v>1396</v>
      </c>
      <c r="I1604" s="35" t="s">
        <v>7017</v>
      </c>
      <c r="J1604" s="33" t="s">
        <v>1337</v>
      </c>
    </row>
    <row r="1605" spans="1:10" x14ac:dyDescent="0.25">
      <c r="A1605" s="23" t="s">
        <v>6679</v>
      </c>
      <c r="B1605" s="10" t="s">
        <v>6680</v>
      </c>
      <c r="C1605" s="23" t="s">
        <v>1396</v>
      </c>
      <c r="D1605" s="28" t="s">
        <v>5651</v>
      </c>
      <c r="E1605" s="25">
        <v>106</v>
      </c>
      <c r="F1605" s="23" t="str">
        <f>VLOOKUP(B1605,'[2]справочник кодов нп'!$A:$D,4,0)</f>
        <v>сельские населенные пункты с численностью населения менее 1 000 человек.</v>
      </c>
      <c r="G1605" s="23" t="s">
        <v>1385</v>
      </c>
      <c r="H1605" s="10" t="s">
        <v>1396</v>
      </c>
      <c r="I1605" s="35" t="s">
        <v>7017</v>
      </c>
      <c r="J1605" s="33" t="s">
        <v>1337</v>
      </c>
    </row>
    <row r="1606" spans="1:10" x14ac:dyDescent="0.25">
      <c r="A1606" s="23" t="s">
        <v>6787</v>
      </c>
      <c r="B1606" s="10" t="s">
        <v>6788</v>
      </c>
      <c r="C1606" s="23" t="s">
        <v>1396</v>
      </c>
      <c r="D1606" s="28" t="s">
        <v>6789</v>
      </c>
      <c r="E1606" s="25">
        <v>106</v>
      </c>
      <c r="F1606" s="23" t="str">
        <f>VLOOKUP(B1606,'[2]справочник кодов нп'!$A:$D,4,0)</f>
        <v>сельские населенные пункты с численностью населения более 1 000 человек;</v>
      </c>
      <c r="G1606" s="23" t="s">
        <v>1385</v>
      </c>
      <c r="H1606" s="10" t="s">
        <v>1396</v>
      </c>
      <c r="I1606" s="35" t="s">
        <v>7017</v>
      </c>
      <c r="J1606" s="33" t="s">
        <v>1337</v>
      </c>
    </row>
    <row r="1607" spans="1:10" x14ac:dyDescent="0.25">
      <c r="A1607" s="23" t="s">
        <v>6796</v>
      </c>
      <c r="B1607" s="10" t="s">
        <v>6797</v>
      </c>
      <c r="C1607" s="23" t="s">
        <v>1396</v>
      </c>
      <c r="D1607" s="28" t="s">
        <v>6798</v>
      </c>
      <c r="E1607" s="25">
        <v>106</v>
      </c>
      <c r="F1607" s="23" t="str">
        <f>VLOOKUP(B1607,'[2]справочник кодов нп'!$A:$D,4,0)</f>
        <v>сельские населенные пункты с численностью населения менее 1 000 человек.</v>
      </c>
      <c r="G1607" s="23" t="s">
        <v>1385</v>
      </c>
      <c r="H1607" s="10" t="s">
        <v>1396</v>
      </c>
      <c r="I1607" s="35" t="s">
        <v>7017</v>
      </c>
      <c r="J1607" s="33" t="s">
        <v>1337</v>
      </c>
    </row>
    <row r="1608" spans="1:10" x14ac:dyDescent="0.25">
      <c r="A1608" s="23" t="s">
        <v>6973</v>
      </c>
      <c r="B1608" s="10" t="s">
        <v>6974</v>
      </c>
      <c r="C1608" s="23" t="s">
        <v>1396</v>
      </c>
      <c r="D1608" s="28" t="s">
        <v>6846</v>
      </c>
      <c r="E1608" s="25">
        <v>106</v>
      </c>
      <c r="F1608" s="23" t="str">
        <f>VLOOKUP(B1608,'[2]справочник кодов нп'!$A:$D,4,0)</f>
        <v>межселенная территория</v>
      </c>
      <c r="G1608" s="23" t="s">
        <v>1385</v>
      </c>
      <c r="H1608" s="10" t="s">
        <v>1396</v>
      </c>
      <c r="I1608" s="35" t="s">
        <v>7019</v>
      </c>
      <c r="J1608" s="33" t="s">
        <v>1337</v>
      </c>
    </row>
    <row r="1609" spans="1:10" x14ac:dyDescent="0.25">
      <c r="A1609" s="23" t="s">
        <v>3817</v>
      </c>
      <c r="B1609" s="10" t="s">
        <v>3818</v>
      </c>
      <c r="C1609" s="23" t="s">
        <v>3819</v>
      </c>
      <c r="D1609" s="28" t="s">
        <v>3820</v>
      </c>
      <c r="E1609" s="25">
        <v>106</v>
      </c>
      <c r="F1609" s="23" t="str">
        <f>VLOOKUP(B1609,'[2]справочник кодов нп'!$A:$D,4,0)</f>
        <v>сельские населенные пункты с численностью населения менее 1 000 человек.</v>
      </c>
      <c r="G1609" s="23" t="s">
        <v>1385</v>
      </c>
      <c r="H1609" s="10" t="s">
        <v>3819</v>
      </c>
      <c r="I1609" s="35" t="s">
        <v>7017</v>
      </c>
      <c r="J1609" s="33" t="s">
        <v>1337</v>
      </c>
    </row>
    <row r="1610" spans="1:10" x14ac:dyDescent="0.25">
      <c r="A1610" s="23" t="s">
        <v>3821</v>
      </c>
      <c r="B1610" s="10" t="s">
        <v>3822</v>
      </c>
      <c r="C1610" s="23" t="s">
        <v>3819</v>
      </c>
      <c r="D1610" s="28" t="s">
        <v>3823</v>
      </c>
      <c r="E1610" s="25">
        <v>106</v>
      </c>
      <c r="F1610" s="23" t="str">
        <f>VLOOKUP(B1610,'[2]справочник кодов нп'!$A:$D,4,0)</f>
        <v>сельские населенные пункты с численностью населения менее 1 000 человек.</v>
      </c>
      <c r="G1610" s="23" t="s">
        <v>1385</v>
      </c>
      <c r="H1610" s="10" t="s">
        <v>3819</v>
      </c>
      <c r="I1610" s="35" t="s">
        <v>7017</v>
      </c>
      <c r="J1610" s="33" t="s">
        <v>1337</v>
      </c>
    </row>
    <row r="1611" spans="1:10" x14ac:dyDescent="0.25">
      <c r="A1611" s="23" t="s">
        <v>3824</v>
      </c>
      <c r="B1611" s="10" t="s">
        <v>3825</v>
      </c>
      <c r="C1611" s="23" t="s">
        <v>3819</v>
      </c>
      <c r="D1611" s="28" t="s">
        <v>2249</v>
      </c>
      <c r="E1611" s="25">
        <v>106</v>
      </c>
      <c r="F1611" s="23" t="str">
        <f>VLOOKUP(B1611,'[2]справочник кодов нп'!$A:$D,4,0)</f>
        <v>сельские населенные пункты с численностью населения менее 1 000 человек.</v>
      </c>
      <c r="G1611" s="23" t="s">
        <v>1385</v>
      </c>
      <c r="H1611" s="10" t="s">
        <v>3819</v>
      </c>
      <c r="I1611" s="35" t="s">
        <v>7017</v>
      </c>
      <c r="J1611" s="33" t="s">
        <v>1337</v>
      </c>
    </row>
    <row r="1612" spans="1:10" x14ac:dyDescent="0.25">
      <c r="A1612" s="23" t="s">
        <v>3826</v>
      </c>
      <c r="B1612" s="10" t="s">
        <v>3827</v>
      </c>
      <c r="C1612" s="23" t="s">
        <v>3819</v>
      </c>
      <c r="D1612" s="28" t="s">
        <v>3828</v>
      </c>
      <c r="E1612" s="25">
        <v>106</v>
      </c>
      <c r="F1612" s="23" t="str">
        <f>VLOOKUP(B1612,'[2]справочник кодов нп'!$A:$D,4,0)</f>
        <v>сельские населенные пункты с численностью населения менее 1 000 человек.</v>
      </c>
      <c r="G1612" s="23" t="s">
        <v>1385</v>
      </c>
      <c r="H1612" s="10" t="s">
        <v>3819</v>
      </c>
      <c r="I1612" s="35" t="s">
        <v>7017</v>
      </c>
      <c r="J1612" s="33" t="s">
        <v>1337</v>
      </c>
    </row>
    <row r="1613" spans="1:10" x14ac:dyDescent="0.25">
      <c r="A1613" s="23" t="s">
        <v>3829</v>
      </c>
      <c r="B1613" s="10" t="s">
        <v>3830</v>
      </c>
      <c r="C1613" s="23" t="s">
        <v>3819</v>
      </c>
      <c r="D1613" s="28" t="s">
        <v>3831</v>
      </c>
      <c r="E1613" s="25">
        <v>106</v>
      </c>
      <c r="F1613" s="23" t="str">
        <f>VLOOKUP(B1613,'[2]справочник кодов нп'!$A:$D,4,0)</f>
        <v>сельские населенные пункты с численностью населения менее 1 000 человек.</v>
      </c>
      <c r="G1613" s="23" t="s">
        <v>1385</v>
      </c>
      <c r="H1613" s="10" t="s">
        <v>3819</v>
      </c>
      <c r="I1613" s="35" t="s">
        <v>7017</v>
      </c>
      <c r="J1613" s="33" t="s">
        <v>1337</v>
      </c>
    </row>
    <row r="1614" spans="1:10" x14ac:dyDescent="0.25">
      <c r="A1614" s="23" t="s">
        <v>3832</v>
      </c>
      <c r="B1614" s="10" t="s">
        <v>3833</v>
      </c>
      <c r="C1614" s="23" t="s">
        <v>3819</v>
      </c>
      <c r="D1614" s="28" t="s">
        <v>3834</v>
      </c>
      <c r="E1614" s="25">
        <v>106</v>
      </c>
      <c r="F1614" s="23" t="str">
        <f>VLOOKUP(B1614,'[2]справочник кодов нп'!$A:$D,4,0)</f>
        <v>сельские населенные пункты с численностью населения менее 1 000 человек.</v>
      </c>
      <c r="G1614" s="23" t="s">
        <v>1385</v>
      </c>
      <c r="H1614" s="10" t="s">
        <v>3819</v>
      </c>
      <c r="I1614" s="35" t="s">
        <v>7017</v>
      </c>
      <c r="J1614" s="33" t="s">
        <v>1337</v>
      </c>
    </row>
    <row r="1615" spans="1:10" x14ac:dyDescent="0.25">
      <c r="A1615" s="23" t="s">
        <v>3835</v>
      </c>
      <c r="B1615" s="10" t="s">
        <v>3836</v>
      </c>
      <c r="C1615" s="23" t="s">
        <v>3819</v>
      </c>
      <c r="D1615" s="28" t="s">
        <v>3837</v>
      </c>
      <c r="E1615" s="25">
        <v>106</v>
      </c>
      <c r="F1615" s="23" t="str">
        <f>VLOOKUP(B1615,'[2]справочник кодов нп'!$A:$D,4,0)</f>
        <v>сельские населенные пункты с численностью населения менее 1 000 человек.</v>
      </c>
      <c r="G1615" s="23" t="s">
        <v>1385</v>
      </c>
      <c r="H1615" s="10" t="s">
        <v>3819</v>
      </c>
      <c r="I1615" s="35" t="s">
        <v>7017</v>
      </c>
      <c r="J1615" s="33" t="s">
        <v>1337</v>
      </c>
    </row>
    <row r="1616" spans="1:10" x14ac:dyDescent="0.25">
      <c r="A1616" s="23" t="s">
        <v>3838</v>
      </c>
      <c r="B1616" s="10" t="s">
        <v>3839</v>
      </c>
      <c r="C1616" s="23" t="s">
        <v>3819</v>
      </c>
      <c r="D1616" s="28" t="s">
        <v>3840</v>
      </c>
      <c r="E1616" s="25">
        <v>106</v>
      </c>
      <c r="F1616" s="23" t="str">
        <f>VLOOKUP(B1616,'[2]справочник кодов нп'!$A:$D,4,0)</f>
        <v>сельские населенные пункты с численностью населения менее 1 000 человек.</v>
      </c>
      <c r="G1616" s="23" t="s">
        <v>1385</v>
      </c>
      <c r="H1616" s="10" t="s">
        <v>3819</v>
      </c>
      <c r="I1616" s="35" t="s">
        <v>7017</v>
      </c>
      <c r="J1616" s="33" t="s">
        <v>1337</v>
      </c>
    </row>
    <row r="1617" spans="1:10" x14ac:dyDescent="0.25">
      <c r="A1617" s="23" t="s">
        <v>3841</v>
      </c>
      <c r="B1617" s="10" t="s">
        <v>3842</v>
      </c>
      <c r="C1617" s="23" t="s">
        <v>3819</v>
      </c>
      <c r="D1617" s="28" t="s">
        <v>3843</v>
      </c>
      <c r="E1617" s="25">
        <v>106</v>
      </c>
      <c r="F1617" s="23" t="str">
        <f>VLOOKUP(B1617,'[2]справочник кодов нп'!$A:$D,4,0)</f>
        <v>сельские населенные пункты с численностью населения менее 1 000 человек.</v>
      </c>
      <c r="G1617" s="23" t="s">
        <v>1385</v>
      </c>
      <c r="H1617" s="10" t="s">
        <v>3819</v>
      </c>
      <c r="I1617" s="35" t="s">
        <v>7017</v>
      </c>
      <c r="J1617" s="33" t="s">
        <v>1337</v>
      </c>
    </row>
    <row r="1618" spans="1:10" x14ac:dyDescent="0.25">
      <c r="A1618" s="23" t="s">
        <v>3844</v>
      </c>
      <c r="B1618" s="10" t="s">
        <v>3845</v>
      </c>
      <c r="C1618" s="23" t="s">
        <v>3819</v>
      </c>
      <c r="D1618" s="28" t="s">
        <v>3846</v>
      </c>
      <c r="E1618" s="25">
        <v>106</v>
      </c>
      <c r="F1618" s="23" t="str">
        <f>VLOOKUP(B1618,'[2]справочник кодов нп'!$A:$D,4,0)</f>
        <v>сельские населенные пункты с численностью населения менее 1 000 человек.</v>
      </c>
      <c r="G1618" s="23" t="s">
        <v>1385</v>
      </c>
      <c r="H1618" s="10" t="s">
        <v>3819</v>
      </c>
      <c r="I1618" s="35" t="s">
        <v>7017</v>
      </c>
      <c r="J1618" s="33" t="s">
        <v>1337</v>
      </c>
    </row>
    <row r="1619" spans="1:10" x14ac:dyDescent="0.25">
      <c r="A1619" s="23" t="s">
        <v>3847</v>
      </c>
      <c r="B1619" s="10" t="s">
        <v>3848</v>
      </c>
      <c r="C1619" s="23" t="s">
        <v>3819</v>
      </c>
      <c r="D1619" s="28" t="s">
        <v>3849</v>
      </c>
      <c r="E1619" s="25">
        <v>106</v>
      </c>
      <c r="F1619" s="23" t="str">
        <f>VLOOKUP(B1619,'[2]справочник кодов нп'!$A:$D,4,0)</f>
        <v>сельские населенные пункты с численностью населения менее 1 000 человек.</v>
      </c>
      <c r="G1619" s="23" t="s">
        <v>1385</v>
      </c>
      <c r="H1619" s="10" t="s">
        <v>3819</v>
      </c>
      <c r="I1619" s="35" t="s">
        <v>7017</v>
      </c>
      <c r="J1619" s="33" t="s">
        <v>1337</v>
      </c>
    </row>
    <row r="1620" spans="1:10" x14ac:dyDescent="0.25">
      <c r="A1620" s="23" t="s">
        <v>3850</v>
      </c>
      <c r="B1620" s="10" t="s">
        <v>3851</v>
      </c>
      <c r="C1620" s="23" t="s">
        <v>3819</v>
      </c>
      <c r="D1620" s="28" t="s">
        <v>3852</v>
      </c>
      <c r="E1620" s="25">
        <v>106</v>
      </c>
      <c r="F1620" s="23" t="str">
        <f>VLOOKUP(B1620,'[2]справочник кодов нп'!$A:$D,4,0)</f>
        <v>сельские населенные пункты с численностью населения менее 1 000 человек.</v>
      </c>
      <c r="G1620" s="23" t="s">
        <v>1385</v>
      </c>
      <c r="H1620" s="10" t="s">
        <v>3819</v>
      </c>
      <c r="I1620" s="35" t="s">
        <v>7017</v>
      </c>
      <c r="J1620" s="33" t="s">
        <v>1337</v>
      </c>
    </row>
    <row r="1621" spans="1:10" x14ac:dyDescent="0.25">
      <c r="A1621" s="23" t="s">
        <v>3853</v>
      </c>
      <c r="B1621" s="10" t="s">
        <v>3854</v>
      </c>
      <c r="C1621" s="23" t="s">
        <v>3819</v>
      </c>
      <c r="D1621" s="28" t="s">
        <v>3855</v>
      </c>
      <c r="E1621" s="25">
        <v>106</v>
      </c>
      <c r="F1621" s="23" t="str">
        <f>VLOOKUP(B1621,'[2]справочник кодов нп'!$A:$D,4,0)</f>
        <v>сельские населенные пункты с численностью населения менее 1 000 человек.</v>
      </c>
      <c r="G1621" s="23" t="s">
        <v>1385</v>
      </c>
      <c r="H1621" s="10" t="s">
        <v>3819</v>
      </c>
      <c r="I1621" s="35" t="s">
        <v>7017</v>
      </c>
      <c r="J1621" s="33" t="s">
        <v>1337</v>
      </c>
    </row>
    <row r="1622" spans="1:10" x14ac:dyDescent="0.25">
      <c r="A1622" s="23" t="s">
        <v>3856</v>
      </c>
      <c r="B1622" s="10" t="s">
        <v>3857</v>
      </c>
      <c r="C1622" s="23" t="s">
        <v>3819</v>
      </c>
      <c r="D1622" s="28" t="s">
        <v>3858</v>
      </c>
      <c r="E1622" s="25">
        <v>106</v>
      </c>
      <c r="F1622" s="23" t="str">
        <f>VLOOKUP(B1622,'[2]справочник кодов нп'!$A:$D,4,0)</f>
        <v>сельские населенные пункты с численностью населения менее 1 000 человек.</v>
      </c>
      <c r="G1622" s="23" t="s">
        <v>1385</v>
      </c>
      <c r="H1622" s="10" t="s">
        <v>3819</v>
      </c>
      <c r="I1622" s="35" t="s">
        <v>7017</v>
      </c>
      <c r="J1622" s="33" t="s">
        <v>1337</v>
      </c>
    </row>
    <row r="1623" spans="1:10" x14ac:dyDescent="0.25">
      <c r="A1623" s="23" t="s">
        <v>3859</v>
      </c>
      <c r="B1623" s="10" t="s">
        <v>3860</v>
      </c>
      <c r="C1623" s="23" t="s">
        <v>3819</v>
      </c>
      <c r="D1623" s="28" t="s">
        <v>3861</v>
      </c>
      <c r="E1623" s="25">
        <v>106</v>
      </c>
      <c r="F1623" s="23" t="str">
        <f>VLOOKUP(B1623,'[2]справочник кодов нп'!$A:$D,4,0)</f>
        <v>сельские населенные пункты с численностью населения менее 1 000 человек.</v>
      </c>
      <c r="G1623" s="23" t="s">
        <v>1385</v>
      </c>
      <c r="H1623" s="10" t="s">
        <v>3819</v>
      </c>
      <c r="I1623" s="35" t="s">
        <v>7017</v>
      </c>
      <c r="J1623" s="33" t="s">
        <v>1337</v>
      </c>
    </row>
    <row r="1624" spans="1:10" x14ac:dyDescent="0.25">
      <c r="A1624" s="23" t="s">
        <v>6141</v>
      </c>
      <c r="B1624" s="10" t="s">
        <v>6142</v>
      </c>
      <c r="C1624" s="23" t="s">
        <v>3819</v>
      </c>
      <c r="D1624" s="28" t="s">
        <v>6143</v>
      </c>
      <c r="E1624" s="25">
        <v>106</v>
      </c>
      <c r="F1624" s="23" t="str">
        <f>VLOOKUP(B1624,'[2]справочник кодов нп'!$A:$D,4,0)</f>
        <v>сельские населенные пункты с численностью населения менее 1 000 человек.</v>
      </c>
      <c r="G1624" s="23" t="s">
        <v>1385</v>
      </c>
      <c r="H1624" s="10" t="s">
        <v>3819</v>
      </c>
      <c r="I1624" s="35" t="s">
        <v>7017</v>
      </c>
      <c r="J1624" s="33" t="s">
        <v>1337</v>
      </c>
    </row>
    <row r="1625" spans="1:10" x14ac:dyDescent="0.25">
      <c r="A1625" s="23" t="s">
        <v>6144</v>
      </c>
      <c r="B1625" s="10" t="s">
        <v>6145</v>
      </c>
      <c r="C1625" s="23" t="s">
        <v>3819</v>
      </c>
      <c r="D1625" s="28" t="s">
        <v>6146</v>
      </c>
      <c r="E1625" s="25">
        <v>106</v>
      </c>
      <c r="F1625" s="23" t="str">
        <f>VLOOKUP(B1625,'[2]справочник кодов нп'!$A:$D,4,0)</f>
        <v>сельские населенные пункты с численностью населения менее 1 000 человек.</v>
      </c>
      <c r="G1625" s="23" t="s">
        <v>1385</v>
      </c>
      <c r="H1625" s="10" t="s">
        <v>3819</v>
      </c>
      <c r="I1625" s="35" t="s">
        <v>7017</v>
      </c>
      <c r="J1625" s="33" t="s">
        <v>1337</v>
      </c>
    </row>
    <row r="1626" spans="1:10" x14ac:dyDescent="0.25">
      <c r="A1626" s="23" t="s">
        <v>6147</v>
      </c>
      <c r="B1626" s="10" t="s">
        <v>6148</v>
      </c>
      <c r="C1626" s="23" t="s">
        <v>3819</v>
      </c>
      <c r="D1626" s="28" t="s">
        <v>6149</v>
      </c>
      <c r="E1626" s="25">
        <v>106</v>
      </c>
      <c r="F1626" s="23" t="str">
        <f>VLOOKUP(B1626,'[2]справочник кодов нп'!$A:$D,4,0)</f>
        <v>сельские населенные пункты с численностью населения менее 1 000 человек.</v>
      </c>
      <c r="G1626" s="23" t="s">
        <v>1385</v>
      </c>
      <c r="H1626" s="10" t="s">
        <v>3819</v>
      </c>
      <c r="I1626" s="35" t="s">
        <v>7017</v>
      </c>
      <c r="J1626" s="33" t="s">
        <v>1337</v>
      </c>
    </row>
    <row r="1627" spans="1:10" x14ac:dyDescent="0.25">
      <c r="A1627" s="23" t="s">
        <v>6150</v>
      </c>
      <c r="B1627" s="10" t="s">
        <v>6151</v>
      </c>
      <c r="C1627" s="23" t="s">
        <v>3819</v>
      </c>
      <c r="D1627" s="28" t="s">
        <v>6152</v>
      </c>
      <c r="E1627" s="25">
        <v>106</v>
      </c>
      <c r="F1627" s="23" t="str">
        <f>VLOOKUP(B1627,'[2]справочник кодов нп'!$A:$D,4,0)</f>
        <v>сельские населенные пункты с численностью населения менее 1 000 человек.</v>
      </c>
      <c r="G1627" s="23" t="s">
        <v>1385</v>
      </c>
      <c r="H1627" s="10" t="s">
        <v>3819</v>
      </c>
      <c r="I1627" s="35" t="s">
        <v>7017</v>
      </c>
      <c r="J1627" s="33" t="s">
        <v>1337</v>
      </c>
    </row>
    <row r="1628" spans="1:10" x14ac:dyDescent="0.25">
      <c r="A1628" s="23" t="s">
        <v>6153</v>
      </c>
      <c r="B1628" s="10" t="s">
        <v>6154</v>
      </c>
      <c r="C1628" s="23" t="s">
        <v>3819</v>
      </c>
      <c r="D1628" s="28" t="s">
        <v>6155</v>
      </c>
      <c r="E1628" s="25">
        <v>106</v>
      </c>
      <c r="F1628" s="23" t="str">
        <f>VLOOKUP(B1628,'[2]справочник кодов нп'!$A:$D,4,0)</f>
        <v>сельские населенные пункты с численностью населения менее 1 000 человек.</v>
      </c>
      <c r="G1628" s="23" t="s">
        <v>1385</v>
      </c>
      <c r="H1628" s="10" t="s">
        <v>3819</v>
      </c>
      <c r="I1628" s="35" t="s">
        <v>7017</v>
      </c>
      <c r="J1628" s="33" t="s">
        <v>1337</v>
      </c>
    </row>
    <row r="1629" spans="1:10" x14ac:dyDescent="0.25">
      <c r="A1629" s="23" t="s">
        <v>6156</v>
      </c>
      <c r="B1629" s="10" t="s">
        <v>6157</v>
      </c>
      <c r="C1629" s="23" t="s">
        <v>3819</v>
      </c>
      <c r="D1629" s="28" t="s">
        <v>6158</v>
      </c>
      <c r="E1629" s="25">
        <v>106</v>
      </c>
      <c r="F1629" s="23" t="str">
        <f>VLOOKUP(B1629,'[2]справочник кодов нп'!$A:$D,4,0)</f>
        <v>сельские населенные пункты с численностью населения менее 1 000 человек.</v>
      </c>
      <c r="G1629" s="23" t="s">
        <v>1385</v>
      </c>
      <c r="H1629" s="10" t="s">
        <v>3819</v>
      </c>
      <c r="I1629" s="35" t="s">
        <v>7017</v>
      </c>
      <c r="J1629" s="33" t="s">
        <v>1337</v>
      </c>
    </row>
    <row r="1630" spans="1:10" x14ac:dyDescent="0.25">
      <c r="A1630" s="23" t="s">
        <v>6159</v>
      </c>
      <c r="B1630" s="10" t="s">
        <v>6160</v>
      </c>
      <c r="C1630" s="23" t="s">
        <v>3819</v>
      </c>
      <c r="D1630" s="28" t="s">
        <v>6161</v>
      </c>
      <c r="E1630" s="25">
        <v>106</v>
      </c>
      <c r="F1630" s="23" t="str">
        <f>VLOOKUP(B1630,'[2]справочник кодов нп'!$A:$D,4,0)</f>
        <v>сельские населенные пункты с численностью населения менее 1 000 человек.</v>
      </c>
      <c r="G1630" s="23" t="s">
        <v>1385</v>
      </c>
      <c r="H1630" s="10" t="s">
        <v>3819</v>
      </c>
      <c r="I1630" s="35" t="s">
        <v>7017</v>
      </c>
      <c r="J1630" s="33" t="s">
        <v>1337</v>
      </c>
    </row>
    <row r="1631" spans="1:10" x14ac:dyDescent="0.25">
      <c r="A1631" s="23" t="s">
        <v>6162</v>
      </c>
      <c r="B1631" s="10" t="s">
        <v>6163</v>
      </c>
      <c r="C1631" s="23" t="s">
        <v>3819</v>
      </c>
      <c r="D1631" s="28" t="s">
        <v>6164</v>
      </c>
      <c r="E1631" s="25">
        <v>106</v>
      </c>
      <c r="F1631" s="23" t="str">
        <f>VLOOKUP(B1631,'[2]справочник кодов нп'!$A:$D,4,0)</f>
        <v>сельские населенные пункты с численностью населения менее 1 000 человек.</v>
      </c>
      <c r="G1631" s="23" t="s">
        <v>1385</v>
      </c>
      <c r="H1631" s="10" t="s">
        <v>3819</v>
      </c>
      <c r="I1631" s="35" t="s">
        <v>7017</v>
      </c>
      <c r="J1631" s="33" t="s">
        <v>1337</v>
      </c>
    </row>
    <row r="1632" spans="1:10" x14ac:dyDescent="0.25">
      <c r="A1632" s="23" t="s">
        <v>6165</v>
      </c>
      <c r="B1632" s="10" t="s">
        <v>6166</v>
      </c>
      <c r="C1632" s="23" t="s">
        <v>3819</v>
      </c>
      <c r="D1632" s="28" t="s">
        <v>6167</v>
      </c>
      <c r="E1632" s="25">
        <v>106</v>
      </c>
      <c r="F1632" s="23" t="str">
        <f>VLOOKUP(B1632,'[2]справочник кодов нп'!$A:$D,4,0)</f>
        <v>сельские населенные пункты с численностью населения менее 1 000 человек.</v>
      </c>
      <c r="G1632" s="23" t="s">
        <v>1385</v>
      </c>
      <c r="H1632" s="10" t="s">
        <v>3819</v>
      </c>
      <c r="I1632" s="35" t="s">
        <v>7017</v>
      </c>
      <c r="J1632" s="33" t="s">
        <v>1337</v>
      </c>
    </row>
    <row r="1633" spans="1:10" x14ac:dyDescent="0.25">
      <c r="A1633" s="23" t="s">
        <v>6168</v>
      </c>
      <c r="B1633" s="10" t="s">
        <v>6169</v>
      </c>
      <c r="C1633" s="23" t="s">
        <v>3819</v>
      </c>
      <c r="D1633" s="28" t="s">
        <v>6170</v>
      </c>
      <c r="E1633" s="25">
        <v>106</v>
      </c>
      <c r="F1633" s="23" t="str">
        <f>VLOOKUP(B1633,'[2]справочник кодов нп'!$A:$D,4,0)</f>
        <v>сельские населенные пункты с численностью населения менее 1 000 человек.</v>
      </c>
      <c r="G1633" s="23" t="s">
        <v>1385</v>
      </c>
      <c r="H1633" s="10" t="s">
        <v>3819</v>
      </c>
      <c r="I1633" s="35" t="s">
        <v>7017</v>
      </c>
      <c r="J1633" s="33" t="s">
        <v>1337</v>
      </c>
    </row>
    <row r="1634" spans="1:10" x14ac:dyDescent="0.25">
      <c r="A1634" s="23" t="s">
        <v>6171</v>
      </c>
      <c r="B1634" s="10" t="s">
        <v>6172</v>
      </c>
      <c r="C1634" s="23" t="s">
        <v>3819</v>
      </c>
      <c r="D1634" s="28" t="s">
        <v>6173</v>
      </c>
      <c r="E1634" s="25">
        <v>106</v>
      </c>
      <c r="F1634" s="23" t="str">
        <f>VLOOKUP(B1634,'[2]справочник кодов нп'!$A:$D,4,0)</f>
        <v>сельские населенные пункты с численностью населения менее 1 000 человек.</v>
      </c>
      <c r="G1634" s="23" t="s">
        <v>1385</v>
      </c>
      <c r="H1634" s="10" t="s">
        <v>3819</v>
      </c>
      <c r="I1634" s="35" t="s">
        <v>7017</v>
      </c>
      <c r="J1634" s="33" t="s">
        <v>1337</v>
      </c>
    </row>
    <row r="1635" spans="1:10" x14ac:dyDescent="0.25">
      <c r="A1635" s="23" t="s">
        <v>6174</v>
      </c>
      <c r="B1635" s="10" t="s">
        <v>6175</v>
      </c>
      <c r="C1635" s="23" t="s">
        <v>3819</v>
      </c>
      <c r="D1635" s="28" t="s">
        <v>6176</v>
      </c>
      <c r="E1635" s="25">
        <v>106</v>
      </c>
      <c r="F1635" s="23" t="str">
        <f>VLOOKUP(B1635,'[2]справочник кодов нп'!$A:$D,4,0)</f>
        <v>сельские населенные пункты с численностью населения менее 1 000 человек.</v>
      </c>
      <c r="G1635" s="23" t="s">
        <v>1385</v>
      </c>
      <c r="H1635" s="10" t="s">
        <v>3819</v>
      </c>
      <c r="I1635" s="35" t="s">
        <v>7017</v>
      </c>
      <c r="J1635" s="33" t="s">
        <v>1337</v>
      </c>
    </row>
    <row r="1636" spans="1:10" x14ac:dyDescent="0.25">
      <c r="A1636" s="23" t="s">
        <v>6177</v>
      </c>
      <c r="B1636" s="10" t="s">
        <v>6178</v>
      </c>
      <c r="C1636" s="23" t="s">
        <v>3819</v>
      </c>
      <c r="D1636" s="28" t="s">
        <v>6179</v>
      </c>
      <c r="E1636" s="25">
        <v>106</v>
      </c>
      <c r="F1636" s="23" t="str">
        <f>VLOOKUP(B1636,'[2]справочник кодов нп'!$A:$D,4,0)</f>
        <v>сельские населенные пункты с численностью населения менее 1 000 человек.</v>
      </c>
      <c r="G1636" s="23" t="s">
        <v>1385</v>
      </c>
      <c r="H1636" s="10" t="s">
        <v>3819</v>
      </c>
      <c r="I1636" s="35" t="s">
        <v>7017</v>
      </c>
      <c r="J1636" s="33" t="s">
        <v>1337</v>
      </c>
    </row>
    <row r="1637" spans="1:10" x14ac:dyDescent="0.25">
      <c r="A1637" s="23" t="s">
        <v>6180</v>
      </c>
      <c r="B1637" s="10" t="s">
        <v>6181</v>
      </c>
      <c r="C1637" s="23" t="s">
        <v>3819</v>
      </c>
      <c r="D1637" s="28" t="s">
        <v>6182</v>
      </c>
      <c r="E1637" s="25">
        <v>106</v>
      </c>
      <c r="F1637" s="23" t="str">
        <f>VLOOKUP(B1637,'[2]справочник кодов нп'!$A:$D,4,0)</f>
        <v>сельские населенные пункты с численностью населения менее 1 000 человек.</v>
      </c>
      <c r="G1637" s="23" t="s">
        <v>1385</v>
      </c>
      <c r="H1637" s="10" t="s">
        <v>3819</v>
      </c>
      <c r="I1637" s="35" t="s">
        <v>7017</v>
      </c>
      <c r="J1637" s="33" t="s">
        <v>1337</v>
      </c>
    </row>
    <row r="1638" spans="1:10" x14ac:dyDescent="0.25">
      <c r="A1638" s="23" t="s">
        <v>6183</v>
      </c>
      <c r="B1638" s="10" t="s">
        <v>6184</v>
      </c>
      <c r="C1638" s="23" t="s">
        <v>3819</v>
      </c>
      <c r="D1638" s="28" t="s">
        <v>6185</v>
      </c>
      <c r="E1638" s="25">
        <v>106</v>
      </c>
      <c r="F1638" s="23" t="str">
        <f>VLOOKUP(B1638,'[2]справочник кодов нп'!$A:$D,4,0)</f>
        <v>сельские населенные пункты с численностью населения более 1 000 человек;</v>
      </c>
      <c r="G1638" s="23" t="s">
        <v>1385</v>
      </c>
      <c r="H1638" s="10" t="s">
        <v>3819</v>
      </c>
      <c r="I1638" s="35" t="s">
        <v>7017</v>
      </c>
      <c r="J1638" s="33" t="s">
        <v>1337</v>
      </c>
    </row>
    <row r="1639" spans="1:10" x14ac:dyDescent="0.25">
      <c r="A1639" s="23" t="s">
        <v>6481</v>
      </c>
      <c r="B1639" s="10" t="s">
        <v>6482</v>
      </c>
      <c r="C1639" s="23" t="s">
        <v>3819</v>
      </c>
      <c r="D1639" s="28" t="s">
        <v>6483</v>
      </c>
      <c r="E1639" s="25">
        <v>106</v>
      </c>
      <c r="F1639" s="23" t="str">
        <f>VLOOKUP(B1639,'[2]справочник кодов нп'!$A:$D,4,0)</f>
        <v>сельские населенные пункты с численностью населения менее 1 000 человек.</v>
      </c>
      <c r="G1639" s="23" t="s">
        <v>1385</v>
      </c>
      <c r="H1639" s="10" t="s">
        <v>3819</v>
      </c>
      <c r="I1639" s="35" t="s">
        <v>7017</v>
      </c>
      <c r="J1639" s="33" t="s">
        <v>1337</v>
      </c>
    </row>
    <row r="1640" spans="1:10" x14ac:dyDescent="0.25">
      <c r="A1640" s="23" t="s">
        <v>6720</v>
      </c>
      <c r="B1640" s="10" t="s">
        <v>6721</v>
      </c>
      <c r="C1640" s="23" t="s">
        <v>3819</v>
      </c>
      <c r="D1640" s="28" t="s">
        <v>6722</v>
      </c>
      <c r="E1640" s="25">
        <v>106</v>
      </c>
      <c r="F1640" s="23" t="str">
        <f>VLOOKUP(B1640,'[2]справочник кодов нп'!$A:$D,4,0)</f>
        <v>сельские населенные пункты с численностью населения менее 1 000 человек.</v>
      </c>
      <c r="G1640" s="23" t="s">
        <v>1385</v>
      </c>
      <c r="H1640" s="10" t="s">
        <v>3819</v>
      </c>
      <c r="I1640" s="35" t="s">
        <v>7017</v>
      </c>
      <c r="J1640" s="33" t="s">
        <v>1337</v>
      </c>
    </row>
    <row r="1641" spans="1:10" x14ac:dyDescent="0.25">
      <c r="A1641" s="23" t="s">
        <v>6975</v>
      </c>
      <c r="B1641" s="10" t="s">
        <v>6976</v>
      </c>
      <c r="C1641" s="23" t="s">
        <v>3819</v>
      </c>
      <c r="D1641" s="28" t="s">
        <v>6846</v>
      </c>
      <c r="E1641" s="25">
        <v>106</v>
      </c>
      <c r="F1641" s="23" t="str">
        <f>VLOOKUP(B1641,'[2]справочник кодов нп'!$A:$D,4,0)</f>
        <v>межселенная территория</v>
      </c>
      <c r="G1641" s="23" t="s">
        <v>1385</v>
      </c>
      <c r="H1641" s="10" t="s">
        <v>3819</v>
      </c>
      <c r="I1641" s="35" t="s">
        <v>7019</v>
      </c>
      <c r="J1641" s="33" t="s">
        <v>1337</v>
      </c>
    </row>
    <row r="1642" spans="1:10" x14ac:dyDescent="0.25">
      <c r="A1642" s="23" t="s">
        <v>6999</v>
      </c>
      <c r="B1642" s="10" t="s">
        <v>6976</v>
      </c>
      <c r="C1642" s="23" t="s">
        <v>3819</v>
      </c>
      <c r="D1642" s="28" t="s">
        <v>6846</v>
      </c>
      <c r="E1642" s="25">
        <v>106</v>
      </c>
      <c r="F1642" s="23" t="str">
        <f>VLOOKUP(B1642,'[2]справочник кодов нп'!$A:$D,4,0)</f>
        <v>межселенная территория</v>
      </c>
      <c r="G1642" s="23" t="s">
        <v>1385</v>
      </c>
      <c r="H1642" s="10" t="s">
        <v>3819</v>
      </c>
      <c r="I1642" s="35" t="s">
        <v>7019</v>
      </c>
      <c r="J1642" s="33" t="s">
        <v>1337</v>
      </c>
    </row>
    <row r="1643" spans="1:10" x14ac:dyDescent="0.25">
      <c r="A1643" s="23" t="s">
        <v>7000</v>
      </c>
      <c r="B1643" s="10" t="s">
        <v>6976</v>
      </c>
      <c r="C1643" s="23" t="s">
        <v>3819</v>
      </c>
      <c r="D1643" s="28" t="s">
        <v>6846</v>
      </c>
      <c r="E1643" s="25">
        <v>106</v>
      </c>
      <c r="F1643" s="23" t="str">
        <f>VLOOKUP(B1643,'[2]справочник кодов нп'!$A:$D,4,0)</f>
        <v>межселенная территория</v>
      </c>
      <c r="G1643" s="23" t="s">
        <v>1385</v>
      </c>
      <c r="H1643" s="10" t="s">
        <v>3819</v>
      </c>
      <c r="I1643" s="35" t="s">
        <v>7019</v>
      </c>
      <c r="J1643" s="33" t="s">
        <v>1337</v>
      </c>
    </row>
    <row r="1644" spans="1:10" x14ac:dyDescent="0.25">
      <c r="A1644" s="23" t="s">
        <v>7001</v>
      </c>
      <c r="B1644" s="10" t="s">
        <v>6976</v>
      </c>
      <c r="C1644" s="23" t="s">
        <v>3819</v>
      </c>
      <c r="D1644" s="28" t="s">
        <v>6846</v>
      </c>
      <c r="E1644" s="25">
        <v>106</v>
      </c>
      <c r="F1644" s="23" t="str">
        <f>VLOOKUP(B1644,'[2]справочник кодов нп'!$A:$D,4,0)</f>
        <v>межселенная территория</v>
      </c>
      <c r="G1644" s="23" t="s">
        <v>1385</v>
      </c>
      <c r="H1644" s="10" t="s">
        <v>3819</v>
      </c>
      <c r="I1644" s="35" t="s">
        <v>7019</v>
      </c>
      <c r="J1644" s="33" t="s">
        <v>1337</v>
      </c>
    </row>
    <row r="1645" spans="1:10" x14ac:dyDescent="0.25">
      <c r="A1645" s="23" t="s">
        <v>7002</v>
      </c>
      <c r="B1645" s="10" t="s">
        <v>6976</v>
      </c>
      <c r="C1645" s="23" t="s">
        <v>3819</v>
      </c>
      <c r="D1645" s="28" t="s">
        <v>6846</v>
      </c>
      <c r="E1645" s="25">
        <v>106</v>
      </c>
      <c r="F1645" s="23" t="str">
        <f>VLOOKUP(B1645,'[2]справочник кодов нп'!$A:$D,4,0)</f>
        <v>межселенная территория</v>
      </c>
      <c r="G1645" s="23" t="s">
        <v>1385</v>
      </c>
      <c r="H1645" s="10" t="s">
        <v>3819</v>
      </c>
      <c r="I1645" s="35" t="s">
        <v>7019</v>
      </c>
      <c r="J1645" s="33" t="s">
        <v>1337</v>
      </c>
    </row>
    <row r="1646" spans="1:10" x14ac:dyDescent="0.25">
      <c r="A1646" s="23" t="s">
        <v>3862</v>
      </c>
      <c r="B1646" s="10" t="s">
        <v>3863</v>
      </c>
      <c r="C1646" s="23" t="s">
        <v>3864</v>
      </c>
      <c r="D1646" s="28" t="s">
        <v>3865</v>
      </c>
      <c r="E1646" s="25">
        <v>106</v>
      </c>
      <c r="F1646" s="23" t="str">
        <f>VLOOKUP(B1646,'[2]справочник кодов нп'!$A:$D,4,0)</f>
        <v>сельские населенные пункты с численностью населения менее 1 000 человек.</v>
      </c>
      <c r="G1646" s="23" t="s">
        <v>1385</v>
      </c>
      <c r="H1646" s="10" t="s">
        <v>3864</v>
      </c>
      <c r="I1646" s="35" t="s">
        <v>7017</v>
      </c>
      <c r="J1646" s="33" t="s">
        <v>1337</v>
      </c>
    </row>
    <row r="1647" spans="1:10" x14ac:dyDescent="0.25">
      <c r="A1647" s="23" t="s">
        <v>3866</v>
      </c>
      <c r="B1647" s="10" t="s">
        <v>3867</v>
      </c>
      <c r="C1647" s="23" t="s">
        <v>3864</v>
      </c>
      <c r="D1647" s="28" t="s">
        <v>3868</v>
      </c>
      <c r="E1647" s="25">
        <v>106</v>
      </c>
      <c r="F1647" s="23" t="str">
        <f>VLOOKUP(B1647,'[2]справочник кодов нп'!$A:$D,4,0)</f>
        <v>сельские населенные пункты с численностью населения менее 1 000 человек.</v>
      </c>
      <c r="G1647" s="23" t="s">
        <v>1385</v>
      </c>
      <c r="H1647" s="10" t="s">
        <v>3864</v>
      </c>
      <c r="I1647" s="35" t="s">
        <v>7017</v>
      </c>
      <c r="J1647" s="33" t="s">
        <v>1337</v>
      </c>
    </row>
    <row r="1648" spans="1:10" x14ac:dyDescent="0.25">
      <c r="A1648" s="23" t="s">
        <v>3869</v>
      </c>
      <c r="B1648" s="10" t="s">
        <v>3870</v>
      </c>
      <c r="C1648" s="23" t="s">
        <v>3864</v>
      </c>
      <c r="D1648" s="28" t="s">
        <v>3871</v>
      </c>
      <c r="E1648" s="25">
        <v>106</v>
      </c>
      <c r="F1648" s="23" t="str">
        <f>VLOOKUP(B1648,'[2]справочник кодов нп'!$A:$D,4,0)</f>
        <v>сельские населенные пункты с численностью населения менее 1 000 человек.</v>
      </c>
      <c r="G1648" s="23" t="s">
        <v>1385</v>
      </c>
      <c r="H1648" s="10" t="s">
        <v>3864</v>
      </c>
      <c r="I1648" s="35" t="s">
        <v>7017</v>
      </c>
      <c r="J1648" s="33" t="s">
        <v>1337</v>
      </c>
    </row>
    <row r="1649" spans="1:10" x14ac:dyDescent="0.25">
      <c r="A1649" s="23" t="s">
        <v>3872</v>
      </c>
      <c r="B1649" s="10" t="s">
        <v>3873</v>
      </c>
      <c r="C1649" s="23" t="s">
        <v>3864</v>
      </c>
      <c r="D1649" s="28" t="s">
        <v>3874</v>
      </c>
      <c r="E1649" s="25">
        <v>106</v>
      </c>
      <c r="F1649" s="23" t="str">
        <f>VLOOKUP(B1649,'[2]справочник кодов нп'!$A:$D,4,0)</f>
        <v>сельские населенные пункты с численностью населения менее 1 000 человек.</v>
      </c>
      <c r="G1649" s="23" t="s">
        <v>1385</v>
      </c>
      <c r="H1649" s="10" t="s">
        <v>3864</v>
      </c>
      <c r="I1649" s="35" t="s">
        <v>7017</v>
      </c>
      <c r="J1649" s="33" t="s">
        <v>1337</v>
      </c>
    </row>
    <row r="1650" spans="1:10" x14ac:dyDescent="0.25">
      <c r="A1650" s="23" t="s">
        <v>3875</v>
      </c>
      <c r="B1650" s="10" t="s">
        <v>3876</v>
      </c>
      <c r="C1650" s="23" t="s">
        <v>3864</v>
      </c>
      <c r="D1650" s="28" t="s">
        <v>3877</v>
      </c>
      <c r="E1650" s="25">
        <v>106</v>
      </c>
      <c r="F1650" s="23" t="str">
        <f>VLOOKUP(B1650,'[2]справочник кодов нп'!$A:$D,4,0)</f>
        <v>сельские населенные пункты с численностью населения менее 1 000 человек.</v>
      </c>
      <c r="G1650" s="23" t="s">
        <v>1385</v>
      </c>
      <c r="H1650" s="10" t="s">
        <v>3864</v>
      </c>
      <c r="I1650" s="35" t="s">
        <v>7017</v>
      </c>
      <c r="J1650" s="33" t="s">
        <v>1337</v>
      </c>
    </row>
    <row r="1651" spans="1:10" x14ac:dyDescent="0.25">
      <c r="A1651" s="23" t="s">
        <v>3878</v>
      </c>
      <c r="B1651" s="10" t="s">
        <v>3879</v>
      </c>
      <c r="C1651" s="23" t="s">
        <v>3864</v>
      </c>
      <c r="D1651" s="28" t="s">
        <v>3880</v>
      </c>
      <c r="E1651" s="25">
        <v>106</v>
      </c>
      <c r="F1651" s="23" t="str">
        <f>VLOOKUP(B1651,'[2]справочник кодов нп'!$A:$D,4,0)</f>
        <v>сельские населенные пункты с численностью населения менее 1 000 человек.</v>
      </c>
      <c r="G1651" s="23" t="s">
        <v>1385</v>
      </c>
      <c r="H1651" s="10" t="s">
        <v>3864</v>
      </c>
      <c r="I1651" s="35" t="s">
        <v>7017</v>
      </c>
      <c r="J1651" s="33" t="s">
        <v>1337</v>
      </c>
    </row>
    <row r="1652" spans="1:10" x14ac:dyDescent="0.25">
      <c r="A1652" s="23" t="s">
        <v>3881</v>
      </c>
      <c r="B1652" s="10" t="s">
        <v>3882</v>
      </c>
      <c r="C1652" s="23" t="s">
        <v>3864</v>
      </c>
      <c r="D1652" s="28" t="s">
        <v>3883</v>
      </c>
      <c r="E1652" s="25">
        <v>106</v>
      </c>
      <c r="F1652" s="23" t="str">
        <f>VLOOKUP(B1652,'[2]справочник кодов нп'!$A:$D,4,0)</f>
        <v>сельские населенные пункты с численностью населения менее 1 000 человек.</v>
      </c>
      <c r="G1652" s="23" t="s">
        <v>1385</v>
      </c>
      <c r="H1652" s="10" t="s">
        <v>3864</v>
      </c>
      <c r="I1652" s="35" t="s">
        <v>7017</v>
      </c>
      <c r="J1652" s="33" t="s">
        <v>1337</v>
      </c>
    </row>
    <row r="1653" spans="1:10" x14ac:dyDescent="0.25">
      <c r="A1653" s="23" t="s">
        <v>3884</v>
      </c>
      <c r="B1653" s="10" t="s">
        <v>3885</v>
      </c>
      <c r="C1653" s="23" t="s">
        <v>3864</v>
      </c>
      <c r="D1653" s="28" t="s">
        <v>3886</v>
      </c>
      <c r="E1653" s="25">
        <v>106</v>
      </c>
      <c r="F1653" s="23" t="str">
        <f>VLOOKUP(B1653,'[2]справочник кодов нп'!$A:$D,4,0)</f>
        <v>сельские населенные пункты с численностью населения менее 1 000 человек.</v>
      </c>
      <c r="G1653" s="23" t="s">
        <v>1385</v>
      </c>
      <c r="H1653" s="10" t="s">
        <v>3864</v>
      </c>
      <c r="I1653" s="35" t="s">
        <v>7017</v>
      </c>
      <c r="J1653" s="33" t="s">
        <v>1337</v>
      </c>
    </row>
    <row r="1654" spans="1:10" x14ac:dyDescent="0.25">
      <c r="A1654" s="23" t="s">
        <v>3887</v>
      </c>
      <c r="B1654" s="10" t="s">
        <v>3888</v>
      </c>
      <c r="C1654" s="23" t="s">
        <v>3864</v>
      </c>
      <c r="D1654" s="28" t="s">
        <v>3889</v>
      </c>
      <c r="E1654" s="25">
        <v>106</v>
      </c>
      <c r="F1654" s="23" t="str">
        <f>VLOOKUP(B1654,'[2]справочник кодов нп'!$A:$D,4,0)</f>
        <v>сельские населенные пункты с численностью населения менее 1 000 человек.</v>
      </c>
      <c r="G1654" s="23" t="s">
        <v>1385</v>
      </c>
      <c r="H1654" s="10" t="s">
        <v>3864</v>
      </c>
      <c r="I1654" s="35" t="s">
        <v>7017</v>
      </c>
      <c r="J1654" s="33" t="s">
        <v>1337</v>
      </c>
    </row>
    <row r="1655" spans="1:10" x14ac:dyDescent="0.25">
      <c r="A1655" s="23" t="s">
        <v>3890</v>
      </c>
      <c r="B1655" s="10" t="s">
        <v>3891</v>
      </c>
      <c r="C1655" s="23" t="s">
        <v>3864</v>
      </c>
      <c r="D1655" s="28" t="s">
        <v>3892</v>
      </c>
      <c r="E1655" s="25">
        <v>106</v>
      </c>
      <c r="F1655" s="23" t="str">
        <f>VLOOKUP(B1655,'[2]справочник кодов нп'!$A:$D,4,0)</f>
        <v>сельские населенные пункты с численностью населения менее 1 000 человек.</v>
      </c>
      <c r="G1655" s="23" t="s">
        <v>1385</v>
      </c>
      <c r="H1655" s="10" t="s">
        <v>3864</v>
      </c>
      <c r="I1655" s="35" t="s">
        <v>7017</v>
      </c>
      <c r="J1655" s="33" t="s">
        <v>1337</v>
      </c>
    </row>
    <row r="1656" spans="1:10" x14ac:dyDescent="0.25">
      <c r="A1656" s="23" t="s">
        <v>3893</v>
      </c>
      <c r="B1656" s="10" t="s">
        <v>3894</v>
      </c>
      <c r="C1656" s="23" t="s">
        <v>3864</v>
      </c>
      <c r="D1656" s="28" t="s">
        <v>3895</v>
      </c>
      <c r="E1656" s="25">
        <v>106</v>
      </c>
      <c r="F1656" s="23" t="str">
        <f>VLOOKUP(B1656,'[2]справочник кодов нп'!$A:$D,4,0)</f>
        <v>сельские населенные пункты с численностью населения менее 1 000 человек.</v>
      </c>
      <c r="G1656" s="23" t="s">
        <v>1385</v>
      </c>
      <c r="H1656" s="10" t="s">
        <v>3864</v>
      </c>
      <c r="I1656" s="35" t="s">
        <v>7017</v>
      </c>
      <c r="J1656" s="33" t="s">
        <v>1337</v>
      </c>
    </row>
    <row r="1657" spans="1:10" x14ac:dyDescent="0.25">
      <c r="A1657" s="23" t="s">
        <v>3896</v>
      </c>
      <c r="B1657" s="10" t="s">
        <v>3897</v>
      </c>
      <c r="C1657" s="23" t="s">
        <v>3864</v>
      </c>
      <c r="D1657" s="28" t="s">
        <v>3898</v>
      </c>
      <c r="E1657" s="25">
        <v>106</v>
      </c>
      <c r="F1657" s="23" t="str">
        <f>VLOOKUP(B1657,'[2]справочник кодов нп'!$A:$D,4,0)</f>
        <v>сельские населенные пункты с численностью населения менее 1 000 человек.</v>
      </c>
      <c r="G1657" s="23" t="s">
        <v>1385</v>
      </c>
      <c r="H1657" s="10" t="s">
        <v>3864</v>
      </c>
      <c r="I1657" s="35" t="s">
        <v>7017</v>
      </c>
      <c r="J1657" s="33" t="s">
        <v>1337</v>
      </c>
    </row>
    <row r="1658" spans="1:10" x14ac:dyDescent="0.25">
      <c r="A1658" s="23" t="s">
        <v>3899</v>
      </c>
      <c r="B1658" s="10" t="s">
        <v>3900</v>
      </c>
      <c r="C1658" s="23" t="s">
        <v>3864</v>
      </c>
      <c r="D1658" s="28" t="s">
        <v>3901</v>
      </c>
      <c r="E1658" s="25">
        <v>106</v>
      </c>
      <c r="F1658" s="23" t="str">
        <f>VLOOKUP(B1658,'[2]справочник кодов нп'!$A:$D,4,0)</f>
        <v>сельские населенные пункты с численностью населения менее 1 000 человек.</v>
      </c>
      <c r="G1658" s="45" t="s">
        <v>1385</v>
      </c>
      <c r="H1658" s="10" t="s">
        <v>3864</v>
      </c>
      <c r="I1658" s="35" t="s">
        <v>7017</v>
      </c>
      <c r="J1658" s="33" t="s">
        <v>1337</v>
      </c>
    </row>
    <row r="1659" spans="1:10" x14ac:dyDescent="0.25">
      <c r="A1659" s="23" t="s">
        <v>3902</v>
      </c>
      <c r="B1659" s="10" t="s">
        <v>3903</v>
      </c>
      <c r="C1659" s="23" t="s">
        <v>3864</v>
      </c>
      <c r="D1659" s="28" t="s">
        <v>3904</v>
      </c>
      <c r="E1659" s="25">
        <v>106</v>
      </c>
      <c r="F1659" s="23" t="str">
        <f>VLOOKUP(B1659,'[2]справочник кодов нп'!$A:$D,4,0)</f>
        <v>сельские населенные пункты с численностью населения менее 1 000 человек.</v>
      </c>
      <c r="G1659" s="45" t="s">
        <v>1385</v>
      </c>
      <c r="H1659" s="10" t="s">
        <v>3864</v>
      </c>
      <c r="I1659" s="35" t="s">
        <v>7017</v>
      </c>
      <c r="J1659" s="33" t="s">
        <v>1337</v>
      </c>
    </row>
    <row r="1660" spans="1:10" x14ac:dyDescent="0.25">
      <c r="A1660" s="23" t="s">
        <v>3905</v>
      </c>
      <c r="B1660" s="10" t="s">
        <v>3906</v>
      </c>
      <c r="C1660" s="23" t="s">
        <v>3864</v>
      </c>
      <c r="D1660" s="28" t="s">
        <v>3907</v>
      </c>
      <c r="E1660" s="25">
        <v>106</v>
      </c>
      <c r="F1660" s="23" t="str">
        <f>VLOOKUP(B1660,'[2]справочник кодов нп'!$A:$D,4,0)</f>
        <v>сельские населенные пункты с численностью населения менее 1 000 человек.</v>
      </c>
      <c r="G1660" s="45" t="s">
        <v>1385</v>
      </c>
      <c r="H1660" s="10" t="s">
        <v>3864</v>
      </c>
      <c r="I1660" s="35" t="s">
        <v>7017</v>
      </c>
      <c r="J1660" s="33" t="s">
        <v>1337</v>
      </c>
    </row>
    <row r="1661" spans="1:10" x14ac:dyDescent="0.25">
      <c r="A1661" s="23" t="s">
        <v>3908</v>
      </c>
      <c r="B1661" s="10" t="s">
        <v>3909</v>
      </c>
      <c r="C1661" s="23" t="s">
        <v>3864</v>
      </c>
      <c r="D1661" s="28" t="s">
        <v>3536</v>
      </c>
      <c r="E1661" s="25">
        <v>106</v>
      </c>
      <c r="F1661" s="23" t="str">
        <f>VLOOKUP(B1661,'[2]справочник кодов нп'!$A:$D,4,0)</f>
        <v>сельские населенные пункты с численностью населения менее 1 000 человек.</v>
      </c>
      <c r="G1661" s="45" t="s">
        <v>1385</v>
      </c>
      <c r="H1661" s="10" t="s">
        <v>3864</v>
      </c>
      <c r="I1661" s="35" t="s">
        <v>7017</v>
      </c>
      <c r="J1661" s="33" t="s">
        <v>1337</v>
      </c>
    </row>
    <row r="1662" spans="1:10" x14ac:dyDescent="0.25">
      <c r="A1662" s="23" t="s">
        <v>3910</v>
      </c>
      <c r="B1662" s="10" t="s">
        <v>3911</v>
      </c>
      <c r="C1662" s="23" t="s">
        <v>3864</v>
      </c>
      <c r="D1662" s="28" t="s">
        <v>3912</v>
      </c>
      <c r="E1662" s="25">
        <v>106</v>
      </c>
      <c r="F1662" s="23" t="str">
        <f>VLOOKUP(B1662,'[2]справочник кодов нп'!$A:$D,4,0)</f>
        <v>сельские населенные пункты с численностью населения менее 1 000 человек.</v>
      </c>
      <c r="G1662" s="23" t="s">
        <v>1385</v>
      </c>
      <c r="H1662" s="10" t="s">
        <v>3864</v>
      </c>
      <c r="I1662" s="35" t="s">
        <v>7017</v>
      </c>
      <c r="J1662" s="33" t="s">
        <v>1337</v>
      </c>
    </row>
    <row r="1663" spans="1:10" x14ac:dyDescent="0.25">
      <c r="A1663" s="23" t="s">
        <v>3913</v>
      </c>
      <c r="B1663" s="10" t="s">
        <v>3914</v>
      </c>
      <c r="C1663" s="23" t="s">
        <v>3864</v>
      </c>
      <c r="D1663" s="28" t="s">
        <v>3915</v>
      </c>
      <c r="E1663" s="25">
        <v>106</v>
      </c>
      <c r="F1663" s="23" t="str">
        <f>VLOOKUP(B1663,'[2]справочник кодов нп'!$A:$D,4,0)</f>
        <v>сельские населенные пункты с численностью населения менее 1 000 человек.</v>
      </c>
      <c r="G1663" s="23" t="s">
        <v>1385</v>
      </c>
      <c r="H1663" s="10" t="s">
        <v>3864</v>
      </c>
      <c r="I1663" s="35" t="s">
        <v>7017</v>
      </c>
      <c r="J1663" s="33" t="s">
        <v>1337</v>
      </c>
    </row>
    <row r="1664" spans="1:10" x14ac:dyDescent="0.25">
      <c r="A1664" s="23" t="s">
        <v>3916</v>
      </c>
      <c r="B1664" s="10" t="s">
        <v>3917</v>
      </c>
      <c r="C1664" s="23" t="s">
        <v>3864</v>
      </c>
      <c r="D1664" s="28" t="s">
        <v>3918</v>
      </c>
      <c r="E1664" s="25">
        <v>106</v>
      </c>
      <c r="F1664" s="23" t="str">
        <f>VLOOKUP(B1664,'[2]справочник кодов нп'!$A:$D,4,0)</f>
        <v>сельские населенные пункты с численностью населения менее 1 000 человек.</v>
      </c>
      <c r="G1664" s="23" t="s">
        <v>1385</v>
      </c>
      <c r="H1664" s="10" t="s">
        <v>3864</v>
      </c>
      <c r="I1664" s="35" t="s">
        <v>7017</v>
      </c>
      <c r="J1664" s="33" t="s">
        <v>1337</v>
      </c>
    </row>
    <row r="1665" spans="1:10" x14ac:dyDescent="0.25">
      <c r="A1665" s="23" t="s">
        <v>3919</v>
      </c>
      <c r="B1665" s="10" t="s">
        <v>3920</v>
      </c>
      <c r="C1665" s="23" t="s">
        <v>3864</v>
      </c>
      <c r="D1665" s="28" t="s">
        <v>3921</v>
      </c>
      <c r="E1665" s="25">
        <v>106</v>
      </c>
      <c r="F1665" s="23" t="str">
        <f>VLOOKUP(B1665,'[2]справочник кодов нп'!$A:$D,4,0)</f>
        <v>сельские населенные пункты с численностью населения менее 1 000 человек.</v>
      </c>
      <c r="G1665" s="23" t="s">
        <v>1385</v>
      </c>
      <c r="H1665" s="10" t="s">
        <v>3864</v>
      </c>
      <c r="I1665" s="35" t="s">
        <v>7017</v>
      </c>
      <c r="J1665" s="33" t="s">
        <v>1337</v>
      </c>
    </row>
    <row r="1666" spans="1:10" x14ac:dyDescent="0.25">
      <c r="A1666" s="23" t="s">
        <v>3922</v>
      </c>
      <c r="B1666" s="10" t="s">
        <v>3923</v>
      </c>
      <c r="C1666" s="23" t="s">
        <v>3864</v>
      </c>
      <c r="D1666" s="28" t="s">
        <v>3924</v>
      </c>
      <c r="E1666" s="25">
        <v>106</v>
      </c>
      <c r="F1666" s="23" t="str">
        <f>VLOOKUP(B1666,'[2]справочник кодов нп'!$A:$D,4,0)</f>
        <v>сельские населенные пункты с численностью населения менее 1 000 человек.</v>
      </c>
      <c r="G1666" s="23" t="s">
        <v>1385</v>
      </c>
      <c r="H1666" s="10" t="s">
        <v>3864</v>
      </c>
      <c r="I1666" s="35" t="s">
        <v>7017</v>
      </c>
      <c r="J1666" s="33" t="s">
        <v>1337</v>
      </c>
    </row>
    <row r="1667" spans="1:10" x14ac:dyDescent="0.25">
      <c r="A1667" s="23" t="s">
        <v>3925</v>
      </c>
      <c r="B1667" s="10" t="s">
        <v>3926</v>
      </c>
      <c r="C1667" s="23" t="s">
        <v>3864</v>
      </c>
      <c r="D1667" s="28" t="s">
        <v>3927</v>
      </c>
      <c r="E1667" s="25">
        <v>106</v>
      </c>
      <c r="F1667" s="23" t="str">
        <f>VLOOKUP(B1667,'[2]справочник кодов нп'!$A:$D,4,0)</f>
        <v>сельские населенные пункты с численностью населения менее 1 000 человек.</v>
      </c>
      <c r="G1667" s="23" t="s">
        <v>1385</v>
      </c>
      <c r="H1667" s="10" t="s">
        <v>3864</v>
      </c>
      <c r="I1667" s="35" t="s">
        <v>7017</v>
      </c>
      <c r="J1667" s="33" t="s">
        <v>1337</v>
      </c>
    </row>
    <row r="1668" spans="1:10" x14ac:dyDescent="0.25">
      <c r="A1668" s="23" t="s">
        <v>3928</v>
      </c>
      <c r="B1668" s="10" t="s">
        <v>3929</v>
      </c>
      <c r="C1668" s="23" t="s">
        <v>3864</v>
      </c>
      <c r="D1668" s="28" t="s">
        <v>3930</v>
      </c>
      <c r="E1668" s="25">
        <v>106</v>
      </c>
      <c r="F1668" s="23" t="str">
        <f>VLOOKUP(B1668,'[2]справочник кодов нп'!$A:$D,4,0)</f>
        <v>сельские населенные пункты с численностью населения менее 1 000 человек.</v>
      </c>
      <c r="G1668" s="23" t="s">
        <v>1385</v>
      </c>
      <c r="H1668" s="10" t="s">
        <v>3864</v>
      </c>
      <c r="I1668" s="35" t="s">
        <v>7017</v>
      </c>
      <c r="J1668" s="33" t="s">
        <v>1337</v>
      </c>
    </row>
    <row r="1669" spans="1:10" x14ac:dyDescent="0.25">
      <c r="A1669" s="23" t="s">
        <v>3931</v>
      </c>
      <c r="B1669" s="10" t="s">
        <v>3932</v>
      </c>
      <c r="C1669" s="23" t="s">
        <v>3864</v>
      </c>
      <c r="D1669" s="28" t="s">
        <v>3933</v>
      </c>
      <c r="E1669" s="25">
        <v>106</v>
      </c>
      <c r="F1669" s="23" t="str">
        <f>VLOOKUP(B1669,'[2]справочник кодов нп'!$A:$D,4,0)</f>
        <v>сельские населенные пункты с численностью населения менее 1 000 человек.</v>
      </c>
      <c r="G1669" s="23" t="s">
        <v>1385</v>
      </c>
      <c r="H1669" s="10" t="s">
        <v>3864</v>
      </c>
      <c r="I1669" s="35" t="s">
        <v>7017</v>
      </c>
      <c r="J1669" s="33" t="s">
        <v>1337</v>
      </c>
    </row>
    <row r="1670" spans="1:10" x14ac:dyDescent="0.25">
      <c r="A1670" s="23" t="s">
        <v>3934</v>
      </c>
      <c r="B1670" s="10" t="s">
        <v>3935</v>
      </c>
      <c r="C1670" s="23" t="s">
        <v>3864</v>
      </c>
      <c r="D1670" s="28" t="s">
        <v>3936</v>
      </c>
      <c r="E1670" s="25">
        <v>106</v>
      </c>
      <c r="F1670" s="23" t="str">
        <f>VLOOKUP(B1670,'[2]справочник кодов нп'!$A:$D,4,0)</f>
        <v>сельские населенные пункты с численностью населения менее 1 000 человек.</v>
      </c>
      <c r="G1670" s="23" t="s">
        <v>1385</v>
      </c>
      <c r="H1670" s="10" t="s">
        <v>3864</v>
      </c>
      <c r="I1670" s="35" t="s">
        <v>7017</v>
      </c>
      <c r="J1670" s="33" t="s">
        <v>1337</v>
      </c>
    </row>
    <row r="1671" spans="1:10" x14ac:dyDescent="0.25">
      <c r="A1671" s="23" t="s">
        <v>3937</v>
      </c>
      <c r="B1671" s="10" t="s">
        <v>3938</v>
      </c>
      <c r="C1671" s="23" t="s">
        <v>3864</v>
      </c>
      <c r="D1671" s="28" t="s">
        <v>3939</v>
      </c>
      <c r="E1671" s="25">
        <v>106</v>
      </c>
      <c r="F1671" s="23" t="str">
        <f>VLOOKUP(B1671,'[2]справочник кодов нп'!$A:$D,4,0)</f>
        <v>сельские населенные пункты с численностью населения менее 1 000 человек.</v>
      </c>
      <c r="G1671" s="45" t="s">
        <v>1385</v>
      </c>
      <c r="H1671" s="10" t="s">
        <v>3864</v>
      </c>
      <c r="I1671" s="35" t="s">
        <v>7017</v>
      </c>
      <c r="J1671" s="33" t="s">
        <v>1337</v>
      </c>
    </row>
    <row r="1672" spans="1:10" x14ac:dyDescent="0.25">
      <c r="A1672" s="23" t="s">
        <v>3940</v>
      </c>
      <c r="B1672" s="10" t="s">
        <v>3941</v>
      </c>
      <c r="C1672" s="23" t="s">
        <v>3864</v>
      </c>
      <c r="D1672" s="28" t="s">
        <v>2285</v>
      </c>
      <c r="E1672" s="25">
        <v>106</v>
      </c>
      <c r="F1672" s="23" t="str">
        <f>VLOOKUP(B1672,'[2]справочник кодов нп'!$A:$D,4,0)</f>
        <v>сельские населенные пункты с численностью населения менее 1 000 человек.</v>
      </c>
      <c r="G1672" s="45" t="s">
        <v>1385</v>
      </c>
      <c r="H1672" s="10" t="s">
        <v>3864</v>
      </c>
      <c r="I1672" s="35" t="s">
        <v>7017</v>
      </c>
      <c r="J1672" s="33" t="s">
        <v>1337</v>
      </c>
    </row>
    <row r="1673" spans="1:10" x14ac:dyDescent="0.25">
      <c r="A1673" s="23" t="s">
        <v>3942</v>
      </c>
      <c r="B1673" s="10" t="s">
        <v>3943</v>
      </c>
      <c r="C1673" s="23" t="s">
        <v>3864</v>
      </c>
      <c r="D1673" s="28" t="s">
        <v>3944</v>
      </c>
      <c r="E1673" s="25">
        <v>106</v>
      </c>
      <c r="F1673" s="23" t="str">
        <f>VLOOKUP(B1673,'[2]справочник кодов нп'!$A:$D,4,0)</f>
        <v>сельские населенные пункты с численностью населения менее 1 000 человек.</v>
      </c>
      <c r="G1673" s="45" t="s">
        <v>1385</v>
      </c>
      <c r="H1673" s="10" t="s">
        <v>3864</v>
      </c>
      <c r="I1673" s="35" t="s">
        <v>7017</v>
      </c>
      <c r="J1673" s="33" t="s">
        <v>1337</v>
      </c>
    </row>
    <row r="1674" spans="1:10" x14ac:dyDescent="0.25">
      <c r="A1674" s="23" t="s">
        <v>5099</v>
      </c>
      <c r="B1674" s="10" t="s">
        <v>5100</v>
      </c>
      <c r="C1674" s="23" t="s">
        <v>3864</v>
      </c>
      <c r="D1674" s="28" t="s">
        <v>5101</v>
      </c>
      <c r="E1674" s="25">
        <v>106</v>
      </c>
      <c r="F1674" s="23" t="str">
        <f>VLOOKUP(B1674,'[2]справочник кодов нп'!$A:$D,4,0)</f>
        <v>сельские населенные пункты с численностью населения менее 1 000 человек.</v>
      </c>
      <c r="G1674" s="45" t="s">
        <v>1385</v>
      </c>
      <c r="H1674" s="10" t="s">
        <v>3864</v>
      </c>
      <c r="I1674" s="35" t="s">
        <v>7017</v>
      </c>
      <c r="J1674" s="33" t="s">
        <v>1337</v>
      </c>
    </row>
    <row r="1675" spans="1:10" x14ac:dyDescent="0.25">
      <c r="A1675" s="23" t="s">
        <v>5102</v>
      </c>
      <c r="B1675" s="10" t="s">
        <v>5103</v>
      </c>
      <c r="C1675" s="23" t="s">
        <v>3864</v>
      </c>
      <c r="D1675" s="28" t="s">
        <v>5104</v>
      </c>
      <c r="E1675" s="25">
        <v>106</v>
      </c>
      <c r="F1675" s="23" t="str">
        <f>VLOOKUP(B1675,'[2]справочник кодов нп'!$A:$D,4,0)</f>
        <v>сельские населенные пункты с численностью населения менее 1 000 человек.</v>
      </c>
      <c r="G1675" s="45" t="s">
        <v>1385</v>
      </c>
      <c r="H1675" s="10" t="s">
        <v>3864</v>
      </c>
      <c r="I1675" s="35" t="s">
        <v>7017</v>
      </c>
      <c r="J1675" s="33" t="s">
        <v>1337</v>
      </c>
    </row>
    <row r="1676" spans="1:10" x14ac:dyDescent="0.25">
      <c r="A1676" s="23" t="s">
        <v>5105</v>
      </c>
      <c r="B1676" s="10" t="s">
        <v>5106</v>
      </c>
      <c r="C1676" s="23" t="s">
        <v>3864</v>
      </c>
      <c r="D1676" s="28" t="s">
        <v>5107</v>
      </c>
      <c r="E1676" s="25">
        <v>106</v>
      </c>
      <c r="F1676" s="23" t="str">
        <f>VLOOKUP(B1676,'[2]справочник кодов нп'!$A:$D,4,0)</f>
        <v>сельские населенные пункты с численностью населения менее 1 000 человек.</v>
      </c>
      <c r="G1676" s="45" t="s">
        <v>1385</v>
      </c>
      <c r="H1676" s="10" t="s">
        <v>3864</v>
      </c>
      <c r="I1676" s="35" t="s">
        <v>7017</v>
      </c>
      <c r="J1676" s="33" t="s">
        <v>1337</v>
      </c>
    </row>
    <row r="1677" spans="1:10" x14ac:dyDescent="0.25">
      <c r="A1677" s="23" t="s">
        <v>5108</v>
      </c>
      <c r="B1677" s="10" t="s">
        <v>5109</v>
      </c>
      <c r="C1677" s="23" t="s">
        <v>3864</v>
      </c>
      <c r="D1677" s="28" t="s">
        <v>5110</v>
      </c>
      <c r="E1677" s="25">
        <v>106</v>
      </c>
      <c r="F1677" s="23" t="str">
        <f>VLOOKUP(B1677,'[2]справочник кодов нп'!$A:$D,4,0)</f>
        <v>сельские населенные пункты с численностью населения менее 1 000 человек.</v>
      </c>
      <c r="G1677" s="45" t="s">
        <v>1385</v>
      </c>
      <c r="H1677" s="10" t="s">
        <v>3864</v>
      </c>
      <c r="I1677" s="35" t="s">
        <v>7017</v>
      </c>
      <c r="J1677" s="33" t="s">
        <v>1337</v>
      </c>
    </row>
    <row r="1678" spans="1:10" x14ac:dyDescent="0.25">
      <c r="A1678" s="23" t="s">
        <v>5111</v>
      </c>
      <c r="B1678" s="10" t="s">
        <v>5112</v>
      </c>
      <c r="C1678" s="23" t="s">
        <v>3864</v>
      </c>
      <c r="D1678" s="28" t="s">
        <v>5113</v>
      </c>
      <c r="E1678" s="25">
        <v>106</v>
      </c>
      <c r="F1678" s="23" t="str">
        <f>VLOOKUP(B1678,'[2]справочник кодов нп'!$A:$D,4,0)</f>
        <v>сельские населенные пункты с численностью населения менее 1 000 человек.</v>
      </c>
      <c r="G1678" s="45" t="s">
        <v>1385</v>
      </c>
      <c r="H1678" s="10" t="s">
        <v>3864</v>
      </c>
      <c r="I1678" s="35" t="s">
        <v>7017</v>
      </c>
      <c r="J1678" s="33" t="s">
        <v>1337</v>
      </c>
    </row>
    <row r="1679" spans="1:10" x14ac:dyDescent="0.25">
      <c r="A1679" s="23" t="s">
        <v>5318</v>
      </c>
      <c r="B1679" s="10" t="s">
        <v>5319</v>
      </c>
      <c r="C1679" s="23" t="s">
        <v>3864</v>
      </c>
      <c r="D1679" s="28" t="s">
        <v>5320</v>
      </c>
      <c r="E1679" s="25">
        <v>106</v>
      </c>
      <c r="F1679" s="23" t="str">
        <f>VLOOKUP(B1679,'[2]справочник кодов нп'!$A:$D,4,0)</f>
        <v>сельские населенные пункты с численностью населения более 1 000 человек;</v>
      </c>
      <c r="G1679" s="45" t="s">
        <v>1385</v>
      </c>
      <c r="H1679" s="10" t="s">
        <v>3864</v>
      </c>
      <c r="I1679" s="35" t="s">
        <v>7017</v>
      </c>
      <c r="J1679" s="33" t="s">
        <v>1337</v>
      </c>
    </row>
    <row r="1680" spans="1:10" x14ac:dyDescent="0.25">
      <c r="A1680" s="23" t="s">
        <v>5427</v>
      </c>
      <c r="B1680" s="10" t="s">
        <v>5428</v>
      </c>
      <c r="C1680" s="23" t="s">
        <v>3864</v>
      </c>
      <c r="D1680" s="28" t="s">
        <v>5429</v>
      </c>
      <c r="E1680" s="25">
        <v>106</v>
      </c>
      <c r="F1680" s="23" t="str">
        <f>VLOOKUP(B1680,'[2]справочник кодов нп'!$A:$D,4,0)</f>
        <v>сельские населенные пункты с численностью населения менее 1 000 человек.</v>
      </c>
      <c r="G1680" s="45" t="s">
        <v>1385</v>
      </c>
      <c r="H1680" s="10" t="s">
        <v>3864</v>
      </c>
      <c r="I1680" s="35" t="s">
        <v>7017</v>
      </c>
      <c r="J1680" s="33" t="s">
        <v>1337</v>
      </c>
    </row>
    <row r="1681" spans="1:10" x14ac:dyDescent="0.25">
      <c r="A1681" s="23" t="s">
        <v>5430</v>
      </c>
      <c r="B1681" s="10" t="s">
        <v>5431</v>
      </c>
      <c r="C1681" s="23" t="s">
        <v>3864</v>
      </c>
      <c r="D1681" s="28" t="s">
        <v>5432</v>
      </c>
      <c r="E1681" s="25">
        <v>106</v>
      </c>
      <c r="F1681" s="23" t="str">
        <f>VLOOKUP(B1681,'[2]справочник кодов нп'!$A:$D,4,0)</f>
        <v>сельские населенные пункты с численностью населения менее 1 000 человек.</v>
      </c>
      <c r="G1681" s="45" t="s">
        <v>1385</v>
      </c>
      <c r="H1681" s="10" t="s">
        <v>3864</v>
      </c>
      <c r="I1681" s="35" t="s">
        <v>7017</v>
      </c>
      <c r="J1681" s="33" t="s">
        <v>1337</v>
      </c>
    </row>
    <row r="1682" spans="1:10" x14ac:dyDescent="0.25">
      <c r="A1682" s="23" t="s">
        <v>5433</v>
      </c>
      <c r="B1682" s="10" t="s">
        <v>5434</v>
      </c>
      <c r="C1682" s="23" t="s">
        <v>3864</v>
      </c>
      <c r="D1682" s="28" t="s">
        <v>5435</v>
      </c>
      <c r="E1682" s="25">
        <v>106</v>
      </c>
      <c r="F1682" s="23" t="str">
        <f>VLOOKUP(B1682,'[2]справочник кодов нп'!$A:$D,4,0)</f>
        <v>сельские населенные пункты с численностью населения менее 1 000 человек.</v>
      </c>
      <c r="G1682" s="45" t="s">
        <v>1385</v>
      </c>
      <c r="H1682" s="10" t="s">
        <v>3864</v>
      </c>
      <c r="I1682" s="35" t="s">
        <v>7017</v>
      </c>
      <c r="J1682" s="33" t="s">
        <v>1337</v>
      </c>
    </row>
    <row r="1683" spans="1:10" x14ac:dyDescent="0.25">
      <c r="A1683" s="23" t="s">
        <v>5436</v>
      </c>
      <c r="B1683" s="10" t="s">
        <v>5437</v>
      </c>
      <c r="C1683" s="23" t="s">
        <v>3864</v>
      </c>
      <c r="D1683" s="28" t="s">
        <v>5438</v>
      </c>
      <c r="E1683" s="25">
        <v>106</v>
      </c>
      <c r="F1683" s="23" t="str">
        <f>VLOOKUP(B1683,'[2]справочник кодов нп'!$A:$D,4,0)</f>
        <v>сельские населенные пункты с численностью населения менее 1 000 человек.</v>
      </c>
      <c r="G1683" s="23" t="s">
        <v>1385</v>
      </c>
      <c r="H1683" s="10" t="s">
        <v>3864</v>
      </c>
      <c r="I1683" s="35" t="s">
        <v>7017</v>
      </c>
      <c r="J1683" s="33" t="s">
        <v>1337</v>
      </c>
    </row>
    <row r="1684" spans="1:10" x14ac:dyDescent="0.25">
      <c r="A1684" s="23" t="s">
        <v>5439</v>
      </c>
      <c r="B1684" s="10" t="s">
        <v>5440</v>
      </c>
      <c r="C1684" s="23" t="s">
        <v>3864</v>
      </c>
      <c r="D1684" s="28" t="s">
        <v>5441</v>
      </c>
      <c r="E1684" s="25">
        <v>106</v>
      </c>
      <c r="F1684" s="23" t="str">
        <f>VLOOKUP(B1684,'[2]справочник кодов нп'!$A:$D,4,0)</f>
        <v>городские населенные пункты с численностью населения менее 50 000 человек;</v>
      </c>
      <c r="G1684" s="23" t="s">
        <v>1385</v>
      </c>
      <c r="H1684" s="10" t="s">
        <v>3864</v>
      </c>
      <c r="I1684" s="35" t="s">
        <v>7017</v>
      </c>
      <c r="J1684" s="33" t="s">
        <v>1337</v>
      </c>
    </row>
    <row r="1685" spans="1:10" x14ac:dyDescent="0.25">
      <c r="A1685" s="23" t="s">
        <v>5442</v>
      </c>
      <c r="B1685" s="10" t="s">
        <v>5443</v>
      </c>
      <c r="C1685" s="23" t="s">
        <v>3864</v>
      </c>
      <c r="D1685" s="28" t="s">
        <v>5444</v>
      </c>
      <c r="E1685" s="25">
        <v>106</v>
      </c>
      <c r="F1685" s="23" t="str">
        <f>VLOOKUP(B1685,'[2]справочник кодов нп'!$A:$D,4,0)</f>
        <v>сельские населенные пункты с численностью населения менее 1 000 человек.</v>
      </c>
      <c r="G1685" s="45" t="s">
        <v>1385</v>
      </c>
      <c r="H1685" s="10" t="s">
        <v>3864</v>
      </c>
      <c r="I1685" s="35" t="s">
        <v>7017</v>
      </c>
      <c r="J1685" s="33" t="s">
        <v>1337</v>
      </c>
    </row>
    <row r="1686" spans="1:10" x14ac:dyDescent="0.25">
      <c r="A1686" s="23" t="s">
        <v>5445</v>
      </c>
      <c r="B1686" s="10" t="s">
        <v>5446</v>
      </c>
      <c r="C1686" s="23" t="s">
        <v>3864</v>
      </c>
      <c r="D1686" s="28" t="s">
        <v>5447</v>
      </c>
      <c r="E1686" s="25">
        <v>106</v>
      </c>
      <c r="F1686" s="23" t="str">
        <f>VLOOKUP(B1686,'[2]справочник кодов нп'!$A:$D,4,0)</f>
        <v>сельские населенные пункты с численностью населения менее 1 000 человек.</v>
      </c>
      <c r="G1686" s="45" t="s">
        <v>1385</v>
      </c>
      <c r="H1686" s="10" t="s">
        <v>3864</v>
      </c>
      <c r="I1686" s="35" t="s">
        <v>7017</v>
      </c>
      <c r="J1686" s="33" t="s">
        <v>1337</v>
      </c>
    </row>
    <row r="1687" spans="1:10" x14ac:dyDescent="0.25">
      <c r="A1687" s="23" t="s">
        <v>6186</v>
      </c>
      <c r="B1687" s="10" t="s">
        <v>6187</v>
      </c>
      <c r="C1687" s="23" t="s">
        <v>3864</v>
      </c>
      <c r="D1687" s="28" t="s">
        <v>6188</v>
      </c>
      <c r="E1687" s="25">
        <v>106</v>
      </c>
      <c r="F1687" s="23" t="str">
        <f>VLOOKUP(B1687,'[2]справочник кодов нп'!$A:$D,4,0)</f>
        <v>сельские населенные пункты с численностью населения менее 1 000 человек.</v>
      </c>
      <c r="G1687" s="23" t="s">
        <v>1385</v>
      </c>
      <c r="H1687" s="10" t="s">
        <v>3864</v>
      </c>
      <c r="I1687" s="35" t="s">
        <v>7017</v>
      </c>
      <c r="J1687" s="33" t="s">
        <v>1337</v>
      </c>
    </row>
    <row r="1688" spans="1:10" x14ac:dyDescent="0.25">
      <c r="A1688" s="23" t="s">
        <v>6838</v>
      </c>
      <c r="B1688" s="10" t="s">
        <v>6839</v>
      </c>
      <c r="C1688" s="23" t="s">
        <v>3864</v>
      </c>
      <c r="D1688" s="28" t="s">
        <v>6840</v>
      </c>
      <c r="E1688" s="25">
        <v>106</v>
      </c>
      <c r="F1688" s="23" t="str">
        <f>VLOOKUP(B1688,'[2]справочник кодов нп'!$A:$D,4,0)</f>
        <v>сельские населенные пункты с численностью населения менее 1 000 человек.</v>
      </c>
      <c r="G1688" s="45" t="s">
        <v>1385</v>
      </c>
      <c r="H1688" s="10" t="s">
        <v>3864</v>
      </c>
      <c r="I1688" s="35" t="s">
        <v>7017</v>
      </c>
      <c r="J1688" s="33" t="s">
        <v>1337</v>
      </c>
    </row>
    <row r="1689" spans="1:10" x14ac:dyDescent="0.25">
      <c r="A1689" s="23" t="s">
        <v>6977</v>
      </c>
      <c r="B1689" s="10" t="s">
        <v>6978</v>
      </c>
      <c r="C1689" s="23" t="s">
        <v>3864</v>
      </c>
      <c r="D1689" s="28" t="s">
        <v>6846</v>
      </c>
      <c r="E1689" s="25">
        <v>106</v>
      </c>
      <c r="F1689" s="23" t="str">
        <f>VLOOKUP(B1689,'[2]справочник кодов нп'!$A:$D,4,0)</f>
        <v>межселенная территория</v>
      </c>
      <c r="G1689" s="23" t="s">
        <v>1385</v>
      </c>
      <c r="H1689" s="10" t="s">
        <v>3864</v>
      </c>
      <c r="I1689" s="35" t="s">
        <v>7019</v>
      </c>
      <c r="J1689" s="33" t="s">
        <v>1337</v>
      </c>
    </row>
    <row r="1690" spans="1:10" x14ac:dyDescent="0.25">
      <c r="A1690" s="23" t="s">
        <v>3945</v>
      </c>
      <c r="B1690" s="10" t="s">
        <v>3946</v>
      </c>
      <c r="C1690" s="23" t="s">
        <v>3947</v>
      </c>
      <c r="D1690" s="28" t="s">
        <v>3676</v>
      </c>
      <c r="E1690" s="25">
        <v>106</v>
      </c>
      <c r="F1690" s="23" t="str">
        <f>VLOOKUP(B1690,'[2]справочник кодов нп'!$A:$D,4,0)</f>
        <v>сельские населенные пункты с численностью населения менее 1 000 человек.</v>
      </c>
      <c r="G1690" s="23" t="s">
        <v>1385</v>
      </c>
      <c r="H1690" s="10" t="s">
        <v>3947</v>
      </c>
      <c r="I1690" s="35" t="s">
        <v>7017</v>
      </c>
      <c r="J1690" s="33" t="s">
        <v>1337</v>
      </c>
    </row>
    <row r="1691" spans="1:10" x14ac:dyDescent="0.25">
      <c r="A1691" s="23" t="s">
        <v>3948</v>
      </c>
      <c r="B1691" s="10" t="s">
        <v>3949</v>
      </c>
      <c r="C1691" s="23" t="s">
        <v>3947</v>
      </c>
      <c r="D1691" s="28" t="s">
        <v>3950</v>
      </c>
      <c r="E1691" s="25">
        <v>106</v>
      </c>
      <c r="F1691" s="23" t="str">
        <f>VLOOKUP(B1691,'[2]справочник кодов нп'!$A:$D,4,0)</f>
        <v>сельские населенные пункты с численностью населения менее 1 000 человек.</v>
      </c>
      <c r="G1691" s="23" t="s">
        <v>1385</v>
      </c>
      <c r="H1691" s="10" t="s">
        <v>3947</v>
      </c>
      <c r="I1691" s="35" t="s">
        <v>7017</v>
      </c>
      <c r="J1691" s="33" t="s">
        <v>1337</v>
      </c>
    </row>
    <row r="1692" spans="1:10" x14ac:dyDescent="0.25">
      <c r="A1692" s="23" t="s">
        <v>3951</v>
      </c>
      <c r="B1692" s="10" t="s">
        <v>3952</v>
      </c>
      <c r="C1692" s="23" t="s">
        <v>3947</v>
      </c>
      <c r="D1692" s="28" t="s">
        <v>3953</v>
      </c>
      <c r="E1692" s="25">
        <v>106</v>
      </c>
      <c r="F1692" s="23" t="str">
        <f>VLOOKUP(B1692,'[2]справочник кодов нп'!$A:$D,4,0)</f>
        <v>сельские населенные пункты с численностью населения менее 1 000 человек.</v>
      </c>
      <c r="G1692" s="23" t="s">
        <v>1385</v>
      </c>
      <c r="H1692" s="10" t="s">
        <v>3947</v>
      </c>
      <c r="I1692" s="35" t="s">
        <v>7017</v>
      </c>
      <c r="J1692" s="33" t="s">
        <v>1337</v>
      </c>
    </row>
    <row r="1693" spans="1:10" x14ac:dyDescent="0.25">
      <c r="A1693" s="23" t="s">
        <v>3954</v>
      </c>
      <c r="B1693" s="10" t="s">
        <v>3955</v>
      </c>
      <c r="C1693" s="23" t="s">
        <v>3947</v>
      </c>
      <c r="D1693" s="28" t="s">
        <v>3956</v>
      </c>
      <c r="E1693" s="25">
        <v>106</v>
      </c>
      <c r="F1693" s="23" t="str">
        <f>VLOOKUP(B1693,'[2]справочник кодов нп'!$A:$D,4,0)</f>
        <v>сельские населенные пункты с численностью населения менее 1 000 человек.</v>
      </c>
      <c r="G1693" s="23" t="s">
        <v>1385</v>
      </c>
      <c r="H1693" s="10" t="s">
        <v>3947</v>
      </c>
      <c r="I1693" s="35" t="s">
        <v>7017</v>
      </c>
      <c r="J1693" s="33" t="s">
        <v>1337</v>
      </c>
    </row>
    <row r="1694" spans="1:10" x14ac:dyDescent="0.25">
      <c r="A1694" s="23" t="s">
        <v>3957</v>
      </c>
      <c r="B1694" s="10" t="s">
        <v>3958</v>
      </c>
      <c r="C1694" s="23" t="s">
        <v>3947</v>
      </c>
      <c r="D1694" s="28" t="s">
        <v>3959</v>
      </c>
      <c r="E1694" s="25">
        <v>106</v>
      </c>
      <c r="F1694" s="23" t="str">
        <f>VLOOKUP(B1694,'[2]справочник кодов нп'!$A:$D,4,0)</f>
        <v>сельские населенные пункты с численностью населения менее 1 000 человек.</v>
      </c>
      <c r="G1694" s="23" t="s">
        <v>1385</v>
      </c>
      <c r="H1694" s="10" t="s">
        <v>3947</v>
      </c>
      <c r="I1694" s="35" t="s">
        <v>7017</v>
      </c>
      <c r="J1694" s="33" t="s">
        <v>1337</v>
      </c>
    </row>
    <row r="1695" spans="1:10" x14ac:dyDescent="0.25">
      <c r="A1695" s="23" t="s">
        <v>3960</v>
      </c>
      <c r="B1695" s="10" t="s">
        <v>3961</v>
      </c>
      <c r="C1695" s="23" t="s">
        <v>3947</v>
      </c>
      <c r="D1695" s="28" t="s">
        <v>3962</v>
      </c>
      <c r="E1695" s="25">
        <v>106</v>
      </c>
      <c r="F1695" s="23" t="str">
        <f>VLOOKUP(B1695,'[2]справочник кодов нп'!$A:$D,4,0)</f>
        <v>сельские населенные пункты с численностью населения менее 1 000 человек.</v>
      </c>
      <c r="G1695" s="23" t="s">
        <v>1385</v>
      </c>
      <c r="H1695" s="10" t="s">
        <v>3947</v>
      </c>
      <c r="I1695" s="35" t="s">
        <v>7017</v>
      </c>
      <c r="J1695" s="33" t="s">
        <v>1337</v>
      </c>
    </row>
    <row r="1696" spans="1:10" x14ac:dyDescent="0.25">
      <c r="A1696" s="23" t="s">
        <v>3963</v>
      </c>
      <c r="B1696" s="10" t="s">
        <v>3964</v>
      </c>
      <c r="C1696" s="23" t="s">
        <v>3947</v>
      </c>
      <c r="D1696" s="28" t="s">
        <v>3965</v>
      </c>
      <c r="E1696" s="25">
        <v>106</v>
      </c>
      <c r="F1696" s="23" t="str">
        <f>VLOOKUP(B1696,'[2]справочник кодов нп'!$A:$D,4,0)</f>
        <v>сельские населенные пункты с численностью населения менее 1 000 человек.</v>
      </c>
      <c r="G1696" s="23" t="s">
        <v>1385</v>
      </c>
      <c r="H1696" s="10" t="s">
        <v>3947</v>
      </c>
      <c r="I1696" s="35" t="s">
        <v>7017</v>
      </c>
      <c r="J1696" s="33" t="s">
        <v>1337</v>
      </c>
    </row>
    <row r="1697" spans="1:10" x14ac:dyDescent="0.25">
      <c r="A1697" s="23" t="s">
        <v>3966</v>
      </c>
      <c r="B1697" s="10" t="s">
        <v>3967</v>
      </c>
      <c r="C1697" s="23" t="s">
        <v>3947</v>
      </c>
      <c r="D1697" s="28" t="s">
        <v>2144</v>
      </c>
      <c r="E1697" s="25">
        <v>106</v>
      </c>
      <c r="F1697" s="23" t="str">
        <f>VLOOKUP(B1697,'[2]справочник кодов нп'!$A:$D,4,0)</f>
        <v>сельские населенные пункты с численностью населения менее 1 000 человек.</v>
      </c>
      <c r="G1697" s="23" t="s">
        <v>1385</v>
      </c>
      <c r="H1697" s="10" t="s">
        <v>3947</v>
      </c>
      <c r="I1697" s="35" t="s">
        <v>7017</v>
      </c>
      <c r="J1697" s="33" t="s">
        <v>1337</v>
      </c>
    </row>
    <row r="1698" spans="1:10" x14ac:dyDescent="0.25">
      <c r="A1698" s="23" t="s">
        <v>3968</v>
      </c>
      <c r="B1698" s="10" t="s">
        <v>3969</v>
      </c>
      <c r="C1698" s="23" t="s">
        <v>3947</v>
      </c>
      <c r="D1698" s="28" t="s">
        <v>2679</v>
      </c>
      <c r="E1698" s="25">
        <v>106</v>
      </c>
      <c r="F1698" s="23" t="str">
        <f>VLOOKUP(B1698,'[2]справочник кодов нп'!$A:$D,4,0)</f>
        <v>сельские населенные пункты с численностью населения менее 1 000 человек.</v>
      </c>
      <c r="G1698" s="23" t="s">
        <v>1385</v>
      </c>
      <c r="H1698" s="10" t="s">
        <v>3947</v>
      </c>
      <c r="I1698" s="35" t="s">
        <v>7017</v>
      </c>
      <c r="J1698" s="33" t="s">
        <v>1337</v>
      </c>
    </row>
    <row r="1699" spans="1:10" x14ac:dyDescent="0.25">
      <c r="A1699" s="23" t="s">
        <v>3970</v>
      </c>
      <c r="B1699" s="10" t="s">
        <v>3971</v>
      </c>
      <c r="C1699" s="23" t="s">
        <v>3947</v>
      </c>
      <c r="D1699" s="28" t="s">
        <v>3972</v>
      </c>
      <c r="E1699" s="25">
        <v>106</v>
      </c>
      <c r="F1699" s="23" t="str">
        <f>VLOOKUP(B1699,'[2]справочник кодов нп'!$A:$D,4,0)</f>
        <v>сельские населенные пункты с численностью населения менее 1 000 человек.</v>
      </c>
      <c r="G1699" s="23" t="s">
        <v>1385</v>
      </c>
      <c r="H1699" s="10" t="s">
        <v>3947</v>
      </c>
      <c r="I1699" s="35" t="s">
        <v>7017</v>
      </c>
      <c r="J1699" s="33" t="s">
        <v>1337</v>
      </c>
    </row>
    <row r="1700" spans="1:10" x14ac:dyDescent="0.25">
      <c r="A1700" s="23" t="s">
        <v>3973</v>
      </c>
      <c r="B1700" s="10" t="s">
        <v>3974</v>
      </c>
      <c r="C1700" s="23" t="s">
        <v>3947</v>
      </c>
      <c r="D1700" s="28" t="s">
        <v>3975</v>
      </c>
      <c r="E1700" s="25">
        <v>106</v>
      </c>
      <c r="F1700" s="23" t="str">
        <f>VLOOKUP(B1700,'[2]справочник кодов нп'!$A:$D,4,0)</f>
        <v>сельские населенные пункты с численностью населения менее 1 000 человек.</v>
      </c>
      <c r="G1700" s="23" t="s">
        <v>1385</v>
      </c>
      <c r="H1700" s="10" t="s">
        <v>3947</v>
      </c>
      <c r="I1700" s="35" t="s">
        <v>7017</v>
      </c>
      <c r="J1700" s="33" t="s">
        <v>1337</v>
      </c>
    </row>
    <row r="1701" spans="1:10" x14ac:dyDescent="0.25">
      <c r="A1701" s="23" t="s">
        <v>3976</v>
      </c>
      <c r="B1701" s="10" t="s">
        <v>3977</v>
      </c>
      <c r="C1701" s="23" t="s">
        <v>3947</v>
      </c>
      <c r="D1701" s="28" t="s">
        <v>3978</v>
      </c>
      <c r="E1701" s="25">
        <v>106</v>
      </c>
      <c r="F1701" s="23" t="str">
        <f>VLOOKUP(B1701,'[2]справочник кодов нп'!$A:$D,4,0)</f>
        <v>сельские населенные пункты с численностью населения менее 1 000 человек.</v>
      </c>
      <c r="G1701" s="23" t="s">
        <v>1385</v>
      </c>
      <c r="H1701" s="10" t="s">
        <v>3947</v>
      </c>
      <c r="I1701" s="35" t="s">
        <v>7017</v>
      </c>
      <c r="J1701" s="33" t="s">
        <v>1337</v>
      </c>
    </row>
    <row r="1702" spans="1:10" x14ac:dyDescent="0.25">
      <c r="A1702" s="23" t="s">
        <v>3979</v>
      </c>
      <c r="B1702" s="10" t="s">
        <v>3980</v>
      </c>
      <c r="C1702" s="23" t="s">
        <v>3947</v>
      </c>
      <c r="D1702" s="28" t="s">
        <v>3981</v>
      </c>
      <c r="E1702" s="25">
        <v>106</v>
      </c>
      <c r="F1702" s="23" t="str">
        <f>VLOOKUP(B1702,'[2]справочник кодов нп'!$A:$D,4,0)</f>
        <v>сельские населенные пункты с численностью населения менее 1 000 человек.</v>
      </c>
      <c r="G1702" s="23" t="s">
        <v>1385</v>
      </c>
      <c r="H1702" s="10" t="s">
        <v>3947</v>
      </c>
      <c r="I1702" s="35" t="s">
        <v>7017</v>
      </c>
      <c r="J1702" s="33" t="s">
        <v>1337</v>
      </c>
    </row>
    <row r="1703" spans="1:10" x14ac:dyDescent="0.25">
      <c r="A1703" s="23" t="s">
        <v>3982</v>
      </c>
      <c r="B1703" s="10" t="s">
        <v>3983</v>
      </c>
      <c r="C1703" s="23" t="s">
        <v>3947</v>
      </c>
      <c r="D1703" s="28" t="s">
        <v>3984</v>
      </c>
      <c r="E1703" s="25">
        <v>106</v>
      </c>
      <c r="F1703" s="23" t="str">
        <f>VLOOKUP(B1703,'[2]справочник кодов нп'!$A:$D,4,0)</f>
        <v>сельские населенные пункты с численностью населения менее 1 000 человек.</v>
      </c>
      <c r="G1703" s="23" t="s">
        <v>1385</v>
      </c>
      <c r="H1703" s="10" t="s">
        <v>3947</v>
      </c>
      <c r="I1703" s="35" t="s">
        <v>7017</v>
      </c>
      <c r="J1703" s="33" t="s">
        <v>1337</v>
      </c>
    </row>
    <row r="1704" spans="1:10" x14ac:dyDescent="0.25">
      <c r="A1704" s="23" t="s">
        <v>3985</v>
      </c>
      <c r="B1704" s="10" t="s">
        <v>3986</v>
      </c>
      <c r="C1704" s="23" t="s">
        <v>3947</v>
      </c>
      <c r="D1704" s="28" t="s">
        <v>3987</v>
      </c>
      <c r="E1704" s="25">
        <v>106</v>
      </c>
      <c r="F1704" s="23" t="str">
        <f>VLOOKUP(B1704,'[2]справочник кодов нп'!$A:$D,4,0)</f>
        <v>сельские населенные пункты с численностью населения менее 1 000 человек.</v>
      </c>
      <c r="G1704" s="23" t="s">
        <v>1385</v>
      </c>
      <c r="H1704" s="10" t="s">
        <v>3947</v>
      </c>
      <c r="I1704" s="35" t="s">
        <v>7017</v>
      </c>
      <c r="J1704" s="33" t="s">
        <v>1337</v>
      </c>
    </row>
    <row r="1705" spans="1:10" x14ac:dyDescent="0.25">
      <c r="A1705" s="23" t="s">
        <v>3988</v>
      </c>
      <c r="B1705" s="10" t="s">
        <v>3989</v>
      </c>
      <c r="C1705" s="23" t="s">
        <v>3947</v>
      </c>
      <c r="D1705" s="28" t="s">
        <v>3990</v>
      </c>
      <c r="E1705" s="25">
        <v>106</v>
      </c>
      <c r="F1705" s="23" t="str">
        <f>VLOOKUP(B1705,'[2]справочник кодов нп'!$A:$D,4,0)</f>
        <v>сельские населенные пункты с численностью населения менее 1 000 человек.</v>
      </c>
      <c r="G1705" s="23" t="s">
        <v>1385</v>
      </c>
      <c r="H1705" s="10" t="s">
        <v>3947</v>
      </c>
      <c r="I1705" s="35" t="s">
        <v>7017</v>
      </c>
      <c r="J1705" s="33" t="s">
        <v>1337</v>
      </c>
    </row>
    <row r="1706" spans="1:10" x14ac:dyDescent="0.25">
      <c r="A1706" s="23" t="s">
        <v>3991</v>
      </c>
      <c r="B1706" s="10" t="s">
        <v>3992</v>
      </c>
      <c r="C1706" s="23" t="s">
        <v>3947</v>
      </c>
      <c r="D1706" s="28" t="s">
        <v>3993</v>
      </c>
      <c r="E1706" s="25">
        <v>106</v>
      </c>
      <c r="F1706" s="23" t="str">
        <f>VLOOKUP(B1706,'[2]справочник кодов нп'!$A:$D,4,0)</f>
        <v>сельские населенные пункты с численностью населения менее 1 000 человек.</v>
      </c>
      <c r="G1706" s="23" t="s">
        <v>1385</v>
      </c>
      <c r="H1706" s="10" t="s">
        <v>3947</v>
      </c>
      <c r="I1706" s="35" t="s">
        <v>7017</v>
      </c>
      <c r="J1706" s="33" t="s">
        <v>1337</v>
      </c>
    </row>
    <row r="1707" spans="1:10" x14ac:dyDescent="0.25">
      <c r="A1707" s="23" t="s">
        <v>3994</v>
      </c>
      <c r="B1707" s="10" t="s">
        <v>3995</v>
      </c>
      <c r="C1707" s="23" t="s">
        <v>3947</v>
      </c>
      <c r="D1707" s="28" t="s">
        <v>3996</v>
      </c>
      <c r="E1707" s="25">
        <v>106</v>
      </c>
      <c r="F1707" s="23" t="str">
        <f>VLOOKUP(B1707,'[2]справочник кодов нп'!$A:$D,4,0)</f>
        <v>сельские населенные пункты с численностью населения менее 1 000 человек.</v>
      </c>
      <c r="G1707" s="23" t="s">
        <v>1385</v>
      </c>
      <c r="H1707" s="10" t="s">
        <v>3947</v>
      </c>
      <c r="I1707" s="35" t="s">
        <v>7017</v>
      </c>
      <c r="J1707" s="33" t="s">
        <v>1337</v>
      </c>
    </row>
    <row r="1708" spans="1:10" x14ac:dyDescent="0.25">
      <c r="A1708" s="23" t="s">
        <v>3997</v>
      </c>
      <c r="B1708" s="10" t="s">
        <v>3998</v>
      </c>
      <c r="C1708" s="23" t="s">
        <v>3947</v>
      </c>
      <c r="D1708" s="28" t="s">
        <v>3999</v>
      </c>
      <c r="E1708" s="25">
        <v>106</v>
      </c>
      <c r="F1708" s="23" t="str">
        <f>VLOOKUP(B1708,'[2]справочник кодов нп'!$A:$D,4,0)</f>
        <v>сельские населенные пункты с численностью населения менее 1 000 человек.</v>
      </c>
      <c r="G1708" s="23" t="s">
        <v>1385</v>
      </c>
      <c r="H1708" s="10" t="s">
        <v>3947</v>
      </c>
      <c r="I1708" s="35" t="s">
        <v>7017</v>
      </c>
      <c r="J1708" s="33" t="s">
        <v>1337</v>
      </c>
    </row>
    <row r="1709" spans="1:10" x14ac:dyDescent="0.25">
      <c r="A1709" s="23" t="s">
        <v>4000</v>
      </c>
      <c r="B1709" s="10" t="s">
        <v>4001</v>
      </c>
      <c r="C1709" s="23" t="s">
        <v>3947</v>
      </c>
      <c r="D1709" s="28" t="s">
        <v>4002</v>
      </c>
      <c r="E1709" s="25">
        <v>106</v>
      </c>
      <c r="F1709" s="23" t="str">
        <f>VLOOKUP(B1709,'[2]справочник кодов нп'!$A:$D,4,0)</f>
        <v>сельские населенные пункты с численностью населения менее 1 000 человек.</v>
      </c>
      <c r="G1709" s="23" t="s">
        <v>1385</v>
      </c>
      <c r="H1709" s="10" t="s">
        <v>3947</v>
      </c>
      <c r="I1709" s="35" t="s">
        <v>7017</v>
      </c>
      <c r="J1709" s="33" t="s">
        <v>1337</v>
      </c>
    </row>
    <row r="1710" spans="1:10" x14ac:dyDescent="0.25">
      <c r="A1710" s="23" t="s">
        <v>4003</v>
      </c>
      <c r="B1710" s="10" t="s">
        <v>4004</v>
      </c>
      <c r="C1710" s="23" t="s">
        <v>3947</v>
      </c>
      <c r="D1710" s="28" t="s">
        <v>4005</v>
      </c>
      <c r="E1710" s="25">
        <v>106</v>
      </c>
      <c r="F1710" s="23" t="str">
        <f>VLOOKUP(B1710,'[2]справочник кодов нп'!$A:$D,4,0)</f>
        <v>сельские населенные пункты с численностью населения менее 1 000 человек.</v>
      </c>
      <c r="G1710" s="23" t="s">
        <v>1385</v>
      </c>
      <c r="H1710" s="10" t="s">
        <v>3947</v>
      </c>
      <c r="I1710" s="35" t="s">
        <v>7017</v>
      </c>
      <c r="J1710" s="33" t="s">
        <v>1337</v>
      </c>
    </row>
    <row r="1711" spans="1:10" x14ac:dyDescent="0.25">
      <c r="A1711" s="23" t="s">
        <v>4006</v>
      </c>
      <c r="B1711" s="10" t="s">
        <v>4007</v>
      </c>
      <c r="C1711" s="23" t="s">
        <v>3947</v>
      </c>
      <c r="D1711" s="28" t="s">
        <v>4008</v>
      </c>
      <c r="E1711" s="25">
        <v>106</v>
      </c>
      <c r="F1711" s="23" t="str">
        <f>VLOOKUP(B1711,'[2]справочник кодов нп'!$A:$D,4,0)</f>
        <v>сельские населенные пункты с численностью населения менее 1 000 человек.</v>
      </c>
      <c r="G1711" s="23" t="s">
        <v>1385</v>
      </c>
      <c r="H1711" s="10" t="s">
        <v>3947</v>
      </c>
      <c r="I1711" s="35" t="s">
        <v>7017</v>
      </c>
      <c r="J1711" s="33" t="s">
        <v>1337</v>
      </c>
    </row>
    <row r="1712" spans="1:10" x14ac:dyDescent="0.25">
      <c r="A1712" s="23" t="s">
        <v>4009</v>
      </c>
      <c r="B1712" s="10" t="s">
        <v>4010</v>
      </c>
      <c r="C1712" s="23" t="s">
        <v>3947</v>
      </c>
      <c r="D1712" s="28" t="s">
        <v>4011</v>
      </c>
      <c r="E1712" s="25">
        <v>106</v>
      </c>
      <c r="F1712" s="23" t="str">
        <f>VLOOKUP(B1712,'[2]справочник кодов нп'!$A:$D,4,0)</f>
        <v>сельские населенные пункты с численностью населения менее 1 000 человек.</v>
      </c>
      <c r="G1712" s="23" t="s">
        <v>1385</v>
      </c>
      <c r="H1712" s="10" t="s">
        <v>3947</v>
      </c>
      <c r="I1712" s="35" t="s">
        <v>7017</v>
      </c>
      <c r="J1712" s="33" t="s">
        <v>1337</v>
      </c>
    </row>
    <row r="1713" spans="1:10" x14ac:dyDescent="0.25">
      <c r="A1713" s="23" t="s">
        <v>4012</v>
      </c>
      <c r="B1713" s="10" t="s">
        <v>4013</v>
      </c>
      <c r="C1713" s="23" t="s">
        <v>3947</v>
      </c>
      <c r="D1713" s="28" t="s">
        <v>2785</v>
      </c>
      <c r="E1713" s="25">
        <v>106</v>
      </c>
      <c r="F1713" s="23" t="str">
        <f>VLOOKUP(B1713,'[2]справочник кодов нп'!$A:$D,4,0)</f>
        <v>сельские населенные пункты с численностью населения менее 1 000 человек.</v>
      </c>
      <c r="G1713" s="23" t="s">
        <v>1385</v>
      </c>
      <c r="H1713" s="10" t="s">
        <v>3947</v>
      </c>
      <c r="I1713" s="35" t="s">
        <v>7017</v>
      </c>
      <c r="J1713" s="33" t="s">
        <v>1337</v>
      </c>
    </row>
    <row r="1714" spans="1:10" x14ac:dyDescent="0.25">
      <c r="A1714" s="23" t="s">
        <v>4014</v>
      </c>
      <c r="B1714" s="10" t="s">
        <v>4015</v>
      </c>
      <c r="C1714" s="23" t="s">
        <v>3947</v>
      </c>
      <c r="D1714" s="28" t="s">
        <v>4016</v>
      </c>
      <c r="E1714" s="25">
        <v>106</v>
      </c>
      <c r="F1714" s="23" t="str">
        <f>VLOOKUP(B1714,'[2]справочник кодов нп'!$A:$D,4,0)</f>
        <v>сельские населенные пункты с численностью населения менее 1 000 человек.</v>
      </c>
      <c r="G1714" s="23" t="s">
        <v>1385</v>
      </c>
      <c r="H1714" s="10" t="s">
        <v>3947</v>
      </c>
      <c r="I1714" s="35" t="s">
        <v>7017</v>
      </c>
      <c r="J1714" s="33" t="s">
        <v>1337</v>
      </c>
    </row>
    <row r="1715" spans="1:10" x14ac:dyDescent="0.25">
      <c r="A1715" s="23" t="s">
        <v>4017</v>
      </c>
      <c r="B1715" s="10" t="s">
        <v>4018</v>
      </c>
      <c r="C1715" s="23" t="s">
        <v>3947</v>
      </c>
      <c r="D1715" s="28" t="s">
        <v>3644</v>
      </c>
      <c r="E1715" s="25">
        <v>106</v>
      </c>
      <c r="F1715" s="23" t="str">
        <f>VLOOKUP(B1715,'[2]справочник кодов нп'!$A:$D,4,0)</f>
        <v>сельские населенные пункты с численностью населения менее 1 000 человек.</v>
      </c>
      <c r="G1715" s="23" t="s">
        <v>1385</v>
      </c>
      <c r="H1715" s="10" t="s">
        <v>3947</v>
      </c>
      <c r="I1715" s="35" t="s">
        <v>7017</v>
      </c>
      <c r="J1715" s="33" t="s">
        <v>1337</v>
      </c>
    </row>
    <row r="1716" spans="1:10" x14ac:dyDescent="0.25">
      <c r="A1716" s="23" t="s">
        <v>4019</v>
      </c>
      <c r="B1716" s="10" t="s">
        <v>4020</v>
      </c>
      <c r="C1716" s="23" t="s">
        <v>3947</v>
      </c>
      <c r="D1716" s="28" t="s">
        <v>4021</v>
      </c>
      <c r="E1716" s="25">
        <v>106</v>
      </c>
      <c r="F1716" s="23" t="str">
        <f>VLOOKUP(B1716,'[2]справочник кодов нп'!$A:$D,4,0)</f>
        <v>сельские населенные пункты с численностью населения менее 1 000 человек.</v>
      </c>
      <c r="G1716" s="23" t="s">
        <v>1385</v>
      </c>
      <c r="H1716" s="10" t="s">
        <v>3947</v>
      </c>
      <c r="I1716" s="35" t="s">
        <v>7017</v>
      </c>
      <c r="J1716" s="33" t="s">
        <v>1337</v>
      </c>
    </row>
    <row r="1717" spans="1:10" x14ac:dyDescent="0.25">
      <c r="A1717" s="23" t="s">
        <v>4022</v>
      </c>
      <c r="B1717" s="10" t="s">
        <v>4023</v>
      </c>
      <c r="C1717" s="23" t="s">
        <v>3947</v>
      </c>
      <c r="D1717" s="28" t="s">
        <v>4024</v>
      </c>
      <c r="E1717" s="25">
        <v>106</v>
      </c>
      <c r="F1717" s="23" t="str">
        <f>VLOOKUP(B1717,'[2]справочник кодов нп'!$A:$D,4,0)</f>
        <v>сельские населенные пункты с численностью населения менее 1 000 человек.</v>
      </c>
      <c r="G1717" s="45" t="s">
        <v>1385</v>
      </c>
      <c r="H1717" s="10" t="s">
        <v>3947</v>
      </c>
      <c r="I1717" s="35" t="s">
        <v>7017</v>
      </c>
      <c r="J1717" s="33" t="s">
        <v>1337</v>
      </c>
    </row>
    <row r="1718" spans="1:10" x14ac:dyDescent="0.25">
      <c r="A1718" s="23" t="s">
        <v>4025</v>
      </c>
      <c r="B1718" s="10" t="s">
        <v>4026</v>
      </c>
      <c r="C1718" s="23" t="s">
        <v>3947</v>
      </c>
      <c r="D1718" s="28" t="s">
        <v>4027</v>
      </c>
      <c r="E1718" s="25">
        <v>106</v>
      </c>
      <c r="F1718" s="23" t="str">
        <f>VLOOKUP(B1718,'[2]справочник кодов нп'!$A:$D,4,0)</f>
        <v>сельские населенные пункты с численностью населения менее 1 000 человек.</v>
      </c>
      <c r="G1718" s="45" t="s">
        <v>1385</v>
      </c>
      <c r="H1718" s="10" t="s">
        <v>3947</v>
      </c>
      <c r="I1718" s="35" t="s">
        <v>7017</v>
      </c>
      <c r="J1718" s="33" t="s">
        <v>1337</v>
      </c>
    </row>
    <row r="1719" spans="1:10" x14ac:dyDescent="0.25">
      <c r="A1719" s="23" t="s">
        <v>4028</v>
      </c>
      <c r="B1719" s="10" t="s">
        <v>4029</v>
      </c>
      <c r="C1719" s="23" t="s">
        <v>3947</v>
      </c>
      <c r="D1719" s="28" t="s">
        <v>4030</v>
      </c>
      <c r="E1719" s="25">
        <v>106</v>
      </c>
      <c r="F1719" s="23" t="str">
        <f>VLOOKUP(B1719,'[2]справочник кодов нп'!$A:$D,4,0)</f>
        <v>сельские населенные пункты с численностью населения менее 1 000 человек.</v>
      </c>
      <c r="G1719" s="45" t="s">
        <v>1385</v>
      </c>
      <c r="H1719" s="10" t="s">
        <v>3947</v>
      </c>
      <c r="I1719" s="35" t="s">
        <v>7017</v>
      </c>
      <c r="J1719" s="33" t="s">
        <v>1337</v>
      </c>
    </row>
    <row r="1720" spans="1:10" x14ac:dyDescent="0.25">
      <c r="A1720" s="23" t="s">
        <v>4031</v>
      </c>
      <c r="B1720" s="10" t="s">
        <v>4032</v>
      </c>
      <c r="C1720" s="23" t="s">
        <v>3947</v>
      </c>
      <c r="D1720" s="28" t="s">
        <v>2082</v>
      </c>
      <c r="E1720" s="25">
        <v>106</v>
      </c>
      <c r="F1720" s="23" t="str">
        <f>VLOOKUP(B1720,'[2]справочник кодов нп'!$A:$D,4,0)</f>
        <v>сельские населенные пункты с численностью населения менее 1 000 человек.</v>
      </c>
      <c r="G1720" s="23" t="s">
        <v>1385</v>
      </c>
      <c r="H1720" s="10" t="s">
        <v>3947</v>
      </c>
      <c r="I1720" s="35" t="s">
        <v>7017</v>
      </c>
      <c r="J1720" s="33" t="s">
        <v>1337</v>
      </c>
    </row>
    <row r="1721" spans="1:10" x14ac:dyDescent="0.25">
      <c r="A1721" s="23" t="s">
        <v>4033</v>
      </c>
      <c r="B1721" s="10" t="s">
        <v>4034</v>
      </c>
      <c r="C1721" s="23" t="s">
        <v>3947</v>
      </c>
      <c r="D1721" s="28" t="s">
        <v>4035</v>
      </c>
      <c r="E1721" s="25">
        <v>106</v>
      </c>
      <c r="F1721" s="23" t="str">
        <f>VLOOKUP(B1721,'[2]справочник кодов нп'!$A:$D,4,0)</f>
        <v>сельские населенные пункты с численностью населения менее 1 000 человек.</v>
      </c>
      <c r="G1721" s="23" t="s">
        <v>1385</v>
      </c>
      <c r="H1721" s="10" t="s">
        <v>3947</v>
      </c>
      <c r="I1721" s="35" t="s">
        <v>7017</v>
      </c>
      <c r="J1721" s="33" t="s">
        <v>1337</v>
      </c>
    </row>
    <row r="1722" spans="1:10" x14ac:dyDescent="0.25">
      <c r="A1722" s="23" t="s">
        <v>4036</v>
      </c>
      <c r="B1722" s="10" t="s">
        <v>4037</v>
      </c>
      <c r="C1722" s="23" t="s">
        <v>3947</v>
      </c>
      <c r="D1722" s="28" t="s">
        <v>4038</v>
      </c>
      <c r="E1722" s="25">
        <v>106</v>
      </c>
      <c r="F1722" s="23" t="str">
        <f>VLOOKUP(B1722,'[2]справочник кодов нп'!$A:$D,4,0)</f>
        <v>сельские населенные пункты с численностью населения менее 1 000 человек.</v>
      </c>
      <c r="G1722" s="23" t="s">
        <v>1385</v>
      </c>
      <c r="H1722" s="10" t="s">
        <v>3947</v>
      </c>
      <c r="I1722" s="35" t="s">
        <v>7017</v>
      </c>
      <c r="J1722" s="33" t="s">
        <v>1337</v>
      </c>
    </row>
    <row r="1723" spans="1:10" x14ac:dyDescent="0.25">
      <c r="A1723" s="23" t="s">
        <v>4039</v>
      </c>
      <c r="B1723" s="10" t="s">
        <v>4040</v>
      </c>
      <c r="C1723" s="23" t="s">
        <v>3947</v>
      </c>
      <c r="D1723" s="28" t="s">
        <v>4041</v>
      </c>
      <c r="E1723" s="25">
        <v>106</v>
      </c>
      <c r="F1723" s="23" t="str">
        <f>VLOOKUP(B1723,'[2]справочник кодов нп'!$A:$D,4,0)</f>
        <v>сельские населенные пункты с численностью населения менее 1 000 человек.</v>
      </c>
      <c r="G1723" s="23" t="s">
        <v>1385</v>
      </c>
      <c r="H1723" s="10" t="s">
        <v>3947</v>
      </c>
      <c r="I1723" s="35" t="s">
        <v>7017</v>
      </c>
      <c r="J1723" s="33" t="s">
        <v>1337</v>
      </c>
    </row>
    <row r="1724" spans="1:10" x14ac:dyDescent="0.25">
      <c r="A1724" s="23" t="s">
        <v>4042</v>
      </c>
      <c r="B1724" s="10" t="s">
        <v>4043</v>
      </c>
      <c r="C1724" s="23" t="s">
        <v>3947</v>
      </c>
      <c r="D1724" s="28" t="s">
        <v>4044</v>
      </c>
      <c r="E1724" s="25">
        <v>106</v>
      </c>
      <c r="F1724" s="23" t="str">
        <f>VLOOKUP(B1724,'[2]справочник кодов нп'!$A:$D,4,0)</f>
        <v>сельские населенные пункты с численностью населения менее 1 000 человек.</v>
      </c>
      <c r="G1724" s="23" t="s">
        <v>1385</v>
      </c>
      <c r="H1724" s="10" t="s">
        <v>3947</v>
      </c>
      <c r="I1724" s="35" t="s">
        <v>7017</v>
      </c>
      <c r="J1724" s="33" t="s">
        <v>1337</v>
      </c>
    </row>
    <row r="1725" spans="1:10" x14ac:dyDescent="0.25">
      <c r="A1725" s="23" t="s">
        <v>4045</v>
      </c>
      <c r="B1725" s="10" t="s">
        <v>4046</v>
      </c>
      <c r="C1725" s="23" t="s">
        <v>3947</v>
      </c>
      <c r="D1725" s="28" t="s">
        <v>4047</v>
      </c>
      <c r="E1725" s="25">
        <v>106</v>
      </c>
      <c r="F1725" s="23" t="str">
        <f>VLOOKUP(B1725,'[2]справочник кодов нп'!$A:$D,4,0)</f>
        <v>сельские населенные пункты с численностью населения менее 1 000 человек.</v>
      </c>
      <c r="G1725" s="23" t="s">
        <v>1385</v>
      </c>
      <c r="H1725" s="10" t="s">
        <v>3947</v>
      </c>
      <c r="I1725" s="35" t="s">
        <v>7017</v>
      </c>
      <c r="J1725" s="33" t="s">
        <v>1337</v>
      </c>
    </row>
    <row r="1726" spans="1:10" x14ac:dyDescent="0.25">
      <c r="A1726" s="23" t="s">
        <v>4048</v>
      </c>
      <c r="B1726" s="10" t="s">
        <v>4049</v>
      </c>
      <c r="C1726" s="23" t="s">
        <v>3947</v>
      </c>
      <c r="D1726" s="28" t="s">
        <v>4050</v>
      </c>
      <c r="E1726" s="25">
        <v>106</v>
      </c>
      <c r="F1726" s="23" t="str">
        <f>VLOOKUP(B1726,'[2]справочник кодов нп'!$A:$D,4,0)</f>
        <v>сельские населенные пункты с численностью населения менее 1 000 человек.</v>
      </c>
      <c r="G1726" s="23" t="s">
        <v>1385</v>
      </c>
      <c r="H1726" s="10" t="s">
        <v>3947</v>
      </c>
      <c r="I1726" s="35" t="s">
        <v>7017</v>
      </c>
      <c r="J1726" s="33" t="s">
        <v>1337</v>
      </c>
    </row>
    <row r="1727" spans="1:10" x14ac:dyDescent="0.25">
      <c r="A1727" s="23" t="s">
        <v>4051</v>
      </c>
      <c r="B1727" s="10" t="s">
        <v>4052</v>
      </c>
      <c r="C1727" s="23" t="s">
        <v>3947</v>
      </c>
      <c r="D1727" s="28" t="s">
        <v>1616</v>
      </c>
      <c r="E1727" s="25">
        <v>106</v>
      </c>
      <c r="F1727" s="23" t="str">
        <f>VLOOKUP(B1727,'[2]справочник кодов нп'!$A:$D,4,0)</f>
        <v>сельские населенные пункты с численностью населения менее 1 000 человек.</v>
      </c>
      <c r="G1727" s="45" t="s">
        <v>1385</v>
      </c>
      <c r="H1727" s="10" t="s">
        <v>3947</v>
      </c>
      <c r="I1727" s="35" t="s">
        <v>7017</v>
      </c>
      <c r="J1727" s="33" t="s">
        <v>1337</v>
      </c>
    </row>
    <row r="1728" spans="1:10" x14ac:dyDescent="0.25">
      <c r="A1728" s="23" t="s">
        <v>4053</v>
      </c>
      <c r="B1728" s="10" t="s">
        <v>4054</v>
      </c>
      <c r="C1728" s="23" t="s">
        <v>3947</v>
      </c>
      <c r="D1728" s="28" t="s">
        <v>4055</v>
      </c>
      <c r="E1728" s="25">
        <v>106</v>
      </c>
      <c r="F1728" s="23" t="str">
        <f>VLOOKUP(B1728,'[2]справочник кодов нп'!$A:$D,4,0)</f>
        <v>сельские населенные пункты с численностью населения менее 1 000 человек.</v>
      </c>
      <c r="G1728" s="23" t="s">
        <v>1385</v>
      </c>
      <c r="H1728" s="10" t="s">
        <v>3947</v>
      </c>
      <c r="I1728" s="35" t="s">
        <v>7017</v>
      </c>
      <c r="J1728" s="33" t="s">
        <v>1337</v>
      </c>
    </row>
    <row r="1729" spans="1:10" x14ac:dyDescent="0.25">
      <c r="A1729" s="23" t="s">
        <v>4056</v>
      </c>
      <c r="B1729" s="10" t="s">
        <v>4057</v>
      </c>
      <c r="C1729" s="23" t="s">
        <v>3947</v>
      </c>
      <c r="D1729" s="28" t="s">
        <v>4058</v>
      </c>
      <c r="E1729" s="25">
        <v>106</v>
      </c>
      <c r="F1729" s="23" t="str">
        <f>VLOOKUP(B1729,'[2]справочник кодов нп'!$A:$D,4,0)</f>
        <v>сельские населенные пункты с численностью населения менее 1 000 человек.</v>
      </c>
      <c r="G1729" s="23" t="s">
        <v>1385</v>
      </c>
      <c r="H1729" s="10" t="s">
        <v>3947</v>
      </c>
      <c r="I1729" s="35" t="s">
        <v>7017</v>
      </c>
      <c r="J1729" s="33" t="s">
        <v>1337</v>
      </c>
    </row>
    <row r="1730" spans="1:10" x14ac:dyDescent="0.25">
      <c r="A1730" s="23" t="s">
        <v>4059</v>
      </c>
      <c r="B1730" s="10" t="s">
        <v>4060</v>
      </c>
      <c r="C1730" s="23" t="s">
        <v>3947</v>
      </c>
      <c r="D1730" s="28" t="s">
        <v>4061</v>
      </c>
      <c r="E1730" s="25">
        <v>106</v>
      </c>
      <c r="F1730" s="23" t="str">
        <f>VLOOKUP(B1730,'[2]справочник кодов нп'!$A:$D,4,0)</f>
        <v>сельские населенные пункты с численностью населения менее 1 000 человек.</v>
      </c>
      <c r="G1730" s="23" t="s">
        <v>1385</v>
      </c>
      <c r="H1730" s="10" t="s">
        <v>3947</v>
      </c>
      <c r="I1730" s="35" t="s">
        <v>7017</v>
      </c>
      <c r="J1730" s="33" t="s">
        <v>1337</v>
      </c>
    </row>
    <row r="1731" spans="1:10" x14ac:dyDescent="0.25">
      <c r="A1731" s="23" t="s">
        <v>4062</v>
      </c>
      <c r="B1731" s="10" t="s">
        <v>4063</v>
      </c>
      <c r="C1731" s="23" t="s">
        <v>3947</v>
      </c>
      <c r="D1731" s="28" t="s">
        <v>4064</v>
      </c>
      <c r="E1731" s="25">
        <v>106</v>
      </c>
      <c r="F1731" s="23" t="str">
        <f>VLOOKUP(B1731,'[2]справочник кодов нп'!$A:$D,4,0)</f>
        <v>сельские населенные пункты с численностью населения менее 1 000 человек.</v>
      </c>
      <c r="G1731" s="45" t="s">
        <v>1385</v>
      </c>
      <c r="H1731" s="10" t="s">
        <v>3947</v>
      </c>
      <c r="I1731" s="35" t="s">
        <v>7017</v>
      </c>
      <c r="J1731" s="33" t="s">
        <v>1337</v>
      </c>
    </row>
    <row r="1732" spans="1:10" x14ac:dyDescent="0.25">
      <c r="A1732" s="23" t="s">
        <v>4065</v>
      </c>
      <c r="B1732" s="10" t="s">
        <v>4066</v>
      </c>
      <c r="C1732" s="23" t="s">
        <v>3947</v>
      </c>
      <c r="D1732" s="28" t="s">
        <v>4067</v>
      </c>
      <c r="E1732" s="25">
        <v>106</v>
      </c>
      <c r="F1732" s="23" t="str">
        <f>VLOOKUP(B1732,'[2]справочник кодов нп'!$A:$D,4,0)</f>
        <v>сельские населенные пункты с численностью населения менее 1 000 человек.</v>
      </c>
      <c r="G1732" s="23" t="s">
        <v>1385</v>
      </c>
      <c r="H1732" s="10" t="s">
        <v>3947</v>
      </c>
      <c r="I1732" s="35" t="s">
        <v>7017</v>
      </c>
      <c r="J1732" s="33" t="s">
        <v>1337</v>
      </c>
    </row>
    <row r="1733" spans="1:10" x14ac:dyDescent="0.25">
      <c r="A1733" s="23" t="s">
        <v>4068</v>
      </c>
      <c r="B1733" s="10" t="s">
        <v>4069</v>
      </c>
      <c r="C1733" s="23" t="s">
        <v>3947</v>
      </c>
      <c r="D1733" s="28" t="s">
        <v>4070</v>
      </c>
      <c r="E1733" s="25">
        <v>106</v>
      </c>
      <c r="F1733" s="23" t="str">
        <f>VLOOKUP(B1733,'[2]справочник кодов нп'!$A:$D,4,0)</f>
        <v>сельские населенные пункты с численностью населения менее 1 000 человек.</v>
      </c>
      <c r="G1733" s="23" t="s">
        <v>1385</v>
      </c>
      <c r="H1733" s="10" t="s">
        <v>3947</v>
      </c>
      <c r="I1733" s="35" t="s">
        <v>7017</v>
      </c>
      <c r="J1733" s="33" t="s">
        <v>1337</v>
      </c>
    </row>
    <row r="1734" spans="1:10" x14ac:dyDescent="0.25">
      <c r="A1734" s="23" t="s">
        <v>4071</v>
      </c>
      <c r="B1734" s="10" t="s">
        <v>4072</v>
      </c>
      <c r="C1734" s="23" t="s">
        <v>3947</v>
      </c>
      <c r="D1734" s="28" t="s">
        <v>2170</v>
      </c>
      <c r="E1734" s="25">
        <v>106</v>
      </c>
      <c r="F1734" s="23" t="str">
        <f>VLOOKUP(B1734,'[2]справочник кодов нп'!$A:$D,4,0)</f>
        <v>сельские населенные пункты с численностью населения менее 1 000 человек.</v>
      </c>
      <c r="G1734" s="23" t="s">
        <v>1385</v>
      </c>
      <c r="H1734" s="10" t="s">
        <v>3947</v>
      </c>
      <c r="I1734" s="35" t="s">
        <v>7017</v>
      </c>
      <c r="J1734" s="33" t="s">
        <v>1337</v>
      </c>
    </row>
    <row r="1735" spans="1:10" x14ac:dyDescent="0.25">
      <c r="A1735" s="23" t="s">
        <v>4073</v>
      </c>
      <c r="B1735" s="10" t="s">
        <v>4074</v>
      </c>
      <c r="C1735" s="23" t="s">
        <v>3947</v>
      </c>
      <c r="D1735" s="28" t="s">
        <v>4075</v>
      </c>
      <c r="E1735" s="25">
        <v>106</v>
      </c>
      <c r="F1735" s="23" t="str">
        <f>VLOOKUP(B1735,'[2]справочник кодов нп'!$A:$D,4,0)</f>
        <v>сельские населенные пункты с численностью населения менее 1 000 человек.</v>
      </c>
      <c r="G1735" s="23" t="s">
        <v>1385</v>
      </c>
      <c r="H1735" s="10" t="s">
        <v>3947</v>
      </c>
      <c r="I1735" s="35" t="s">
        <v>7017</v>
      </c>
      <c r="J1735" s="33" t="s">
        <v>1337</v>
      </c>
    </row>
    <row r="1736" spans="1:10" x14ac:dyDescent="0.25">
      <c r="A1736" s="23" t="s">
        <v>4076</v>
      </c>
      <c r="B1736" s="10" t="s">
        <v>4077</v>
      </c>
      <c r="C1736" s="23" t="s">
        <v>3947</v>
      </c>
      <c r="D1736" s="28" t="s">
        <v>4078</v>
      </c>
      <c r="E1736" s="25">
        <v>106</v>
      </c>
      <c r="F1736" s="23" t="str">
        <f>VLOOKUP(B1736,'[2]справочник кодов нп'!$A:$D,4,0)</f>
        <v>сельские населенные пункты с численностью населения менее 1 000 человек.</v>
      </c>
      <c r="G1736" s="23" t="s">
        <v>1385</v>
      </c>
      <c r="H1736" s="10" t="s">
        <v>3947</v>
      </c>
      <c r="I1736" s="35" t="s">
        <v>7017</v>
      </c>
      <c r="J1736" s="33" t="s">
        <v>1337</v>
      </c>
    </row>
    <row r="1737" spans="1:10" x14ac:dyDescent="0.25">
      <c r="A1737" s="23" t="s">
        <v>4079</v>
      </c>
      <c r="B1737" s="10" t="s">
        <v>4080</v>
      </c>
      <c r="C1737" s="23" t="s">
        <v>3947</v>
      </c>
      <c r="D1737" s="28" t="s">
        <v>4081</v>
      </c>
      <c r="E1737" s="25">
        <v>106</v>
      </c>
      <c r="F1737" s="23" t="str">
        <f>VLOOKUP(B1737,'[2]справочник кодов нп'!$A:$D,4,0)</f>
        <v>сельские населенные пункты с численностью населения менее 1 000 человек.</v>
      </c>
      <c r="G1737" s="23" t="s">
        <v>1385</v>
      </c>
      <c r="H1737" s="10" t="s">
        <v>3947</v>
      </c>
      <c r="I1737" s="35" t="s">
        <v>7017</v>
      </c>
      <c r="J1737" s="33" t="s">
        <v>1337</v>
      </c>
    </row>
    <row r="1738" spans="1:10" x14ac:dyDescent="0.25">
      <c r="A1738" s="23" t="s">
        <v>4082</v>
      </c>
      <c r="B1738" s="10" t="s">
        <v>4083</v>
      </c>
      <c r="C1738" s="23" t="s">
        <v>3947</v>
      </c>
      <c r="D1738" s="28" t="s">
        <v>4084</v>
      </c>
      <c r="E1738" s="25">
        <v>106</v>
      </c>
      <c r="F1738" s="23" t="str">
        <f>VLOOKUP(B1738,'[2]справочник кодов нп'!$A:$D,4,0)</f>
        <v>сельские населенные пункты с численностью населения менее 1 000 человек.</v>
      </c>
      <c r="G1738" s="23" t="s">
        <v>1385</v>
      </c>
      <c r="H1738" s="10" t="s">
        <v>3947</v>
      </c>
      <c r="I1738" s="35" t="s">
        <v>7017</v>
      </c>
      <c r="J1738" s="33" t="s">
        <v>1337</v>
      </c>
    </row>
    <row r="1739" spans="1:10" x14ac:dyDescent="0.25">
      <c r="A1739" s="23" t="s">
        <v>4085</v>
      </c>
      <c r="B1739" s="10" t="s">
        <v>4086</v>
      </c>
      <c r="C1739" s="23" t="s">
        <v>3947</v>
      </c>
      <c r="D1739" s="28" t="s">
        <v>4087</v>
      </c>
      <c r="E1739" s="25">
        <v>106</v>
      </c>
      <c r="F1739" s="23" t="str">
        <f>VLOOKUP(B1739,'[2]справочник кодов нп'!$A:$D,4,0)</f>
        <v>сельские населенные пункты с численностью населения менее 1 000 человек.</v>
      </c>
      <c r="G1739" s="23" t="s">
        <v>1385</v>
      </c>
      <c r="H1739" s="10" t="s">
        <v>3947</v>
      </c>
      <c r="I1739" s="35" t="s">
        <v>7017</v>
      </c>
      <c r="J1739" s="33" t="s">
        <v>1337</v>
      </c>
    </row>
    <row r="1740" spans="1:10" x14ac:dyDescent="0.25">
      <c r="A1740" s="23" t="s">
        <v>4088</v>
      </c>
      <c r="B1740" s="10" t="s">
        <v>4089</v>
      </c>
      <c r="C1740" s="23" t="s">
        <v>3947</v>
      </c>
      <c r="D1740" s="28" t="s">
        <v>4090</v>
      </c>
      <c r="E1740" s="25">
        <v>106</v>
      </c>
      <c r="F1740" s="23" t="str">
        <f>VLOOKUP(B1740,'[2]справочник кодов нп'!$A:$D,4,0)</f>
        <v>сельские населенные пункты с численностью населения менее 1 000 человек.</v>
      </c>
      <c r="G1740" s="45" t="s">
        <v>1385</v>
      </c>
      <c r="H1740" s="10" t="s">
        <v>3947</v>
      </c>
      <c r="I1740" s="35" t="s">
        <v>7017</v>
      </c>
      <c r="J1740" s="33" t="s">
        <v>1337</v>
      </c>
    </row>
    <row r="1741" spans="1:10" x14ac:dyDescent="0.25">
      <c r="A1741" s="23" t="s">
        <v>4091</v>
      </c>
      <c r="B1741" s="10" t="s">
        <v>4092</v>
      </c>
      <c r="C1741" s="23" t="s">
        <v>3947</v>
      </c>
      <c r="D1741" s="28" t="s">
        <v>4093</v>
      </c>
      <c r="E1741" s="25">
        <v>106</v>
      </c>
      <c r="F1741" s="23" t="str">
        <f>VLOOKUP(B1741,'[2]справочник кодов нп'!$A:$D,4,0)</f>
        <v>сельские населенные пункты с численностью населения менее 1 000 человек.</v>
      </c>
      <c r="G1741" s="45" t="s">
        <v>1385</v>
      </c>
      <c r="H1741" s="10" t="s">
        <v>3947</v>
      </c>
      <c r="I1741" s="35" t="s">
        <v>7017</v>
      </c>
      <c r="J1741" s="33" t="s">
        <v>1337</v>
      </c>
    </row>
    <row r="1742" spans="1:10" x14ac:dyDescent="0.25">
      <c r="A1742" s="23" t="s">
        <v>4094</v>
      </c>
      <c r="B1742" s="10" t="s">
        <v>4095</v>
      </c>
      <c r="C1742" s="23" t="s">
        <v>3947</v>
      </c>
      <c r="D1742" s="28" t="s">
        <v>2423</v>
      </c>
      <c r="E1742" s="25">
        <v>106</v>
      </c>
      <c r="F1742" s="23" t="str">
        <f>VLOOKUP(B1742,'[2]справочник кодов нп'!$A:$D,4,0)</f>
        <v>сельские населенные пункты с численностью населения менее 1 000 человек.</v>
      </c>
      <c r="G1742" s="23" t="s">
        <v>1385</v>
      </c>
      <c r="H1742" s="10" t="s">
        <v>3947</v>
      </c>
      <c r="I1742" s="35" t="s">
        <v>7017</v>
      </c>
      <c r="J1742" s="33" t="s">
        <v>1337</v>
      </c>
    </row>
    <row r="1743" spans="1:10" x14ac:dyDescent="0.25">
      <c r="A1743" s="23" t="s">
        <v>4096</v>
      </c>
      <c r="B1743" s="10" t="s">
        <v>4097</v>
      </c>
      <c r="C1743" s="23" t="s">
        <v>3947</v>
      </c>
      <c r="D1743" s="28" t="s">
        <v>4098</v>
      </c>
      <c r="E1743" s="25">
        <v>106</v>
      </c>
      <c r="F1743" s="23" t="str">
        <f>VLOOKUP(B1743,'[2]справочник кодов нп'!$A:$D,4,0)</f>
        <v>сельские населенные пункты с численностью населения менее 1 000 человек.</v>
      </c>
      <c r="G1743" s="23" t="s">
        <v>1385</v>
      </c>
      <c r="H1743" s="10" t="s">
        <v>3947</v>
      </c>
      <c r="I1743" s="35" t="s">
        <v>7017</v>
      </c>
      <c r="J1743" s="33" t="s">
        <v>1337</v>
      </c>
    </row>
    <row r="1744" spans="1:10" x14ac:dyDescent="0.25">
      <c r="A1744" s="23" t="s">
        <v>4099</v>
      </c>
      <c r="B1744" s="10" t="s">
        <v>4100</v>
      </c>
      <c r="C1744" s="23" t="s">
        <v>3947</v>
      </c>
      <c r="D1744" s="28" t="s">
        <v>1827</v>
      </c>
      <c r="E1744" s="25">
        <v>106</v>
      </c>
      <c r="F1744" s="23" t="str">
        <f>VLOOKUP(B1744,'[2]справочник кодов нп'!$A:$D,4,0)</f>
        <v>сельские населенные пункты с численностью населения менее 1 000 человек.</v>
      </c>
      <c r="G1744" s="23" t="s">
        <v>1385</v>
      </c>
      <c r="H1744" s="10" t="s">
        <v>3947</v>
      </c>
      <c r="I1744" s="35" t="s">
        <v>7017</v>
      </c>
      <c r="J1744" s="33" t="s">
        <v>1337</v>
      </c>
    </row>
    <row r="1745" spans="1:10" x14ac:dyDescent="0.25">
      <c r="A1745" s="23" t="s">
        <v>4101</v>
      </c>
      <c r="B1745" s="10" t="s">
        <v>4102</v>
      </c>
      <c r="C1745" s="23" t="s">
        <v>3947</v>
      </c>
      <c r="D1745" s="28" t="s">
        <v>4103</v>
      </c>
      <c r="E1745" s="25">
        <v>106</v>
      </c>
      <c r="F1745" s="23" t="str">
        <f>VLOOKUP(B1745,'[2]справочник кодов нп'!$A:$D,4,0)</f>
        <v>сельские населенные пункты с численностью населения менее 1 000 человек.</v>
      </c>
      <c r="G1745" s="23" t="s">
        <v>1385</v>
      </c>
      <c r="H1745" s="10" t="s">
        <v>3947</v>
      </c>
      <c r="I1745" s="35" t="s">
        <v>7017</v>
      </c>
      <c r="J1745" s="33" t="s">
        <v>1337</v>
      </c>
    </row>
    <row r="1746" spans="1:10" x14ac:dyDescent="0.25">
      <c r="A1746" s="23" t="s">
        <v>4104</v>
      </c>
      <c r="B1746" s="10" t="s">
        <v>4105</v>
      </c>
      <c r="C1746" s="23" t="s">
        <v>3947</v>
      </c>
      <c r="D1746" s="28" t="s">
        <v>2315</v>
      </c>
      <c r="E1746" s="25">
        <v>106</v>
      </c>
      <c r="F1746" s="23" t="str">
        <f>VLOOKUP(B1746,'[2]справочник кодов нп'!$A:$D,4,0)</f>
        <v>сельские населенные пункты с численностью населения менее 1 000 человек.</v>
      </c>
      <c r="G1746" s="23" t="s">
        <v>1385</v>
      </c>
      <c r="H1746" s="10" t="s">
        <v>3947</v>
      </c>
      <c r="I1746" s="35" t="s">
        <v>7017</v>
      </c>
      <c r="J1746" s="33" t="s">
        <v>1337</v>
      </c>
    </row>
    <row r="1747" spans="1:10" x14ac:dyDescent="0.25">
      <c r="A1747" s="23" t="s">
        <v>4106</v>
      </c>
      <c r="B1747" s="10" t="s">
        <v>4107</v>
      </c>
      <c r="C1747" s="23" t="s">
        <v>3947</v>
      </c>
      <c r="D1747" s="28" t="s">
        <v>4108</v>
      </c>
      <c r="E1747" s="25">
        <v>106</v>
      </c>
      <c r="F1747" s="23" t="str">
        <f>VLOOKUP(B1747,'[2]справочник кодов нп'!$A:$D,4,0)</f>
        <v>сельские населенные пункты с численностью населения менее 1 000 человек.</v>
      </c>
      <c r="G1747" s="23" t="s">
        <v>1385</v>
      </c>
      <c r="H1747" s="10" t="s">
        <v>3947</v>
      </c>
      <c r="I1747" s="35" t="s">
        <v>7017</v>
      </c>
      <c r="J1747" s="33" t="s">
        <v>1337</v>
      </c>
    </row>
    <row r="1748" spans="1:10" x14ac:dyDescent="0.25">
      <c r="A1748" s="23" t="s">
        <v>4109</v>
      </c>
      <c r="B1748" s="10" t="s">
        <v>4110</v>
      </c>
      <c r="C1748" s="23" t="s">
        <v>3947</v>
      </c>
      <c r="D1748" s="28" t="s">
        <v>3312</v>
      </c>
      <c r="E1748" s="25">
        <v>106</v>
      </c>
      <c r="F1748" s="23" t="str">
        <f>VLOOKUP(B1748,'[2]справочник кодов нп'!$A:$D,4,0)</f>
        <v>сельские населенные пункты с численностью населения менее 1 000 человек.</v>
      </c>
      <c r="G1748" s="23" t="s">
        <v>1385</v>
      </c>
      <c r="H1748" s="10" t="s">
        <v>3947</v>
      </c>
      <c r="I1748" s="35" t="s">
        <v>7017</v>
      </c>
      <c r="J1748" s="33" t="s">
        <v>1337</v>
      </c>
    </row>
    <row r="1749" spans="1:10" x14ac:dyDescent="0.25">
      <c r="A1749" s="23" t="s">
        <v>4111</v>
      </c>
      <c r="B1749" s="10" t="s">
        <v>4112</v>
      </c>
      <c r="C1749" s="23" t="s">
        <v>3947</v>
      </c>
      <c r="D1749" s="28" t="s">
        <v>4113</v>
      </c>
      <c r="E1749" s="25">
        <v>106</v>
      </c>
      <c r="F1749" s="23" t="str">
        <f>VLOOKUP(B1749,'[2]справочник кодов нп'!$A:$D,4,0)</f>
        <v>сельские населенные пункты с численностью населения менее 1 000 человек.</v>
      </c>
      <c r="G1749" s="45" t="s">
        <v>1385</v>
      </c>
      <c r="H1749" s="10" t="s">
        <v>3947</v>
      </c>
      <c r="I1749" s="35" t="s">
        <v>7017</v>
      </c>
      <c r="J1749" s="33" t="s">
        <v>1337</v>
      </c>
    </row>
    <row r="1750" spans="1:10" x14ac:dyDescent="0.25">
      <c r="A1750" s="23" t="s">
        <v>4114</v>
      </c>
      <c r="B1750" s="10" t="s">
        <v>4115</v>
      </c>
      <c r="C1750" s="23" t="s">
        <v>3947</v>
      </c>
      <c r="D1750" s="28" t="s">
        <v>4116</v>
      </c>
      <c r="E1750" s="25">
        <v>106</v>
      </c>
      <c r="F1750" s="23" t="str">
        <f>VLOOKUP(B1750,'[2]справочник кодов нп'!$A:$D,4,0)</f>
        <v>сельские населенные пункты с численностью населения менее 1 000 человек.</v>
      </c>
      <c r="G1750" s="45" t="s">
        <v>1385</v>
      </c>
      <c r="H1750" s="10" t="s">
        <v>3947</v>
      </c>
      <c r="I1750" s="35" t="s">
        <v>7017</v>
      </c>
      <c r="J1750" s="33" t="s">
        <v>1337</v>
      </c>
    </row>
    <row r="1751" spans="1:10" x14ac:dyDescent="0.25">
      <c r="A1751" s="23" t="s">
        <v>5114</v>
      </c>
      <c r="B1751" s="10" t="s">
        <v>5115</v>
      </c>
      <c r="C1751" s="23" t="s">
        <v>3947</v>
      </c>
      <c r="D1751" s="28" t="s">
        <v>4565</v>
      </c>
      <c r="E1751" s="25">
        <v>106</v>
      </c>
      <c r="F1751" s="23" t="str">
        <f>VLOOKUP(B1751,'[2]справочник кодов нп'!$A:$D,4,0)</f>
        <v>сельские населенные пункты с численностью населения менее 1 000 человек.</v>
      </c>
      <c r="G1751" s="23" t="s">
        <v>1385</v>
      </c>
      <c r="H1751" s="10" t="s">
        <v>3947</v>
      </c>
      <c r="I1751" s="35" t="s">
        <v>7017</v>
      </c>
      <c r="J1751" s="33" t="s">
        <v>1337</v>
      </c>
    </row>
    <row r="1752" spans="1:10" x14ac:dyDescent="0.25">
      <c r="A1752" s="23" t="s">
        <v>5116</v>
      </c>
      <c r="B1752" s="10" t="s">
        <v>5117</v>
      </c>
      <c r="C1752" s="23" t="s">
        <v>3947</v>
      </c>
      <c r="D1752" s="28" t="s">
        <v>5118</v>
      </c>
      <c r="E1752" s="25">
        <v>106</v>
      </c>
      <c r="F1752" s="23" t="str">
        <f>VLOOKUP(B1752,'[2]справочник кодов нп'!$A:$D,4,0)</f>
        <v>сельские населенные пункты с численностью населения более 1 000 человек;</v>
      </c>
      <c r="G1752" s="23" t="s">
        <v>1385</v>
      </c>
      <c r="H1752" s="10" t="s">
        <v>3947</v>
      </c>
      <c r="I1752" s="35" t="s">
        <v>7017</v>
      </c>
      <c r="J1752" s="33" t="s">
        <v>1337</v>
      </c>
    </row>
    <row r="1753" spans="1:10" x14ac:dyDescent="0.25">
      <c r="A1753" s="23" t="s">
        <v>5119</v>
      </c>
      <c r="B1753" s="10" t="s">
        <v>5120</v>
      </c>
      <c r="C1753" s="23" t="s">
        <v>3947</v>
      </c>
      <c r="D1753" s="28" t="s">
        <v>5121</v>
      </c>
      <c r="E1753" s="25">
        <v>106</v>
      </c>
      <c r="F1753" s="23" t="str">
        <f>VLOOKUP(B1753,'[2]справочник кодов нп'!$A:$D,4,0)</f>
        <v>сельские населенные пункты с численностью населения более 1 000 человек;</v>
      </c>
      <c r="G1753" s="23" t="s">
        <v>1385</v>
      </c>
      <c r="H1753" s="10" t="s">
        <v>3947</v>
      </c>
      <c r="I1753" s="35" t="s">
        <v>7017</v>
      </c>
      <c r="J1753" s="33" t="s">
        <v>1337</v>
      </c>
    </row>
    <row r="1754" spans="1:10" x14ac:dyDescent="0.25">
      <c r="A1754" s="23" t="s">
        <v>5122</v>
      </c>
      <c r="B1754" s="10" t="s">
        <v>5123</v>
      </c>
      <c r="C1754" s="23" t="s">
        <v>3947</v>
      </c>
      <c r="D1754" s="28" t="s">
        <v>5124</v>
      </c>
      <c r="E1754" s="25">
        <v>106</v>
      </c>
      <c r="F1754" s="23" t="str">
        <f>VLOOKUP(B1754,'[2]справочник кодов нп'!$A:$D,4,0)</f>
        <v>сельские населенные пункты с численностью населения менее 1 000 человек.</v>
      </c>
      <c r="G1754" s="23" t="s">
        <v>1385</v>
      </c>
      <c r="H1754" s="10" t="s">
        <v>3947</v>
      </c>
      <c r="I1754" s="35" t="s">
        <v>7017</v>
      </c>
      <c r="J1754" s="33" t="s">
        <v>1337</v>
      </c>
    </row>
    <row r="1755" spans="1:10" x14ac:dyDescent="0.25">
      <c r="A1755" s="23" t="s">
        <v>5125</v>
      </c>
      <c r="B1755" s="10" t="s">
        <v>5126</v>
      </c>
      <c r="C1755" s="23" t="s">
        <v>3947</v>
      </c>
      <c r="D1755" s="28" t="s">
        <v>5127</v>
      </c>
      <c r="E1755" s="25">
        <v>106</v>
      </c>
      <c r="F1755" s="23" t="str">
        <f>VLOOKUP(B1755,'[2]справочник кодов нп'!$A:$D,4,0)</f>
        <v>сельские населенные пункты с численностью населения менее 1 000 человек.</v>
      </c>
      <c r="G1755" s="23" t="s">
        <v>1385</v>
      </c>
      <c r="H1755" s="10" t="s">
        <v>3947</v>
      </c>
      <c r="I1755" s="35" t="s">
        <v>7017</v>
      </c>
      <c r="J1755" s="33" t="s">
        <v>1337</v>
      </c>
    </row>
    <row r="1756" spans="1:10" x14ac:dyDescent="0.25">
      <c r="A1756" s="23" t="s">
        <v>5128</v>
      </c>
      <c r="B1756" s="10" t="s">
        <v>5129</v>
      </c>
      <c r="C1756" s="23" t="s">
        <v>3947</v>
      </c>
      <c r="D1756" s="28" t="s">
        <v>5130</v>
      </c>
      <c r="E1756" s="25">
        <v>106</v>
      </c>
      <c r="F1756" s="23" t="str">
        <f>VLOOKUP(B1756,'[2]справочник кодов нп'!$A:$D,4,0)</f>
        <v>сельские населенные пункты с численностью населения менее 1 000 человек.</v>
      </c>
      <c r="G1756" s="23" t="s">
        <v>1385</v>
      </c>
      <c r="H1756" s="10" t="s">
        <v>3947</v>
      </c>
      <c r="I1756" s="35" t="s">
        <v>7017</v>
      </c>
      <c r="J1756" s="33" t="s">
        <v>1337</v>
      </c>
    </row>
    <row r="1757" spans="1:10" x14ac:dyDescent="0.25">
      <c r="A1757" s="23" t="s">
        <v>5131</v>
      </c>
      <c r="B1757" s="10" t="s">
        <v>5132</v>
      </c>
      <c r="C1757" s="23" t="s">
        <v>3947</v>
      </c>
      <c r="D1757" s="28" t="s">
        <v>5133</v>
      </c>
      <c r="E1757" s="25">
        <v>106</v>
      </c>
      <c r="F1757" s="23" t="str">
        <f>VLOOKUP(B1757,'[2]справочник кодов нп'!$A:$D,4,0)</f>
        <v>сельские населенные пункты с численностью населения менее 1 000 человек.</v>
      </c>
      <c r="G1757" s="23" t="s">
        <v>1385</v>
      </c>
      <c r="H1757" s="10" t="s">
        <v>3947</v>
      </c>
      <c r="I1757" s="35" t="s">
        <v>7017</v>
      </c>
      <c r="J1757" s="33" t="s">
        <v>1337</v>
      </c>
    </row>
    <row r="1758" spans="1:10" x14ac:dyDescent="0.25">
      <c r="A1758" s="23" t="s">
        <v>5134</v>
      </c>
      <c r="B1758" s="10" t="s">
        <v>5135</v>
      </c>
      <c r="C1758" s="23" t="s">
        <v>3947</v>
      </c>
      <c r="D1758" s="28" t="s">
        <v>5136</v>
      </c>
      <c r="E1758" s="25">
        <v>106</v>
      </c>
      <c r="F1758" s="23" t="str">
        <f>VLOOKUP(B1758,'[2]справочник кодов нп'!$A:$D,4,0)</f>
        <v>сельские населенные пункты с численностью населения менее 1 000 человек.</v>
      </c>
      <c r="G1758" s="23" t="s">
        <v>1385</v>
      </c>
      <c r="H1758" s="10" t="s">
        <v>3947</v>
      </c>
      <c r="I1758" s="35" t="s">
        <v>7017</v>
      </c>
      <c r="J1758" s="33" t="s">
        <v>1337</v>
      </c>
    </row>
    <row r="1759" spans="1:10" x14ac:dyDescent="0.25">
      <c r="A1759" s="23" t="s">
        <v>5137</v>
      </c>
      <c r="B1759" s="10" t="s">
        <v>5138</v>
      </c>
      <c r="C1759" s="23" t="s">
        <v>3947</v>
      </c>
      <c r="D1759" s="28" t="s">
        <v>5139</v>
      </c>
      <c r="E1759" s="25">
        <v>106</v>
      </c>
      <c r="F1759" s="23" t="str">
        <f>VLOOKUP(B1759,'[2]справочник кодов нп'!$A:$D,4,0)</f>
        <v>сельские населенные пункты с численностью населения менее 1 000 человек.</v>
      </c>
      <c r="G1759" s="23" t="s">
        <v>1385</v>
      </c>
      <c r="H1759" s="10" t="s">
        <v>3947</v>
      </c>
      <c r="I1759" s="35" t="s">
        <v>7017</v>
      </c>
      <c r="J1759" s="33" t="s">
        <v>1337</v>
      </c>
    </row>
    <row r="1760" spans="1:10" x14ac:dyDescent="0.25">
      <c r="A1760" s="23" t="s">
        <v>5140</v>
      </c>
      <c r="B1760" s="10" t="s">
        <v>5141</v>
      </c>
      <c r="C1760" s="23" t="s">
        <v>3947</v>
      </c>
      <c r="D1760" s="28" t="s">
        <v>5142</v>
      </c>
      <c r="E1760" s="25">
        <v>106</v>
      </c>
      <c r="F1760" s="23" t="str">
        <f>VLOOKUP(B1760,'[2]справочник кодов нп'!$A:$D,4,0)</f>
        <v>сельские населенные пункты с численностью населения менее 1 000 человек.</v>
      </c>
      <c r="G1760" s="23" t="s">
        <v>1385</v>
      </c>
      <c r="H1760" s="10" t="s">
        <v>3947</v>
      </c>
      <c r="I1760" s="35" t="s">
        <v>7017</v>
      </c>
      <c r="J1760" s="33" t="s">
        <v>1337</v>
      </c>
    </row>
    <row r="1761" spans="1:10" x14ac:dyDescent="0.25">
      <c r="A1761" s="23" t="s">
        <v>5321</v>
      </c>
      <c r="B1761" s="10" t="s">
        <v>5322</v>
      </c>
      <c r="C1761" s="23" t="s">
        <v>3947</v>
      </c>
      <c r="D1761" s="28" t="s">
        <v>5323</v>
      </c>
      <c r="E1761" s="25">
        <v>106</v>
      </c>
      <c r="F1761" s="23" t="str">
        <f>VLOOKUP(B1761,'[2]справочник кодов нп'!$A:$D,4,0)</f>
        <v>сельские населенные пункты с численностью населения более 1 000 человек;</v>
      </c>
      <c r="G1761" s="23" t="s">
        <v>1385</v>
      </c>
      <c r="H1761" s="10" t="s">
        <v>3947</v>
      </c>
      <c r="I1761" s="35" t="s">
        <v>7017</v>
      </c>
      <c r="J1761" s="33" t="s">
        <v>1337</v>
      </c>
    </row>
    <row r="1762" spans="1:10" x14ac:dyDescent="0.25">
      <c r="A1762" s="23" t="s">
        <v>6189</v>
      </c>
      <c r="B1762" s="10" t="s">
        <v>6190</v>
      </c>
      <c r="C1762" s="23" t="s">
        <v>3947</v>
      </c>
      <c r="D1762" s="28" t="s">
        <v>2150</v>
      </c>
      <c r="E1762" s="25">
        <v>106</v>
      </c>
      <c r="F1762" s="23" t="str">
        <f>VLOOKUP(B1762,'[2]справочник кодов нп'!$A:$D,4,0)</f>
        <v>сельские населенные пункты с численностью населения менее 1 000 человек.</v>
      </c>
      <c r="G1762" s="23" t="s">
        <v>1385</v>
      </c>
      <c r="H1762" s="10" t="s">
        <v>3947</v>
      </c>
      <c r="I1762" s="35" t="s">
        <v>7017</v>
      </c>
      <c r="J1762" s="33" t="s">
        <v>1337</v>
      </c>
    </row>
    <row r="1763" spans="1:10" x14ac:dyDescent="0.25">
      <c r="A1763" s="23" t="s">
        <v>6191</v>
      </c>
      <c r="B1763" s="10" t="s">
        <v>6192</v>
      </c>
      <c r="C1763" s="23" t="s">
        <v>3947</v>
      </c>
      <c r="D1763" s="28" t="s">
        <v>6193</v>
      </c>
      <c r="E1763" s="25">
        <v>106</v>
      </c>
      <c r="F1763" s="23" t="str">
        <f>VLOOKUP(B1763,'[2]справочник кодов нп'!$A:$D,4,0)</f>
        <v>сельские населенные пункты с численностью населения менее 1 000 человек.</v>
      </c>
      <c r="G1763" s="23" t="s">
        <v>1385</v>
      </c>
      <c r="H1763" s="10" t="s">
        <v>3947</v>
      </c>
      <c r="I1763" s="35" t="s">
        <v>7017</v>
      </c>
      <c r="J1763" s="33" t="s">
        <v>1337</v>
      </c>
    </row>
    <row r="1764" spans="1:10" x14ac:dyDescent="0.25">
      <c r="A1764" s="23" t="s">
        <v>6194</v>
      </c>
      <c r="B1764" s="10" t="s">
        <v>6195</v>
      </c>
      <c r="C1764" s="23" t="s">
        <v>3947</v>
      </c>
      <c r="D1764" s="28" t="s">
        <v>6196</v>
      </c>
      <c r="E1764" s="25">
        <v>106</v>
      </c>
      <c r="F1764" s="23" t="str">
        <f>VLOOKUP(B1764,'[2]справочник кодов нп'!$A:$D,4,0)</f>
        <v>сельские населенные пункты с численностью населения менее 1 000 человек.</v>
      </c>
      <c r="G1764" s="23" t="s">
        <v>1385</v>
      </c>
      <c r="H1764" s="10" t="s">
        <v>3947</v>
      </c>
      <c r="I1764" s="35" t="s">
        <v>7017</v>
      </c>
      <c r="J1764" s="33" t="s">
        <v>1337</v>
      </c>
    </row>
    <row r="1765" spans="1:10" x14ac:dyDescent="0.25">
      <c r="A1765" s="23" t="s">
        <v>6197</v>
      </c>
      <c r="B1765" s="10" t="s">
        <v>6198</v>
      </c>
      <c r="C1765" s="23" t="s">
        <v>3947</v>
      </c>
      <c r="D1765" s="28" t="s">
        <v>5891</v>
      </c>
      <c r="E1765" s="25">
        <v>106</v>
      </c>
      <c r="F1765" s="23" t="str">
        <f>VLOOKUP(B1765,'[2]справочник кодов нп'!$A:$D,4,0)</f>
        <v>сельские населенные пункты с численностью населения менее 1 000 человек.</v>
      </c>
      <c r="G1765" s="23" t="s">
        <v>1385</v>
      </c>
      <c r="H1765" s="10" t="s">
        <v>3947</v>
      </c>
      <c r="I1765" s="35" t="s">
        <v>7017</v>
      </c>
      <c r="J1765" s="33" t="s">
        <v>1337</v>
      </c>
    </row>
    <row r="1766" spans="1:10" x14ac:dyDescent="0.25">
      <c r="A1766" s="23" t="s">
        <v>6199</v>
      </c>
      <c r="B1766" s="10" t="s">
        <v>6200</v>
      </c>
      <c r="C1766" s="23" t="s">
        <v>3947</v>
      </c>
      <c r="D1766" s="28" t="s">
        <v>6201</v>
      </c>
      <c r="E1766" s="25">
        <v>106</v>
      </c>
      <c r="F1766" s="23" t="str">
        <f>VLOOKUP(B1766,'[2]справочник кодов нп'!$A:$D,4,0)</f>
        <v>сельские населенные пункты с численностью населения менее 1 000 человек.</v>
      </c>
      <c r="G1766" s="23" t="s">
        <v>1385</v>
      </c>
      <c r="H1766" s="10" t="s">
        <v>3947</v>
      </c>
      <c r="I1766" s="35" t="s">
        <v>7017</v>
      </c>
      <c r="J1766" s="33" t="s">
        <v>1337</v>
      </c>
    </row>
    <row r="1767" spans="1:10" x14ac:dyDescent="0.25">
      <c r="A1767" s="23" t="s">
        <v>6202</v>
      </c>
      <c r="B1767" s="10" t="s">
        <v>6203</v>
      </c>
      <c r="C1767" s="23" t="s">
        <v>3947</v>
      </c>
      <c r="D1767" s="28" t="s">
        <v>6204</v>
      </c>
      <c r="E1767" s="25">
        <v>106</v>
      </c>
      <c r="F1767" s="23" t="str">
        <f>VLOOKUP(B1767,'[2]справочник кодов нп'!$A:$D,4,0)</f>
        <v>сельские населенные пункты с численностью населения менее 1 000 человек.</v>
      </c>
      <c r="G1767" s="23" t="s">
        <v>1385</v>
      </c>
      <c r="H1767" s="10" t="s">
        <v>3947</v>
      </c>
      <c r="I1767" s="35" t="s">
        <v>7017</v>
      </c>
      <c r="J1767" s="33" t="s">
        <v>1337</v>
      </c>
    </row>
    <row r="1768" spans="1:10" x14ac:dyDescent="0.25">
      <c r="A1768" s="23" t="s">
        <v>6205</v>
      </c>
      <c r="B1768" s="10" t="s">
        <v>6206</v>
      </c>
      <c r="C1768" s="23" t="s">
        <v>3947</v>
      </c>
      <c r="D1768" s="28" t="s">
        <v>6207</v>
      </c>
      <c r="E1768" s="25">
        <v>106</v>
      </c>
      <c r="F1768" s="23" t="str">
        <f>VLOOKUP(B1768,'[2]справочник кодов нп'!$A:$D,4,0)</f>
        <v>сельские населенные пункты с численностью населения менее 1 000 человек.</v>
      </c>
      <c r="G1768" s="23" t="s">
        <v>1385</v>
      </c>
      <c r="H1768" s="10" t="s">
        <v>3947</v>
      </c>
      <c r="I1768" s="35" t="s">
        <v>7017</v>
      </c>
      <c r="J1768" s="33" t="s">
        <v>1337</v>
      </c>
    </row>
    <row r="1769" spans="1:10" x14ac:dyDescent="0.25">
      <c r="A1769" s="23" t="s">
        <v>6208</v>
      </c>
      <c r="B1769" s="10" t="s">
        <v>6209</v>
      </c>
      <c r="C1769" s="23" t="s">
        <v>3947</v>
      </c>
      <c r="D1769" s="28" t="s">
        <v>6210</v>
      </c>
      <c r="E1769" s="25">
        <v>106</v>
      </c>
      <c r="F1769" s="23" t="str">
        <f>VLOOKUP(B1769,'[2]справочник кодов нп'!$A:$D,4,0)</f>
        <v>сельские населенные пункты с численностью населения менее 1 000 человек.</v>
      </c>
      <c r="G1769" s="23" t="s">
        <v>1385</v>
      </c>
      <c r="H1769" s="10" t="s">
        <v>3947</v>
      </c>
      <c r="I1769" s="35" t="s">
        <v>7017</v>
      </c>
      <c r="J1769" s="33" t="s">
        <v>1337</v>
      </c>
    </row>
    <row r="1770" spans="1:10" x14ac:dyDescent="0.25">
      <c r="A1770" s="23" t="s">
        <v>6211</v>
      </c>
      <c r="B1770" s="10" t="s">
        <v>6212</v>
      </c>
      <c r="C1770" s="23" t="s">
        <v>3947</v>
      </c>
      <c r="D1770" s="28" t="s">
        <v>6213</v>
      </c>
      <c r="E1770" s="25">
        <v>106</v>
      </c>
      <c r="F1770" s="23" t="str">
        <f>VLOOKUP(B1770,'[2]справочник кодов нп'!$A:$D,4,0)</f>
        <v>сельские населенные пункты с численностью населения менее 1 000 человек.</v>
      </c>
      <c r="G1770" s="23" t="s">
        <v>1385</v>
      </c>
      <c r="H1770" s="10" t="s">
        <v>3947</v>
      </c>
      <c r="I1770" s="35" t="s">
        <v>7017</v>
      </c>
      <c r="J1770" s="33" t="s">
        <v>1337</v>
      </c>
    </row>
    <row r="1771" spans="1:10" x14ac:dyDescent="0.25">
      <c r="A1771" s="23" t="s">
        <v>6214</v>
      </c>
      <c r="B1771" s="10" t="s">
        <v>6215</v>
      </c>
      <c r="C1771" s="23" t="s">
        <v>3947</v>
      </c>
      <c r="D1771" s="28" t="s">
        <v>6216</v>
      </c>
      <c r="E1771" s="25">
        <v>106</v>
      </c>
      <c r="F1771" s="23" t="str">
        <f>VLOOKUP(B1771,'[2]справочник кодов нп'!$A:$D,4,0)</f>
        <v>сельские населенные пункты с численностью населения менее 1 000 человек.</v>
      </c>
      <c r="G1771" s="23" t="s">
        <v>1385</v>
      </c>
      <c r="H1771" s="10" t="s">
        <v>3947</v>
      </c>
      <c r="I1771" s="35" t="s">
        <v>7017</v>
      </c>
      <c r="J1771" s="33" t="s">
        <v>1337</v>
      </c>
    </row>
    <row r="1772" spans="1:10" x14ac:dyDescent="0.25">
      <c r="A1772" s="23" t="s">
        <v>6217</v>
      </c>
      <c r="B1772" s="10" t="s">
        <v>6218</v>
      </c>
      <c r="C1772" s="23" t="s">
        <v>3947</v>
      </c>
      <c r="D1772" s="28" t="s">
        <v>6219</v>
      </c>
      <c r="E1772" s="25">
        <v>106</v>
      </c>
      <c r="F1772" s="23" t="str">
        <f>VLOOKUP(B1772,'[2]справочник кодов нп'!$A:$D,4,0)</f>
        <v>сельские населенные пункты с численностью населения менее 1 000 человек.</v>
      </c>
      <c r="G1772" s="23" t="s">
        <v>1385</v>
      </c>
      <c r="H1772" s="10" t="s">
        <v>3947</v>
      </c>
      <c r="I1772" s="35" t="s">
        <v>7017</v>
      </c>
      <c r="J1772" s="33" t="s">
        <v>1337</v>
      </c>
    </row>
    <row r="1773" spans="1:10" x14ac:dyDescent="0.25">
      <c r="A1773" s="23" t="s">
        <v>6220</v>
      </c>
      <c r="B1773" s="10" t="s">
        <v>6221</v>
      </c>
      <c r="C1773" s="23" t="s">
        <v>3947</v>
      </c>
      <c r="D1773" s="28" t="s">
        <v>6222</v>
      </c>
      <c r="E1773" s="25">
        <v>106</v>
      </c>
      <c r="F1773" s="23" t="str">
        <f>VLOOKUP(B1773,'[2]справочник кодов нп'!$A:$D,4,0)</f>
        <v>сельские населенные пункты с численностью населения менее 1 000 человек.</v>
      </c>
      <c r="G1773" s="45" t="s">
        <v>1385</v>
      </c>
      <c r="H1773" s="10" t="s">
        <v>3947</v>
      </c>
      <c r="I1773" s="35" t="s">
        <v>7017</v>
      </c>
      <c r="J1773" s="33" t="s">
        <v>1337</v>
      </c>
    </row>
    <row r="1774" spans="1:10" x14ac:dyDescent="0.25">
      <c r="A1774" s="23" t="s">
        <v>6223</v>
      </c>
      <c r="B1774" s="10" t="s">
        <v>6224</v>
      </c>
      <c r="C1774" s="23" t="s">
        <v>3947</v>
      </c>
      <c r="D1774" s="28" t="s">
        <v>2339</v>
      </c>
      <c r="E1774" s="25">
        <v>106</v>
      </c>
      <c r="F1774" s="23" t="str">
        <f>VLOOKUP(B1774,'[2]справочник кодов нп'!$A:$D,4,0)</f>
        <v>сельские населенные пункты с численностью населения менее 1 000 человек.</v>
      </c>
      <c r="G1774" s="45" t="s">
        <v>1385</v>
      </c>
      <c r="H1774" s="10" t="s">
        <v>3947</v>
      </c>
      <c r="I1774" s="35" t="s">
        <v>7017</v>
      </c>
      <c r="J1774" s="33" t="s">
        <v>1337</v>
      </c>
    </row>
    <row r="1775" spans="1:10" x14ac:dyDescent="0.25">
      <c r="A1775" s="23" t="s">
        <v>6225</v>
      </c>
      <c r="B1775" s="10" t="s">
        <v>6226</v>
      </c>
      <c r="C1775" s="23" t="s">
        <v>3947</v>
      </c>
      <c r="D1775" s="28" t="s">
        <v>6227</v>
      </c>
      <c r="E1775" s="25">
        <v>106</v>
      </c>
      <c r="F1775" s="23" t="str">
        <f>VLOOKUP(B1775,'[2]справочник кодов нп'!$A:$D,4,0)</f>
        <v>сельские населенные пункты с численностью населения менее 1 000 человек.</v>
      </c>
      <c r="G1775" s="45" t="s">
        <v>1385</v>
      </c>
      <c r="H1775" s="10" t="s">
        <v>3947</v>
      </c>
      <c r="I1775" s="35" t="s">
        <v>7017</v>
      </c>
      <c r="J1775" s="33" t="s">
        <v>1337</v>
      </c>
    </row>
    <row r="1776" spans="1:10" x14ac:dyDescent="0.25">
      <c r="A1776" s="23" t="s">
        <v>6228</v>
      </c>
      <c r="B1776" s="10" t="s">
        <v>6229</v>
      </c>
      <c r="C1776" s="23" t="s">
        <v>3947</v>
      </c>
      <c r="D1776" s="28" t="s">
        <v>6230</v>
      </c>
      <c r="E1776" s="25">
        <v>106</v>
      </c>
      <c r="F1776" s="23" t="str">
        <f>VLOOKUP(B1776,'[2]справочник кодов нп'!$A:$D,4,0)</f>
        <v>сельские населенные пункты с численностью населения менее 1 000 человек.</v>
      </c>
      <c r="G1776" s="45" t="s">
        <v>1385</v>
      </c>
      <c r="H1776" s="10" t="s">
        <v>3947</v>
      </c>
      <c r="I1776" s="35" t="s">
        <v>7017</v>
      </c>
      <c r="J1776" s="33" t="s">
        <v>1337</v>
      </c>
    </row>
    <row r="1777" spans="1:10" x14ac:dyDescent="0.25">
      <c r="A1777" s="23" t="s">
        <v>6681</v>
      </c>
      <c r="B1777" s="10" t="s">
        <v>6682</v>
      </c>
      <c r="C1777" s="23" t="s">
        <v>3947</v>
      </c>
      <c r="D1777" s="28" t="s">
        <v>6683</v>
      </c>
      <c r="E1777" s="25">
        <v>106</v>
      </c>
      <c r="F1777" s="23" t="str">
        <f>VLOOKUP(B1777,'[2]справочник кодов нп'!$A:$D,4,0)</f>
        <v>сельские населенные пункты с численностью населения менее 1 000 человек.</v>
      </c>
      <c r="G1777" s="45" t="s">
        <v>1385</v>
      </c>
      <c r="H1777" s="10" t="s">
        <v>3947</v>
      </c>
      <c r="I1777" s="35" t="s">
        <v>7017</v>
      </c>
      <c r="J1777" s="33" t="s">
        <v>1337</v>
      </c>
    </row>
    <row r="1778" spans="1:10" x14ac:dyDescent="0.25">
      <c r="A1778" s="23" t="s">
        <v>6684</v>
      </c>
      <c r="B1778" s="10" t="s">
        <v>6685</v>
      </c>
      <c r="C1778" s="23" t="s">
        <v>3947</v>
      </c>
      <c r="D1778" s="28" t="s">
        <v>5329</v>
      </c>
      <c r="E1778" s="25">
        <v>106</v>
      </c>
      <c r="F1778" s="23" t="str">
        <f>VLOOKUP(B1778,'[2]справочник кодов нп'!$A:$D,4,0)</f>
        <v>сельские населенные пункты с численностью населения менее 1 000 человек.</v>
      </c>
      <c r="G1778" s="45" t="s">
        <v>1385</v>
      </c>
      <c r="H1778" s="10" t="s">
        <v>3947</v>
      </c>
      <c r="I1778" s="35" t="s">
        <v>7017</v>
      </c>
      <c r="J1778" s="33" t="s">
        <v>1337</v>
      </c>
    </row>
    <row r="1779" spans="1:10" x14ac:dyDescent="0.25">
      <c r="A1779" s="23" t="s">
        <v>6723</v>
      </c>
      <c r="B1779" s="10" t="s">
        <v>6724</v>
      </c>
      <c r="C1779" s="23" t="s">
        <v>3947</v>
      </c>
      <c r="D1779" s="28" t="s">
        <v>6725</v>
      </c>
      <c r="E1779" s="25">
        <v>106</v>
      </c>
      <c r="F1779" s="23" t="str">
        <f>VLOOKUP(B1779,'[2]справочник кодов нп'!$A:$D,4,0)</f>
        <v>сельские населенные пункты с численностью населения менее 1 000 человек.</v>
      </c>
      <c r="G1779" s="45" t="s">
        <v>1385</v>
      </c>
      <c r="H1779" s="10" t="s">
        <v>3947</v>
      </c>
      <c r="I1779" s="35" t="s">
        <v>7017</v>
      </c>
      <c r="J1779" s="33" t="s">
        <v>1337</v>
      </c>
    </row>
    <row r="1780" spans="1:10" x14ac:dyDescent="0.25">
      <c r="A1780" s="23" t="s">
        <v>6726</v>
      </c>
      <c r="B1780" s="10" t="s">
        <v>6727</v>
      </c>
      <c r="C1780" s="23" t="s">
        <v>3947</v>
      </c>
      <c r="D1780" s="28" t="s">
        <v>6728</v>
      </c>
      <c r="E1780" s="25">
        <v>106</v>
      </c>
      <c r="F1780" s="23" t="str">
        <f>VLOOKUP(B1780,'[2]справочник кодов нп'!$A:$D,4,0)</f>
        <v>сельские населенные пункты с численностью населения менее 1 000 человек.</v>
      </c>
      <c r="G1780" s="45" t="s">
        <v>1385</v>
      </c>
      <c r="H1780" s="10" t="s">
        <v>3947</v>
      </c>
      <c r="I1780" s="35" t="s">
        <v>7017</v>
      </c>
      <c r="J1780" s="33" t="s">
        <v>1337</v>
      </c>
    </row>
    <row r="1781" spans="1:10" x14ac:dyDescent="0.25">
      <c r="A1781" s="23" t="s">
        <v>6729</v>
      </c>
      <c r="B1781" s="10" t="s">
        <v>6730</v>
      </c>
      <c r="C1781" s="23" t="s">
        <v>3947</v>
      </c>
      <c r="D1781" s="28" t="s">
        <v>4143</v>
      </c>
      <c r="E1781" s="25">
        <v>106</v>
      </c>
      <c r="F1781" s="23" t="str">
        <f>VLOOKUP(B1781,'[2]справочник кодов нп'!$A:$D,4,0)</f>
        <v>сельские населенные пункты с численностью населения менее 1 000 человек.</v>
      </c>
      <c r="G1781" s="45" t="s">
        <v>1385</v>
      </c>
      <c r="H1781" s="10" t="s">
        <v>3947</v>
      </c>
      <c r="I1781" s="35" t="s">
        <v>7017</v>
      </c>
      <c r="J1781" s="33" t="s">
        <v>1337</v>
      </c>
    </row>
    <row r="1782" spans="1:10" x14ac:dyDescent="0.25">
      <c r="A1782" s="23" t="s">
        <v>6758</v>
      </c>
      <c r="B1782" s="10" t="s">
        <v>6759</v>
      </c>
      <c r="C1782" s="23" t="s">
        <v>3947</v>
      </c>
      <c r="D1782" s="28" t="s">
        <v>6760</v>
      </c>
      <c r="E1782" s="25">
        <v>106</v>
      </c>
      <c r="F1782" s="23" t="str">
        <f>VLOOKUP(B1782,'[2]справочник кодов нп'!$A:$D,4,0)</f>
        <v>городские населенные пункты с численностью населения менее 50 000 человек;</v>
      </c>
      <c r="G1782" s="45" t="s">
        <v>1385</v>
      </c>
      <c r="H1782" s="10" t="s">
        <v>3947</v>
      </c>
      <c r="I1782" s="35" t="s">
        <v>7017</v>
      </c>
      <c r="J1782" s="33" t="s">
        <v>1337</v>
      </c>
    </row>
    <row r="1783" spans="1:10" x14ac:dyDescent="0.25">
      <c r="A1783" s="23" t="s">
        <v>6761</v>
      </c>
      <c r="B1783" s="10" t="s">
        <v>6762</v>
      </c>
      <c r="C1783" s="23" t="s">
        <v>3947</v>
      </c>
      <c r="D1783" s="28" t="s">
        <v>6763</v>
      </c>
      <c r="E1783" s="25">
        <v>106</v>
      </c>
      <c r="F1783" s="23" t="str">
        <f>VLOOKUP(B1783,'[2]справочник кодов нп'!$A:$D,4,0)</f>
        <v>сельские населенные пункты с численностью населения менее 1 000 человек.</v>
      </c>
      <c r="G1783" s="23" t="s">
        <v>1385</v>
      </c>
      <c r="H1783" s="10" t="s">
        <v>3947</v>
      </c>
      <c r="I1783" s="35" t="s">
        <v>7017</v>
      </c>
      <c r="J1783" s="33" t="s">
        <v>1337</v>
      </c>
    </row>
    <row r="1784" spans="1:10" x14ac:dyDescent="0.25">
      <c r="A1784" s="23" t="s">
        <v>6979</v>
      </c>
      <c r="B1784" s="10" t="s">
        <v>6980</v>
      </c>
      <c r="C1784" s="23" t="s">
        <v>3947</v>
      </c>
      <c r="D1784" s="28" t="s">
        <v>6846</v>
      </c>
      <c r="E1784" s="25">
        <v>106</v>
      </c>
      <c r="F1784" s="23" t="str">
        <f>VLOOKUP(B1784,'[2]справочник кодов нп'!$A:$D,4,0)</f>
        <v>межселенная территория</v>
      </c>
      <c r="G1784" s="23" t="s">
        <v>1385</v>
      </c>
      <c r="H1784" s="10" t="s">
        <v>3947</v>
      </c>
      <c r="I1784" s="35" t="s">
        <v>7019</v>
      </c>
      <c r="J1784" s="33" t="s">
        <v>1337</v>
      </c>
    </row>
    <row r="1785" spans="1:10" x14ac:dyDescent="0.25">
      <c r="A1785" s="23" t="s">
        <v>4117</v>
      </c>
      <c r="B1785" s="10" t="s">
        <v>4118</v>
      </c>
      <c r="C1785" s="23" t="s">
        <v>4119</v>
      </c>
      <c r="D1785" s="28" t="s">
        <v>4120</v>
      </c>
      <c r="E1785" s="25">
        <v>106</v>
      </c>
      <c r="F1785" s="23" t="str">
        <f>VLOOKUP(B1785,'[2]справочник кодов нп'!$A:$D,4,0)</f>
        <v>сельские населенные пункты с численностью населения менее 1 000 человек.</v>
      </c>
      <c r="G1785" s="23" t="s">
        <v>1385</v>
      </c>
      <c r="H1785" s="10" t="s">
        <v>4119</v>
      </c>
      <c r="I1785" s="35" t="s">
        <v>7017</v>
      </c>
      <c r="J1785" s="33" t="s">
        <v>1337</v>
      </c>
    </row>
    <row r="1786" spans="1:10" x14ac:dyDescent="0.25">
      <c r="A1786" s="23" t="s">
        <v>4121</v>
      </c>
      <c r="B1786" s="10" t="s">
        <v>4122</v>
      </c>
      <c r="C1786" s="23" t="s">
        <v>4119</v>
      </c>
      <c r="D1786" s="28" t="s">
        <v>4123</v>
      </c>
      <c r="E1786" s="25">
        <v>106</v>
      </c>
      <c r="F1786" s="23" t="str">
        <f>VLOOKUP(B1786,'[2]справочник кодов нп'!$A:$D,4,0)</f>
        <v>сельские населенные пункты с численностью населения менее 1 000 человек.</v>
      </c>
      <c r="G1786" s="23" t="s">
        <v>1385</v>
      </c>
      <c r="H1786" s="10" t="s">
        <v>4119</v>
      </c>
      <c r="I1786" s="35" t="s">
        <v>7017</v>
      </c>
      <c r="J1786" s="33" t="s">
        <v>1337</v>
      </c>
    </row>
    <row r="1787" spans="1:10" x14ac:dyDescent="0.25">
      <c r="A1787" s="23" t="s">
        <v>4124</v>
      </c>
      <c r="B1787" s="10" t="s">
        <v>4125</v>
      </c>
      <c r="C1787" s="23" t="s">
        <v>4119</v>
      </c>
      <c r="D1787" s="28" t="s">
        <v>4126</v>
      </c>
      <c r="E1787" s="25">
        <v>106</v>
      </c>
      <c r="F1787" s="23" t="str">
        <f>VLOOKUP(B1787,'[2]справочник кодов нп'!$A:$D,4,0)</f>
        <v>сельские населенные пункты с численностью населения менее 1 000 человек.</v>
      </c>
      <c r="G1787" s="23" t="s">
        <v>1385</v>
      </c>
      <c r="H1787" s="10" t="s">
        <v>4119</v>
      </c>
      <c r="I1787" s="35" t="s">
        <v>7017</v>
      </c>
      <c r="J1787" s="33" t="s">
        <v>1337</v>
      </c>
    </row>
    <row r="1788" spans="1:10" x14ac:dyDescent="0.25">
      <c r="A1788" s="23" t="s">
        <v>4127</v>
      </c>
      <c r="B1788" s="10" t="s">
        <v>4128</v>
      </c>
      <c r="C1788" s="23" t="s">
        <v>4119</v>
      </c>
      <c r="D1788" s="28" t="s">
        <v>4129</v>
      </c>
      <c r="E1788" s="25">
        <v>106</v>
      </c>
      <c r="F1788" s="23" t="str">
        <f>VLOOKUP(B1788,'[2]справочник кодов нп'!$A:$D,4,0)</f>
        <v>сельские населенные пункты с численностью населения менее 1 000 человек.</v>
      </c>
      <c r="G1788" s="23" t="s">
        <v>1385</v>
      </c>
      <c r="H1788" s="10" t="s">
        <v>4119</v>
      </c>
      <c r="I1788" s="35" t="s">
        <v>7017</v>
      </c>
      <c r="J1788" s="33" t="s">
        <v>1337</v>
      </c>
    </row>
    <row r="1789" spans="1:10" x14ac:dyDescent="0.25">
      <c r="A1789" s="23" t="s">
        <v>4130</v>
      </c>
      <c r="B1789" s="10" t="s">
        <v>4131</v>
      </c>
      <c r="C1789" s="23" t="s">
        <v>4119</v>
      </c>
      <c r="D1789" s="28" t="s">
        <v>4132</v>
      </c>
      <c r="E1789" s="25">
        <v>106</v>
      </c>
      <c r="F1789" s="23" t="str">
        <f>VLOOKUP(B1789,'[2]справочник кодов нп'!$A:$D,4,0)</f>
        <v>сельские населенные пункты с численностью населения менее 1 000 человек.</v>
      </c>
      <c r="G1789" s="23" t="s">
        <v>1385</v>
      </c>
      <c r="H1789" s="10" t="s">
        <v>4119</v>
      </c>
      <c r="I1789" s="35" t="s">
        <v>7017</v>
      </c>
      <c r="J1789" s="33" t="s">
        <v>1337</v>
      </c>
    </row>
    <row r="1790" spans="1:10" x14ac:dyDescent="0.25">
      <c r="A1790" s="23" t="s">
        <v>4133</v>
      </c>
      <c r="B1790" s="10" t="s">
        <v>4134</v>
      </c>
      <c r="C1790" s="23" t="s">
        <v>4119</v>
      </c>
      <c r="D1790" s="28" t="s">
        <v>3340</v>
      </c>
      <c r="E1790" s="25">
        <v>106</v>
      </c>
      <c r="F1790" s="23" t="str">
        <f>VLOOKUP(B1790,'[2]справочник кодов нп'!$A:$D,4,0)</f>
        <v>сельские населенные пункты с численностью населения менее 1 000 человек.</v>
      </c>
      <c r="G1790" s="23" t="s">
        <v>1385</v>
      </c>
      <c r="H1790" s="10" t="s">
        <v>4119</v>
      </c>
      <c r="I1790" s="35" t="s">
        <v>7017</v>
      </c>
      <c r="J1790" s="33" t="s">
        <v>1337</v>
      </c>
    </row>
    <row r="1791" spans="1:10" x14ac:dyDescent="0.25">
      <c r="A1791" s="23" t="s">
        <v>4135</v>
      </c>
      <c r="B1791" s="10" t="s">
        <v>4136</v>
      </c>
      <c r="C1791" s="23" t="s">
        <v>4119</v>
      </c>
      <c r="D1791" s="28" t="s">
        <v>4137</v>
      </c>
      <c r="E1791" s="25">
        <v>106</v>
      </c>
      <c r="F1791" s="23" t="str">
        <f>VLOOKUP(B1791,'[2]справочник кодов нп'!$A:$D,4,0)</f>
        <v>сельские населенные пункты с численностью населения менее 1 000 человек.</v>
      </c>
      <c r="G1791" s="23" t="s">
        <v>1385</v>
      </c>
      <c r="H1791" s="10" t="s">
        <v>4119</v>
      </c>
      <c r="I1791" s="35" t="s">
        <v>7017</v>
      </c>
      <c r="J1791" s="33" t="s">
        <v>1337</v>
      </c>
    </row>
    <row r="1792" spans="1:10" x14ac:dyDescent="0.25">
      <c r="A1792" s="23" t="s">
        <v>4138</v>
      </c>
      <c r="B1792" s="10" t="s">
        <v>4139</v>
      </c>
      <c r="C1792" s="23" t="s">
        <v>4119</v>
      </c>
      <c r="D1792" s="28" t="s">
        <v>4140</v>
      </c>
      <c r="E1792" s="25">
        <v>106</v>
      </c>
      <c r="F1792" s="23" t="str">
        <f>VLOOKUP(B1792,'[2]справочник кодов нп'!$A:$D,4,0)</f>
        <v>сельские населенные пункты с численностью населения менее 1 000 человек.</v>
      </c>
      <c r="G1792" s="23" t="s">
        <v>1385</v>
      </c>
      <c r="H1792" s="10" t="s">
        <v>4119</v>
      </c>
      <c r="I1792" s="35" t="s">
        <v>7017</v>
      </c>
      <c r="J1792" s="33" t="s">
        <v>1337</v>
      </c>
    </row>
    <row r="1793" spans="1:10" x14ac:dyDescent="0.25">
      <c r="A1793" s="23" t="s">
        <v>4141</v>
      </c>
      <c r="B1793" s="10" t="s">
        <v>4142</v>
      </c>
      <c r="C1793" s="23" t="s">
        <v>4119</v>
      </c>
      <c r="D1793" s="28" t="s">
        <v>4143</v>
      </c>
      <c r="E1793" s="25">
        <v>106</v>
      </c>
      <c r="F1793" s="23" t="str">
        <f>VLOOKUP(B1793,'[2]справочник кодов нп'!$A:$D,4,0)</f>
        <v>сельские населенные пункты с численностью населения менее 1 000 человек.</v>
      </c>
      <c r="G1793" s="23" t="s">
        <v>1385</v>
      </c>
      <c r="H1793" s="10" t="s">
        <v>4119</v>
      </c>
      <c r="I1793" s="35" t="s">
        <v>7017</v>
      </c>
      <c r="J1793" s="33" t="s">
        <v>1337</v>
      </c>
    </row>
    <row r="1794" spans="1:10" x14ac:dyDescent="0.25">
      <c r="A1794" s="23" t="s">
        <v>4144</v>
      </c>
      <c r="B1794" s="10" t="s">
        <v>4145</v>
      </c>
      <c r="C1794" s="23" t="s">
        <v>4119</v>
      </c>
      <c r="D1794" s="28" t="s">
        <v>4146</v>
      </c>
      <c r="E1794" s="25">
        <v>106</v>
      </c>
      <c r="F1794" s="23" t="str">
        <f>VLOOKUP(B1794,'[2]справочник кодов нп'!$A:$D,4,0)</f>
        <v>сельские населенные пункты с численностью населения менее 1 000 человек.</v>
      </c>
      <c r="G1794" s="23" t="s">
        <v>1385</v>
      </c>
      <c r="H1794" s="10" t="s">
        <v>4119</v>
      </c>
      <c r="I1794" s="35" t="s">
        <v>7017</v>
      </c>
      <c r="J1794" s="33" t="s">
        <v>1337</v>
      </c>
    </row>
    <row r="1795" spans="1:10" x14ac:dyDescent="0.25">
      <c r="A1795" s="23" t="s">
        <v>4147</v>
      </c>
      <c r="B1795" s="10" t="s">
        <v>4148</v>
      </c>
      <c r="C1795" s="23" t="s">
        <v>4119</v>
      </c>
      <c r="D1795" s="28" t="s">
        <v>4149</v>
      </c>
      <c r="E1795" s="25">
        <v>106</v>
      </c>
      <c r="F1795" s="23" t="str">
        <f>VLOOKUP(B1795,'[2]справочник кодов нп'!$A:$D,4,0)</f>
        <v>сельские населенные пункты с численностью населения менее 1 000 человек.</v>
      </c>
      <c r="G1795" s="23" t="s">
        <v>1385</v>
      </c>
      <c r="H1795" s="10" t="s">
        <v>4119</v>
      </c>
      <c r="I1795" s="35" t="s">
        <v>7017</v>
      </c>
      <c r="J1795" s="33" t="s">
        <v>1337</v>
      </c>
    </row>
    <row r="1796" spans="1:10" x14ac:dyDescent="0.25">
      <c r="A1796" s="23" t="s">
        <v>4150</v>
      </c>
      <c r="B1796" s="10" t="s">
        <v>4151</v>
      </c>
      <c r="C1796" s="23" t="s">
        <v>4119</v>
      </c>
      <c r="D1796" s="28" t="s">
        <v>4152</v>
      </c>
      <c r="E1796" s="25">
        <v>106</v>
      </c>
      <c r="F1796" s="23" t="str">
        <f>VLOOKUP(B1796,'[2]справочник кодов нп'!$A:$D,4,0)</f>
        <v>сельские населенные пункты с численностью населения менее 1 000 человек.</v>
      </c>
      <c r="G1796" s="23" t="s">
        <v>1385</v>
      </c>
      <c r="H1796" s="10" t="s">
        <v>4119</v>
      </c>
      <c r="I1796" s="35" t="s">
        <v>7017</v>
      </c>
      <c r="J1796" s="33" t="s">
        <v>1337</v>
      </c>
    </row>
    <row r="1797" spans="1:10" x14ac:dyDescent="0.25">
      <c r="A1797" s="23" t="s">
        <v>4153</v>
      </c>
      <c r="B1797" s="10" t="s">
        <v>4154</v>
      </c>
      <c r="C1797" s="23" t="s">
        <v>4119</v>
      </c>
      <c r="D1797" s="28" t="s">
        <v>4155</v>
      </c>
      <c r="E1797" s="25">
        <v>106</v>
      </c>
      <c r="F1797" s="23" t="str">
        <f>VLOOKUP(B1797,'[2]справочник кодов нп'!$A:$D,4,0)</f>
        <v>сельские населенные пункты с численностью населения менее 1 000 человек.</v>
      </c>
      <c r="G1797" s="23" t="s">
        <v>1385</v>
      </c>
      <c r="H1797" s="10" t="s">
        <v>4119</v>
      </c>
      <c r="I1797" s="35" t="s">
        <v>7017</v>
      </c>
      <c r="J1797" s="33" t="s">
        <v>1337</v>
      </c>
    </row>
    <row r="1798" spans="1:10" x14ac:dyDescent="0.25">
      <c r="A1798" s="23" t="s">
        <v>4156</v>
      </c>
      <c r="B1798" s="10" t="s">
        <v>4157</v>
      </c>
      <c r="C1798" s="23" t="s">
        <v>4119</v>
      </c>
      <c r="D1798" s="28" t="s">
        <v>4158</v>
      </c>
      <c r="E1798" s="25">
        <v>106</v>
      </c>
      <c r="F1798" s="23" t="str">
        <f>VLOOKUP(B1798,'[2]справочник кодов нп'!$A:$D,4,0)</f>
        <v>сельские населенные пункты с численностью населения менее 1 000 человек.</v>
      </c>
      <c r="G1798" s="23" t="s">
        <v>1385</v>
      </c>
      <c r="H1798" s="10" t="s">
        <v>4119</v>
      </c>
      <c r="I1798" s="35" t="s">
        <v>7017</v>
      </c>
      <c r="J1798" s="33" t="s">
        <v>1337</v>
      </c>
    </row>
    <row r="1799" spans="1:10" x14ac:dyDescent="0.25">
      <c r="A1799" s="23" t="s">
        <v>4159</v>
      </c>
      <c r="B1799" s="10" t="s">
        <v>4160</v>
      </c>
      <c r="C1799" s="23" t="s">
        <v>4119</v>
      </c>
      <c r="D1799" s="28" t="s">
        <v>4161</v>
      </c>
      <c r="E1799" s="25">
        <v>106</v>
      </c>
      <c r="F1799" s="23" t="str">
        <f>VLOOKUP(B1799,'[2]справочник кодов нп'!$A:$D,4,0)</f>
        <v>сельские населенные пункты с численностью населения менее 1 000 человек.</v>
      </c>
      <c r="G1799" s="23" t="s">
        <v>1385</v>
      </c>
      <c r="H1799" s="10" t="s">
        <v>4119</v>
      </c>
      <c r="I1799" s="35" t="s">
        <v>7017</v>
      </c>
      <c r="J1799" s="33" t="s">
        <v>1337</v>
      </c>
    </row>
    <row r="1800" spans="1:10" x14ac:dyDescent="0.25">
      <c r="A1800" s="23" t="s">
        <v>4162</v>
      </c>
      <c r="B1800" s="10" t="s">
        <v>4163</v>
      </c>
      <c r="C1800" s="23" t="s">
        <v>4119</v>
      </c>
      <c r="D1800" s="28" t="s">
        <v>4164</v>
      </c>
      <c r="E1800" s="25">
        <v>106</v>
      </c>
      <c r="F1800" s="23" t="str">
        <f>VLOOKUP(B1800,'[2]справочник кодов нп'!$A:$D,4,0)</f>
        <v>сельские населенные пункты с численностью населения менее 1 000 человек.</v>
      </c>
      <c r="G1800" s="23" t="s">
        <v>1385</v>
      </c>
      <c r="H1800" s="10" t="s">
        <v>4119</v>
      </c>
      <c r="I1800" s="35" t="s">
        <v>7017</v>
      </c>
      <c r="J1800" s="33" t="s">
        <v>1337</v>
      </c>
    </row>
    <row r="1801" spans="1:10" x14ac:dyDescent="0.25">
      <c r="A1801" s="23" t="s">
        <v>4165</v>
      </c>
      <c r="B1801" s="10" t="s">
        <v>4166</v>
      </c>
      <c r="C1801" s="23" t="s">
        <v>4119</v>
      </c>
      <c r="D1801" s="28" t="s">
        <v>2651</v>
      </c>
      <c r="E1801" s="25">
        <v>106</v>
      </c>
      <c r="F1801" s="23" t="str">
        <f>VLOOKUP(B1801,'[2]справочник кодов нп'!$A:$D,4,0)</f>
        <v>сельские населенные пункты с численностью населения менее 1 000 человек.</v>
      </c>
      <c r="G1801" s="23" t="s">
        <v>1385</v>
      </c>
      <c r="H1801" s="10" t="s">
        <v>4119</v>
      </c>
      <c r="I1801" s="35" t="s">
        <v>7017</v>
      </c>
      <c r="J1801" s="33" t="s">
        <v>1337</v>
      </c>
    </row>
    <row r="1802" spans="1:10" x14ac:dyDescent="0.25">
      <c r="A1802" s="23" t="s">
        <v>4167</v>
      </c>
      <c r="B1802" s="10" t="s">
        <v>4168</v>
      </c>
      <c r="C1802" s="23" t="s">
        <v>4119</v>
      </c>
      <c r="D1802" s="28" t="s">
        <v>4169</v>
      </c>
      <c r="E1802" s="25">
        <v>106</v>
      </c>
      <c r="F1802" s="23" t="str">
        <f>VLOOKUP(B1802,'[2]справочник кодов нп'!$A:$D,4,0)</f>
        <v>сельские населенные пункты с численностью населения более 1 000 человек;</v>
      </c>
      <c r="G1802" s="23" t="s">
        <v>1385</v>
      </c>
      <c r="H1802" s="10" t="s">
        <v>4119</v>
      </c>
      <c r="I1802" s="35" t="s">
        <v>7017</v>
      </c>
      <c r="J1802" s="33" t="s">
        <v>1337</v>
      </c>
    </row>
    <row r="1803" spans="1:10" x14ac:dyDescent="0.25">
      <c r="A1803" s="23" t="s">
        <v>4170</v>
      </c>
      <c r="B1803" s="10" t="s">
        <v>4171</v>
      </c>
      <c r="C1803" s="23" t="s">
        <v>4119</v>
      </c>
      <c r="D1803" s="28" t="s">
        <v>4172</v>
      </c>
      <c r="E1803" s="25">
        <v>106</v>
      </c>
      <c r="F1803" s="23" t="str">
        <f>VLOOKUP(B1803,'[2]справочник кодов нп'!$A:$D,4,0)</f>
        <v>сельские населенные пункты с численностью населения менее 1 000 человек.</v>
      </c>
      <c r="G1803" s="23" t="s">
        <v>1385</v>
      </c>
      <c r="H1803" s="10" t="s">
        <v>4119</v>
      </c>
      <c r="I1803" s="35" t="s">
        <v>7017</v>
      </c>
      <c r="J1803" s="33" t="s">
        <v>1337</v>
      </c>
    </row>
    <row r="1804" spans="1:10" x14ac:dyDescent="0.25">
      <c r="A1804" s="23" t="s">
        <v>5143</v>
      </c>
      <c r="B1804" s="10" t="s">
        <v>5144</v>
      </c>
      <c r="C1804" s="23" t="s">
        <v>4119</v>
      </c>
      <c r="D1804" s="28" t="s">
        <v>5145</v>
      </c>
      <c r="E1804" s="25">
        <v>106</v>
      </c>
      <c r="F1804" s="23" t="str">
        <f>VLOOKUP(B1804,'[2]справочник кодов нп'!$A:$D,4,0)</f>
        <v>сельские населенные пункты с численностью населения менее 1 000 человек.</v>
      </c>
      <c r="G1804" s="23" t="s">
        <v>1385</v>
      </c>
      <c r="H1804" s="10" t="s">
        <v>4119</v>
      </c>
      <c r="I1804" s="35" t="s">
        <v>7017</v>
      </c>
      <c r="J1804" s="33" t="s">
        <v>1337</v>
      </c>
    </row>
    <row r="1805" spans="1:10" x14ac:dyDescent="0.25">
      <c r="A1805" s="23" t="s">
        <v>5146</v>
      </c>
      <c r="B1805" s="10" t="s">
        <v>5147</v>
      </c>
      <c r="C1805" s="23" t="s">
        <v>4119</v>
      </c>
      <c r="D1805" s="28" t="s">
        <v>5148</v>
      </c>
      <c r="E1805" s="25">
        <v>106</v>
      </c>
      <c r="F1805" s="23" t="str">
        <f>VLOOKUP(B1805,'[2]справочник кодов нп'!$A:$D,4,0)</f>
        <v>сельские населенные пункты с численностью населения менее 1 000 человек.</v>
      </c>
      <c r="G1805" s="23" t="s">
        <v>1385</v>
      </c>
      <c r="H1805" s="10" t="s">
        <v>4119</v>
      </c>
      <c r="I1805" s="35" t="s">
        <v>7017</v>
      </c>
      <c r="J1805" s="33" t="s">
        <v>1337</v>
      </c>
    </row>
    <row r="1806" spans="1:10" x14ac:dyDescent="0.25">
      <c r="A1806" s="23" t="s">
        <v>5149</v>
      </c>
      <c r="B1806" s="10" t="s">
        <v>5150</v>
      </c>
      <c r="C1806" s="23" t="s">
        <v>4119</v>
      </c>
      <c r="D1806" s="28" t="s">
        <v>4075</v>
      </c>
      <c r="E1806" s="25">
        <v>106</v>
      </c>
      <c r="F1806" s="23" t="str">
        <f>VLOOKUP(B1806,'[2]справочник кодов нп'!$A:$D,4,0)</f>
        <v>сельские населенные пункты с численностью населения менее 1 000 человек.</v>
      </c>
      <c r="G1806" s="23" t="s">
        <v>1385</v>
      </c>
      <c r="H1806" s="10" t="s">
        <v>4119</v>
      </c>
      <c r="I1806" s="35" t="s">
        <v>7017</v>
      </c>
      <c r="J1806" s="33" t="s">
        <v>1337</v>
      </c>
    </row>
    <row r="1807" spans="1:10" x14ac:dyDescent="0.25">
      <c r="A1807" s="23" t="s">
        <v>5151</v>
      </c>
      <c r="B1807" s="10" t="s">
        <v>5152</v>
      </c>
      <c r="C1807" s="23" t="s">
        <v>4119</v>
      </c>
      <c r="D1807" s="28" t="s">
        <v>5153</v>
      </c>
      <c r="E1807" s="25">
        <v>106</v>
      </c>
      <c r="F1807" s="23" t="str">
        <f>VLOOKUP(B1807,'[2]справочник кодов нп'!$A:$D,4,0)</f>
        <v>сельские населенные пункты с численностью населения менее 1 000 человек.</v>
      </c>
      <c r="G1807" s="23" t="s">
        <v>1385</v>
      </c>
      <c r="H1807" s="10" t="s">
        <v>4119</v>
      </c>
      <c r="I1807" s="35" t="s">
        <v>7017</v>
      </c>
      <c r="J1807" s="33" t="s">
        <v>1337</v>
      </c>
    </row>
    <row r="1808" spans="1:10" x14ac:dyDescent="0.25">
      <c r="A1808" s="23" t="s">
        <v>5154</v>
      </c>
      <c r="B1808" s="10" t="s">
        <v>5155</v>
      </c>
      <c r="C1808" s="23" t="s">
        <v>4119</v>
      </c>
      <c r="D1808" s="28" t="s">
        <v>5156</v>
      </c>
      <c r="E1808" s="25">
        <v>106</v>
      </c>
      <c r="F1808" s="23" t="str">
        <f>VLOOKUP(B1808,'[2]справочник кодов нп'!$A:$D,4,0)</f>
        <v>городские населенные пункты с численностью населения менее 50 000 человек;</v>
      </c>
      <c r="G1808" s="23" t="s">
        <v>1385</v>
      </c>
      <c r="H1808" s="10" t="s">
        <v>4119</v>
      </c>
      <c r="I1808" s="35" t="s">
        <v>7017</v>
      </c>
      <c r="J1808" s="33" t="s">
        <v>1337</v>
      </c>
    </row>
    <row r="1809" spans="1:10" x14ac:dyDescent="0.25">
      <c r="A1809" s="23" t="s">
        <v>5157</v>
      </c>
      <c r="B1809" s="10" t="s">
        <v>5158</v>
      </c>
      <c r="C1809" s="23" t="s">
        <v>4119</v>
      </c>
      <c r="D1809" s="28" t="s">
        <v>5159</v>
      </c>
      <c r="E1809" s="25">
        <v>106</v>
      </c>
      <c r="F1809" s="23" t="str">
        <f>VLOOKUP(B1809,'[2]справочник кодов нп'!$A:$D,4,0)</f>
        <v>сельские населенные пункты с численностью населения менее 1 000 человек.</v>
      </c>
      <c r="G1809" s="23" t="s">
        <v>1385</v>
      </c>
      <c r="H1809" s="10" t="s">
        <v>4119</v>
      </c>
      <c r="I1809" s="35" t="s">
        <v>7017</v>
      </c>
      <c r="J1809" s="33" t="s">
        <v>1337</v>
      </c>
    </row>
    <row r="1810" spans="1:10" x14ac:dyDescent="0.25">
      <c r="A1810" s="23" t="s">
        <v>5324</v>
      </c>
      <c r="B1810" s="10" t="s">
        <v>5325</v>
      </c>
      <c r="C1810" s="23" t="s">
        <v>4119</v>
      </c>
      <c r="D1810" s="28" t="s">
        <v>5326</v>
      </c>
      <c r="E1810" s="25">
        <v>106</v>
      </c>
      <c r="F1810" s="23" t="str">
        <f>VLOOKUP(B1810,'[2]справочник кодов нп'!$A:$D,4,0)</f>
        <v>сельские населенные пункты с численностью населения более 1 000 человек;</v>
      </c>
      <c r="G1810" s="23" t="s">
        <v>1385</v>
      </c>
      <c r="H1810" s="10" t="s">
        <v>4119</v>
      </c>
      <c r="I1810" s="35" t="s">
        <v>7017</v>
      </c>
      <c r="J1810" s="33" t="s">
        <v>1337</v>
      </c>
    </row>
    <row r="1811" spans="1:10" x14ac:dyDescent="0.25">
      <c r="A1811" s="23" t="s">
        <v>5327</v>
      </c>
      <c r="B1811" s="10" t="s">
        <v>5328</v>
      </c>
      <c r="C1811" s="23" t="s">
        <v>4119</v>
      </c>
      <c r="D1811" s="28" t="s">
        <v>5329</v>
      </c>
      <c r="E1811" s="25">
        <v>106</v>
      </c>
      <c r="F1811" s="23" t="str">
        <f>VLOOKUP(B1811,'[2]справочник кодов нп'!$A:$D,4,0)</f>
        <v>сельские населенные пункты с численностью населения менее 1 000 человек.</v>
      </c>
      <c r="G1811" s="23" t="s">
        <v>1385</v>
      </c>
      <c r="H1811" s="10" t="s">
        <v>4119</v>
      </c>
      <c r="I1811" s="35" t="s">
        <v>7017</v>
      </c>
      <c r="J1811" s="33" t="s">
        <v>1337</v>
      </c>
    </row>
    <row r="1812" spans="1:10" x14ac:dyDescent="0.25">
      <c r="A1812" s="23" t="s">
        <v>5330</v>
      </c>
      <c r="B1812" s="10" t="s">
        <v>5331</v>
      </c>
      <c r="C1812" s="23" t="s">
        <v>4119</v>
      </c>
      <c r="D1812" s="28" t="s">
        <v>5332</v>
      </c>
      <c r="E1812" s="25">
        <v>106</v>
      </c>
      <c r="F1812" s="23" t="str">
        <f>VLOOKUP(B1812,'[2]справочник кодов нп'!$A:$D,4,0)</f>
        <v>сельские населенные пункты с численностью населения менее 1 000 человек.</v>
      </c>
      <c r="G1812" s="23" t="s">
        <v>1385</v>
      </c>
      <c r="H1812" s="10" t="s">
        <v>4119</v>
      </c>
      <c r="I1812" s="35" t="s">
        <v>7017</v>
      </c>
      <c r="J1812" s="33" t="s">
        <v>1337</v>
      </c>
    </row>
    <row r="1813" spans="1:10" x14ac:dyDescent="0.25">
      <c r="A1813" s="23" t="s">
        <v>5333</v>
      </c>
      <c r="B1813" s="10" t="s">
        <v>5334</v>
      </c>
      <c r="C1813" s="23" t="s">
        <v>4119</v>
      </c>
      <c r="D1813" s="28" t="s">
        <v>5335</v>
      </c>
      <c r="E1813" s="25">
        <v>106</v>
      </c>
      <c r="F1813" s="23" t="str">
        <f>VLOOKUP(B1813,'[2]справочник кодов нп'!$A:$D,4,0)</f>
        <v>сельские населенные пункты с численностью населения более 1 000 человек;</v>
      </c>
      <c r="G1813" s="23" t="s">
        <v>1385</v>
      </c>
      <c r="H1813" s="10" t="s">
        <v>4119</v>
      </c>
      <c r="I1813" s="35" t="s">
        <v>7017</v>
      </c>
      <c r="J1813" s="33" t="s">
        <v>1337</v>
      </c>
    </row>
    <row r="1814" spans="1:10" x14ac:dyDescent="0.25">
      <c r="A1814" s="23" t="s">
        <v>5398</v>
      </c>
      <c r="B1814" s="10" t="s">
        <v>5399</v>
      </c>
      <c r="C1814" s="23" t="s">
        <v>4119</v>
      </c>
      <c r="D1814" s="28" t="s">
        <v>5400</v>
      </c>
      <c r="E1814" s="25">
        <v>106</v>
      </c>
      <c r="F1814" s="23" t="str">
        <f>VLOOKUP(B1814,'[2]справочник кодов нп'!$A:$D,4,0)</f>
        <v>сельские населенные пункты с численностью населения менее 1 000 человек.</v>
      </c>
      <c r="G1814" s="23" t="s">
        <v>1385</v>
      </c>
      <c r="H1814" s="10" t="s">
        <v>4119</v>
      </c>
      <c r="I1814" s="35" t="s">
        <v>7017</v>
      </c>
      <c r="J1814" s="33" t="s">
        <v>1337</v>
      </c>
    </row>
    <row r="1815" spans="1:10" x14ac:dyDescent="0.25">
      <c r="A1815" s="23" t="s">
        <v>6231</v>
      </c>
      <c r="B1815" s="10" t="s">
        <v>6232</v>
      </c>
      <c r="C1815" s="23" t="s">
        <v>4119</v>
      </c>
      <c r="D1815" s="28" t="s">
        <v>6233</v>
      </c>
      <c r="E1815" s="25">
        <v>106</v>
      </c>
      <c r="F1815" s="23" t="str">
        <f>VLOOKUP(B1815,'[2]справочник кодов нп'!$A:$D,4,0)</f>
        <v>сельские населенные пункты с численностью населения более 1 000 человек;</v>
      </c>
      <c r="G1815" s="23" t="s">
        <v>1385</v>
      </c>
      <c r="H1815" s="10" t="s">
        <v>4119</v>
      </c>
      <c r="I1815" s="35" t="s">
        <v>7017</v>
      </c>
      <c r="J1815" s="33" t="s">
        <v>1337</v>
      </c>
    </row>
    <row r="1816" spans="1:10" x14ac:dyDescent="0.25">
      <c r="A1816" s="23" t="s">
        <v>6234</v>
      </c>
      <c r="B1816" s="10" t="s">
        <v>6235</v>
      </c>
      <c r="C1816" s="23" t="s">
        <v>4119</v>
      </c>
      <c r="D1816" s="28" t="s">
        <v>6236</v>
      </c>
      <c r="E1816" s="25">
        <v>106</v>
      </c>
      <c r="F1816" s="23" t="str">
        <f>VLOOKUP(B1816,'[2]справочник кодов нп'!$A:$D,4,0)</f>
        <v>сельские населенные пункты с численностью населения менее 1 000 человек.</v>
      </c>
      <c r="G1816" s="23" t="s">
        <v>1385</v>
      </c>
      <c r="H1816" s="10" t="s">
        <v>4119</v>
      </c>
      <c r="I1816" s="35" t="s">
        <v>7017</v>
      </c>
      <c r="J1816" s="33" t="s">
        <v>1337</v>
      </c>
    </row>
    <row r="1817" spans="1:10" x14ac:dyDescent="0.25">
      <c r="A1817" s="23" t="s">
        <v>6237</v>
      </c>
      <c r="B1817" s="10" t="s">
        <v>6238</v>
      </c>
      <c r="C1817" s="23" t="s">
        <v>4119</v>
      </c>
      <c r="D1817" s="28" t="s">
        <v>6239</v>
      </c>
      <c r="E1817" s="25">
        <v>106</v>
      </c>
      <c r="F1817" s="23" t="str">
        <f>VLOOKUP(B1817,'[2]справочник кодов нп'!$A:$D,4,0)</f>
        <v>сельские населенные пункты с численностью населения менее 1 000 человек.</v>
      </c>
      <c r="G1817" s="23" t="s">
        <v>1385</v>
      </c>
      <c r="H1817" s="10" t="s">
        <v>4119</v>
      </c>
      <c r="I1817" s="35" t="s">
        <v>7017</v>
      </c>
      <c r="J1817" s="33" t="s">
        <v>1337</v>
      </c>
    </row>
    <row r="1818" spans="1:10" x14ac:dyDescent="0.25">
      <c r="A1818" s="23" t="s">
        <v>6240</v>
      </c>
      <c r="B1818" s="10" t="s">
        <v>6241</v>
      </c>
      <c r="C1818" s="23" t="s">
        <v>4119</v>
      </c>
      <c r="D1818" s="28" t="s">
        <v>5391</v>
      </c>
      <c r="E1818" s="25">
        <v>106</v>
      </c>
      <c r="F1818" s="23" t="str">
        <f>VLOOKUP(B1818,'[2]справочник кодов нп'!$A:$D,4,0)</f>
        <v>сельские населенные пункты с численностью населения менее 1 000 человек.</v>
      </c>
      <c r="G1818" s="23" t="s">
        <v>1385</v>
      </c>
      <c r="H1818" s="10" t="s">
        <v>4119</v>
      </c>
      <c r="I1818" s="35" t="s">
        <v>7017</v>
      </c>
      <c r="J1818" s="33" t="s">
        <v>1337</v>
      </c>
    </row>
    <row r="1819" spans="1:10" x14ac:dyDescent="0.25">
      <c r="A1819" s="23" t="s">
        <v>6242</v>
      </c>
      <c r="B1819" s="10" t="s">
        <v>6243</v>
      </c>
      <c r="C1819" s="23" t="s">
        <v>4119</v>
      </c>
      <c r="D1819" s="28" t="s">
        <v>1827</v>
      </c>
      <c r="E1819" s="25">
        <v>106</v>
      </c>
      <c r="F1819" s="23" t="str">
        <f>VLOOKUP(B1819,'[2]справочник кодов нп'!$A:$D,4,0)</f>
        <v>сельские населенные пункты с численностью населения менее 1 000 человек.</v>
      </c>
      <c r="G1819" s="23" t="s">
        <v>1385</v>
      </c>
      <c r="H1819" s="10" t="s">
        <v>4119</v>
      </c>
      <c r="I1819" s="35" t="s">
        <v>7017</v>
      </c>
      <c r="J1819" s="33" t="s">
        <v>1337</v>
      </c>
    </row>
    <row r="1820" spans="1:10" x14ac:dyDescent="0.25">
      <c r="A1820" s="23" t="s">
        <v>6244</v>
      </c>
      <c r="B1820" s="10" t="s">
        <v>6245</v>
      </c>
      <c r="C1820" s="23" t="s">
        <v>4119</v>
      </c>
      <c r="D1820" s="28" t="s">
        <v>6246</v>
      </c>
      <c r="E1820" s="25">
        <v>106</v>
      </c>
      <c r="F1820" s="23" t="str">
        <f>VLOOKUP(B1820,'[2]справочник кодов нп'!$A:$D,4,0)</f>
        <v>сельские населенные пункты с численностью населения менее 1 000 человек.</v>
      </c>
      <c r="G1820" s="23" t="s">
        <v>1385</v>
      </c>
      <c r="H1820" s="10" t="s">
        <v>4119</v>
      </c>
      <c r="I1820" s="35" t="s">
        <v>7017</v>
      </c>
      <c r="J1820" s="33" t="s">
        <v>1337</v>
      </c>
    </row>
    <row r="1821" spans="1:10" x14ac:dyDescent="0.25">
      <c r="A1821" s="23" t="s">
        <v>6247</v>
      </c>
      <c r="B1821" s="10" t="s">
        <v>6248</v>
      </c>
      <c r="C1821" s="23" t="s">
        <v>4119</v>
      </c>
      <c r="D1821" s="28" t="s">
        <v>6249</v>
      </c>
      <c r="E1821" s="25">
        <v>106</v>
      </c>
      <c r="F1821" s="23" t="str">
        <f>VLOOKUP(B1821,'[2]справочник кодов нп'!$A:$D,4,0)</f>
        <v>сельские населенные пункты с численностью населения менее 1 000 человек.</v>
      </c>
      <c r="G1821" s="23" t="s">
        <v>1385</v>
      </c>
      <c r="H1821" s="10" t="s">
        <v>4119</v>
      </c>
      <c r="I1821" s="35" t="s">
        <v>7017</v>
      </c>
      <c r="J1821" s="33" t="s">
        <v>1337</v>
      </c>
    </row>
    <row r="1822" spans="1:10" x14ac:dyDescent="0.25">
      <c r="A1822" s="23" t="s">
        <v>6250</v>
      </c>
      <c r="B1822" s="10" t="s">
        <v>6251</v>
      </c>
      <c r="C1822" s="23" t="s">
        <v>4119</v>
      </c>
      <c r="D1822" s="28" t="s">
        <v>1784</v>
      </c>
      <c r="E1822" s="25">
        <v>106</v>
      </c>
      <c r="F1822" s="23" t="str">
        <f>VLOOKUP(B1822,'[2]справочник кодов нп'!$A:$D,4,0)</f>
        <v>сельские населенные пункты с численностью населения менее 1 000 человек.</v>
      </c>
      <c r="G1822" s="23" t="s">
        <v>1385</v>
      </c>
      <c r="H1822" s="10" t="s">
        <v>4119</v>
      </c>
      <c r="I1822" s="35" t="s">
        <v>7017</v>
      </c>
      <c r="J1822" s="33" t="s">
        <v>1337</v>
      </c>
    </row>
    <row r="1823" spans="1:10" x14ac:dyDescent="0.25">
      <c r="A1823" s="23" t="s">
        <v>6252</v>
      </c>
      <c r="B1823" s="10" t="s">
        <v>6253</v>
      </c>
      <c r="C1823" s="23" t="s">
        <v>4119</v>
      </c>
      <c r="D1823" s="28" t="s">
        <v>6254</v>
      </c>
      <c r="E1823" s="25">
        <v>106</v>
      </c>
      <c r="F1823" s="23" t="str">
        <f>VLOOKUP(B1823,'[2]справочник кодов нп'!$A:$D,4,0)</f>
        <v>сельские населенные пункты с численностью населения менее 1 000 человек.</v>
      </c>
      <c r="G1823" s="23" t="s">
        <v>1385</v>
      </c>
      <c r="H1823" s="10" t="s">
        <v>4119</v>
      </c>
      <c r="I1823" s="35" t="s">
        <v>7017</v>
      </c>
      <c r="J1823" s="33" t="s">
        <v>1337</v>
      </c>
    </row>
    <row r="1824" spans="1:10" x14ac:dyDescent="0.25">
      <c r="A1824" s="23" t="s">
        <v>6255</v>
      </c>
      <c r="B1824" s="10" t="s">
        <v>6256</v>
      </c>
      <c r="C1824" s="23" t="s">
        <v>4119</v>
      </c>
      <c r="D1824" s="28" t="s">
        <v>6257</v>
      </c>
      <c r="E1824" s="25">
        <v>106</v>
      </c>
      <c r="F1824" s="23" t="str">
        <f>VLOOKUP(B1824,'[2]справочник кодов нп'!$A:$D,4,0)</f>
        <v>сельские населенные пункты с численностью населения менее 1 000 человек.</v>
      </c>
      <c r="G1824" s="23" t="s">
        <v>1385</v>
      </c>
      <c r="H1824" s="10" t="s">
        <v>4119</v>
      </c>
      <c r="I1824" s="35" t="s">
        <v>7017</v>
      </c>
      <c r="J1824" s="33" t="s">
        <v>1337</v>
      </c>
    </row>
    <row r="1825" spans="1:10" x14ac:dyDescent="0.25">
      <c r="A1825" s="23" t="s">
        <v>6258</v>
      </c>
      <c r="B1825" s="10" t="s">
        <v>6259</v>
      </c>
      <c r="C1825" s="23" t="s">
        <v>4119</v>
      </c>
      <c r="D1825" s="28" t="s">
        <v>6260</v>
      </c>
      <c r="E1825" s="25">
        <v>106</v>
      </c>
      <c r="F1825" s="23" t="str">
        <f>VLOOKUP(B1825,'[2]справочник кодов нп'!$A:$D,4,0)</f>
        <v>сельские населенные пункты с численностью населения менее 1 000 человек.</v>
      </c>
      <c r="G1825" s="23" t="s">
        <v>1385</v>
      </c>
      <c r="H1825" s="10" t="s">
        <v>4119</v>
      </c>
      <c r="I1825" s="35" t="s">
        <v>7017</v>
      </c>
      <c r="J1825" s="33" t="s">
        <v>1337</v>
      </c>
    </row>
    <row r="1826" spans="1:10" x14ac:dyDescent="0.25">
      <c r="A1826" s="23" t="s">
        <v>6261</v>
      </c>
      <c r="B1826" s="10" t="s">
        <v>6262</v>
      </c>
      <c r="C1826" s="23" t="s">
        <v>4119</v>
      </c>
      <c r="D1826" s="28" t="s">
        <v>6263</v>
      </c>
      <c r="E1826" s="25">
        <v>106</v>
      </c>
      <c r="F1826" s="23" t="str">
        <f>VLOOKUP(B1826,'[2]справочник кодов нп'!$A:$D,4,0)</f>
        <v>сельские населенные пункты с численностью населения менее 1 000 человек.</v>
      </c>
      <c r="G1826" s="23" t="s">
        <v>1385</v>
      </c>
      <c r="H1826" s="10" t="s">
        <v>4119</v>
      </c>
      <c r="I1826" s="35" t="s">
        <v>7017</v>
      </c>
      <c r="J1826" s="33" t="s">
        <v>1337</v>
      </c>
    </row>
    <row r="1827" spans="1:10" x14ac:dyDescent="0.25">
      <c r="A1827" s="23" t="s">
        <v>6264</v>
      </c>
      <c r="B1827" s="10" t="s">
        <v>6265</v>
      </c>
      <c r="C1827" s="23" t="s">
        <v>4119</v>
      </c>
      <c r="D1827" s="28" t="s">
        <v>2558</v>
      </c>
      <c r="E1827" s="25">
        <v>106</v>
      </c>
      <c r="F1827" s="23" t="str">
        <f>VLOOKUP(B1827,'[2]справочник кодов нп'!$A:$D,4,0)</f>
        <v>сельские населенные пункты с численностью населения менее 1 000 человек.</v>
      </c>
      <c r="G1827" s="23" t="s">
        <v>1385</v>
      </c>
      <c r="H1827" s="10" t="s">
        <v>4119</v>
      </c>
      <c r="I1827" s="35" t="s">
        <v>7017</v>
      </c>
      <c r="J1827" s="33" t="s">
        <v>1337</v>
      </c>
    </row>
    <row r="1828" spans="1:10" x14ac:dyDescent="0.25">
      <c r="A1828" s="23" t="s">
        <v>6266</v>
      </c>
      <c r="B1828" s="10" t="s">
        <v>6267</v>
      </c>
      <c r="C1828" s="23" t="s">
        <v>4119</v>
      </c>
      <c r="D1828" s="28" t="s">
        <v>6268</v>
      </c>
      <c r="E1828" s="25">
        <v>106</v>
      </c>
      <c r="F1828" s="23" t="str">
        <f>VLOOKUP(B1828,'[2]справочник кодов нп'!$A:$D,4,0)</f>
        <v>сельские населенные пункты с численностью населения менее 1 000 человек.</v>
      </c>
      <c r="G1828" s="23" t="s">
        <v>1385</v>
      </c>
      <c r="H1828" s="10" t="s">
        <v>4119</v>
      </c>
      <c r="I1828" s="35" t="s">
        <v>7017</v>
      </c>
      <c r="J1828" s="33" t="s">
        <v>1337</v>
      </c>
    </row>
    <row r="1829" spans="1:10" x14ac:dyDescent="0.25">
      <c r="A1829" s="23" t="s">
        <v>6269</v>
      </c>
      <c r="B1829" s="10" t="s">
        <v>6270</v>
      </c>
      <c r="C1829" s="23" t="s">
        <v>4119</v>
      </c>
      <c r="D1829" s="28" t="s">
        <v>6271</v>
      </c>
      <c r="E1829" s="25">
        <v>106</v>
      </c>
      <c r="F1829" s="23" t="str">
        <f>VLOOKUP(B1829,'[2]справочник кодов нп'!$A:$D,4,0)</f>
        <v>сельские населенные пункты с численностью населения менее 1 000 человек.</v>
      </c>
      <c r="G1829" s="45" t="s">
        <v>1385</v>
      </c>
      <c r="H1829" s="10" t="s">
        <v>4119</v>
      </c>
      <c r="I1829" s="35" t="s">
        <v>7017</v>
      </c>
      <c r="J1829" s="33" t="s">
        <v>1337</v>
      </c>
    </row>
    <row r="1830" spans="1:10" x14ac:dyDescent="0.25">
      <c r="A1830" s="23" t="s">
        <v>6272</v>
      </c>
      <c r="B1830" s="10" t="s">
        <v>6273</v>
      </c>
      <c r="C1830" s="23" t="s">
        <v>4119</v>
      </c>
      <c r="D1830" s="28" t="s">
        <v>6274</v>
      </c>
      <c r="E1830" s="25">
        <v>106</v>
      </c>
      <c r="F1830" s="23" t="str">
        <f>VLOOKUP(B1830,'[2]справочник кодов нп'!$A:$D,4,0)</f>
        <v>сельские населенные пункты с численностью населения менее 1 000 человек.</v>
      </c>
      <c r="G1830" s="23" t="s">
        <v>1385</v>
      </c>
      <c r="H1830" s="10" t="s">
        <v>4119</v>
      </c>
      <c r="I1830" s="35" t="s">
        <v>7017</v>
      </c>
      <c r="J1830" s="33" t="s">
        <v>1337</v>
      </c>
    </row>
    <row r="1831" spans="1:10" x14ac:dyDescent="0.25">
      <c r="A1831" s="23" t="s">
        <v>6275</v>
      </c>
      <c r="B1831" s="10" t="s">
        <v>6276</v>
      </c>
      <c r="C1831" s="23" t="s">
        <v>4119</v>
      </c>
      <c r="D1831" s="28" t="s">
        <v>6277</v>
      </c>
      <c r="E1831" s="25">
        <v>106</v>
      </c>
      <c r="F1831" s="23" t="str">
        <f>VLOOKUP(B1831,'[2]справочник кодов нп'!$A:$D,4,0)</f>
        <v>сельские населенные пункты с численностью населения менее 1 000 человек.</v>
      </c>
      <c r="G1831" s="23" t="s">
        <v>1385</v>
      </c>
      <c r="H1831" s="10" t="s">
        <v>4119</v>
      </c>
      <c r="I1831" s="35" t="s">
        <v>7017</v>
      </c>
      <c r="J1831" s="33" t="s">
        <v>1337</v>
      </c>
    </row>
    <row r="1832" spans="1:10" x14ac:dyDescent="0.25">
      <c r="A1832" s="23" t="s">
        <v>6278</v>
      </c>
      <c r="B1832" s="10" t="s">
        <v>6279</v>
      </c>
      <c r="C1832" s="23" t="s">
        <v>4119</v>
      </c>
      <c r="D1832" s="28" t="s">
        <v>6280</v>
      </c>
      <c r="E1832" s="25">
        <v>106</v>
      </c>
      <c r="F1832" s="23" t="str">
        <f>VLOOKUP(B1832,'[2]справочник кодов нп'!$A:$D,4,0)</f>
        <v>сельские населенные пункты с численностью населения менее 1 000 человек.</v>
      </c>
      <c r="G1832" s="45" t="s">
        <v>1385</v>
      </c>
      <c r="H1832" s="10" t="s">
        <v>4119</v>
      </c>
      <c r="I1832" s="35" t="s">
        <v>7017</v>
      </c>
      <c r="J1832" s="33" t="s">
        <v>1337</v>
      </c>
    </row>
    <row r="1833" spans="1:10" x14ac:dyDescent="0.25">
      <c r="A1833" s="23" t="s">
        <v>6281</v>
      </c>
      <c r="B1833" s="10" t="s">
        <v>6282</v>
      </c>
      <c r="C1833" s="23" t="s">
        <v>4119</v>
      </c>
      <c r="D1833" s="28" t="s">
        <v>6283</v>
      </c>
      <c r="E1833" s="25">
        <v>106</v>
      </c>
      <c r="F1833" s="23" t="str">
        <f>VLOOKUP(B1833,'[2]справочник кодов нп'!$A:$D,4,0)</f>
        <v>сельские населенные пункты с численностью населения менее 1 000 человек.</v>
      </c>
      <c r="G1833" s="45" t="s">
        <v>1385</v>
      </c>
      <c r="H1833" s="10" t="s">
        <v>4119</v>
      </c>
      <c r="I1833" s="35" t="s">
        <v>7017</v>
      </c>
      <c r="J1833" s="33" t="s">
        <v>1337</v>
      </c>
    </row>
    <row r="1834" spans="1:10" x14ac:dyDescent="0.25">
      <c r="A1834" s="23" t="s">
        <v>6686</v>
      </c>
      <c r="B1834" s="10" t="s">
        <v>6687</v>
      </c>
      <c r="C1834" s="23" t="s">
        <v>4119</v>
      </c>
      <c r="D1834" s="28" t="s">
        <v>6688</v>
      </c>
      <c r="E1834" s="25">
        <v>106</v>
      </c>
      <c r="F1834" s="23" t="str">
        <f>VLOOKUP(B1834,'[2]справочник кодов нп'!$A:$D,4,0)</f>
        <v>сельские населенные пункты с численностью населения менее 1 000 человек.</v>
      </c>
      <c r="G1834" s="45" t="s">
        <v>1385</v>
      </c>
      <c r="H1834" s="10" t="s">
        <v>4119</v>
      </c>
      <c r="I1834" s="35" t="s">
        <v>7017</v>
      </c>
      <c r="J1834" s="33" t="s">
        <v>1337</v>
      </c>
    </row>
    <row r="1835" spans="1:10" x14ac:dyDescent="0.25">
      <c r="A1835" s="23" t="s">
        <v>6731</v>
      </c>
      <c r="B1835" s="10" t="s">
        <v>6732</v>
      </c>
      <c r="C1835" s="23" t="s">
        <v>4119</v>
      </c>
      <c r="D1835" s="28" t="s">
        <v>2114</v>
      </c>
      <c r="E1835" s="25">
        <v>106</v>
      </c>
      <c r="F1835" s="23" t="str">
        <f>VLOOKUP(B1835,'[2]справочник кодов нп'!$A:$D,4,0)</f>
        <v>сельские населенные пункты с численностью населения менее 1 000 человек.</v>
      </c>
      <c r="G1835" s="45" t="s">
        <v>1385</v>
      </c>
      <c r="H1835" s="10" t="s">
        <v>4119</v>
      </c>
      <c r="I1835" s="35" t="s">
        <v>7017</v>
      </c>
      <c r="J1835" s="33" t="s">
        <v>1337</v>
      </c>
    </row>
    <row r="1836" spans="1:10" x14ac:dyDescent="0.25">
      <c r="A1836" s="23" t="s">
        <v>6755</v>
      </c>
      <c r="B1836" s="10" t="s">
        <v>6756</v>
      </c>
      <c r="C1836" s="23" t="s">
        <v>4119</v>
      </c>
      <c r="D1836" s="28" t="s">
        <v>6757</v>
      </c>
      <c r="E1836" s="25">
        <v>106</v>
      </c>
      <c r="F1836" s="23" t="str">
        <f>VLOOKUP(B1836,'[2]справочник кодов нп'!$A:$D,4,0)</f>
        <v>сельские населенные пункты с численностью населения более 1 000 человек;</v>
      </c>
      <c r="G1836" s="45" t="s">
        <v>1385</v>
      </c>
      <c r="H1836" s="10" t="s">
        <v>4119</v>
      </c>
      <c r="I1836" s="35" t="s">
        <v>7017</v>
      </c>
      <c r="J1836" s="33" t="s">
        <v>1337</v>
      </c>
    </row>
    <row r="1837" spans="1:10" x14ac:dyDescent="0.25">
      <c r="A1837" s="23" t="s">
        <v>6981</v>
      </c>
      <c r="B1837" s="10" t="s">
        <v>6982</v>
      </c>
      <c r="C1837" s="23" t="s">
        <v>4119</v>
      </c>
      <c r="D1837" s="28" t="s">
        <v>6846</v>
      </c>
      <c r="E1837" s="25">
        <v>106</v>
      </c>
      <c r="F1837" s="23" t="str">
        <f>VLOOKUP(B1837,'[2]справочник кодов нп'!$A:$D,4,0)</f>
        <v>межселенная территория</v>
      </c>
      <c r="G1837" s="45" t="s">
        <v>1385</v>
      </c>
      <c r="H1837" s="10" t="s">
        <v>4119</v>
      </c>
      <c r="I1837" s="35" t="s">
        <v>7019</v>
      </c>
      <c r="J1837" s="33" t="s">
        <v>1337</v>
      </c>
    </row>
    <row r="1838" spans="1:10" x14ac:dyDescent="0.25">
      <c r="A1838" s="23" t="s">
        <v>4173</v>
      </c>
      <c r="B1838" s="10" t="s">
        <v>4174</v>
      </c>
      <c r="C1838" s="23" t="s">
        <v>4175</v>
      </c>
      <c r="D1838" s="28" t="s">
        <v>4176</v>
      </c>
      <c r="E1838" s="25">
        <v>106</v>
      </c>
      <c r="F1838" s="23" t="str">
        <f>VLOOKUP(B1838,'[2]справочник кодов нп'!$A:$D,4,0)</f>
        <v>сельские населенные пункты с численностью населения менее 1 000 человек.</v>
      </c>
      <c r="G1838" s="23" t="s">
        <v>1385</v>
      </c>
      <c r="H1838" s="10" t="s">
        <v>4175</v>
      </c>
      <c r="I1838" s="35" t="s">
        <v>7017</v>
      </c>
      <c r="J1838" s="33" t="s">
        <v>1337</v>
      </c>
    </row>
    <row r="1839" spans="1:10" x14ac:dyDescent="0.25">
      <c r="A1839" s="23" t="s">
        <v>4177</v>
      </c>
      <c r="B1839" s="10" t="s">
        <v>4178</v>
      </c>
      <c r="C1839" s="23" t="s">
        <v>4175</v>
      </c>
      <c r="D1839" s="28" t="s">
        <v>4179</v>
      </c>
      <c r="E1839" s="25">
        <v>106</v>
      </c>
      <c r="F1839" s="23" t="str">
        <f>VLOOKUP(B1839,'[2]справочник кодов нп'!$A:$D,4,0)</f>
        <v>сельские населенные пункты с численностью населения менее 1 000 человек.</v>
      </c>
      <c r="G1839" s="23" t="s">
        <v>1385</v>
      </c>
      <c r="H1839" s="10" t="s">
        <v>4175</v>
      </c>
      <c r="I1839" s="35" t="s">
        <v>7017</v>
      </c>
      <c r="J1839" s="33" t="s">
        <v>1337</v>
      </c>
    </row>
    <row r="1840" spans="1:10" x14ac:dyDescent="0.25">
      <c r="A1840" s="23" t="s">
        <v>4180</v>
      </c>
      <c r="B1840" s="10" t="s">
        <v>4181</v>
      </c>
      <c r="C1840" s="23" t="s">
        <v>4175</v>
      </c>
      <c r="D1840" s="28" t="s">
        <v>4182</v>
      </c>
      <c r="E1840" s="25">
        <v>106</v>
      </c>
      <c r="F1840" s="23" t="str">
        <f>VLOOKUP(B1840,'[2]справочник кодов нп'!$A:$D,4,0)</f>
        <v>сельские населенные пункты с численностью населения менее 1 000 человек.</v>
      </c>
      <c r="G1840" s="23" t="s">
        <v>1385</v>
      </c>
      <c r="H1840" s="10" t="s">
        <v>4175</v>
      </c>
      <c r="I1840" s="35" t="s">
        <v>7017</v>
      </c>
      <c r="J1840" s="33" t="s">
        <v>1337</v>
      </c>
    </row>
    <row r="1841" spans="1:10" x14ac:dyDescent="0.25">
      <c r="A1841" s="23" t="s">
        <v>4183</v>
      </c>
      <c r="B1841" s="10" t="s">
        <v>4184</v>
      </c>
      <c r="C1841" s="23" t="s">
        <v>4175</v>
      </c>
      <c r="D1841" s="28" t="s">
        <v>2285</v>
      </c>
      <c r="E1841" s="25">
        <v>106</v>
      </c>
      <c r="F1841" s="23" t="str">
        <f>VLOOKUP(B1841,'[2]справочник кодов нп'!$A:$D,4,0)</f>
        <v>сельские населенные пункты с численностью населения менее 1 000 человек.</v>
      </c>
      <c r="G1841" s="23" t="s">
        <v>1385</v>
      </c>
      <c r="H1841" s="10" t="s">
        <v>4175</v>
      </c>
      <c r="I1841" s="35" t="s">
        <v>7017</v>
      </c>
      <c r="J1841" s="33" t="s">
        <v>1337</v>
      </c>
    </row>
    <row r="1842" spans="1:10" x14ac:dyDescent="0.25">
      <c r="A1842" s="23" t="s">
        <v>4185</v>
      </c>
      <c r="B1842" s="10" t="s">
        <v>4186</v>
      </c>
      <c r="C1842" s="23" t="s">
        <v>4175</v>
      </c>
      <c r="D1842" s="28" t="s">
        <v>4187</v>
      </c>
      <c r="E1842" s="25">
        <v>106</v>
      </c>
      <c r="F1842" s="23" t="str">
        <f>VLOOKUP(B1842,'[2]справочник кодов нп'!$A:$D,4,0)</f>
        <v>сельские населенные пункты с численностью населения менее 1 000 человек.</v>
      </c>
      <c r="G1842" s="23" t="s">
        <v>1385</v>
      </c>
      <c r="H1842" s="10" t="s">
        <v>4175</v>
      </c>
      <c r="I1842" s="35" t="s">
        <v>7017</v>
      </c>
      <c r="J1842" s="33" t="s">
        <v>1337</v>
      </c>
    </row>
    <row r="1843" spans="1:10" x14ac:dyDescent="0.25">
      <c r="A1843" s="23" t="s">
        <v>4188</v>
      </c>
      <c r="B1843" s="10" t="s">
        <v>4189</v>
      </c>
      <c r="C1843" s="23" t="s">
        <v>4175</v>
      </c>
      <c r="D1843" s="28" t="s">
        <v>4190</v>
      </c>
      <c r="E1843" s="25">
        <v>106</v>
      </c>
      <c r="F1843" s="23" t="str">
        <f>VLOOKUP(B1843,'[2]справочник кодов нп'!$A:$D,4,0)</f>
        <v>сельские населенные пункты с численностью населения менее 1 000 человек.</v>
      </c>
      <c r="G1843" s="23" t="s">
        <v>1385</v>
      </c>
      <c r="H1843" s="10" t="s">
        <v>4175</v>
      </c>
      <c r="I1843" s="35" t="s">
        <v>7017</v>
      </c>
      <c r="J1843" s="33" t="s">
        <v>1337</v>
      </c>
    </row>
    <row r="1844" spans="1:10" x14ac:dyDescent="0.25">
      <c r="A1844" s="23" t="s">
        <v>4191</v>
      </c>
      <c r="B1844" s="10" t="s">
        <v>4192</v>
      </c>
      <c r="C1844" s="23" t="s">
        <v>4175</v>
      </c>
      <c r="D1844" s="28" t="s">
        <v>4193</v>
      </c>
      <c r="E1844" s="25">
        <v>106</v>
      </c>
      <c r="F1844" s="23" t="str">
        <f>VLOOKUP(B1844,'[2]справочник кодов нп'!$A:$D,4,0)</f>
        <v>сельские населенные пункты с численностью населения менее 1 000 человек.</v>
      </c>
      <c r="G1844" s="23" t="s">
        <v>1385</v>
      </c>
      <c r="H1844" s="10" t="s">
        <v>4175</v>
      </c>
      <c r="I1844" s="35" t="s">
        <v>7017</v>
      </c>
      <c r="J1844" s="33" t="s">
        <v>1337</v>
      </c>
    </row>
    <row r="1845" spans="1:10" x14ac:dyDescent="0.25">
      <c r="A1845" s="23" t="s">
        <v>4194</v>
      </c>
      <c r="B1845" s="10" t="s">
        <v>4195</v>
      </c>
      <c r="C1845" s="23" t="s">
        <v>4175</v>
      </c>
      <c r="D1845" s="28" t="s">
        <v>4196</v>
      </c>
      <c r="E1845" s="25">
        <v>106</v>
      </c>
      <c r="F1845" s="23" t="str">
        <f>VLOOKUP(B1845,'[2]справочник кодов нп'!$A:$D,4,0)</f>
        <v>сельские населенные пункты с численностью населения менее 1 000 человек.</v>
      </c>
      <c r="G1845" s="23" t="s">
        <v>1385</v>
      </c>
      <c r="H1845" s="10" t="s">
        <v>4175</v>
      </c>
      <c r="I1845" s="35" t="s">
        <v>7017</v>
      </c>
      <c r="J1845" s="33" t="s">
        <v>1337</v>
      </c>
    </row>
    <row r="1846" spans="1:10" x14ac:dyDescent="0.25">
      <c r="A1846" s="23" t="s">
        <v>4197</v>
      </c>
      <c r="B1846" s="10" t="s">
        <v>4198</v>
      </c>
      <c r="C1846" s="23" t="s">
        <v>4175</v>
      </c>
      <c r="D1846" s="28" t="s">
        <v>4199</v>
      </c>
      <c r="E1846" s="25">
        <v>106</v>
      </c>
      <c r="F1846" s="23" t="str">
        <f>VLOOKUP(B1846,'[2]справочник кодов нп'!$A:$D,4,0)</f>
        <v>сельские населенные пункты с численностью населения менее 1 000 человек.</v>
      </c>
      <c r="G1846" s="23" t="s">
        <v>1385</v>
      </c>
      <c r="H1846" s="10" t="s">
        <v>4175</v>
      </c>
      <c r="I1846" s="35" t="s">
        <v>7017</v>
      </c>
      <c r="J1846" s="33" t="s">
        <v>1337</v>
      </c>
    </row>
    <row r="1847" spans="1:10" x14ac:dyDescent="0.25">
      <c r="A1847" s="23" t="s">
        <v>4200</v>
      </c>
      <c r="B1847" s="10" t="s">
        <v>4201</v>
      </c>
      <c r="C1847" s="23" t="s">
        <v>4175</v>
      </c>
      <c r="D1847" s="28" t="s">
        <v>4202</v>
      </c>
      <c r="E1847" s="25">
        <v>106</v>
      </c>
      <c r="F1847" s="23" t="str">
        <f>VLOOKUP(B1847,'[2]справочник кодов нп'!$A:$D,4,0)</f>
        <v>сельские населенные пункты с численностью населения менее 1 000 человек.</v>
      </c>
      <c r="G1847" s="45" t="s">
        <v>1385</v>
      </c>
      <c r="H1847" s="10" t="s">
        <v>4175</v>
      </c>
      <c r="I1847" s="35" t="s">
        <v>7017</v>
      </c>
      <c r="J1847" s="33" t="s">
        <v>1337</v>
      </c>
    </row>
    <row r="1848" spans="1:10" x14ac:dyDescent="0.25">
      <c r="A1848" s="23" t="s">
        <v>4203</v>
      </c>
      <c r="B1848" s="10" t="s">
        <v>4204</v>
      </c>
      <c r="C1848" s="23" t="s">
        <v>4175</v>
      </c>
      <c r="D1848" s="28" t="s">
        <v>4205</v>
      </c>
      <c r="E1848" s="25">
        <v>106</v>
      </c>
      <c r="F1848" s="23" t="str">
        <f>VLOOKUP(B1848,'[2]справочник кодов нп'!$A:$D,4,0)</f>
        <v>сельские населенные пункты с численностью населения менее 1 000 человек.</v>
      </c>
      <c r="G1848" s="23" t="s">
        <v>1385</v>
      </c>
      <c r="H1848" s="10" t="s">
        <v>4175</v>
      </c>
      <c r="I1848" s="35" t="s">
        <v>7017</v>
      </c>
      <c r="J1848" s="33" t="s">
        <v>1337</v>
      </c>
    </row>
    <row r="1849" spans="1:10" x14ac:dyDescent="0.25">
      <c r="A1849" s="23" t="s">
        <v>4206</v>
      </c>
      <c r="B1849" s="10" t="s">
        <v>4207</v>
      </c>
      <c r="C1849" s="23" t="s">
        <v>4175</v>
      </c>
      <c r="D1849" s="28" t="s">
        <v>4208</v>
      </c>
      <c r="E1849" s="25">
        <v>106</v>
      </c>
      <c r="F1849" s="23" t="str">
        <f>VLOOKUP(B1849,'[2]справочник кодов нп'!$A:$D,4,0)</f>
        <v>сельские населенные пункты с численностью населения менее 1 000 человек.</v>
      </c>
      <c r="G1849" s="23" t="s">
        <v>1385</v>
      </c>
      <c r="H1849" s="10" t="s">
        <v>4175</v>
      </c>
      <c r="I1849" s="35" t="s">
        <v>7017</v>
      </c>
      <c r="J1849" s="33" t="s">
        <v>1337</v>
      </c>
    </row>
    <row r="1850" spans="1:10" x14ac:dyDescent="0.25">
      <c r="A1850" s="23" t="s">
        <v>4209</v>
      </c>
      <c r="B1850" s="10" t="s">
        <v>4210</v>
      </c>
      <c r="C1850" s="23" t="s">
        <v>4175</v>
      </c>
      <c r="D1850" s="28" t="s">
        <v>4211</v>
      </c>
      <c r="E1850" s="25">
        <v>106</v>
      </c>
      <c r="F1850" s="23" t="str">
        <f>VLOOKUP(B1850,'[2]справочник кодов нп'!$A:$D,4,0)</f>
        <v>сельские населенные пункты с численностью населения менее 1 000 человек.</v>
      </c>
      <c r="G1850" s="23" t="s">
        <v>1385</v>
      </c>
      <c r="H1850" s="10" t="s">
        <v>4175</v>
      </c>
      <c r="I1850" s="35" t="s">
        <v>7017</v>
      </c>
      <c r="J1850" s="33" t="s">
        <v>1337</v>
      </c>
    </row>
    <row r="1851" spans="1:10" x14ac:dyDescent="0.25">
      <c r="A1851" s="23" t="s">
        <v>4212</v>
      </c>
      <c r="B1851" s="10" t="s">
        <v>4213</v>
      </c>
      <c r="C1851" s="23" t="s">
        <v>4175</v>
      </c>
      <c r="D1851" s="28" t="s">
        <v>4214</v>
      </c>
      <c r="E1851" s="25">
        <v>106</v>
      </c>
      <c r="F1851" s="23" t="str">
        <f>VLOOKUP(B1851,'[2]справочник кодов нп'!$A:$D,4,0)</f>
        <v>сельские населенные пункты с численностью населения менее 1 000 человек.</v>
      </c>
      <c r="G1851" s="45" t="s">
        <v>1385</v>
      </c>
      <c r="H1851" s="10" t="s">
        <v>4175</v>
      </c>
      <c r="I1851" s="35" t="s">
        <v>7017</v>
      </c>
      <c r="J1851" s="33" t="s">
        <v>1337</v>
      </c>
    </row>
    <row r="1852" spans="1:10" x14ac:dyDescent="0.25">
      <c r="A1852" s="23" t="s">
        <v>4215</v>
      </c>
      <c r="B1852" s="10" t="s">
        <v>4216</v>
      </c>
      <c r="C1852" s="23" t="s">
        <v>4175</v>
      </c>
      <c r="D1852" s="28" t="s">
        <v>4217</v>
      </c>
      <c r="E1852" s="25">
        <v>106</v>
      </c>
      <c r="F1852" s="23" t="str">
        <f>VLOOKUP(B1852,'[2]справочник кодов нп'!$A:$D,4,0)</f>
        <v>сельские населенные пункты с численностью населения менее 1 000 человек.</v>
      </c>
      <c r="G1852" s="23" t="s">
        <v>1385</v>
      </c>
      <c r="H1852" s="10" t="s">
        <v>4175</v>
      </c>
      <c r="I1852" s="35" t="s">
        <v>7017</v>
      </c>
      <c r="J1852" s="33" t="s">
        <v>1337</v>
      </c>
    </row>
    <row r="1853" spans="1:10" x14ac:dyDescent="0.25">
      <c r="A1853" s="23" t="s">
        <v>4218</v>
      </c>
      <c r="B1853" s="10" t="s">
        <v>4219</v>
      </c>
      <c r="C1853" s="23" t="s">
        <v>4175</v>
      </c>
      <c r="D1853" s="28" t="s">
        <v>2679</v>
      </c>
      <c r="E1853" s="25">
        <v>106</v>
      </c>
      <c r="F1853" s="23" t="str">
        <f>VLOOKUP(B1853,'[2]справочник кодов нп'!$A:$D,4,0)</f>
        <v>сельские населенные пункты с численностью населения менее 1 000 человек.</v>
      </c>
      <c r="G1853" s="23" t="s">
        <v>1385</v>
      </c>
      <c r="H1853" s="10" t="s">
        <v>4175</v>
      </c>
      <c r="I1853" s="35" t="s">
        <v>7017</v>
      </c>
      <c r="J1853" s="33" t="s">
        <v>1337</v>
      </c>
    </row>
    <row r="1854" spans="1:10" x14ac:dyDescent="0.25">
      <c r="A1854" s="23" t="s">
        <v>4220</v>
      </c>
      <c r="B1854" s="10" t="s">
        <v>4221</v>
      </c>
      <c r="C1854" s="23" t="s">
        <v>4175</v>
      </c>
      <c r="D1854" s="28" t="s">
        <v>4222</v>
      </c>
      <c r="E1854" s="25">
        <v>106</v>
      </c>
      <c r="F1854" s="23" t="str">
        <f>VLOOKUP(B1854,'[2]справочник кодов нп'!$A:$D,4,0)</f>
        <v>сельские населенные пункты с численностью населения менее 1 000 человек.</v>
      </c>
      <c r="G1854" s="23" t="s">
        <v>1385</v>
      </c>
      <c r="H1854" s="10" t="s">
        <v>4175</v>
      </c>
      <c r="I1854" s="35" t="s">
        <v>7017</v>
      </c>
      <c r="J1854" s="33" t="s">
        <v>1337</v>
      </c>
    </row>
    <row r="1855" spans="1:10" x14ac:dyDescent="0.25">
      <c r="A1855" s="23" t="s">
        <v>4223</v>
      </c>
      <c r="B1855" s="10" t="s">
        <v>4224</v>
      </c>
      <c r="C1855" s="23" t="s">
        <v>4175</v>
      </c>
      <c r="D1855" s="28" t="s">
        <v>4225</v>
      </c>
      <c r="E1855" s="25">
        <v>106</v>
      </c>
      <c r="F1855" s="23" t="str">
        <f>VLOOKUP(B1855,'[2]справочник кодов нп'!$A:$D,4,0)</f>
        <v>сельские населенные пункты с численностью населения менее 1 000 человек.</v>
      </c>
      <c r="G1855" s="23" t="s">
        <v>1385</v>
      </c>
      <c r="H1855" s="10" t="s">
        <v>4175</v>
      </c>
      <c r="I1855" s="35" t="s">
        <v>7017</v>
      </c>
      <c r="J1855" s="33" t="s">
        <v>1337</v>
      </c>
    </row>
    <row r="1856" spans="1:10" x14ac:dyDescent="0.25">
      <c r="A1856" s="23" t="s">
        <v>4226</v>
      </c>
      <c r="B1856" s="10" t="s">
        <v>4227</v>
      </c>
      <c r="C1856" s="23" t="s">
        <v>4175</v>
      </c>
      <c r="D1856" s="28" t="s">
        <v>4228</v>
      </c>
      <c r="E1856" s="25">
        <v>106</v>
      </c>
      <c r="F1856" s="23" t="str">
        <f>VLOOKUP(B1856,'[2]справочник кодов нп'!$A:$D,4,0)</f>
        <v>сельские населенные пункты с численностью населения менее 1 000 человек.</v>
      </c>
      <c r="G1856" s="23" t="s">
        <v>1385</v>
      </c>
      <c r="H1856" s="10" t="s">
        <v>4175</v>
      </c>
      <c r="I1856" s="35" t="s">
        <v>7017</v>
      </c>
      <c r="J1856" s="33" t="s">
        <v>1337</v>
      </c>
    </row>
    <row r="1857" spans="1:10" x14ac:dyDescent="0.25">
      <c r="A1857" s="23" t="s">
        <v>4229</v>
      </c>
      <c r="B1857" s="10" t="s">
        <v>4230</v>
      </c>
      <c r="C1857" s="23" t="s">
        <v>4175</v>
      </c>
      <c r="D1857" s="28" t="s">
        <v>4231</v>
      </c>
      <c r="E1857" s="25">
        <v>106</v>
      </c>
      <c r="F1857" s="23" t="str">
        <f>VLOOKUP(B1857,'[2]справочник кодов нп'!$A:$D,4,0)</f>
        <v>сельские населенные пункты с численностью населения менее 1 000 человек.</v>
      </c>
      <c r="G1857" s="45" t="s">
        <v>1385</v>
      </c>
      <c r="H1857" s="10" t="s">
        <v>4175</v>
      </c>
      <c r="I1857" s="35" t="s">
        <v>7017</v>
      </c>
      <c r="J1857" s="33" t="s">
        <v>1337</v>
      </c>
    </row>
    <row r="1858" spans="1:10" x14ac:dyDescent="0.25">
      <c r="A1858" s="23" t="s">
        <v>4232</v>
      </c>
      <c r="B1858" s="10" t="s">
        <v>4233</v>
      </c>
      <c r="C1858" s="23" t="s">
        <v>4175</v>
      </c>
      <c r="D1858" s="28" t="s">
        <v>4234</v>
      </c>
      <c r="E1858" s="25">
        <v>106</v>
      </c>
      <c r="F1858" s="23" t="str">
        <f>VLOOKUP(B1858,'[2]справочник кодов нп'!$A:$D,4,0)</f>
        <v>сельские населенные пункты с численностью населения менее 1 000 человек.</v>
      </c>
      <c r="G1858" s="23" t="s">
        <v>1385</v>
      </c>
      <c r="H1858" s="10" t="s">
        <v>4175</v>
      </c>
      <c r="I1858" s="35" t="s">
        <v>7017</v>
      </c>
      <c r="J1858" s="33" t="s">
        <v>1337</v>
      </c>
    </row>
    <row r="1859" spans="1:10" x14ac:dyDescent="0.25">
      <c r="A1859" s="23" t="s">
        <v>4235</v>
      </c>
      <c r="B1859" s="10" t="s">
        <v>4236</v>
      </c>
      <c r="C1859" s="23" t="s">
        <v>4175</v>
      </c>
      <c r="D1859" s="28" t="s">
        <v>4237</v>
      </c>
      <c r="E1859" s="25">
        <v>106</v>
      </c>
      <c r="F1859" s="23" t="str">
        <f>VLOOKUP(B1859,'[2]справочник кодов нп'!$A:$D,4,0)</f>
        <v>сельские населенные пункты с численностью населения менее 1 000 человек.</v>
      </c>
      <c r="G1859" s="23" t="s">
        <v>1385</v>
      </c>
      <c r="H1859" s="10" t="s">
        <v>4175</v>
      </c>
      <c r="I1859" s="35" t="s">
        <v>7017</v>
      </c>
      <c r="J1859" s="33" t="s">
        <v>1337</v>
      </c>
    </row>
    <row r="1860" spans="1:10" x14ac:dyDescent="0.25">
      <c r="A1860" s="23" t="s">
        <v>4238</v>
      </c>
      <c r="B1860" s="10" t="s">
        <v>4239</v>
      </c>
      <c r="C1860" s="23" t="s">
        <v>4175</v>
      </c>
      <c r="D1860" s="28" t="s">
        <v>4240</v>
      </c>
      <c r="E1860" s="25">
        <v>106</v>
      </c>
      <c r="F1860" s="23" t="str">
        <f>VLOOKUP(B1860,'[2]справочник кодов нп'!$A:$D,4,0)</f>
        <v>сельские населенные пункты с численностью населения менее 1 000 человек.</v>
      </c>
      <c r="G1860" s="23" t="s">
        <v>1385</v>
      </c>
      <c r="H1860" s="10" t="s">
        <v>4175</v>
      </c>
      <c r="I1860" s="35" t="s">
        <v>7017</v>
      </c>
      <c r="J1860" s="33" t="s">
        <v>1337</v>
      </c>
    </row>
    <row r="1861" spans="1:10" x14ac:dyDescent="0.25">
      <c r="A1861" s="23" t="s">
        <v>4241</v>
      </c>
      <c r="B1861" s="10" t="s">
        <v>4242</v>
      </c>
      <c r="C1861" s="23" t="s">
        <v>4175</v>
      </c>
      <c r="D1861" s="28" t="s">
        <v>4243</v>
      </c>
      <c r="E1861" s="25">
        <v>106</v>
      </c>
      <c r="F1861" s="23" t="str">
        <f>VLOOKUP(B1861,'[2]справочник кодов нп'!$A:$D,4,0)</f>
        <v>сельские населенные пункты с численностью населения менее 1 000 человек.</v>
      </c>
      <c r="G1861" s="23" t="s">
        <v>1385</v>
      </c>
      <c r="H1861" s="10" t="s">
        <v>4175</v>
      </c>
      <c r="I1861" s="35" t="s">
        <v>7017</v>
      </c>
      <c r="J1861" s="33" t="s">
        <v>1337</v>
      </c>
    </row>
    <row r="1862" spans="1:10" x14ac:dyDescent="0.25">
      <c r="A1862" s="23" t="s">
        <v>4244</v>
      </c>
      <c r="B1862" s="10" t="s">
        <v>4245</v>
      </c>
      <c r="C1862" s="23" t="s">
        <v>4175</v>
      </c>
      <c r="D1862" s="28" t="s">
        <v>4246</v>
      </c>
      <c r="E1862" s="25">
        <v>106</v>
      </c>
      <c r="F1862" s="23" t="str">
        <f>VLOOKUP(B1862,'[2]справочник кодов нп'!$A:$D,4,0)</f>
        <v>сельские населенные пункты с численностью населения менее 1 000 человек.</v>
      </c>
      <c r="G1862" s="23" t="s">
        <v>1385</v>
      </c>
      <c r="H1862" s="10" t="s">
        <v>4175</v>
      </c>
      <c r="I1862" s="35" t="s">
        <v>7017</v>
      </c>
      <c r="J1862" s="33" t="s">
        <v>1337</v>
      </c>
    </row>
    <row r="1863" spans="1:10" x14ac:dyDescent="0.25">
      <c r="A1863" s="23" t="s">
        <v>4247</v>
      </c>
      <c r="B1863" s="10" t="s">
        <v>4248</v>
      </c>
      <c r="C1863" s="23" t="s">
        <v>4175</v>
      </c>
      <c r="D1863" s="28" t="s">
        <v>4249</v>
      </c>
      <c r="E1863" s="25">
        <v>106</v>
      </c>
      <c r="F1863" s="23" t="str">
        <f>VLOOKUP(B1863,'[2]справочник кодов нп'!$A:$D,4,0)</f>
        <v>сельские населенные пункты с численностью населения менее 1 000 человек.</v>
      </c>
      <c r="G1863" s="45" t="s">
        <v>1385</v>
      </c>
      <c r="H1863" s="10" t="s">
        <v>4175</v>
      </c>
      <c r="I1863" s="35" t="s">
        <v>7017</v>
      </c>
      <c r="J1863" s="33" t="s">
        <v>1337</v>
      </c>
    </row>
    <row r="1864" spans="1:10" x14ac:dyDescent="0.25">
      <c r="A1864" s="23" t="s">
        <v>4250</v>
      </c>
      <c r="B1864" s="10" t="s">
        <v>4251</v>
      </c>
      <c r="C1864" s="23" t="s">
        <v>4175</v>
      </c>
      <c r="D1864" s="28" t="s">
        <v>4252</v>
      </c>
      <c r="E1864" s="25">
        <v>106</v>
      </c>
      <c r="F1864" s="23" t="str">
        <f>VLOOKUP(B1864,'[2]справочник кодов нп'!$A:$D,4,0)</f>
        <v>сельские населенные пункты с численностью населения менее 1 000 человек.</v>
      </c>
      <c r="G1864" s="23" t="s">
        <v>1385</v>
      </c>
      <c r="H1864" s="10" t="s">
        <v>4175</v>
      </c>
      <c r="I1864" s="35" t="s">
        <v>7017</v>
      </c>
      <c r="J1864" s="33" t="s">
        <v>1337</v>
      </c>
    </row>
    <row r="1865" spans="1:10" x14ac:dyDescent="0.25">
      <c r="A1865" s="23" t="s">
        <v>4253</v>
      </c>
      <c r="B1865" s="10" t="s">
        <v>4254</v>
      </c>
      <c r="C1865" s="23" t="s">
        <v>4175</v>
      </c>
      <c r="D1865" s="28" t="s">
        <v>3652</v>
      </c>
      <c r="E1865" s="25">
        <v>106</v>
      </c>
      <c r="F1865" s="23" t="str">
        <f>VLOOKUP(B1865,'[2]справочник кодов нп'!$A:$D,4,0)</f>
        <v>сельские населенные пункты с численностью населения менее 1 000 человек.</v>
      </c>
      <c r="G1865" s="23" t="s">
        <v>1385</v>
      </c>
      <c r="H1865" s="10" t="s">
        <v>4175</v>
      </c>
      <c r="I1865" s="35" t="s">
        <v>7017</v>
      </c>
      <c r="J1865" s="33" t="s">
        <v>1337</v>
      </c>
    </row>
    <row r="1866" spans="1:10" x14ac:dyDescent="0.25">
      <c r="A1866" s="23" t="s">
        <v>4255</v>
      </c>
      <c r="B1866" s="10" t="s">
        <v>4256</v>
      </c>
      <c r="C1866" s="23" t="s">
        <v>4175</v>
      </c>
      <c r="D1866" s="28" t="s">
        <v>4257</v>
      </c>
      <c r="E1866" s="25">
        <v>106</v>
      </c>
      <c r="F1866" s="23" t="str">
        <f>VLOOKUP(B1866,'[2]справочник кодов нп'!$A:$D,4,0)</f>
        <v>сельские населенные пункты с численностью населения менее 1 000 человек.</v>
      </c>
      <c r="G1866" s="23" t="s">
        <v>1385</v>
      </c>
      <c r="H1866" s="10" t="s">
        <v>4175</v>
      </c>
      <c r="I1866" s="35" t="s">
        <v>7017</v>
      </c>
      <c r="J1866" s="33" t="s">
        <v>1337</v>
      </c>
    </row>
    <row r="1867" spans="1:10" x14ac:dyDescent="0.25">
      <c r="A1867" s="23" t="s">
        <v>4258</v>
      </c>
      <c r="B1867" s="10" t="s">
        <v>4259</v>
      </c>
      <c r="C1867" s="23" t="s">
        <v>4175</v>
      </c>
      <c r="D1867" s="28" t="s">
        <v>4260</v>
      </c>
      <c r="E1867" s="25">
        <v>106</v>
      </c>
      <c r="F1867" s="23" t="str">
        <f>VLOOKUP(B1867,'[2]справочник кодов нп'!$A:$D,4,0)</f>
        <v>сельские населенные пункты с численностью населения менее 1 000 человек.</v>
      </c>
      <c r="G1867" s="23" t="s">
        <v>1385</v>
      </c>
      <c r="H1867" s="10" t="s">
        <v>4175</v>
      </c>
      <c r="I1867" s="35" t="s">
        <v>7017</v>
      </c>
      <c r="J1867" s="33" t="s">
        <v>1337</v>
      </c>
    </row>
    <row r="1868" spans="1:10" x14ac:dyDescent="0.25">
      <c r="A1868" s="23" t="s">
        <v>4261</v>
      </c>
      <c r="B1868" s="10" t="s">
        <v>4262</v>
      </c>
      <c r="C1868" s="23" t="s">
        <v>4175</v>
      </c>
      <c r="D1868" s="28" t="s">
        <v>3496</v>
      </c>
      <c r="E1868" s="25">
        <v>106</v>
      </c>
      <c r="F1868" s="23" t="str">
        <f>VLOOKUP(B1868,'[2]справочник кодов нп'!$A:$D,4,0)</f>
        <v>сельские населенные пункты с численностью населения менее 1 000 человек.</v>
      </c>
      <c r="G1868" s="23" t="s">
        <v>1385</v>
      </c>
      <c r="H1868" s="10" t="s">
        <v>4175</v>
      </c>
      <c r="I1868" s="35" t="s">
        <v>7017</v>
      </c>
      <c r="J1868" s="33" t="s">
        <v>1337</v>
      </c>
    </row>
    <row r="1869" spans="1:10" x14ac:dyDescent="0.25">
      <c r="A1869" s="23" t="s">
        <v>4263</v>
      </c>
      <c r="B1869" s="10" t="s">
        <v>4264</v>
      </c>
      <c r="C1869" s="23" t="s">
        <v>4175</v>
      </c>
      <c r="D1869" s="28" t="s">
        <v>4265</v>
      </c>
      <c r="E1869" s="25">
        <v>106</v>
      </c>
      <c r="F1869" s="23" t="str">
        <f>VLOOKUP(B1869,'[2]справочник кодов нп'!$A:$D,4,0)</f>
        <v>сельские населенные пункты с численностью населения менее 1 000 человек.</v>
      </c>
      <c r="G1869" s="23" t="s">
        <v>1385</v>
      </c>
      <c r="H1869" s="10" t="s">
        <v>4175</v>
      </c>
      <c r="I1869" s="35" t="s">
        <v>7017</v>
      </c>
      <c r="J1869" s="33" t="s">
        <v>1337</v>
      </c>
    </row>
    <row r="1870" spans="1:10" x14ac:dyDescent="0.25">
      <c r="A1870" s="23" t="s">
        <v>4266</v>
      </c>
      <c r="B1870" s="10" t="s">
        <v>4267</v>
      </c>
      <c r="C1870" s="23" t="s">
        <v>4175</v>
      </c>
      <c r="D1870" s="28" t="s">
        <v>4268</v>
      </c>
      <c r="E1870" s="25">
        <v>106</v>
      </c>
      <c r="F1870" s="23" t="str">
        <f>VLOOKUP(B1870,'[2]справочник кодов нп'!$A:$D,4,0)</f>
        <v>сельские населенные пункты с численностью населения менее 1 000 человек.</v>
      </c>
      <c r="G1870" s="45" t="s">
        <v>1385</v>
      </c>
      <c r="H1870" s="10" t="s">
        <v>4175</v>
      </c>
      <c r="I1870" s="35" t="s">
        <v>7017</v>
      </c>
      <c r="J1870" s="33" t="s">
        <v>1337</v>
      </c>
    </row>
    <row r="1871" spans="1:10" x14ac:dyDescent="0.25">
      <c r="A1871" s="23" t="s">
        <v>4269</v>
      </c>
      <c r="B1871" s="10" t="s">
        <v>4270</v>
      </c>
      <c r="C1871" s="23" t="s">
        <v>4175</v>
      </c>
      <c r="D1871" s="28" t="s">
        <v>4271</v>
      </c>
      <c r="E1871" s="25">
        <v>106</v>
      </c>
      <c r="F1871" s="23" t="str">
        <f>VLOOKUP(B1871,'[2]справочник кодов нп'!$A:$D,4,0)</f>
        <v>сельские населенные пункты с численностью населения менее 1 000 человек.</v>
      </c>
      <c r="G1871" s="23" t="s">
        <v>1385</v>
      </c>
      <c r="H1871" s="10" t="s">
        <v>4175</v>
      </c>
      <c r="I1871" s="35" t="s">
        <v>7017</v>
      </c>
      <c r="J1871" s="33" t="s">
        <v>1337</v>
      </c>
    </row>
    <row r="1872" spans="1:10" x14ac:dyDescent="0.25">
      <c r="A1872" s="23" t="s">
        <v>4272</v>
      </c>
      <c r="B1872" s="10" t="s">
        <v>4273</v>
      </c>
      <c r="C1872" s="23" t="s">
        <v>4175</v>
      </c>
      <c r="D1872" s="28" t="s">
        <v>4274</v>
      </c>
      <c r="E1872" s="25">
        <v>106</v>
      </c>
      <c r="F1872" s="23" t="str">
        <f>VLOOKUP(B1872,'[2]справочник кодов нп'!$A:$D,4,0)</f>
        <v>сельские населенные пункты с численностью населения менее 1 000 человек.</v>
      </c>
      <c r="G1872" s="23" t="s">
        <v>1385</v>
      </c>
      <c r="H1872" s="10" t="s">
        <v>4175</v>
      </c>
      <c r="I1872" s="35" t="s">
        <v>7017</v>
      </c>
      <c r="J1872" s="33" t="s">
        <v>1337</v>
      </c>
    </row>
    <row r="1873" spans="1:10" x14ac:dyDescent="0.25">
      <c r="A1873" s="23" t="s">
        <v>4275</v>
      </c>
      <c r="B1873" s="10" t="s">
        <v>4276</v>
      </c>
      <c r="C1873" s="23" t="s">
        <v>4175</v>
      </c>
      <c r="D1873" s="28" t="s">
        <v>4277</v>
      </c>
      <c r="E1873" s="25">
        <v>106</v>
      </c>
      <c r="F1873" s="23" t="str">
        <f>VLOOKUP(B1873,'[2]справочник кодов нп'!$A:$D,4,0)</f>
        <v>сельские населенные пункты с численностью населения менее 1 000 человек.</v>
      </c>
      <c r="G1873" s="23" t="s">
        <v>1385</v>
      </c>
      <c r="H1873" s="10" t="s">
        <v>4175</v>
      </c>
      <c r="I1873" s="35" t="s">
        <v>7017</v>
      </c>
      <c r="J1873" s="33" t="s">
        <v>1337</v>
      </c>
    </row>
    <row r="1874" spans="1:10" x14ac:dyDescent="0.25">
      <c r="A1874" s="23" t="s">
        <v>4278</v>
      </c>
      <c r="B1874" s="10" t="s">
        <v>4279</v>
      </c>
      <c r="C1874" s="23" t="s">
        <v>4175</v>
      </c>
      <c r="D1874" s="28" t="s">
        <v>4280</v>
      </c>
      <c r="E1874" s="25">
        <v>106</v>
      </c>
      <c r="F1874" s="23" t="str">
        <f>VLOOKUP(B1874,'[2]справочник кодов нп'!$A:$D,4,0)</f>
        <v>сельские населенные пункты с численностью населения менее 1 000 человек.</v>
      </c>
      <c r="G1874" s="23" t="s">
        <v>1385</v>
      </c>
      <c r="H1874" s="10" t="s">
        <v>4175</v>
      </c>
      <c r="I1874" s="35" t="s">
        <v>7017</v>
      </c>
      <c r="J1874" s="33" t="s">
        <v>1337</v>
      </c>
    </row>
    <row r="1875" spans="1:10" x14ac:dyDescent="0.25">
      <c r="A1875" s="23" t="s">
        <v>4281</v>
      </c>
      <c r="B1875" s="10" t="s">
        <v>4282</v>
      </c>
      <c r="C1875" s="23" t="s">
        <v>4175</v>
      </c>
      <c r="D1875" s="28" t="s">
        <v>4283</v>
      </c>
      <c r="E1875" s="25">
        <v>106</v>
      </c>
      <c r="F1875" s="23" t="str">
        <f>VLOOKUP(B1875,'[2]справочник кодов нп'!$A:$D,4,0)</f>
        <v>сельские населенные пункты с численностью населения менее 1 000 человек.</v>
      </c>
      <c r="G1875" s="45" t="s">
        <v>1385</v>
      </c>
      <c r="H1875" s="10" t="s">
        <v>4175</v>
      </c>
      <c r="I1875" s="35" t="s">
        <v>7017</v>
      </c>
      <c r="J1875" s="33" t="s">
        <v>1337</v>
      </c>
    </row>
    <row r="1876" spans="1:10" x14ac:dyDescent="0.25">
      <c r="A1876" s="23" t="s">
        <v>4284</v>
      </c>
      <c r="B1876" s="10" t="s">
        <v>4285</v>
      </c>
      <c r="C1876" s="23" t="s">
        <v>4175</v>
      </c>
      <c r="D1876" s="28" t="s">
        <v>4286</v>
      </c>
      <c r="E1876" s="25">
        <v>106</v>
      </c>
      <c r="F1876" s="23" t="str">
        <f>VLOOKUP(B1876,'[2]справочник кодов нп'!$A:$D,4,0)</f>
        <v>сельские населенные пункты с численностью населения менее 1 000 человек.</v>
      </c>
      <c r="G1876" s="45" t="s">
        <v>1385</v>
      </c>
      <c r="H1876" s="10" t="s">
        <v>4175</v>
      </c>
      <c r="I1876" s="35" t="s">
        <v>7017</v>
      </c>
      <c r="J1876" s="33" t="s">
        <v>1337</v>
      </c>
    </row>
    <row r="1877" spans="1:10" x14ac:dyDescent="0.25">
      <c r="A1877" s="23" t="s">
        <v>4287</v>
      </c>
      <c r="B1877" s="10" t="s">
        <v>4288</v>
      </c>
      <c r="C1877" s="23" t="s">
        <v>4175</v>
      </c>
      <c r="D1877" s="28" t="s">
        <v>4289</v>
      </c>
      <c r="E1877" s="25">
        <v>106</v>
      </c>
      <c r="F1877" s="23" t="str">
        <f>VLOOKUP(B1877,'[2]справочник кодов нп'!$A:$D,4,0)</f>
        <v>сельские населенные пункты с численностью населения менее 1 000 человек.</v>
      </c>
      <c r="G1877" s="23" t="s">
        <v>1385</v>
      </c>
      <c r="H1877" s="10" t="s">
        <v>4175</v>
      </c>
      <c r="I1877" s="35" t="s">
        <v>7017</v>
      </c>
      <c r="J1877" s="33" t="s">
        <v>1337</v>
      </c>
    </row>
    <row r="1878" spans="1:10" x14ac:dyDescent="0.25">
      <c r="A1878" s="23" t="s">
        <v>4290</v>
      </c>
      <c r="B1878" s="10" t="s">
        <v>4291</v>
      </c>
      <c r="C1878" s="23" t="s">
        <v>4175</v>
      </c>
      <c r="D1878" s="28" t="s">
        <v>3843</v>
      </c>
      <c r="E1878" s="25">
        <v>106</v>
      </c>
      <c r="F1878" s="23" t="str">
        <f>VLOOKUP(B1878,'[2]справочник кодов нп'!$A:$D,4,0)</f>
        <v>сельские населенные пункты с численностью населения менее 1 000 человек.</v>
      </c>
      <c r="G1878" s="23" t="s">
        <v>1385</v>
      </c>
      <c r="H1878" s="10" t="s">
        <v>4175</v>
      </c>
      <c r="I1878" s="35" t="s">
        <v>7017</v>
      </c>
      <c r="J1878" s="33" t="s">
        <v>1337</v>
      </c>
    </row>
    <row r="1879" spans="1:10" x14ac:dyDescent="0.25">
      <c r="A1879" s="23" t="s">
        <v>4292</v>
      </c>
      <c r="B1879" s="10" t="s">
        <v>4293</v>
      </c>
      <c r="C1879" s="23" t="s">
        <v>4175</v>
      </c>
      <c r="D1879" s="28" t="s">
        <v>4294</v>
      </c>
      <c r="E1879" s="25">
        <v>106</v>
      </c>
      <c r="F1879" s="23" t="str">
        <f>VLOOKUP(B1879,'[2]справочник кодов нп'!$A:$D,4,0)</f>
        <v>сельские населенные пункты с численностью населения менее 1 000 человек.</v>
      </c>
      <c r="G1879" s="23" t="s">
        <v>1385</v>
      </c>
      <c r="H1879" s="10" t="s">
        <v>4175</v>
      </c>
      <c r="I1879" s="35" t="s">
        <v>7017</v>
      </c>
      <c r="J1879" s="33" t="s">
        <v>1337</v>
      </c>
    </row>
    <row r="1880" spans="1:10" x14ac:dyDescent="0.25">
      <c r="A1880" s="23" t="s">
        <v>4295</v>
      </c>
      <c r="B1880" s="10" t="s">
        <v>4296</v>
      </c>
      <c r="C1880" s="23" t="s">
        <v>4175</v>
      </c>
      <c r="D1880" s="28" t="s">
        <v>1580</v>
      </c>
      <c r="E1880" s="25">
        <v>106</v>
      </c>
      <c r="F1880" s="23" t="str">
        <f>VLOOKUP(B1880,'[2]справочник кодов нп'!$A:$D,4,0)</f>
        <v>сельские населенные пункты с численностью населения менее 1 000 человек.</v>
      </c>
      <c r="G1880" s="23" t="s">
        <v>1385</v>
      </c>
      <c r="H1880" s="10" t="s">
        <v>4175</v>
      </c>
      <c r="I1880" s="35" t="s">
        <v>7017</v>
      </c>
      <c r="J1880" s="33" t="s">
        <v>1337</v>
      </c>
    </row>
    <row r="1881" spans="1:10" x14ac:dyDescent="0.25">
      <c r="A1881" s="23" t="s">
        <v>4297</v>
      </c>
      <c r="B1881" s="10" t="s">
        <v>4298</v>
      </c>
      <c r="C1881" s="23" t="s">
        <v>4175</v>
      </c>
      <c r="D1881" s="28" t="s">
        <v>1827</v>
      </c>
      <c r="E1881" s="25">
        <v>106</v>
      </c>
      <c r="F1881" s="23" t="str">
        <f>VLOOKUP(B1881,'[2]справочник кодов нп'!$A:$D,4,0)</f>
        <v>сельские населенные пункты с численностью населения менее 1 000 человек.</v>
      </c>
      <c r="G1881" s="23" t="s">
        <v>1385</v>
      </c>
      <c r="H1881" s="10" t="s">
        <v>4175</v>
      </c>
      <c r="I1881" s="35" t="s">
        <v>7017</v>
      </c>
      <c r="J1881" s="33" t="s">
        <v>1337</v>
      </c>
    </row>
    <row r="1882" spans="1:10" x14ac:dyDescent="0.25">
      <c r="A1882" s="23" t="s">
        <v>4299</v>
      </c>
      <c r="B1882" s="10" t="s">
        <v>4300</v>
      </c>
      <c r="C1882" s="23" t="s">
        <v>4175</v>
      </c>
      <c r="D1882" s="28" t="s">
        <v>4301</v>
      </c>
      <c r="E1882" s="25">
        <v>106</v>
      </c>
      <c r="F1882" s="23" t="str">
        <f>VLOOKUP(B1882,'[2]справочник кодов нп'!$A:$D,4,0)</f>
        <v>сельские населенные пункты с численностью населения менее 1 000 человек.</v>
      </c>
      <c r="G1882" s="23" t="s">
        <v>1385</v>
      </c>
      <c r="H1882" s="10" t="s">
        <v>4175</v>
      </c>
      <c r="I1882" s="35" t="s">
        <v>7017</v>
      </c>
      <c r="J1882" s="33" t="s">
        <v>1337</v>
      </c>
    </row>
    <row r="1883" spans="1:10" x14ac:dyDescent="0.25">
      <c r="A1883" s="23" t="s">
        <v>4302</v>
      </c>
      <c r="B1883" s="10" t="s">
        <v>4303</v>
      </c>
      <c r="C1883" s="23" t="s">
        <v>4175</v>
      </c>
      <c r="D1883" s="28" t="s">
        <v>4304</v>
      </c>
      <c r="E1883" s="25">
        <v>106</v>
      </c>
      <c r="F1883" s="23" t="str">
        <f>VLOOKUP(B1883,'[2]справочник кодов нп'!$A:$D,4,0)</f>
        <v>сельские населенные пункты с численностью населения менее 1 000 человек.</v>
      </c>
      <c r="G1883" s="23" t="s">
        <v>1385</v>
      </c>
      <c r="H1883" s="10" t="s">
        <v>4175</v>
      </c>
      <c r="I1883" s="35" t="s">
        <v>7017</v>
      </c>
      <c r="J1883" s="33" t="s">
        <v>1337</v>
      </c>
    </row>
    <row r="1884" spans="1:10" x14ac:dyDescent="0.25">
      <c r="A1884" s="23" t="s">
        <v>4305</v>
      </c>
      <c r="B1884" s="10" t="s">
        <v>4306</v>
      </c>
      <c r="C1884" s="23" t="s">
        <v>4175</v>
      </c>
      <c r="D1884" s="28" t="s">
        <v>4307</v>
      </c>
      <c r="E1884" s="25">
        <v>106</v>
      </c>
      <c r="F1884" s="23" t="str">
        <f>VLOOKUP(B1884,'[2]справочник кодов нп'!$A:$D,4,0)</f>
        <v>сельские населенные пункты с численностью населения менее 1 000 человек.</v>
      </c>
      <c r="G1884" s="23" t="s">
        <v>1385</v>
      </c>
      <c r="H1884" s="10" t="s">
        <v>4175</v>
      </c>
      <c r="I1884" s="35" t="s">
        <v>7017</v>
      </c>
      <c r="J1884" s="33" t="s">
        <v>1337</v>
      </c>
    </row>
    <row r="1885" spans="1:10" x14ac:dyDescent="0.25">
      <c r="A1885" s="23" t="s">
        <v>4308</v>
      </c>
      <c r="B1885" s="10" t="s">
        <v>4309</v>
      </c>
      <c r="C1885" s="23" t="s">
        <v>4175</v>
      </c>
      <c r="D1885" s="28" t="s">
        <v>4310</v>
      </c>
      <c r="E1885" s="25">
        <v>106</v>
      </c>
      <c r="F1885" s="23" t="str">
        <f>VLOOKUP(B1885,'[2]справочник кодов нп'!$A:$D,4,0)</f>
        <v>городские населенные пункты с численностью населения менее 50 000 человек;</v>
      </c>
      <c r="G1885" s="23" t="s">
        <v>1385</v>
      </c>
      <c r="H1885" s="10" t="s">
        <v>4175</v>
      </c>
      <c r="I1885" s="35" t="s">
        <v>7017</v>
      </c>
      <c r="J1885" s="33" t="s">
        <v>1337</v>
      </c>
    </row>
    <row r="1886" spans="1:10" x14ac:dyDescent="0.25">
      <c r="A1886" s="23" t="s">
        <v>4311</v>
      </c>
      <c r="B1886" s="10" t="s">
        <v>4312</v>
      </c>
      <c r="C1886" s="23" t="s">
        <v>4175</v>
      </c>
      <c r="D1886" s="28" t="s">
        <v>4313</v>
      </c>
      <c r="E1886" s="25">
        <v>106</v>
      </c>
      <c r="F1886" s="23" t="str">
        <f>VLOOKUP(B1886,'[2]справочник кодов нп'!$A:$D,4,0)</f>
        <v>сельские населенные пункты с численностью населения менее 1 000 человек.</v>
      </c>
      <c r="G1886" s="23" t="s">
        <v>1385</v>
      </c>
      <c r="H1886" s="10" t="s">
        <v>4175</v>
      </c>
      <c r="I1886" s="35" t="s">
        <v>7017</v>
      </c>
      <c r="J1886" s="33" t="s">
        <v>1337</v>
      </c>
    </row>
    <row r="1887" spans="1:10" x14ac:dyDescent="0.25">
      <c r="A1887" s="23" t="s">
        <v>4314</v>
      </c>
      <c r="B1887" s="10" t="s">
        <v>4315</v>
      </c>
      <c r="C1887" s="23" t="s">
        <v>4175</v>
      </c>
      <c r="D1887" s="28" t="s">
        <v>4316</v>
      </c>
      <c r="E1887" s="25">
        <v>106</v>
      </c>
      <c r="F1887" s="23" t="str">
        <f>VLOOKUP(B1887,'[2]справочник кодов нп'!$A:$D,4,0)</f>
        <v>сельские населенные пункты с численностью населения менее 1 000 человек.</v>
      </c>
      <c r="G1887" s="23" t="s">
        <v>1385</v>
      </c>
      <c r="H1887" s="10" t="s">
        <v>4175</v>
      </c>
      <c r="I1887" s="35" t="s">
        <v>7017</v>
      </c>
      <c r="J1887" s="33" t="s">
        <v>1337</v>
      </c>
    </row>
    <row r="1888" spans="1:10" x14ac:dyDescent="0.25">
      <c r="A1888" s="23" t="s">
        <v>4317</v>
      </c>
      <c r="B1888" s="10" t="s">
        <v>4318</v>
      </c>
      <c r="C1888" s="23" t="s">
        <v>4175</v>
      </c>
      <c r="D1888" s="28" t="s">
        <v>4319</v>
      </c>
      <c r="E1888" s="25">
        <v>106</v>
      </c>
      <c r="F1888" s="23" t="str">
        <f>VLOOKUP(B1888,'[2]справочник кодов нп'!$A:$D,4,0)</f>
        <v>сельские населенные пункты с численностью населения менее 1 000 человек.</v>
      </c>
      <c r="G1888" s="23" t="s">
        <v>1385</v>
      </c>
      <c r="H1888" s="10" t="s">
        <v>4175</v>
      </c>
      <c r="I1888" s="35" t="s">
        <v>7017</v>
      </c>
      <c r="J1888" s="33" t="s">
        <v>1337</v>
      </c>
    </row>
    <row r="1889" spans="1:10" x14ac:dyDescent="0.25">
      <c r="A1889" s="23" t="s">
        <v>4320</v>
      </c>
      <c r="B1889" s="10" t="s">
        <v>4321</v>
      </c>
      <c r="C1889" s="23" t="s">
        <v>4175</v>
      </c>
      <c r="D1889" s="28" t="s">
        <v>4322</v>
      </c>
      <c r="E1889" s="25">
        <v>106</v>
      </c>
      <c r="F1889" s="23" t="str">
        <f>VLOOKUP(B1889,'[2]справочник кодов нп'!$A:$D,4,0)</f>
        <v>сельские населенные пункты с численностью населения менее 1 000 человек.</v>
      </c>
      <c r="G1889" s="23" t="s">
        <v>1385</v>
      </c>
      <c r="H1889" s="10" t="s">
        <v>4175</v>
      </c>
      <c r="I1889" s="35" t="s">
        <v>7017</v>
      </c>
      <c r="J1889" s="33" t="s">
        <v>1337</v>
      </c>
    </row>
    <row r="1890" spans="1:10" x14ac:dyDescent="0.25">
      <c r="A1890" s="23" t="s">
        <v>4323</v>
      </c>
      <c r="B1890" s="10" t="s">
        <v>4324</v>
      </c>
      <c r="C1890" s="23" t="s">
        <v>4175</v>
      </c>
      <c r="D1890" s="28" t="s">
        <v>4325</v>
      </c>
      <c r="E1890" s="25">
        <v>106</v>
      </c>
      <c r="F1890" s="23" t="str">
        <f>VLOOKUP(B1890,'[2]справочник кодов нп'!$A:$D,4,0)</f>
        <v>сельские населенные пункты с численностью населения менее 1 000 человек.</v>
      </c>
      <c r="G1890" s="23" t="s">
        <v>1385</v>
      </c>
      <c r="H1890" s="10" t="s">
        <v>4175</v>
      </c>
      <c r="I1890" s="35" t="s">
        <v>7017</v>
      </c>
      <c r="J1890" s="33" t="s">
        <v>1337</v>
      </c>
    </row>
    <row r="1891" spans="1:10" x14ac:dyDescent="0.25">
      <c r="A1891" s="23" t="s">
        <v>4326</v>
      </c>
      <c r="B1891" s="10" t="s">
        <v>4327</v>
      </c>
      <c r="C1891" s="23" t="s">
        <v>4175</v>
      </c>
      <c r="D1891" s="28" t="s">
        <v>4328</v>
      </c>
      <c r="E1891" s="25">
        <v>106</v>
      </c>
      <c r="F1891" s="23" t="str">
        <f>VLOOKUP(B1891,'[2]справочник кодов нп'!$A:$D,4,0)</f>
        <v>сельские населенные пункты с численностью населения менее 1 000 человек.</v>
      </c>
      <c r="G1891" s="23" t="s">
        <v>1385</v>
      </c>
      <c r="H1891" s="10" t="s">
        <v>4175</v>
      </c>
      <c r="I1891" s="35" t="s">
        <v>7017</v>
      </c>
      <c r="J1891" s="33" t="s">
        <v>1337</v>
      </c>
    </row>
    <row r="1892" spans="1:10" x14ac:dyDescent="0.25">
      <c r="A1892" s="23" t="s">
        <v>4329</v>
      </c>
      <c r="B1892" s="10" t="s">
        <v>4330</v>
      </c>
      <c r="C1892" s="23" t="s">
        <v>4175</v>
      </c>
      <c r="D1892" s="28" t="s">
        <v>4331</v>
      </c>
      <c r="E1892" s="25">
        <v>106</v>
      </c>
      <c r="F1892" s="23" t="str">
        <f>VLOOKUP(B1892,'[2]справочник кодов нп'!$A:$D,4,0)</f>
        <v>сельские населенные пункты с численностью населения менее 1 000 человек.</v>
      </c>
      <c r="G1892" s="23" t="s">
        <v>1385</v>
      </c>
      <c r="H1892" s="10" t="s">
        <v>4175</v>
      </c>
      <c r="I1892" s="35" t="s">
        <v>7017</v>
      </c>
      <c r="J1892" s="33" t="s">
        <v>1337</v>
      </c>
    </row>
    <row r="1893" spans="1:10" x14ac:dyDescent="0.25">
      <c r="A1893" s="23" t="s">
        <v>4332</v>
      </c>
      <c r="B1893" s="10" t="s">
        <v>4333</v>
      </c>
      <c r="C1893" s="23" t="s">
        <v>4175</v>
      </c>
      <c r="D1893" s="28" t="s">
        <v>4334</v>
      </c>
      <c r="E1893" s="25">
        <v>106</v>
      </c>
      <c r="F1893" s="23" t="str">
        <f>VLOOKUP(B1893,'[2]справочник кодов нп'!$A:$D,4,0)</f>
        <v>сельские населенные пункты с численностью населения менее 1 000 человек.</v>
      </c>
      <c r="G1893" s="23" t="s">
        <v>1385</v>
      </c>
      <c r="H1893" s="10" t="s">
        <v>4175</v>
      </c>
      <c r="I1893" s="35" t="s">
        <v>7017</v>
      </c>
      <c r="J1893" s="33" t="s">
        <v>1337</v>
      </c>
    </row>
    <row r="1894" spans="1:10" x14ac:dyDescent="0.25">
      <c r="A1894" s="23" t="s">
        <v>4335</v>
      </c>
      <c r="B1894" s="10" t="s">
        <v>4336</v>
      </c>
      <c r="C1894" s="23" t="s">
        <v>4175</v>
      </c>
      <c r="D1894" s="28" t="s">
        <v>4337</v>
      </c>
      <c r="E1894" s="25">
        <v>106</v>
      </c>
      <c r="F1894" s="23" t="str">
        <f>VLOOKUP(B1894,'[2]справочник кодов нп'!$A:$D,4,0)</f>
        <v>сельские населенные пункты с численностью населения менее 1 000 человек.</v>
      </c>
      <c r="G1894" s="23" t="s">
        <v>1385</v>
      </c>
      <c r="H1894" s="10" t="s">
        <v>4175</v>
      </c>
      <c r="I1894" s="35" t="s">
        <v>7017</v>
      </c>
      <c r="J1894" s="33" t="s">
        <v>1337</v>
      </c>
    </row>
    <row r="1895" spans="1:10" x14ac:dyDescent="0.25">
      <c r="A1895" s="23" t="s">
        <v>4338</v>
      </c>
      <c r="B1895" s="10" t="s">
        <v>4339</v>
      </c>
      <c r="C1895" s="23" t="s">
        <v>4175</v>
      </c>
      <c r="D1895" s="28" t="s">
        <v>4340</v>
      </c>
      <c r="E1895" s="25">
        <v>106</v>
      </c>
      <c r="F1895" s="23" t="str">
        <f>VLOOKUP(B1895,'[2]справочник кодов нп'!$A:$D,4,0)</f>
        <v>сельские населенные пункты с численностью населения менее 1 000 человек.</v>
      </c>
      <c r="G1895" s="23" t="s">
        <v>1385</v>
      </c>
      <c r="H1895" s="10" t="s">
        <v>4175</v>
      </c>
      <c r="I1895" s="35" t="s">
        <v>7017</v>
      </c>
      <c r="J1895" s="33" t="s">
        <v>1337</v>
      </c>
    </row>
    <row r="1896" spans="1:10" x14ac:dyDescent="0.25">
      <c r="A1896" s="23" t="s">
        <v>4341</v>
      </c>
      <c r="B1896" s="10" t="s">
        <v>4342</v>
      </c>
      <c r="C1896" s="23" t="s">
        <v>4175</v>
      </c>
      <c r="D1896" s="28" t="s">
        <v>4343</v>
      </c>
      <c r="E1896" s="25">
        <v>106</v>
      </c>
      <c r="F1896" s="23" t="str">
        <f>VLOOKUP(B1896,'[2]справочник кодов нп'!$A:$D,4,0)</f>
        <v>сельские населенные пункты с численностью населения менее 1 000 человек.</v>
      </c>
      <c r="G1896" s="23" t="s">
        <v>1385</v>
      </c>
      <c r="H1896" s="10" t="s">
        <v>4175</v>
      </c>
      <c r="I1896" s="35" t="s">
        <v>7017</v>
      </c>
      <c r="J1896" s="33" t="s">
        <v>1337</v>
      </c>
    </row>
    <row r="1897" spans="1:10" x14ac:dyDescent="0.25">
      <c r="A1897" s="23" t="s">
        <v>5160</v>
      </c>
      <c r="B1897" s="10" t="s">
        <v>5161</v>
      </c>
      <c r="C1897" s="23" t="s">
        <v>4175</v>
      </c>
      <c r="D1897" s="28" t="s">
        <v>5162</v>
      </c>
      <c r="E1897" s="25">
        <v>106</v>
      </c>
      <c r="F1897" s="23" t="str">
        <f>VLOOKUP(B1897,'[2]справочник кодов нп'!$A:$D,4,0)</f>
        <v>сельские населенные пункты с численностью населения менее 1 000 человек.</v>
      </c>
      <c r="G1897" s="23" t="s">
        <v>1385</v>
      </c>
      <c r="H1897" s="10" t="s">
        <v>4175</v>
      </c>
      <c r="I1897" s="35" t="s">
        <v>7017</v>
      </c>
      <c r="J1897" s="33" t="s">
        <v>1337</v>
      </c>
    </row>
    <row r="1898" spans="1:10" x14ac:dyDescent="0.25">
      <c r="A1898" s="23" t="s">
        <v>6284</v>
      </c>
      <c r="B1898" s="10" t="s">
        <v>6285</v>
      </c>
      <c r="C1898" s="23" t="s">
        <v>4175</v>
      </c>
      <c r="D1898" s="28" t="s">
        <v>6286</v>
      </c>
      <c r="E1898" s="25">
        <v>106</v>
      </c>
      <c r="F1898" s="23" t="str">
        <f>VLOOKUP(B1898,'[2]справочник кодов нп'!$A:$D,4,0)</f>
        <v>сельские населенные пункты с численностью населения менее 1 000 человек.</v>
      </c>
      <c r="G1898" s="23" t="s">
        <v>1385</v>
      </c>
      <c r="H1898" s="10" t="s">
        <v>4175</v>
      </c>
      <c r="I1898" s="35" t="s">
        <v>7017</v>
      </c>
      <c r="J1898" s="33" t="s">
        <v>1337</v>
      </c>
    </row>
    <row r="1899" spans="1:10" x14ac:dyDescent="0.25">
      <c r="A1899" s="23" t="s">
        <v>6287</v>
      </c>
      <c r="B1899" s="10" t="s">
        <v>6288</v>
      </c>
      <c r="C1899" s="23" t="s">
        <v>4175</v>
      </c>
      <c r="D1899" s="28" t="s">
        <v>6289</v>
      </c>
      <c r="E1899" s="25">
        <v>106</v>
      </c>
      <c r="F1899" s="23" t="str">
        <f>VLOOKUP(B1899,'[2]справочник кодов нп'!$A:$D,4,0)</f>
        <v>сельские населенные пункты с численностью населения менее 1 000 человек.</v>
      </c>
      <c r="G1899" s="45" t="s">
        <v>1385</v>
      </c>
      <c r="H1899" s="10" t="s">
        <v>4175</v>
      </c>
      <c r="I1899" s="35" t="s">
        <v>7017</v>
      </c>
      <c r="J1899" s="33" t="s">
        <v>1337</v>
      </c>
    </row>
    <row r="1900" spans="1:10" x14ac:dyDescent="0.25">
      <c r="A1900" s="23" t="s">
        <v>6689</v>
      </c>
      <c r="B1900" s="10" t="s">
        <v>6690</v>
      </c>
      <c r="C1900" s="23" t="s">
        <v>4175</v>
      </c>
      <c r="D1900" s="28" t="s">
        <v>6691</v>
      </c>
      <c r="E1900" s="25">
        <v>106</v>
      </c>
      <c r="F1900" s="23" t="str">
        <f>VLOOKUP(B1900,'[2]справочник кодов нп'!$A:$D,4,0)</f>
        <v>сельские населенные пункты с численностью населения менее 1 000 человек.</v>
      </c>
      <c r="G1900" s="45" t="s">
        <v>1385</v>
      </c>
      <c r="H1900" s="10" t="s">
        <v>4175</v>
      </c>
      <c r="I1900" s="35" t="s">
        <v>7017</v>
      </c>
      <c r="J1900" s="33" t="s">
        <v>1337</v>
      </c>
    </row>
    <row r="1901" spans="1:10" x14ac:dyDescent="0.25">
      <c r="A1901" s="23" t="s">
        <v>6983</v>
      </c>
      <c r="B1901" s="10" t="s">
        <v>6984</v>
      </c>
      <c r="C1901" s="23" t="s">
        <v>4175</v>
      </c>
      <c r="D1901" s="28" t="s">
        <v>6846</v>
      </c>
      <c r="E1901" s="25">
        <v>106</v>
      </c>
      <c r="F1901" s="23" t="str">
        <f>VLOOKUP(B1901,'[2]справочник кодов нп'!$A:$D,4,0)</f>
        <v>межселенная территория</v>
      </c>
      <c r="G1901" s="23" t="s">
        <v>1385</v>
      </c>
      <c r="H1901" s="10" t="s">
        <v>4175</v>
      </c>
      <c r="I1901" s="35" t="s">
        <v>7019</v>
      </c>
      <c r="J1901" s="33" t="s">
        <v>1337</v>
      </c>
    </row>
    <row r="1902" spans="1:10" x14ac:dyDescent="0.25">
      <c r="A1902" s="23" t="s">
        <v>3701</v>
      </c>
      <c r="B1902" s="10" t="s">
        <v>3702</v>
      </c>
      <c r="C1902" s="23" t="s">
        <v>3703</v>
      </c>
      <c r="D1902" s="28" t="s">
        <v>3704</v>
      </c>
      <c r="E1902" s="25">
        <v>106</v>
      </c>
      <c r="F1902" s="23" t="str">
        <f>VLOOKUP(B1902,'[2]справочник кодов нп'!$A:$D,4,0)</f>
        <v>сельские населенные пункты с численностью населения менее 1 000 человек.</v>
      </c>
      <c r="G1902" s="23" t="s">
        <v>1385</v>
      </c>
      <c r="H1902" s="10" t="s">
        <v>3703</v>
      </c>
      <c r="I1902" s="35" t="s">
        <v>7017</v>
      </c>
      <c r="J1902" s="33" t="s">
        <v>1337</v>
      </c>
    </row>
    <row r="1903" spans="1:10" x14ac:dyDescent="0.25">
      <c r="A1903" s="23" t="s">
        <v>4344</v>
      </c>
      <c r="B1903" s="10" t="s">
        <v>4345</v>
      </c>
      <c r="C1903" s="23" t="s">
        <v>3703</v>
      </c>
      <c r="D1903" s="28" t="s">
        <v>4346</v>
      </c>
      <c r="E1903" s="25">
        <v>106</v>
      </c>
      <c r="F1903" s="23" t="str">
        <f>VLOOKUP(B1903,'[2]справочник кодов нп'!$A:$D,4,0)</f>
        <v>сельские населенные пункты с численностью населения менее 1 000 человек.</v>
      </c>
      <c r="G1903" s="23" t="s">
        <v>1385</v>
      </c>
      <c r="H1903" s="10" t="s">
        <v>3703</v>
      </c>
      <c r="I1903" s="35" t="s">
        <v>7017</v>
      </c>
      <c r="J1903" s="33" t="s">
        <v>1337</v>
      </c>
    </row>
    <row r="1904" spans="1:10" x14ac:dyDescent="0.25">
      <c r="A1904" s="23" t="s">
        <v>4347</v>
      </c>
      <c r="B1904" s="10" t="s">
        <v>4348</v>
      </c>
      <c r="C1904" s="23" t="s">
        <v>3703</v>
      </c>
      <c r="D1904" s="28" t="s">
        <v>4349</v>
      </c>
      <c r="E1904" s="25">
        <v>106</v>
      </c>
      <c r="F1904" s="23" t="str">
        <f>VLOOKUP(B1904,'[2]справочник кодов нп'!$A:$D,4,0)</f>
        <v>сельские населенные пункты с численностью населения менее 1 000 человек.</v>
      </c>
      <c r="G1904" s="45" t="s">
        <v>1385</v>
      </c>
      <c r="H1904" s="10" t="s">
        <v>3703</v>
      </c>
      <c r="I1904" s="35" t="s">
        <v>7017</v>
      </c>
      <c r="J1904" s="33" t="s">
        <v>1337</v>
      </c>
    </row>
    <row r="1905" spans="1:10" x14ac:dyDescent="0.25">
      <c r="A1905" s="23" t="s">
        <v>4350</v>
      </c>
      <c r="B1905" s="10" t="s">
        <v>4351</v>
      </c>
      <c r="C1905" s="23" t="s">
        <v>3703</v>
      </c>
      <c r="D1905" s="28" t="s">
        <v>4352</v>
      </c>
      <c r="E1905" s="25">
        <v>106</v>
      </c>
      <c r="F1905" s="23" t="str">
        <f>VLOOKUP(B1905,'[2]справочник кодов нп'!$A:$D,4,0)</f>
        <v>сельские населенные пункты с численностью населения менее 1 000 человек.</v>
      </c>
      <c r="G1905" s="23" t="s">
        <v>1385</v>
      </c>
      <c r="H1905" s="10" t="s">
        <v>3703</v>
      </c>
      <c r="I1905" s="35" t="s">
        <v>7017</v>
      </c>
      <c r="J1905" s="33" t="s">
        <v>1337</v>
      </c>
    </row>
    <row r="1906" spans="1:10" x14ac:dyDescent="0.25">
      <c r="A1906" s="23" t="s">
        <v>4353</v>
      </c>
      <c r="B1906" s="10" t="s">
        <v>4354</v>
      </c>
      <c r="C1906" s="23" t="s">
        <v>3703</v>
      </c>
      <c r="D1906" s="28" t="s">
        <v>4355</v>
      </c>
      <c r="E1906" s="25">
        <v>106</v>
      </c>
      <c r="F1906" s="23" t="str">
        <f>VLOOKUP(B1906,'[2]справочник кодов нп'!$A:$D,4,0)</f>
        <v>сельские населенные пункты с численностью населения менее 1 000 человек.</v>
      </c>
      <c r="G1906" s="23" t="s">
        <v>1385</v>
      </c>
      <c r="H1906" s="10" t="s">
        <v>3703</v>
      </c>
      <c r="I1906" s="35" t="s">
        <v>7017</v>
      </c>
      <c r="J1906" s="33" t="s">
        <v>1337</v>
      </c>
    </row>
    <row r="1907" spans="1:10" x14ac:dyDescent="0.25">
      <c r="A1907" s="23" t="s">
        <v>4356</v>
      </c>
      <c r="B1907" s="10" t="s">
        <v>4357</v>
      </c>
      <c r="C1907" s="23" t="s">
        <v>3703</v>
      </c>
      <c r="D1907" s="28" t="s">
        <v>4358</v>
      </c>
      <c r="E1907" s="25">
        <v>106</v>
      </c>
      <c r="F1907" s="23" t="str">
        <f>VLOOKUP(B1907,'[2]справочник кодов нп'!$A:$D,4,0)</f>
        <v>сельские населенные пункты с численностью населения менее 1 000 человек.</v>
      </c>
      <c r="G1907" s="23" t="s">
        <v>1385</v>
      </c>
      <c r="H1907" s="10" t="s">
        <v>3703</v>
      </c>
      <c r="I1907" s="35" t="s">
        <v>7017</v>
      </c>
      <c r="J1907" s="33" t="s">
        <v>1337</v>
      </c>
    </row>
    <row r="1908" spans="1:10" x14ac:dyDescent="0.25">
      <c r="A1908" s="23" t="s">
        <v>4359</v>
      </c>
      <c r="B1908" s="10" t="s">
        <v>4360</v>
      </c>
      <c r="C1908" s="23" t="s">
        <v>3703</v>
      </c>
      <c r="D1908" s="28" t="s">
        <v>4361</v>
      </c>
      <c r="E1908" s="25">
        <v>106</v>
      </c>
      <c r="F1908" s="23" t="str">
        <f>VLOOKUP(B1908,'[2]справочник кодов нп'!$A:$D,4,0)</f>
        <v>сельские населенные пункты с численностью населения менее 1 000 человек.</v>
      </c>
      <c r="G1908" s="23" t="s">
        <v>1385</v>
      </c>
      <c r="H1908" s="10" t="s">
        <v>3703</v>
      </c>
      <c r="I1908" s="35" t="s">
        <v>7017</v>
      </c>
      <c r="J1908" s="33" t="s">
        <v>1337</v>
      </c>
    </row>
    <row r="1909" spans="1:10" x14ac:dyDescent="0.25">
      <c r="A1909" s="23" t="s">
        <v>4362</v>
      </c>
      <c r="B1909" s="10" t="s">
        <v>4363</v>
      </c>
      <c r="C1909" s="23" t="s">
        <v>3703</v>
      </c>
      <c r="D1909" s="28" t="s">
        <v>4364</v>
      </c>
      <c r="E1909" s="25">
        <v>106</v>
      </c>
      <c r="F1909" s="23" t="str">
        <f>VLOOKUP(B1909,'[2]справочник кодов нп'!$A:$D,4,0)</f>
        <v>сельские населенные пункты с численностью населения менее 1 000 человек.</v>
      </c>
      <c r="G1909" s="23" t="s">
        <v>1385</v>
      </c>
      <c r="H1909" s="10" t="s">
        <v>3703</v>
      </c>
      <c r="I1909" s="35" t="s">
        <v>7017</v>
      </c>
      <c r="J1909" s="33" t="s">
        <v>1337</v>
      </c>
    </row>
    <row r="1910" spans="1:10" x14ac:dyDescent="0.25">
      <c r="A1910" s="23" t="s">
        <v>4365</v>
      </c>
      <c r="B1910" s="10" t="s">
        <v>4366</v>
      </c>
      <c r="C1910" s="23" t="s">
        <v>3703</v>
      </c>
      <c r="D1910" s="28" t="s">
        <v>4367</v>
      </c>
      <c r="E1910" s="25">
        <v>106</v>
      </c>
      <c r="F1910" s="23" t="str">
        <f>VLOOKUP(B1910,'[2]справочник кодов нп'!$A:$D,4,0)</f>
        <v>сельские населенные пункты с численностью населения менее 1 000 человек.</v>
      </c>
      <c r="G1910" s="23" t="s">
        <v>1385</v>
      </c>
      <c r="H1910" s="10" t="s">
        <v>3703</v>
      </c>
      <c r="I1910" s="35" t="s">
        <v>7017</v>
      </c>
      <c r="J1910" s="33" t="s">
        <v>1337</v>
      </c>
    </row>
    <row r="1911" spans="1:10" x14ac:dyDescent="0.25">
      <c r="A1911" s="23" t="s">
        <v>4368</v>
      </c>
      <c r="B1911" s="10" t="s">
        <v>4369</v>
      </c>
      <c r="C1911" s="23" t="s">
        <v>3703</v>
      </c>
      <c r="D1911" s="28" t="s">
        <v>4370</v>
      </c>
      <c r="E1911" s="25">
        <v>106</v>
      </c>
      <c r="F1911" s="23" t="str">
        <f>VLOOKUP(B1911,'[2]справочник кодов нп'!$A:$D,4,0)</f>
        <v>сельские населенные пункты с численностью населения менее 1 000 человек.</v>
      </c>
      <c r="G1911" s="23" t="s">
        <v>1385</v>
      </c>
      <c r="H1911" s="10" t="s">
        <v>3703</v>
      </c>
      <c r="I1911" s="35" t="s">
        <v>7017</v>
      </c>
      <c r="J1911" s="33" t="s">
        <v>1337</v>
      </c>
    </row>
    <row r="1912" spans="1:10" x14ac:dyDescent="0.25">
      <c r="A1912" s="23" t="s">
        <v>4371</v>
      </c>
      <c r="B1912" s="10" t="s">
        <v>4372</v>
      </c>
      <c r="C1912" s="23" t="s">
        <v>3703</v>
      </c>
      <c r="D1912" s="28" t="s">
        <v>4373</v>
      </c>
      <c r="E1912" s="25">
        <v>106</v>
      </c>
      <c r="F1912" s="23" t="str">
        <f>VLOOKUP(B1912,'[2]справочник кодов нп'!$A:$D,4,0)</f>
        <v>сельские населенные пункты с численностью населения менее 1 000 человек.</v>
      </c>
      <c r="G1912" s="23" t="s">
        <v>1385</v>
      </c>
      <c r="H1912" s="10" t="s">
        <v>3703</v>
      </c>
      <c r="I1912" s="35" t="s">
        <v>7017</v>
      </c>
      <c r="J1912" s="33" t="s">
        <v>1337</v>
      </c>
    </row>
    <row r="1913" spans="1:10" x14ac:dyDescent="0.25">
      <c r="A1913" s="23" t="s">
        <v>4374</v>
      </c>
      <c r="B1913" s="10" t="s">
        <v>4375</v>
      </c>
      <c r="C1913" s="23" t="s">
        <v>3703</v>
      </c>
      <c r="D1913" s="28" t="s">
        <v>4376</v>
      </c>
      <c r="E1913" s="25">
        <v>106</v>
      </c>
      <c r="F1913" s="23" t="str">
        <f>VLOOKUP(B1913,'[2]справочник кодов нп'!$A:$D,4,0)</f>
        <v>сельские населенные пункты с численностью населения менее 1 000 человек.</v>
      </c>
      <c r="G1913" s="23" t="s">
        <v>1385</v>
      </c>
      <c r="H1913" s="10" t="s">
        <v>3703</v>
      </c>
      <c r="I1913" s="35" t="s">
        <v>7017</v>
      </c>
      <c r="J1913" s="33" t="s">
        <v>1337</v>
      </c>
    </row>
    <row r="1914" spans="1:10" x14ac:dyDescent="0.25">
      <c r="A1914" s="45" t="s">
        <v>4377</v>
      </c>
      <c r="B1914" s="10" t="s">
        <v>4378</v>
      </c>
      <c r="C1914" s="23" t="s">
        <v>3703</v>
      </c>
      <c r="D1914" s="28" t="s">
        <v>4379</v>
      </c>
      <c r="E1914" s="25">
        <v>106</v>
      </c>
      <c r="F1914" s="23" t="str">
        <f>VLOOKUP(B1914,'[2]справочник кодов нп'!$A:$D,4,0)</f>
        <v>сельские населенные пункты с численностью населения менее 1 000 человек.</v>
      </c>
      <c r="G1914" s="23" t="s">
        <v>1385</v>
      </c>
      <c r="H1914" s="10" t="s">
        <v>3703</v>
      </c>
      <c r="I1914" s="35" t="s">
        <v>7017</v>
      </c>
      <c r="J1914" s="33" t="s">
        <v>1337</v>
      </c>
    </row>
    <row r="1915" spans="1:10" x14ac:dyDescent="0.25">
      <c r="A1915" s="45" t="s">
        <v>4380</v>
      </c>
      <c r="B1915" s="10" t="s">
        <v>4381</v>
      </c>
      <c r="C1915" s="45" t="s">
        <v>3703</v>
      </c>
      <c r="D1915" s="28" t="s">
        <v>4382</v>
      </c>
      <c r="E1915" s="25">
        <v>106</v>
      </c>
      <c r="F1915" s="23" t="str">
        <f>VLOOKUP(B1915,'[2]справочник кодов нп'!$A:$D,4,0)</f>
        <v>сельские населенные пункты с численностью населения менее 1 000 человек.</v>
      </c>
      <c r="G1915" s="23" t="s">
        <v>1385</v>
      </c>
      <c r="H1915" s="10" t="s">
        <v>3703</v>
      </c>
      <c r="I1915" s="35" t="s">
        <v>7017</v>
      </c>
      <c r="J1915" s="33" t="s">
        <v>1337</v>
      </c>
    </row>
    <row r="1916" spans="1:10" x14ac:dyDescent="0.25">
      <c r="A1916" s="45" t="s">
        <v>4383</v>
      </c>
      <c r="B1916" s="10" t="s">
        <v>4384</v>
      </c>
      <c r="C1916" s="45" t="s">
        <v>3703</v>
      </c>
      <c r="D1916" s="28" t="s">
        <v>4385</v>
      </c>
      <c r="E1916" s="25">
        <v>106</v>
      </c>
      <c r="F1916" s="23" t="str">
        <f>VLOOKUP(B1916,'[2]справочник кодов нп'!$A:$D,4,0)</f>
        <v>сельские населенные пункты с численностью населения более 1 000 человек;</v>
      </c>
      <c r="G1916" s="23" t="s">
        <v>1385</v>
      </c>
      <c r="H1916" s="10" t="s">
        <v>3703</v>
      </c>
      <c r="I1916" s="35" t="s">
        <v>7017</v>
      </c>
      <c r="J1916" s="33" t="s">
        <v>1337</v>
      </c>
    </row>
    <row r="1917" spans="1:10" x14ac:dyDescent="0.25">
      <c r="A1917" s="45" t="s">
        <v>4386</v>
      </c>
      <c r="B1917" s="10" t="s">
        <v>4387</v>
      </c>
      <c r="C1917" s="45" t="s">
        <v>3703</v>
      </c>
      <c r="D1917" s="28" t="s">
        <v>4388</v>
      </c>
      <c r="E1917" s="25">
        <v>106</v>
      </c>
      <c r="F1917" s="23" t="str">
        <f>VLOOKUP(B1917,'[2]справочник кодов нп'!$A:$D,4,0)</f>
        <v>сельские населенные пункты с численностью населения более 1 000 человек;</v>
      </c>
      <c r="G1917" s="23" t="s">
        <v>1385</v>
      </c>
      <c r="H1917" s="10" t="s">
        <v>3703</v>
      </c>
      <c r="I1917" s="35" t="s">
        <v>7017</v>
      </c>
      <c r="J1917" s="33" t="s">
        <v>1337</v>
      </c>
    </row>
    <row r="1918" spans="1:10" x14ac:dyDescent="0.25">
      <c r="A1918" s="45" t="s">
        <v>4389</v>
      </c>
      <c r="B1918" s="10" t="s">
        <v>4390</v>
      </c>
      <c r="C1918" s="45" t="s">
        <v>3703</v>
      </c>
      <c r="D1918" s="28" t="s">
        <v>4391</v>
      </c>
      <c r="E1918" s="25">
        <v>106</v>
      </c>
      <c r="F1918" s="23" t="str">
        <f>VLOOKUP(B1918,'[2]справочник кодов нп'!$A:$D,4,0)</f>
        <v>сельские населенные пункты с численностью населения менее 1 000 человек.</v>
      </c>
      <c r="G1918" s="23" t="s">
        <v>1385</v>
      </c>
      <c r="H1918" s="10" t="s">
        <v>3703</v>
      </c>
      <c r="I1918" s="35" t="s">
        <v>7017</v>
      </c>
      <c r="J1918" s="33" t="s">
        <v>1337</v>
      </c>
    </row>
    <row r="1919" spans="1:10" x14ac:dyDescent="0.25">
      <c r="A1919" s="23" t="s">
        <v>4392</v>
      </c>
      <c r="B1919" s="10" t="s">
        <v>4393</v>
      </c>
      <c r="C1919" s="23" t="s">
        <v>3703</v>
      </c>
      <c r="D1919" s="28" t="s">
        <v>4394</v>
      </c>
      <c r="E1919" s="25">
        <v>106</v>
      </c>
      <c r="F1919" s="23" t="str">
        <f>VLOOKUP(B1919,'[2]справочник кодов нп'!$A:$D,4,0)</f>
        <v>сельские населенные пункты с численностью населения менее 1 000 человек.</v>
      </c>
      <c r="G1919" s="23" t="s">
        <v>1385</v>
      </c>
      <c r="H1919" s="10" t="s">
        <v>3703</v>
      </c>
      <c r="I1919" s="35" t="s">
        <v>7017</v>
      </c>
      <c r="J1919" s="33" t="s">
        <v>1337</v>
      </c>
    </row>
    <row r="1920" spans="1:10" x14ac:dyDescent="0.25">
      <c r="A1920" s="23" t="s">
        <v>4395</v>
      </c>
      <c r="B1920" s="10" t="s">
        <v>4396</v>
      </c>
      <c r="C1920" s="23" t="s">
        <v>3703</v>
      </c>
      <c r="D1920" s="28" t="s">
        <v>4397</v>
      </c>
      <c r="E1920" s="25">
        <v>106</v>
      </c>
      <c r="F1920" s="23" t="str">
        <f>VLOOKUP(B1920,'[2]справочник кодов нп'!$A:$D,4,0)</f>
        <v>сельские населенные пункты с численностью населения менее 1 000 человек.</v>
      </c>
      <c r="G1920" s="23" t="s">
        <v>1385</v>
      </c>
      <c r="H1920" s="10" t="s">
        <v>3703</v>
      </c>
      <c r="I1920" s="35" t="s">
        <v>7017</v>
      </c>
      <c r="J1920" s="33" t="s">
        <v>1337</v>
      </c>
    </row>
    <row r="1921" spans="1:10" x14ac:dyDescent="0.25">
      <c r="A1921" s="23" t="s">
        <v>4398</v>
      </c>
      <c r="B1921" s="10" t="s">
        <v>4399</v>
      </c>
      <c r="C1921" s="23" t="s">
        <v>3703</v>
      </c>
      <c r="D1921" s="28" t="s">
        <v>1697</v>
      </c>
      <c r="E1921" s="25">
        <v>106</v>
      </c>
      <c r="F1921" s="23" t="str">
        <f>VLOOKUP(B1921,'[2]справочник кодов нп'!$A:$D,4,0)</f>
        <v>сельские населенные пункты с численностью населения менее 1 000 человек.</v>
      </c>
      <c r="G1921" s="23" t="s">
        <v>1385</v>
      </c>
      <c r="H1921" s="10" t="s">
        <v>3703</v>
      </c>
      <c r="I1921" s="35" t="s">
        <v>7017</v>
      </c>
      <c r="J1921" s="33" t="s">
        <v>1337</v>
      </c>
    </row>
    <row r="1922" spans="1:10" x14ac:dyDescent="0.25">
      <c r="A1922" s="23" t="s">
        <v>4400</v>
      </c>
      <c r="B1922" s="10" t="s">
        <v>4401</v>
      </c>
      <c r="C1922" s="23" t="s">
        <v>3703</v>
      </c>
      <c r="D1922" s="28" t="s">
        <v>4402</v>
      </c>
      <c r="E1922" s="25">
        <v>106</v>
      </c>
      <c r="F1922" s="23" t="str">
        <f>VLOOKUP(B1922,'[2]справочник кодов нп'!$A:$D,4,0)</f>
        <v>сельские населенные пункты с численностью населения более 1 000 человек;</v>
      </c>
      <c r="G1922" s="23" t="s">
        <v>1385</v>
      </c>
      <c r="H1922" s="10" t="s">
        <v>3703</v>
      </c>
      <c r="I1922" s="35" t="s">
        <v>7017</v>
      </c>
      <c r="J1922" s="33" t="s">
        <v>1337</v>
      </c>
    </row>
    <row r="1923" spans="1:10" x14ac:dyDescent="0.25">
      <c r="A1923" s="23" t="s">
        <v>4403</v>
      </c>
      <c r="B1923" s="10" t="s">
        <v>4404</v>
      </c>
      <c r="C1923" s="23" t="s">
        <v>3703</v>
      </c>
      <c r="D1923" s="28" t="s">
        <v>4405</v>
      </c>
      <c r="E1923" s="25">
        <v>106</v>
      </c>
      <c r="F1923" s="23" t="str">
        <f>VLOOKUP(B1923,'[2]справочник кодов нп'!$A:$D,4,0)</f>
        <v>сельские населенные пункты с численностью населения менее 1 000 человек.</v>
      </c>
      <c r="G1923" s="23" t="s">
        <v>1385</v>
      </c>
      <c r="H1923" s="10" t="s">
        <v>3703</v>
      </c>
      <c r="I1923" s="35" t="s">
        <v>7017</v>
      </c>
      <c r="J1923" s="33" t="s">
        <v>1337</v>
      </c>
    </row>
    <row r="1924" spans="1:10" x14ac:dyDescent="0.25">
      <c r="A1924" s="23" t="s">
        <v>4406</v>
      </c>
      <c r="B1924" s="10" t="s">
        <v>4407</v>
      </c>
      <c r="C1924" s="23" t="s">
        <v>3703</v>
      </c>
      <c r="D1924" s="28" t="s">
        <v>4408</v>
      </c>
      <c r="E1924" s="25">
        <v>106</v>
      </c>
      <c r="F1924" s="23" t="str">
        <f>VLOOKUP(B1924,'[2]справочник кодов нп'!$A:$D,4,0)</f>
        <v>сельские населенные пункты с численностью населения менее 1 000 человек.</v>
      </c>
      <c r="G1924" s="23" t="s">
        <v>1385</v>
      </c>
      <c r="H1924" s="10" t="s">
        <v>3703</v>
      </c>
      <c r="I1924" s="35" t="s">
        <v>7017</v>
      </c>
      <c r="J1924" s="33" t="s">
        <v>1337</v>
      </c>
    </row>
    <row r="1925" spans="1:10" x14ac:dyDescent="0.25">
      <c r="A1925" s="23" t="s">
        <v>4409</v>
      </c>
      <c r="B1925" s="10" t="s">
        <v>4410</v>
      </c>
      <c r="C1925" s="23" t="s">
        <v>3703</v>
      </c>
      <c r="D1925" s="28" t="s">
        <v>4411</v>
      </c>
      <c r="E1925" s="25">
        <v>106</v>
      </c>
      <c r="F1925" s="23" t="str">
        <f>VLOOKUP(B1925,'[2]справочник кодов нп'!$A:$D,4,0)</f>
        <v>сельские населенные пункты с численностью населения менее 1 000 человек.</v>
      </c>
      <c r="G1925" s="23" t="s">
        <v>1385</v>
      </c>
      <c r="H1925" s="10" t="s">
        <v>3703</v>
      </c>
      <c r="I1925" s="35" t="s">
        <v>7017</v>
      </c>
      <c r="J1925" s="33" t="s">
        <v>1337</v>
      </c>
    </row>
    <row r="1926" spans="1:10" x14ac:dyDescent="0.25">
      <c r="A1926" s="23" t="s">
        <v>4412</v>
      </c>
      <c r="B1926" s="10" t="s">
        <v>4413</v>
      </c>
      <c r="C1926" s="23" t="s">
        <v>3703</v>
      </c>
      <c r="D1926" s="28" t="s">
        <v>4414</v>
      </c>
      <c r="E1926" s="25">
        <v>106</v>
      </c>
      <c r="F1926" s="23" t="str">
        <f>VLOOKUP(B1926,'[2]справочник кодов нп'!$A:$D,4,0)</f>
        <v>сельские населенные пункты с численностью населения менее 1 000 человек.</v>
      </c>
      <c r="G1926" s="23" t="s">
        <v>1385</v>
      </c>
      <c r="H1926" s="10" t="s">
        <v>3703</v>
      </c>
      <c r="I1926" s="35" t="s">
        <v>7017</v>
      </c>
      <c r="J1926" s="33" t="s">
        <v>1337</v>
      </c>
    </row>
    <row r="1927" spans="1:10" x14ac:dyDescent="0.25">
      <c r="A1927" s="23" t="s">
        <v>4415</v>
      </c>
      <c r="B1927" s="10" t="s">
        <v>4416</v>
      </c>
      <c r="C1927" s="23" t="s">
        <v>3703</v>
      </c>
      <c r="D1927" s="28" t="s">
        <v>4417</v>
      </c>
      <c r="E1927" s="25">
        <v>106</v>
      </c>
      <c r="F1927" s="23" t="str">
        <f>VLOOKUP(B1927,'[2]справочник кодов нп'!$A:$D,4,0)</f>
        <v>сельские населенные пункты с численностью населения более 1 000 человек;</v>
      </c>
      <c r="G1927" s="23" t="s">
        <v>1385</v>
      </c>
      <c r="H1927" s="10" t="s">
        <v>3703</v>
      </c>
      <c r="I1927" s="35" t="s">
        <v>7017</v>
      </c>
      <c r="J1927" s="33" t="s">
        <v>1337</v>
      </c>
    </row>
    <row r="1928" spans="1:10" x14ac:dyDescent="0.25">
      <c r="A1928" s="23" t="s">
        <v>4418</v>
      </c>
      <c r="B1928" s="10" t="s">
        <v>4419</v>
      </c>
      <c r="C1928" s="23" t="s">
        <v>3703</v>
      </c>
      <c r="D1928" s="28" t="s">
        <v>4420</v>
      </c>
      <c r="E1928" s="25">
        <v>106</v>
      </c>
      <c r="F1928" s="23" t="str">
        <f>VLOOKUP(B1928,'[2]справочник кодов нп'!$A:$D,4,0)</f>
        <v>сельские населенные пункты с численностью населения менее 1 000 человек.</v>
      </c>
      <c r="G1928" s="23" t="s">
        <v>1385</v>
      </c>
      <c r="H1928" s="10" t="s">
        <v>3703</v>
      </c>
      <c r="I1928" s="35" t="s">
        <v>7017</v>
      </c>
      <c r="J1928" s="33" t="s">
        <v>1337</v>
      </c>
    </row>
    <row r="1929" spans="1:10" x14ac:dyDescent="0.25">
      <c r="A1929" s="23" t="s">
        <v>4421</v>
      </c>
      <c r="B1929" s="10" t="s">
        <v>4422</v>
      </c>
      <c r="C1929" s="23" t="s">
        <v>3703</v>
      </c>
      <c r="D1929" s="28" t="s">
        <v>4423</v>
      </c>
      <c r="E1929" s="25">
        <v>106</v>
      </c>
      <c r="F1929" s="23" t="str">
        <f>VLOOKUP(B1929,'[2]справочник кодов нп'!$A:$D,4,0)</f>
        <v>сельские населенные пункты с численностью населения более 1 000 человек;</v>
      </c>
      <c r="G1929" s="23" t="s">
        <v>1385</v>
      </c>
      <c r="H1929" s="10" t="s">
        <v>3703</v>
      </c>
      <c r="I1929" s="35" t="s">
        <v>7017</v>
      </c>
      <c r="J1929" s="33" t="s">
        <v>1337</v>
      </c>
    </row>
    <row r="1930" spans="1:10" x14ac:dyDescent="0.25">
      <c r="A1930" s="23" t="s">
        <v>4424</v>
      </c>
      <c r="B1930" s="10" t="s">
        <v>4425</v>
      </c>
      <c r="C1930" s="23" t="s">
        <v>3703</v>
      </c>
      <c r="D1930" s="28" t="s">
        <v>4426</v>
      </c>
      <c r="E1930" s="25">
        <v>106</v>
      </c>
      <c r="F1930" s="23" t="str">
        <f>VLOOKUP(B1930,'[2]справочник кодов нп'!$A:$D,4,0)</f>
        <v>сельские населенные пункты с численностью населения менее 1 000 человек.</v>
      </c>
      <c r="G1930" s="23" t="s">
        <v>1385</v>
      </c>
      <c r="H1930" s="10" t="s">
        <v>3703</v>
      </c>
      <c r="I1930" s="35" t="s">
        <v>7017</v>
      </c>
      <c r="J1930" s="33" t="s">
        <v>1337</v>
      </c>
    </row>
    <row r="1931" spans="1:10" x14ac:dyDescent="0.25">
      <c r="A1931" s="23" t="s">
        <v>4427</v>
      </c>
      <c r="B1931" s="10" t="s">
        <v>4428</v>
      </c>
      <c r="C1931" s="23" t="s">
        <v>3703</v>
      </c>
      <c r="D1931" s="28" t="s">
        <v>4429</v>
      </c>
      <c r="E1931" s="25">
        <v>106</v>
      </c>
      <c r="F1931" s="23" t="str">
        <f>VLOOKUP(B1931,'[2]справочник кодов нп'!$A:$D,4,0)</f>
        <v>сельские населенные пункты с численностью населения менее 1 000 человек.</v>
      </c>
      <c r="G1931" s="23" t="s">
        <v>1385</v>
      </c>
      <c r="H1931" s="10" t="s">
        <v>3703</v>
      </c>
      <c r="I1931" s="35" t="s">
        <v>7017</v>
      </c>
      <c r="J1931" s="33" t="s">
        <v>1337</v>
      </c>
    </row>
    <row r="1932" spans="1:10" x14ac:dyDescent="0.25">
      <c r="A1932" s="23" t="s">
        <v>4430</v>
      </c>
      <c r="B1932" s="10" t="s">
        <v>4431</v>
      </c>
      <c r="C1932" s="23" t="s">
        <v>3703</v>
      </c>
      <c r="D1932" s="28" t="s">
        <v>4432</v>
      </c>
      <c r="E1932" s="25">
        <v>106</v>
      </c>
      <c r="F1932" s="23" t="str">
        <f>VLOOKUP(B1932,'[2]справочник кодов нп'!$A:$D,4,0)</f>
        <v>сельские населенные пункты с численностью населения менее 1 000 человек.</v>
      </c>
      <c r="G1932" s="23" t="s">
        <v>1385</v>
      </c>
      <c r="H1932" s="10" t="s">
        <v>3703</v>
      </c>
      <c r="I1932" s="35" t="s">
        <v>7017</v>
      </c>
      <c r="J1932" s="33" t="s">
        <v>1337</v>
      </c>
    </row>
    <row r="1933" spans="1:10" x14ac:dyDescent="0.25">
      <c r="A1933" s="23" t="s">
        <v>4433</v>
      </c>
      <c r="B1933" s="10" t="s">
        <v>4434</v>
      </c>
      <c r="C1933" s="23" t="s">
        <v>3703</v>
      </c>
      <c r="D1933" s="28" t="s">
        <v>4435</v>
      </c>
      <c r="E1933" s="25">
        <v>106</v>
      </c>
      <c r="F1933" s="23" t="str">
        <f>VLOOKUP(B1933,'[2]справочник кодов нп'!$A:$D,4,0)</f>
        <v>сельские населенные пункты с численностью населения менее 1 000 человек.</v>
      </c>
      <c r="G1933" s="23" t="s">
        <v>1385</v>
      </c>
      <c r="H1933" s="10" t="s">
        <v>3703</v>
      </c>
      <c r="I1933" s="35" t="s">
        <v>7017</v>
      </c>
      <c r="J1933" s="33" t="s">
        <v>1337</v>
      </c>
    </row>
    <row r="1934" spans="1:10" x14ac:dyDescent="0.25">
      <c r="A1934" s="23" t="s">
        <v>4436</v>
      </c>
      <c r="B1934" s="10" t="s">
        <v>4437</v>
      </c>
      <c r="C1934" s="23" t="s">
        <v>3703</v>
      </c>
      <c r="D1934" s="28" t="s">
        <v>4438</v>
      </c>
      <c r="E1934" s="25">
        <v>106</v>
      </c>
      <c r="F1934" s="23" t="str">
        <f>VLOOKUP(B1934,'[2]справочник кодов нп'!$A:$D,4,0)</f>
        <v>сельские населенные пункты с численностью населения менее 1 000 человек.</v>
      </c>
      <c r="G1934" s="23" t="s">
        <v>1385</v>
      </c>
      <c r="H1934" s="10" t="s">
        <v>3703</v>
      </c>
      <c r="I1934" s="35" t="s">
        <v>7017</v>
      </c>
      <c r="J1934" s="33" t="s">
        <v>1337</v>
      </c>
    </row>
    <row r="1935" spans="1:10" x14ac:dyDescent="0.25">
      <c r="A1935" s="23" t="s">
        <v>4439</v>
      </c>
      <c r="B1935" s="10" t="s">
        <v>4440</v>
      </c>
      <c r="C1935" s="23" t="s">
        <v>3703</v>
      </c>
      <c r="D1935" s="28" t="s">
        <v>4441</v>
      </c>
      <c r="E1935" s="25">
        <v>106</v>
      </c>
      <c r="F1935" s="23" t="str">
        <f>VLOOKUP(B1935,'[2]справочник кодов нп'!$A:$D,4,0)</f>
        <v>сельские населенные пункты с численностью населения более 1 000 человек;</v>
      </c>
      <c r="G1935" s="23" t="s">
        <v>1385</v>
      </c>
      <c r="H1935" s="10" t="s">
        <v>3703</v>
      </c>
      <c r="I1935" s="35" t="s">
        <v>7017</v>
      </c>
      <c r="J1935" s="33" t="s">
        <v>1337</v>
      </c>
    </row>
    <row r="1936" spans="1:10" x14ac:dyDescent="0.25">
      <c r="A1936" s="23" t="s">
        <v>4442</v>
      </c>
      <c r="B1936" s="10" t="s">
        <v>4443</v>
      </c>
      <c r="C1936" s="23" t="s">
        <v>3703</v>
      </c>
      <c r="D1936" s="28" t="s">
        <v>4444</v>
      </c>
      <c r="E1936" s="25">
        <v>106</v>
      </c>
      <c r="F1936" s="23" t="str">
        <f>VLOOKUP(B1936,'[2]справочник кодов нп'!$A:$D,4,0)</f>
        <v>сельские населенные пункты с численностью населения менее 1 000 человек.</v>
      </c>
      <c r="G1936" s="23" t="s">
        <v>1385</v>
      </c>
      <c r="H1936" s="10" t="s">
        <v>3703</v>
      </c>
      <c r="I1936" s="35" t="s">
        <v>7017</v>
      </c>
      <c r="J1936" s="33" t="s">
        <v>1337</v>
      </c>
    </row>
    <row r="1937" spans="1:10" x14ac:dyDescent="0.25">
      <c r="A1937" s="23" t="s">
        <v>4445</v>
      </c>
      <c r="B1937" s="10" t="s">
        <v>4446</v>
      </c>
      <c r="C1937" s="23" t="s">
        <v>3703</v>
      </c>
      <c r="D1937" s="28" t="s">
        <v>4447</v>
      </c>
      <c r="E1937" s="25">
        <v>106</v>
      </c>
      <c r="F1937" s="23" t="str">
        <f>VLOOKUP(B1937,'[2]справочник кодов нп'!$A:$D,4,0)</f>
        <v>сельские населенные пункты с численностью населения менее 1 000 человек.</v>
      </c>
      <c r="G1937" s="23" t="s">
        <v>1385</v>
      </c>
      <c r="H1937" s="10" t="s">
        <v>3703</v>
      </c>
      <c r="I1937" s="35" t="s">
        <v>7017</v>
      </c>
      <c r="J1937" s="33" t="s">
        <v>1337</v>
      </c>
    </row>
    <row r="1938" spans="1:10" x14ac:dyDescent="0.25">
      <c r="A1938" s="23" t="s">
        <v>4448</v>
      </c>
      <c r="B1938" s="10" t="s">
        <v>4449</v>
      </c>
      <c r="C1938" s="23" t="s">
        <v>3703</v>
      </c>
      <c r="D1938" s="28" t="s">
        <v>4450</v>
      </c>
      <c r="E1938" s="25">
        <v>106</v>
      </c>
      <c r="F1938" s="23" t="str">
        <f>VLOOKUP(B1938,'[2]справочник кодов нп'!$A:$D,4,0)</f>
        <v>сельские населенные пункты с численностью населения менее 1 000 человек.</v>
      </c>
      <c r="G1938" s="23" t="s">
        <v>1385</v>
      </c>
      <c r="H1938" s="10" t="s">
        <v>3703</v>
      </c>
      <c r="I1938" s="35" t="s">
        <v>7017</v>
      </c>
      <c r="J1938" s="33" t="s">
        <v>1337</v>
      </c>
    </row>
    <row r="1939" spans="1:10" x14ac:dyDescent="0.25">
      <c r="A1939" s="23" t="s">
        <v>4842</v>
      </c>
      <c r="B1939" s="10" t="s">
        <v>4843</v>
      </c>
      <c r="C1939" s="23" t="s">
        <v>3703</v>
      </c>
      <c r="D1939" s="28" t="s">
        <v>4844</v>
      </c>
      <c r="E1939" s="25">
        <v>106</v>
      </c>
      <c r="F1939" s="23" t="str">
        <f>VLOOKUP(B1939,'[2]справочник кодов нп'!$A:$D,4,0)</f>
        <v>городские населенные пункты с численностью населения менее 50 000 человек;</v>
      </c>
      <c r="G1939" s="23" t="s">
        <v>1385</v>
      </c>
      <c r="H1939" s="10" t="s">
        <v>3703</v>
      </c>
      <c r="I1939" s="35" t="s">
        <v>7017</v>
      </c>
      <c r="J1939" s="33" t="s">
        <v>1337</v>
      </c>
    </row>
    <row r="1940" spans="1:10" x14ac:dyDescent="0.25">
      <c r="A1940" s="23" t="s">
        <v>6985</v>
      </c>
      <c r="B1940" s="10" t="s">
        <v>6986</v>
      </c>
      <c r="C1940" s="23" t="s">
        <v>3703</v>
      </c>
      <c r="D1940" s="28" t="s">
        <v>6846</v>
      </c>
      <c r="E1940" s="25">
        <v>106</v>
      </c>
      <c r="F1940" s="23" t="str">
        <f>VLOOKUP(B1940,'[2]справочник кодов нп'!$A:$D,4,0)</f>
        <v>межселенная территория</v>
      </c>
      <c r="G1940" s="23" t="s">
        <v>1385</v>
      </c>
      <c r="H1940" s="10" t="s">
        <v>3703</v>
      </c>
      <c r="I1940" s="35" t="s">
        <v>7019</v>
      </c>
      <c r="J1940" s="33" t="s">
        <v>1337</v>
      </c>
    </row>
  </sheetData>
  <autoFilter ref="A1:N1940" xr:uid="{FC506DDC-4881-4FA5-87DA-BD4C78B57238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C7B51-916A-4EDC-9D45-C1BA0239376D}">
  <sheetPr filterMode="1"/>
  <dimension ref="A1:D374"/>
  <sheetViews>
    <sheetView workbookViewId="0">
      <selection activeCell="C105" sqref="C105"/>
    </sheetView>
  </sheetViews>
  <sheetFormatPr defaultRowHeight="15" x14ac:dyDescent="0.25"/>
  <cols>
    <col min="1" max="1" width="10.28515625" style="45" customWidth="1"/>
    <col min="2" max="2" width="13.42578125" style="45" customWidth="1"/>
    <col min="3" max="3" width="116" style="45" customWidth="1"/>
    <col min="4" max="4" width="194.7109375" style="45" customWidth="1"/>
  </cols>
  <sheetData>
    <row r="1" spans="1:4" x14ac:dyDescent="0.25">
      <c r="A1" s="46" t="s">
        <v>7485</v>
      </c>
      <c r="B1" s="46" t="s">
        <v>1296</v>
      </c>
      <c r="C1" s="46" t="s">
        <v>1297</v>
      </c>
      <c r="D1" s="46" t="s">
        <v>7486</v>
      </c>
    </row>
    <row r="2" spans="1:4" hidden="1" x14ac:dyDescent="0.25">
      <c r="A2" s="47" t="s">
        <v>7487</v>
      </c>
      <c r="B2" s="47" t="s">
        <v>7487</v>
      </c>
      <c r="C2" s="47" t="s">
        <v>7488</v>
      </c>
      <c r="D2" s="48" t="s">
        <v>7489</v>
      </c>
    </row>
    <row r="3" spans="1:4" hidden="1" x14ac:dyDescent="0.25">
      <c r="A3" s="47" t="s">
        <v>7487</v>
      </c>
      <c r="B3" s="47" t="s">
        <v>1337</v>
      </c>
      <c r="C3" s="47" t="s">
        <v>7490</v>
      </c>
      <c r="D3" s="48" t="s">
        <v>7489</v>
      </c>
    </row>
    <row r="4" spans="1:4" hidden="1" x14ac:dyDescent="0.25">
      <c r="A4" s="47" t="s">
        <v>7487</v>
      </c>
      <c r="B4" s="47" t="s">
        <v>1339</v>
      </c>
      <c r="C4" s="47" t="s">
        <v>7491</v>
      </c>
      <c r="D4" s="48" t="s">
        <v>7489</v>
      </c>
    </row>
    <row r="5" spans="1:4" hidden="1" x14ac:dyDescent="0.25">
      <c r="A5" s="47" t="s">
        <v>7487</v>
      </c>
      <c r="B5" s="47" t="s">
        <v>1340</v>
      </c>
      <c r="C5" s="47" t="s">
        <v>7492</v>
      </c>
      <c r="D5" s="48" t="s">
        <v>7489</v>
      </c>
    </row>
    <row r="6" spans="1:4" hidden="1" x14ac:dyDescent="0.25">
      <c r="A6" s="47" t="s">
        <v>7487</v>
      </c>
      <c r="B6" s="47" t="s">
        <v>1341</v>
      </c>
      <c r="C6" s="47" t="s">
        <v>7493</v>
      </c>
      <c r="D6" s="48" t="s">
        <v>7489</v>
      </c>
    </row>
    <row r="7" spans="1:4" hidden="1" x14ac:dyDescent="0.25">
      <c r="A7" s="47" t="s">
        <v>7487</v>
      </c>
      <c r="B7" s="47" t="s">
        <v>1342</v>
      </c>
      <c r="C7" s="47" t="s">
        <v>7494</v>
      </c>
      <c r="D7" s="48" t="s">
        <v>7489</v>
      </c>
    </row>
    <row r="8" spans="1:4" hidden="1" x14ac:dyDescent="0.25">
      <c r="A8" s="47" t="s">
        <v>7487</v>
      </c>
      <c r="B8" s="47" t="s">
        <v>1343</v>
      </c>
      <c r="C8" s="47" t="s">
        <v>7495</v>
      </c>
      <c r="D8" s="48" t="s">
        <v>7489</v>
      </c>
    </row>
    <row r="9" spans="1:4" hidden="1" x14ac:dyDescent="0.25">
      <c r="A9" s="47" t="s">
        <v>7496</v>
      </c>
      <c r="B9" s="47" t="s">
        <v>7496</v>
      </c>
      <c r="C9" s="47" t="s">
        <v>7497</v>
      </c>
      <c r="D9" s="48" t="s">
        <v>7498</v>
      </c>
    </row>
    <row r="10" spans="1:4" hidden="1" x14ac:dyDescent="0.25">
      <c r="A10" s="47" t="s">
        <v>7496</v>
      </c>
      <c r="B10" s="47" t="s">
        <v>7016</v>
      </c>
      <c r="C10" s="47" t="s">
        <v>7499</v>
      </c>
      <c r="D10" s="48" t="s">
        <v>7498</v>
      </c>
    </row>
    <row r="11" spans="1:4" hidden="1" x14ac:dyDescent="0.25">
      <c r="A11" s="47" t="s">
        <v>7496</v>
      </c>
      <c r="B11" s="47" t="s">
        <v>7017</v>
      </c>
      <c r="C11" s="47" t="s">
        <v>7500</v>
      </c>
      <c r="D11" s="48" t="s">
        <v>7498</v>
      </c>
    </row>
    <row r="12" spans="1:4" hidden="1" x14ac:dyDescent="0.25">
      <c r="A12" s="47" t="s">
        <v>7496</v>
      </c>
      <c r="B12" s="47" t="s">
        <v>7501</v>
      </c>
      <c r="C12" s="47" t="s">
        <v>7502</v>
      </c>
      <c r="D12" s="48" t="s">
        <v>7498</v>
      </c>
    </row>
    <row r="13" spans="1:4" hidden="1" x14ac:dyDescent="0.25">
      <c r="A13" s="47" t="s">
        <v>7496</v>
      </c>
      <c r="B13" s="47" t="s">
        <v>7018</v>
      </c>
      <c r="C13" s="47" t="s">
        <v>7503</v>
      </c>
      <c r="D13" s="48" t="s">
        <v>7498</v>
      </c>
    </row>
    <row r="14" spans="1:4" hidden="1" x14ac:dyDescent="0.25">
      <c r="A14" s="47" t="s">
        <v>7496</v>
      </c>
      <c r="B14" s="47" t="s">
        <v>7019</v>
      </c>
      <c r="C14" s="47" t="s">
        <v>7504</v>
      </c>
      <c r="D14" s="48" t="s">
        <v>7498</v>
      </c>
    </row>
    <row r="15" spans="1:4" hidden="1" x14ac:dyDescent="0.25">
      <c r="A15" s="47" t="s">
        <v>7496</v>
      </c>
      <c r="B15" s="47" t="s">
        <v>7505</v>
      </c>
      <c r="C15" s="47" t="s">
        <v>7506</v>
      </c>
      <c r="D15" s="48" t="s">
        <v>7498</v>
      </c>
    </row>
    <row r="16" spans="1:4" hidden="1" x14ac:dyDescent="0.25">
      <c r="A16" s="47" t="s">
        <v>7496</v>
      </c>
      <c r="B16" s="47" t="s">
        <v>7507</v>
      </c>
      <c r="C16" s="47" t="s">
        <v>7508</v>
      </c>
      <c r="D16" s="48" t="s">
        <v>7498</v>
      </c>
    </row>
    <row r="17" spans="1:4" hidden="1" x14ac:dyDescent="0.25">
      <c r="A17" s="47" t="s">
        <v>1356</v>
      </c>
      <c r="B17" s="47" t="s">
        <v>7509</v>
      </c>
      <c r="C17" s="47" t="s">
        <v>7510</v>
      </c>
      <c r="D17" s="48" t="s">
        <v>7511</v>
      </c>
    </row>
    <row r="18" spans="1:4" hidden="1" x14ac:dyDescent="0.25">
      <c r="A18" s="47" t="s">
        <v>1356</v>
      </c>
      <c r="B18" s="47" t="s">
        <v>7414</v>
      </c>
      <c r="C18" s="47" t="s">
        <v>7512</v>
      </c>
      <c r="D18" s="48" t="s">
        <v>7511</v>
      </c>
    </row>
    <row r="19" spans="1:4" hidden="1" x14ac:dyDescent="0.25">
      <c r="A19" s="47" t="s">
        <v>1356</v>
      </c>
      <c r="B19" s="47" t="s">
        <v>7513</v>
      </c>
      <c r="C19" s="47" t="s">
        <v>7514</v>
      </c>
      <c r="D19" s="48" t="s">
        <v>7511</v>
      </c>
    </row>
    <row r="20" spans="1:4" hidden="1" x14ac:dyDescent="0.25">
      <c r="A20" s="47" t="s">
        <v>1356</v>
      </c>
      <c r="B20" s="47" t="s">
        <v>67</v>
      </c>
      <c r="C20" s="47" t="s">
        <v>7515</v>
      </c>
      <c r="D20" s="48" t="s">
        <v>7511</v>
      </c>
    </row>
    <row r="21" spans="1:4" hidden="1" x14ac:dyDescent="0.25">
      <c r="A21" s="47" t="s">
        <v>1356</v>
      </c>
      <c r="B21" s="47" t="s">
        <v>7408</v>
      </c>
      <c r="C21" s="47" t="s">
        <v>7516</v>
      </c>
      <c r="D21" s="48" t="s">
        <v>7511</v>
      </c>
    </row>
    <row r="22" spans="1:4" hidden="1" x14ac:dyDescent="0.25">
      <c r="A22" s="47" t="s">
        <v>1356</v>
      </c>
      <c r="B22" s="47" t="s">
        <v>7409</v>
      </c>
      <c r="C22" s="47" t="s">
        <v>7517</v>
      </c>
      <c r="D22" s="48" t="s">
        <v>7511</v>
      </c>
    </row>
    <row r="23" spans="1:4" hidden="1" x14ac:dyDescent="0.25">
      <c r="A23" s="47" t="s">
        <v>1356</v>
      </c>
      <c r="B23" s="47" t="s">
        <v>7483</v>
      </c>
      <c r="C23" s="47" t="s">
        <v>7518</v>
      </c>
      <c r="D23" s="48" t="s">
        <v>7511</v>
      </c>
    </row>
    <row r="24" spans="1:4" hidden="1" x14ac:dyDescent="0.25">
      <c r="A24" s="47" t="s">
        <v>1356</v>
      </c>
      <c r="B24" s="47" t="s">
        <v>7410</v>
      </c>
      <c r="C24" s="47" t="s">
        <v>7519</v>
      </c>
      <c r="D24" s="48" t="s">
        <v>7511</v>
      </c>
    </row>
    <row r="25" spans="1:4" hidden="1" x14ac:dyDescent="0.25">
      <c r="A25" s="47" t="s">
        <v>1356</v>
      </c>
      <c r="B25" s="47" t="s">
        <v>7407</v>
      </c>
      <c r="C25" s="47" t="s">
        <v>7520</v>
      </c>
      <c r="D25" s="48" t="s">
        <v>7511</v>
      </c>
    </row>
    <row r="26" spans="1:4" hidden="1" x14ac:dyDescent="0.25">
      <c r="A26" s="47" t="s">
        <v>1356</v>
      </c>
      <c r="B26" s="47" t="s">
        <v>7521</v>
      </c>
      <c r="C26" s="47" t="s">
        <v>7522</v>
      </c>
      <c r="D26" s="48" t="s">
        <v>7511</v>
      </c>
    </row>
    <row r="27" spans="1:4" hidden="1" x14ac:dyDescent="0.25">
      <c r="A27" s="47" t="s">
        <v>1356</v>
      </c>
      <c r="B27" s="47" t="s">
        <v>7523</v>
      </c>
      <c r="C27" s="47" t="s">
        <v>7524</v>
      </c>
      <c r="D27" s="48" t="s">
        <v>7511</v>
      </c>
    </row>
    <row r="28" spans="1:4" hidden="1" x14ac:dyDescent="0.25">
      <c r="A28" s="47" t="s">
        <v>1356</v>
      </c>
      <c r="B28" s="47" t="s">
        <v>7484</v>
      </c>
      <c r="C28" s="47" t="s">
        <v>7525</v>
      </c>
      <c r="D28" s="48" t="s">
        <v>7511</v>
      </c>
    </row>
    <row r="29" spans="1:4" hidden="1" x14ac:dyDescent="0.25">
      <c r="A29" s="47" t="s">
        <v>1356</v>
      </c>
      <c r="B29" s="47" t="s">
        <v>7526</v>
      </c>
      <c r="C29" s="47" t="s">
        <v>7527</v>
      </c>
      <c r="D29" s="48" t="s">
        <v>7511</v>
      </c>
    </row>
    <row r="30" spans="1:4" hidden="1" x14ac:dyDescent="0.25">
      <c r="A30" s="47" t="s">
        <v>7528</v>
      </c>
      <c r="B30" s="47" t="s">
        <v>1301</v>
      </c>
      <c r="C30" s="47" t="s">
        <v>1302</v>
      </c>
      <c r="D30" s="48" t="s">
        <v>7529</v>
      </c>
    </row>
    <row r="31" spans="1:4" hidden="1" x14ac:dyDescent="0.25">
      <c r="A31" s="47" t="s">
        <v>7528</v>
      </c>
      <c r="B31" s="47" t="s">
        <v>7471</v>
      </c>
      <c r="C31" s="47" t="s">
        <v>7530</v>
      </c>
      <c r="D31" s="48" t="s">
        <v>7529</v>
      </c>
    </row>
    <row r="32" spans="1:4" hidden="1" x14ac:dyDescent="0.25">
      <c r="A32" s="47" t="s">
        <v>7528</v>
      </c>
      <c r="B32" s="47" t="s">
        <v>1298</v>
      </c>
      <c r="C32" s="47" t="s">
        <v>7531</v>
      </c>
      <c r="D32" s="48" t="s">
        <v>7529</v>
      </c>
    </row>
    <row r="33" spans="1:4" hidden="1" x14ac:dyDescent="0.25">
      <c r="A33" s="47" t="s">
        <v>7528</v>
      </c>
      <c r="B33" s="47" t="s">
        <v>1303</v>
      </c>
      <c r="C33" s="47" t="s">
        <v>1304</v>
      </c>
      <c r="D33" s="48" t="s">
        <v>7529</v>
      </c>
    </row>
    <row r="34" spans="1:4" hidden="1" x14ac:dyDescent="0.25">
      <c r="A34" s="47" t="s">
        <v>7528</v>
      </c>
      <c r="B34" s="47" t="s">
        <v>1305</v>
      </c>
      <c r="C34" s="47" t="s">
        <v>7532</v>
      </c>
      <c r="D34" s="48" t="s">
        <v>7529</v>
      </c>
    </row>
    <row r="35" spans="1:4" x14ac:dyDescent="0.25">
      <c r="A35" s="47" t="s">
        <v>7528</v>
      </c>
      <c r="B35" s="47" t="s">
        <v>1307</v>
      </c>
      <c r="C35" s="47" t="s">
        <v>1308</v>
      </c>
      <c r="D35" s="48" t="s">
        <v>7529</v>
      </c>
    </row>
    <row r="36" spans="1:4" hidden="1" x14ac:dyDescent="0.25">
      <c r="A36" s="47" t="s">
        <v>7528</v>
      </c>
      <c r="B36" s="47" t="s">
        <v>7533</v>
      </c>
      <c r="C36" s="47" t="s">
        <v>7534</v>
      </c>
      <c r="D36" s="48" t="s">
        <v>7529</v>
      </c>
    </row>
    <row r="37" spans="1:4" hidden="1" x14ac:dyDescent="0.25">
      <c r="A37" s="47" t="s">
        <v>7528</v>
      </c>
      <c r="B37" s="47" t="s">
        <v>1309</v>
      </c>
      <c r="C37" s="47" t="s">
        <v>7535</v>
      </c>
      <c r="D37" s="48" t="s">
        <v>7529</v>
      </c>
    </row>
    <row r="38" spans="1:4" hidden="1" x14ac:dyDescent="0.25">
      <c r="A38" s="47" t="s">
        <v>7528</v>
      </c>
      <c r="B38" s="47" t="s">
        <v>7536</v>
      </c>
      <c r="C38" s="47" t="s">
        <v>7537</v>
      </c>
      <c r="D38" s="48" t="s">
        <v>7529</v>
      </c>
    </row>
    <row r="39" spans="1:4" hidden="1" x14ac:dyDescent="0.25">
      <c r="A39" s="47" t="s">
        <v>7528</v>
      </c>
      <c r="B39" s="47" t="s">
        <v>7538</v>
      </c>
      <c r="C39" s="47" t="s">
        <v>7539</v>
      </c>
      <c r="D39" s="48" t="s">
        <v>7529</v>
      </c>
    </row>
    <row r="40" spans="1:4" hidden="1" x14ac:dyDescent="0.25">
      <c r="A40" s="47" t="s">
        <v>7528</v>
      </c>
      <c r="B40" s="47" t="s">
        <v>7540</v>
      </c>
      <c r="C40" s="47" t="s">
        <v>7541</v>
      </c>
      <c r="D40" s="48" t="s">
        <v>7529</v>
      </c>
    </row>
    <row r="41" spans="1:4" hidden="1" x14ac:dyDescent="0.25">
      <c r="A41" s="47" t="s">
        <v>7528</v>
      </c>
      <c r="B41" s="47" t="s">
        <v>7542</v>
      </c>
      <c r="C41" s="47" t="s">
        <v>7543</v>
      </c>
      <c r="D41" s="48" t="s">
        <v>7529</v>
      </c>
    </row>
    <row r="42" spans="1:4" hidden="1" x14ac:dyDescent="0.25">
      <c r="A42" s="47" t="s">
        <v>7528</v>
      </c>
      <c r="B42" s="47" t="s">
        <v>7544</v>
      </c>
      <c r="C42" s="47" t="s">
        <v>7545</v>
      </c>
      <c r="D42" s="48" t="s">
        <v>7529</v>
      </c>
    </row>
    <row r="43" spans="1:4" hidden="1" x14ac:dyDescent="0.25">
      <c r="A43" s="47" t="s">
        <v>7528</v>
      </c>
      <c r="B43" s="47" t="s">
        <v>1311</v>
      </c>
      <c r="C43" s="47" t="s">
        <v>1312</v>
      </c>
      <c r="D43" s="48" t="s">
        <v>7529</v>
      </c>
    </row>
    <row r="44" spans="1:4" hidden="1" x14ac:dyDescent="0.25">
      <c r="A44" s="47" t="s">
        <v>7528</v>
      </c>
      <c r="B44" s="47" t="s">
        <v>1313</v>
      </c>
      <c r="C44" s="47" t="s">
        <v>1314</v>
      </c>
      <c r="D44" s="48" t="s">
        <v>7529</v>
      </c>
    </row>
    <row r="45" spans="1:4" hidden="1" x14ac:dyDescent="0.25">
      <c r="A45" s="47" t="s">
        <v>7528</v>
      </c>
      <c r="B45" s="47" t="s">
        <v>7468</v>
      </c>
      <c r="C45" s="47" t="s">
        <v>7546</v>
      </c>
      <c r="D45" s="48" t="s">
        <v>7529</v>
      </c>
    </row>
    <row r="46" spans="1:4" hidden="1" x14ac:dyDescent="0.25">
      <c r="A46" s="47" t="s">
        <v>7528</v>
      </c>
      <c r="B46" s="47" t="s">
        <v>7467</v>
      </c>
      <c r="C46" s="47" t="s">
        <v>7547</v>
      </c>
      <c r="D46" s="48" t="s">
        <v>7529</v>
      </c>
    </row>
    <row r="47" spans="1:4" hidden="1" x14ac:dyDescent="0.25">
      <c r="A47" s="47" t="s">
        <v>7528</v>
      </c>
      <c r="B47" s="47" t="s">
        <v>7548</v>
      </c>
      <c r="C47" s="47" t="s">
        <v>7549</v>
      </c>
      <c r="D47" s="48" t="s">
        <v>7529</v>
      </c>
    </row>
    <row r="48" spans="1:4" hidden="1" x14ac:dyDescent="0.25">
      <c r="A48" s="47" t="s">
        <v>7528</v>
      </c>
      <c r="B48" s="47" t="s">
        <v>7550</v>
      </c>
      <c r="C48" s="47" t="s">
        <v>7551</v>
      </c>
      <c r="D48" s="48" t="s">
        <v>7529</v>
      </c>
    </row>
    <row r="49" spans="1:4" hidden="1" x14ac:dyDescent="0.25">
      <c r="A49" s="47" t="s">
        <v>7552</v>
      </c>
      <c r="B49" s="47" t="s">
        <v>1315</v>
      </c>
      <c r="C49" s="47" t="s">
        <v>1316</v>
      </c>
      <c r="D49" s="48" t="s">
        <v>7553</v>
      </c>
    </row>
    <row r="50" spans="1:4" hidden="1" x14ac:dyDescent="0.25">
      <c r="A50" s="47" t="s">
        <v>7552</v>
      </c>
      <c r="B50" s="47" t="s">
        <v>1317</v>
      </c>
      <c r="C50" s="47" t="s">
        <v>1318</v>
      </c>
      <c r="D50" s="48" t="s">
        <v>7553</v>
      </c>
    </row>
    <row r="51" spans="1:4" hidden="1" x14ac:dyDescent="0.25">
      <c r="A51" s="47" t="s">
        <v>7552</v>
      </c>
      <c r="B51" s="47" t="s">
        <v>1319</v>
      </c>
      <c r="C51" s="47" t="s">
        <v>1320</v>
      </c>
      <c r="D51" s="48" t="s">
        <v>7553</v>
      </c>
    </row>
    <row r="52" spans="1:4" hidden="1" x14ac:dyDescent="0.25">
      <c r="A52" s="47" t="s">
        <v>7552</v>
      </c>
      <c r="B52" s="47" t="s">
        <v>1321</v>
      </c>
      <c r="C52" s="47" t="s">
        <v>1322</v>
      </c>
      <c r="D52" s="48" t="s">
        <v>7553</v>
      </c>
    </row>
    <row r="53" spans="1:4" hidden="1" x14ac:dyDescent="0.25">
      <c r="A53" s="47" t="s">
        <v>7552</v>
      </c>
      <c r="B53" s="47" t="s">
        <v>7554</v>
      </c>
      <c r="C53" s="47" t="s">
        <v>7555</v>
      </c>
      <c r="D53" s="48" t="s">
        <v>7553</v>
      </c>
    </row>
    <row r="54" spans="1:4" hidden="1" x14ac:dyDescent="0.25">
      <c r="A54" s="47" t="s">
        <v>7552</v>
      </c>
      <c r="B54" s="47" t="s">
        <v>7556</v>
      </c>
      <c r="C54" s="47" t="s">
        <v>7557</v>
      </c>
      <c r="D54" s="48" t="s">
        <v>7553</v>
      </c>
    </row>
    <row r="55" spans="1:4" hidden="1" x14ac:dyDescent="0.25">
      <c r="A55" s="47" t="s">
        <v>7552</v>
      </c>
      <c r="B55" s="47" t="s">
        <v>7558</v>
      </c>
      <c r="C55" s="47" t="s">
        <v>7559</v>
      </c>
      <c r="D55" s="48" t="s">
        <v>7553</v>
      </c>
    </row>
    <row r="56" spans="1:4" hidden="1" x14ac:dyDescent="0.25">
      <c r="A56" s="47" t="s">
        <v>7552</v>
      </c>
      <c r="B56" s="47" t="s">
        <v>7560</v>
      </c>
      <c r="C56" s="47" t="s">
        <v>7561</v>
      </c>
      <c r="D56" s="48" t="s">
        <v>7553</v>
      </c>
    </row>
    <row r="57" spans="1:4" hidden="1" x14ac:dyDescent="0.25">
      <c r="A57" s="47" t="s">
        <v>7552</v>
      </c>
      <c r="B57" s="47" t="s">
        <v>7562</v>
      </c>
      <c r="C57" s="47" t="s">
        <v>7563</v>
      </c>
      <c r="D57" s="48" t="s">
        <v>7553</v>
      </c>
    </row>
    <row r="58" spans="1:4" hidden="1" x14ac:dyDescent="0.25">
      <c r="A58" s="47" t="s">
        <v>7552</v>
      </c>
      <c r="B58" s="47" t="s">
        <v>7564</v>
      </c>
      <c r="C58" s="47" t="s">
        <v>7565</v>
      </c>
      <c r="D58" s="48" t="s">
        <v>7553</v>
      </c>
    </row>
    <row r="59" spans="1:4" hidden="1" x14ac:dyDescent="0.25">
      <c r="A59" s="47" t="s">
        <v>7552</v>
      </c>
      <c r="B59" s="47" t="s">
        <v>7566</v>
      </c>
      <c r="C59" s="47" t="s">
        <v>7567</v>
      </c>
      <c r="D59" s="48" t="s">
        <v>7553</v>
      </c>
    </row>
    <row r="60" spans="1:4" hidden="1" x14ac:dyDescent="0.25">
      <c r="A60" s="47" t="s">
        <v>7552</v>
      </c>
      <c r="B60" s="47" t="s">
        <v>7568</v>
      </c>
      <c r="C60" s="47" t="s">
        <v>7569</v>
      </c>
      <c r="D60" s="48" t="s">
        <v>7553</v>
      </c>
    </row>
    <row r="61" spans="1:4" hidden="1" x14ac:dyDescent="0.25">
      <c r="A61" s="47" t="s">
        <v>7552</v>
      </c>
      <c r="B61" s="47" t="s">
        <v>7570</v>
      </c>
      <c r="C61" s="47" t="s">
        <v>7571</v>
      </c>
      <c r="D61" s="48" t="s">
        <v>7553</v>
      </c>
    </row>
    <row r="62" spans="1:4" hidden="1" x14ac:dyDescent="0.25">
      <c r="A62" s="47" t="s">
        <v>7552</v>
      </c>
      <c r="B62" s="47" t="s">
        <v>7572</v>
      </c>
      <c r="C62" s="47" t="s">
        <v>7573</v>
      </c>
      <c r="D62" s="48" t="s">
        <v>7553</v>
      </c>
    </row>
    <row r="63" spans="1:4" hidden="1" x14ac:dyDescent="0.25">
      <c r="A63" s="47" t="s">
        <v>7552</v>
      </c>
      <c r="B63" s="47" t="s">
        <v>7574</v>
      </c>
      <c r="C63" s="47" t="s">
        <v>7575</v>
      </c>
      <c r="D63" s="48" t="s">
        <v>7553</v>
      </c>
    </row>
    <row r="64" spans="1:4" hidden="1" x14ac:dyDescent="0.25">
      <c r="A64" s="47" t="s">
        <v>7552</v>
      </c>
      <c r="B64" s="47" t="s">
        <v>7576</v>
      </c>
      <c r="C64" s="47" t="s">
        <v>7577</v>
      </c>
      <c r="D64" s="48" t="s">
        <v>7553</v>
      </c>
    </row>
    <row r="65" spans="1:4" hidden="1" x14ac:dyDescent="0.25">
      <c r="A65" s="47" t="s">
        <v>7552</v>
      </c>
      <c r="B65" s="47" t="s">
        <v>7578</v>
      </c>
      <c r="C65" s="47" t="s">
        <v>7579</v>
      </c>
      <c r="D65" s="48" t="s">
        <v>7553</v>
      </c>
    </row>
    <row r="66" spans="1:4" hidden="1" x14ac:dyDescent="0.25">
      <c r="A66" s="47" t="s">
        <v>7580</v>
      </c>
      <c r="B66" s="47" t="s">
        <v>1323</v>
      </c>
      <c r="C66" s="47" t="s">
        <v>1324</v>
      </c>
      <c r="D66" s="48" t="s">
        <v>7581</v>
      </c>
    </row>
    <row r="67" spans="1:4" hidden="1" x14ac:dyDescent="0.25">
      <c r="A67" s="47" t="s">
        <v>7580</v>
      </c>
      <c r="B67" s="47" t="s">
        <v>1325</v>
      </c>
      <c r="C67" s="47" t="s">
        <v>1326</v>
      </c>
      <c r="D67" s="48" t="s">
        <v>7581</v>
      </c>
    </row>
    <row r="68" spans="1:4" hidden="1" x14ac:dyDescent="0.25">
      <c r="A68" s="47" t="s">
        <v>7580</v>
      </c>
      <c r="B68" s="47" t="s">
        <v>1327</v>
      </c>
      <c r="C68" s="47" t="s">
        <v>1328</v>
      </c>
      <c r="D68" s="48" t="s">
        <v>7581</v>
      </c>
    </row>
    <row r="69" spans="1:4" hidden="1" x14ac:dyDescent="0.25">
      <c r="A69" s="47" t="s">
        <v>7580</v>
      </c>
      <c r="B69" s="47" t="s">
        <v>1329</v>
      </c>
      <c r="C69" s="47" t="s">
        <v>1330</v>
      </c>
      <c r="D69" s="48" t="s">
        <v>7581</v>
      </c>
    </row>
    <row r="70" spans="1:4" hidden="1" x14ac:dyDescent="0.25">
      <c r="A70" s="47" t="s">
        <v>7580</v>
      </c>
      <c r="B70" s="47" t="s">
        <v>7441</v>
      </c>
      <c r="C70" s="47" t="s">
        <v>7582</v>
      </c>
      <c r="D70" s="48" t="s">
        <v>7581</v>
      </c>
    </row>
    <row r="71" spans="1:4" hidden="1" x14ac:dyDescent="0.25">
      <c r="A71" s="47" t="s">
        <v>7580</v>
      </c>
      <c r="B71" s="47" t="s">
        <v>7429</v>
      </c>
      <c r="C71" s="47" t="s">
        <v>7583</v>
      </c>
      <c r="D71" s="48" t="s">
        <v>7581</v>
      </c>
    </row>
    <row r="72" spans="1:4" hidden="1" x14ac:dyDescent="0.25">
      <c r="A72" s="47" t="s">
        <v>7580</v>
      </c>
      <c r="B72" s="47" t="s">
        <v>7584</v>
      </c>
      <c r="C72" s="47" t="s">
        <v>7585</v>
      </c>
      <c r="D72" s="48" t="s">
        <v>7581</v>
      </c>
    </row>
    <row r="73" spans="1:4" hidden="1" x14ac:dyDescent="0.25">
      <c r="A73" s="47" t="s">
        <v>7580</v>
      </c>
      <c r="B73" s="47" t="s">
        <v>7586</v>
      </c>
      <c r="C73" s="47" t="s">
        <v>7587</v>
      </c>
      <c r="D73" s="48" t="s">
        <v>7581</v>
      </c>
    </row>
    <row r="74" spans="1:4" hidden="1" x14ac:dyDescent="0.25">
      <c r="A74" s="47" t="s">
        <v>7580</v>
      </c>
      <c r="B74" s="47" t="s">
        <v>7475</v>
      </c>
      <c r="C74" s="47" t="s">
        <v>7588</v>
      </c>
      <c r="D74" s="48" t="s">
        <v>7581</v>
      </c>
    </row>
    <row r="75" spans="1:4" hidden="1" x14ac:dyDescent="0.25">
      <c r="A75" s="47" t="s">
        <v>7580</v>
      </c>
      <c r="B75" s="47" t="s">
        <v>7589</v>
      </c>
      <c r="C75" s="47" t="s">
        <v>7590</v>
      </c>
      <c r="D75" s="48" t="s">
        <v>7581</v>
      </c>
    </row>
    <row r="76" spans="1:4" hidden="1" x14ac:dyDescent="0.25">
      <c r="A76" s="47" t="s">
        <v>7580</v>
      </c>
      <c r="B76" s="47" t="s">
        <v>7591</v>
      </c>
      <c r="C76" s="47" t="s">
        <v>7592</v>
      </c>
      <c r="D76" s="48" t="s">
        <v>7581</v>
      </c>
    </row>
    <row r="77" spans="1:4" x14ac:dyDescent="0.25">
      <c r="A77" s="47" t="s">
        <v>7593</v>
      </c>
      <c r="B77" s="47" t="s">
        <v>7594</v>
      </c>
      <c r="C77" s="47" t="s">
        <v>7595</v>
      </c>
      <c r="D77" s="48" t="s">
        <v>7596</v>
      </c>
    </row>
    <row r="78" spans="1:4" hidden="1" x14ac:dyDescent="0.25">
      <c r="A78" s="47" t="s">
        <v>7593</v>
      </c>
      <c r="B78" s="47" t="s">
        <v>7597</v>
      </c>
      <c r="C78" s="47" t="s">
        <v>7598</v>
      </c>
      <c r="D78" s="48" t="s">
        <v>7596</v>
      </c>
    </row>
    <row r="79" spans="1:4" hidden="1" x14ac:dyDescent="0.25">
      <c r="A79" s="47" t="s">
        <v>7593</v>
      </c>
      <c r="B79" s="47" t="s">
        <v>7474</v>
      </c>
      <c r="C79" s="47" t="s">
        <v>7599</v>
      </c>
      <c r="D79" s="48" t="s">
        <v>7596</v>
      </c>
    </row>
    <row r="80" spans="1:4" x14ac:dyDescent="0.25">
      <c r="A80" s="47" t="s">
        <v>7593</v>
      </c>
      <c r="B80" s="47" t="s">
        <v>7600</v>
      </c>
      <c r="C80" s="47" t="s">
        <v>7601</v>
      </c>
      <c r="D80" s="48" t="s">
        <v>7596</v>
      </c>
    </row>
    <row r="81" spans="1:4" x14ac:dyDescent="0.25">
      <c r="A81" s="47" t="s">
        <v>7593</v>
      </c>
      <c r="B81" s="47" t="s">
        <v>7602</v>
      </c>
      <c r="C81" s="47" t="s">
        <v>7603</v>
      </c>
      <c r="D81" s="48" t="s">
        <v>7596</v>
      </c>
    </row>
    <row r="82" spans="1:4" x14ac:dyDescent="0.25">
      <c r="A82" s="47" t="s">
        <v>7593</v>
      </c>
      <c r="B82" s="47" t="s">
        <v>7604</v>
      </c>
      <c r="C82" s="47" t="s">
        <v>7605</v>
      </c>
      <c r="D82" s="48" t="s">
        <v>7596</v>
      </c>
    </row>
    <row r="83" spans="1:4" x14ac:dyDescent="0.25">
      <c r="A83" s="47" t="s">
        <v>7593</v>
      </c>
      <c r="B83" s="47" t="s">
        <v>7606</v>
      </c>
      <c r="C83" s="47" t="s">
        <v>7607</v>
      </c>
      <c r="D83" s="48" t="s">
        <v>7596</v>
      </c>
    </row>
    <row r="84" spans="1:4" hidden="1" x14ac:dyDescent="0.25">
      <c r="A84" s="47" t="s">
        <v>7593</v>
      </c>
      <c r="B84" s="47" t="s">
        <v>7455</v>
      </c>
      <c r="C84" s="47" t="s">
        <v>7608</v>
      </c>
      <c r="D84" s="48" t="s">
        <v>7596</v>
      </c>
    </row>
    <row r="85" spans="1:4" hidden="1" x14ac:dyDescent="0.25">
      <c r="A85" s="47" t="s">
        <v>7593</v>
      </c>
      <c r="B85" s="47" t="s">
        <v>7424</v>
      </c>
      <c r="C85" s="47" t="s">
        <v>7609</v>
      </c>
      <c r="D85" s="48" t="s">
        <v>7596</v>
      </c>
    </row>
    <row r="86" spans="1:4" hidden="1" x14ac:dyDescent="0.25">
      <c r="A86" s="47" t="s">
        <v>7593</v>
      </c>
      <c r="B86" s="47" t="s">
        <v>7437</v>
      </c>
      <c r="C86" s="47" t="s">
        <v>7610</v>
      </c>
      <c r="D86" s="48" t="s">
        <v>7596</v>
      </c>
    </row>
    <row r="87" spans="1:4" hidden="1" x14ac:dyDescent="0.25">
      <c r="A87" s="47" t="s">
        <v>7593</v>
      </c>
      <c r="B87" s="47" t="s">
        <v>7445</v>
      </c>
      <c r="C87" s="47" t="s">
        <v>7611</v>
      </c>
      <c r="D87" s="48" t="s">
        <v>7596</v>
      </c>
    </row>
    <row r="88" spans="1:4" hidden="1" x14ac:dyDescent="0.25">
      <c r="A88" s="47" t="s">
        <v>7593</v>
      </c>
      <c r="B88" s="47" t="s">
        <v>7612</v>
      </c>
      <c r="C88" s="47" t="s">
        <v>7613</v>
      </c>
      <c r="D88" s="48" t="s">
        <v>7596</v>
      </c>
    </row>
    <row r="89" spans="1:4" hidden="1" x14ac:dyDescent="0.25">
      <c r="A89" s="47" t="s">
        <v>7593</v>
      </c>
      <c r="B89" s="47" t="s">
        <v>7614</v>
      </c>
      <c r="C89" s="47" t="s">
        <v>7615</v>
      </c>
      <c r="D89" s="48" t="s">
        <v>7596</v>
      </c>
    </row>
    <row r="90" spans="1:4" hidden="1" x14ac:dyDescent="0.25">
      <c r="A90" s="47" t="s">
        <v>7593</v>
      </c>
      <c r="B90" s="47" t="s">
        <v>7616</v>
      </c>
      <c r="C90" s="47" t="s">
        <v>7617</v>
      </c>
      <c r="D90" s="48" t="s">
        <v>7596</v>
      </c>
    </row>
    <row r="91" spans="1:4" hidden="1" x14ac:dyDescent="0.25">
      <c r="A91" s="47" t="s">
        <v>7593</v>
      </c>
      <c r="B91" s="47" t="s">
        <v>7435</v>
      </c>
      <c r="C91" s="47" t="s">
        <v>7618</v>
      </c>
      <c r="D91" s="48" t="s">
        <v>7596</v>
      </c>
    </row>
    <row r="92" spans="1:4" hidden="1" x14ac:dyDescent="0.25">
      <c r="A92" s="47" t="s">
        <v>7593</v>
      </c>
      <c r="B92" s="47" t="s">
        <v>7619</v>
      </c>
      <c r="C92" s="47" t="s">
        <v>7620</v>
      </c>
      <c r="D92" s="48" t="s">
        <v>7596</v>
      </c>
    </row>
    <row r="93" spans="1:4" hidden="1" x14ac:dyDescent="0.25">
      <c r="A93" s="47" t="s">
        <v>7593</v>
      </c>
      <c r="B93" s="47" t="s">
        <v>7621</v>
      </c>
      <c r="C93" s="47" t="s">
        <v>7622</v>
      </c>
      <c r="D93" s="48" t="s">
        <v>7596</v>
      </c>
    </row>
    <row r="94" spans="1:4" hidden="1" x14ac:dyDescent="0.25">
      <c r="A94" s="47" t="s">
        <v>7593</v>
      </c>
      <c r="B94" s="47" t="s">
        <v>7623</v>
      </c>
      <c r="C94" s="47" t="s">
        <v>7624</v>
      </c>
      <c r="D94" s="48" t="s">
        <v>7596</v>
      </c>
    </row>
    <row r="95" spans="1:4" hidden="1" x14ac:dyDescent="0.25">
      <c r="A95" s="47" t="s">
        <v>7593</v>
      </c>
      <c r="B95" s="47" t="s">
        <v>7625</v>
      </c>
      <c r="C95" s="47" t="s">
        <v>7626</v>
      </c>
      <c r="D95" s="48" t="s">
        <v>7596</v>
      </c>
    </row>
    <row r="96" spans="1:4" hidden="1" x14ac:dyDescent="0.25">
      <c r="A96" s="47" t="s">
        <v>7593</v>
      </c>
      <c r="B96" s="47" t="s">
        <v>7439</v>
      </c>
      <c r="C96" s="47" t="s">
        <v>7627</v>
      </c>
      <c r="D96" s="48" t="s">
        <v>7596</v>
      </c>
    </row>
    <row r="97" spans="1:4" hidden="1" x14ac:dyDescent="0.25">
      <c r="A97" s="47" t="s">
        <v>7593</v>
      </c>
      <c r="B97" s="47" t="s">
        <v>7628</v>
      </c>
      <c r="C97" s="47" t="s">
        <v>7629</v>
      </c>
      <c r="D97" s="48" t="s">
        <v>7596</v>
      </c>
    </row>
    <row r="98" spans="1:4" hidden="1" x14ac:dyDescent="0.25">
      <c r="A98" s="47" t="s">
        <v>7593</v>
      </c>
      <c r="B98" s="47" t="s">
        <v>7630</v>
      </c>
      <c r="C98" s="47" t="s">
        <v>7631</v>
      </c>
      <c r="D98" s="48" t="s">
        <v>7596</v>
      </c>
    </row>
    <row r="99" spans="1:4" hidden="1" x14ac:dyDescent="0.25">
      <c r="A99" s="47" t="s">
        <v>7593</v>
      </c>
      <c r="B99" s="47" t="s">
        <v>7632</v>
      </c>
      <c r="C99" s="47" t="s">
        <v>7633</v>
      </c>
      <c r="D99" s="48" t="s">
        <v>7596</v>
      </c>
    </row>
    <row r="100" spans="1:4" hidden="1" x14ac:dyDescent="0.25">
      <c r="A100" s="47" t="s">
        <v>7593</v>
      </c>
      <c r="B100" s="47" t="s">
        <v>7634</v>
      </c>
      <c r="C100" s="47" t="s">
        <v>7635</v>
      </c>
      <c r="D100" s="48" t="s">
        <v>7596</v>
      </c>
    </row>
    <row r="101" spans="1:4" hidden="1" x14ac:dyDescent="0.25">
      <c r="A101" s="47" t="s">
        <v>7593</v>
      </c>
      <c r="B101" s="47" t="s">
        <v>7636</v>
      </c>
      <c r="C101" s="47" t="s">
        <v>7637</v>
      </c>
      <c r="D101" s="48" t="s">
        <v>7596</v>
      </c>
    </row>
    <row r="102" spans="1:4" hidden="1" x14ac:dyDescent="0.25">
      <c r="A102" s="47" t="s">
        <v>7593</v>
      </c>
      <c r="B102" s="47" t="s">
        <v>7638</v>
      </c>
      <c r="C102" s="47" t="s">
        <v>7639</v>
      </c>
      <c r="D102" s="48" t="s">
        <v>7596</v>
      </c>
    </row>
    <row r="103" spans="1:4" hidden="1" x14ac:dyDescent="0.25">
      <c r="A103" s="47" t="s">
        <v>7593</v>
      </c>
      <c r="B103" s="47" t="s">
        <v>7450</v>
      </c>
      <c r="C103" s="47" t="s">
        <v>7640</v>
      </c>
      <c r="D103" s="48" t="s">
        <v>7596</v>
      </c>
    </row>
    <row r="104" spans="1:4" x14ac:dyDescent="0.25">
      <c r="A104" s="47" t="s">
        <v>7593</v>
      </c>
      <c r="B104" s="47" t="s">
        <v>7641</v>
      </c>
      <c r="C104" s="47" t="s">
        <v>7642</v>
      </c>
      <c r="D104" s="48" t="s">
        <v>7596</v>
      </c>
    </row>
    <row r="105" spans="1:4" x14ac:dyDescent="0.25">
      <c r="A105" s="47" t="s">
        <v>7593</v>
      </c>
      <c r="B105" s="47" t="s">
        <v>7643</v>
      </c>
      <c r="C105" s="47" t="s">
        <v>7644</v>
      </c>
      <c r="D105" s="48" t="s">
        <v>7596</v>
      </c>
    </row>
    <row r="106" spans="1:4" x14ac:dyDescent="0.25">
      <c r="A106" s="47" t="s">
        <v>7593</v>
      </c>
      <c r="B106" s="47" t="s">
        <v>7645</v>
      </c>
      <c r="C106" s="47" t="s">
        <v>7646</v>
      </c>
      <c r="D106" s="48" t="s">
        <v>7596</v>
      </c>
    </row>
    <row r="107" spans="1:4" x14ac:dyDescent="0.25">
      <c r="A107" s="47" t="s">
        <v>7593</v>
      </c>
      <c r="B107" s="47" t="s">
        <v>7647</v>
      </c>
      <c r="C107" s="47" t="s">
        <v>7648</v>
      </c>
      <c r="D107" s="48" t="s">
        <v>7596</v>
      </c>
    </row>
    <row r="108" spans="1:4" hidden="1" x14ac:dyDescent="0.25">
      <c r="A108" s="47" t="s">
        <v>7593</v>
      </c>
      <c r="B108" s="47" t="s">
        <v>7649</v>
      </c>
      <c r="C108" s="47" t="s">
        <v>7650</v>
      </c>
      <c r="D108" s="48" t="s">
        <v>7596</v>
      </c>
    </row>
    <row r="109" spans="1:4" hidden="1" x14ac:dyDescent="0.25">
      <c r="A109" s="47" t="s">
        <v>7593</v>
      </c>
      <c r="B109" s="47" t="s">
        <v>7651</v>
      </c>
      <c r="C109" s="47" t="s">
        <v>7652</v>
      </c>
      <c r="D109" s="48" t="s">
        <v>7596</v>
      </c>
    </row>
    <row r="110" spans="1:4" hidden="1" x14ac:dyDescent="0.25">
      <c r="A110" s="47" t="s">
        <v>7593</v>
      </c>
      <c r="B110" s="47" t="s">
        <v>7653</v>
      </c>
      <c r="C110" s="47" t="s">
        <v>7654</v>
      </c>
      <c r="D110" s="48" t="s">
        <v>7596</v>
      </c>
    </row>
    <row r="111" spans="1:4" hidden="1" x14ac:dyDescent="0.25">
      <c r="A111" s="47" t="s">
        <v>7593</v>
      </c>
      <c r="B111" s="47" t="s">
        <v>7431</v>
      </c>
      <c r="C111" s="47" t="s">
        <v>7655</v>
      </c>
      <c r="D111" s="48" t="s">
        <v>7596</v>
      </c>
    </row>
    <row r="112" spans="1:4" hidden="1" x14ac:dyDescent="0.25">
      <c r="A112" s="47" t="s">
        <v>7593</v>
      </c>
      <c r="B112" s="47" t="s">
        <v>7656</v>
      </c>
      <c r="C112" s="47" t="s">
        <v>7657</v>
      </c>
      <c r="D112" s="48" t="s">
        <v>7596</v>
      </c>
    </row>
    <row r="113" spans="1:4" hidden="1" x14ac:dyDescent="0.25">
      <c r="A113" s="47" t="s">
        <v>7593</v>
      </c>
      <c r="B113" s="47" t="s">
        <v>7658</v>
      </c>
      <c r="C113" s="47" t="s">
        <v>7659</v>
      </c>
      <c r="D113" s="48" t="s">
        <v>7596</v>
      </c>
    </row>
    <row r="114" spans="1:4" hidden="1" x14ac:dyDescent="0.25">
      <c r="A114" s="47" t="s">
        <v>7593</v>
      </c>
      <c r="B114" s="47" t="s">
        <v>7660</v>
      </c>
      <c r="C114" s="47" t="s">
        <v>7661</v>
      </c>
      <c r="D114" s="48" t="s">
        <v>7596</v>
      </c>
    </row>
    <row r="115" spans="1:4" hidden="1" x14ac:dyDescent="0.25">
      <c r="A115" s="47" t="s">
        <v>7593</v>
      </c>
      <c r="B115" s="47" t="s">
        <v>7662</v>
      </c>
      <c r="C115" s="47" t="s">
        <v>7663</v>
      </c>
      <c r="D115" s="48" t="s">
        <v>7596</v>
      </c>
    </row>
    <row r="116" spans="1:4" hidden="1" x14ac:dyDescent="0.25">
      <c r="A116" s="47" t="s">
        <v>7593</v>
      </c>
      <c r="B116" s="47" t="s">
        <v>7664</v>
      </c>
      <c r="C116" s="47" t="s">
        <v>7665</v>
      </c>
      <c r="D116" s="48" t="s">
        <v>7596</v>
      </c>
    </row>
    <row r="117" spans="1:4" hidden="1" x14ac:dyDescent="0.25">
      <c r="A117" s="47" t="s">
        <v>7593</v>
      </c>
      <c r="B117" s="47" t="s">
        <v>7666</v>
      </c>
      <c r="C117" s="47" t="s">
        <v>7667</v>
      </c>
      <c r="D117" s="48" t="s">
        <v>7596</v>
      </c>
    </row>
    <row r="118" spans="1:4" hidden="1" x14ac:dyDescent="0.25">
      <c r="A118" s="47" t="s">
        <v>7593</v>
      </c>
      <c r="B118" s="47" t="s">
        <v>7668</v>
      </c>
      <c r="C118" s="47" t="s">
        <v>7669</v>
      </c>
      <c r="D118" s="48" t="s">
        <v>7596</v>
      </c>
    </row>
    <row r="119" spans="1:4" hidden="1" x14ac:dyDescent="0.25">
      <c r="A119" s="47" t="s">
        <v>7593</v>
      </c>
      <c r="B119" s="47" t="s">
        <v>7670</v>
      </c>
      <c r="C119" s="47" t="s">
        <v>7671</v>
      </c>
      <c r="D119" s="48" t="s">
        <v>7596</v>
      </c>
    </row>
    <row r="120" spans="1:4" hidden="1" x14ac:dyDescent="0.25">
      <c r="A120" s="47" t="s">
        <v>7672</v>
      </c>
      <c r="B120" s="47" t="s">
        <v>7673</v>
      </c>
      <c r="C120" s="47" t="s">
        <v>7674</v>
      </c>
      <c r="D120" s="48" t="s">
        <v>7675</v>
      </c>
    </row>
    <row r="121" spans="1:4" hidden="1" x14ac:dyDescent="0.25">
      <c r="A121" s="47" t="s">
        <v>7672</v>
      </c>
      <c r="B121" s="47" t="s">
        <v>7676</v>
      </c>
      <c r="C121" s="47" t="s">
        <v>7677</v>
      </c>
      <c r="D121" s="48" t="s">
        <v>7675</v>
      </c>
    </row>
    <row r="122" spans="1:4" hidden="1" x14ac:dyDescent="0.25">
      <c r="A122" s="47" t="s">
        <v>7672</v>
      </c>
      <c r="B122" s="47" t="s">
        <v>7678</v>
      </c>
      <c r="C122" s="47" t="s">
        <v>7679</v>
      </c>
      <c r="D122" s="48" t="s">
        <v>7675</v>
      </c>
    </row>
    <row r="123" spans="1:4" hidden="1" x14ac:dyDescent="0.25">
      <c r="A123" s="47" t="s">
        <v>7672</v>
      </c>
      <c r="B123" s="47" t="s">
        <v>7680</v>
      </c>
      <c r="C123" s="47" t="s">
        <v>7681</v>
      </c>
      <c r="D123" s="48" t="s">
        <v>7675</v>
      </c>
    </row>
    <row r="124" spans="1:4" hidden="1" x14ac:dyDescent="0.25">
      <c r="A124" s="47" t="s">
        <v>7672</v>
      </c>
      <c r="B124" s="47" t="s">
        <v>7682</v>
      </c>
      <c r="C124" s="47" t="s">
        <v>7683</v>
      </c>
      <c r="D124" s="48" t="s">
        <v>7675</v>
      </c>
    </row>
    <row r="125" spans="1:4" hidden="1" x14ac:dyDescent="0.25">
      <c r="A125" s="47" t="s">
        <v>7672</v>
      </c>
      <c r="B125" s="47" t="s">
        <v>7684</v>
      </c>
      <c r="C125" s="47" t="s">
        <v>7685</v>
      </c>
      <c r="D125" s="48" t="s">
        <v>7675</v>
      </c>
    </row>
    <row r="126" spans="1:4" hidden="1" x14ac:dyDescent="0.25">
      <c r="A126" s="47" t="s">
        <v>7672</v>
      </c>
      <c r="B126" s="47" t="s">
        <v>7426</v>
      </c>
      <c r="C126" s="47" t="s">
        <v>7686</v>
      </c>
      <c r="D126" s="48" t="s">
        <v>7675</v>
      </c>
    </row>
    <row r="127" spans="1:4" hidden="1" x14ac:dyDescent="0.25">
      <c r="A127" s="47" t="s">
        <v>7672</v>
      </c>
      <c r="B127" s="47" t="s">
        <v>7687</v>
      </c>
      <c r="C127" s="47" t="s">
        <v>7688</v>
      </c>
      <c r="D127" s="48" t="s">
        <v>7675</v>
      </c>
    </row>
    <row r="128" spans="1:4" hidden="1" x14ac:dyDescent="0.25">
      <c r="A128" s="47" t="s">
        <v>7672</v>
      </c>
      <c r="B128" s="47" t="s">
        <v>7689</v>
      </c>
      <c r="C128" s="47" t="s">
        <v>7690</v>
      </c>
      <c r="D128" s="48" t="s">
        <v>7675</v>
      </c>
    </row>
    <row r="129" spans="1:4" hidden="1" x14ac:dyDescent="0.25">
      <c r="A129" s="47" t="s">
        <v>7672</v>
      </c>
      <c r="B129" s="47" t="s">
        <v>7691</v>
      </c>
      <c r="C129" s="47" t="s">
        <v>7692</v>
      </c>
      <c r="D129" s="48" t="s">
        <v>7675</v>
      </c>
    </row>
    <row r="130" spans="1:4" hidden="1" x14ac:dyDescent="0.25">
      <c r="A130" s="47" t="s">
        <v>7672</v>
      </c>
      <c r="B130" s="47" t="s">
        <v>7693</v>
      </c>
      <c r="C130" s="47" t="s">
        <v>7694</v>
      </c>
      <c r="D130" s="48" t="s">
        <v>7675</v>
      </c>
    </row>
    <row r="131" spans="1:4" hidden="1" x14ac:dyDescent="0.25">
      <c r="A131" s="47" t="s">
        <v>7672</v>
      </c>
      <c r="B131" s="47" t="s">
        <v>7695</v>
      </c>
      <c r="C131" s="47" t="s">
        <v>7696</v>
      </c>
      <c r="D131" s="48" t="s">
        <v>7675</v>
      </c>
    </row>
    <row r="132" spans="1:4" hidden="1" x14ac:dyDescent="0.25">
      <c r="A132" s="47" t="s">
        <v>7672</v>
      </c>
      <c r="B132" s="47" t="s">
        <v>7697</v>
      </c>
      <c r="C132" s="47" t="s">
        <v>7698</v>
      </c>
      <c r="D132" s="48" t="s">
        <v>7675</v>
      </c>
    </row>
    <row r="133" spans="1:4" hidden="1" x14ac:dyDescent="0.25">
      <c r="A133" s="47" t="s">
        <v>7672</v>
      </c>
      <c r="B133" s="47" t="s">
        <v>7699</v>
      </c>
      <c r="C133" s="47" t="s">
        <v>7700</v>
      </c>
      <c r="D133" s="48" t="s">
        <v>7675</v>
      </c>
    </row>
    <row r="134" spans="1:4" hidden="1" x14ac:dyDescent="0.25">
      <c r="A134" s="47" t="s">
        <v>7672</v>
      </c>
      <c r="B134" s="47" t="s">
        <v>7701</v>
      </c>
      <c r="C134" s="47" t="s">
        <v>7702</v>
      </c>
      <c r="D134" s="48" t="s">
        <v>7675</v>
      </c>
    </row>
    <row r="135" spans="1:4" hidden="1" x14ac:dyDescent="0.25">
      <c r="A135" s="47" t="s">
        <v>7672</v>
      </c>
      <c r="B135" s="47" t="s">
        <v>7703</v>
      </c>
      <c r="C135" s="47" t="s">
        <v>7704</v>
      </c>
      <c r="D135" s="48" t="s">
        <v>7675</v>
      </c>
    </row>
    <row r="136" spans="1:4" hidden="1" x14ac:dyDescent="0.25">
      <c r="A136" s="47" t="s">
        <v>7672</v>
      </c>
      <c r="B136" s="47" t="s">
        <v>7705</v>
      </c>
      <c r="C136" s="47" t="s">
        <v>7706</v>
      </c>
      <c r="D136" s="48" t="s">
        <v>7675</v>
      </c>
    </row>
    <row r="137" spans="1:4" hidden="1" x14ac:dyDescent="0.25">
      <c r="A137" s="47" t="s">
        <v>7672</v>
      </c>
      <c r="B137" s="47" t="s">
        <v>7707</v>
      </c>
      <c r="C137" s="47" t="s">
        <v>7708</v>
      </c>
      <c r="D137" s="48" t="s">
        <v>7675</v>
      </c>
    </row>
    <row r="138" spans="1:4" hidden="1" x14ac:dyDescent="0.25">
      <c r="A138" s="47" t="s">
        <v>7672</v>
      </c>
      <c r="B138" s="47" t="s">
        <v>7709</v>
      </c>
      <c r="C138" s="47" t="s">
        <v>7710</v>
      </c>
      <c r="D138" s="48" t="s">
        <v>7675</v>
      </c>
    </row>
    <row r="139" spans="1:4" hidden="1" x14ac:dyDescent="0.25">
      <c r="A139" s="47" t="s">
        <v>7672</v>
      </c>
      <c r="B139" s="47" t="s">
        <v>7711</v>
      </c>
      <c r="C139" s="47" t="s">
        <v>7712</v>
      </c>
      <c r="D139" s="48" t="s">
        <v>7675</v>
      </c>
    </row>
    <row r="140" spans="1:4" hidden="1" x14ac:dyDescent="0.25">
      <c r="A140" s="47" t="s">
        <v>7672</v>
      </c>
      <c r="B140" s="47" t="s">
        <v>7713</v>
      </c>
      <c r="C140" s="47" t="s">
        <v>7714</v>
      </c>
      <c r="D140" s="48" t="s">
        <v>7675</v>
      </c>
    </row>
    <row r="141" spans="1:4" hidden="1" x14ac:dyDescent="0.25">
      <c r="A141" s="47" t="s">
        <v>7672</v>
      </c>
      <c r="B141" s="47" t="s">
        <v>7715</v>
      </c>
      <c r="C141" s="47" t="s">
        <v>7716</v>
      </c>
      <c r="D141" s="48" t="s">
        <v>7675</v>
      </c>
    </row>
    <row r="142" spans="1:4" hidden="1" x14ac:dyDescent="0.25">
      <c r="A142" s="47" t="s">
        <v>7672</v>
      </c>
      <c r="B142" s="47" t="s">
        <v>7717</v>
      </c>
      <c r="C142" s="47" t="s">
        <v>7718</v>
      </c>
      <c r="D142" s="48" t="s">
        <v>7675</v>
      </c>
    </row>
    <row r="143" spans="1:4" hidden="1" x14ac:dyDescent="0.25">
      <c r="A143" s="47" t="s">
        <v>7672</v>
      </c>
      <c r="B143" s="47" t="s">
        <v>7719</v>
      </c>
      <c r="C143" s="47" t="s">
        <v>7720</v>
      </c>
      <c r="D143" s="48" t="s">
        <v>7675</v>
      </c>
    </row>
    <row r="144" spans="1:4" hidden="1" x14ac:dyDescent="0.25">
      <c r="A144" s="47" t="s">
        <v>7672</v>
      </c>
      <c r="B144" s="47" t="s">
        <v>7721</v>
      </c>
      <c r="C144" s="47" t="s">
        <v>7722</v>
      </c>
      <c r="D144" s="48" t="s">
        <v>7675</v>
      </c>
    </row>
    <row r="145" spans="1:4" hidden="1" x14ac:dyDescent="0.25">
      <c r="A145" s="47" t="s">
        <v>7672</v>
      </c>
      <c r="B145" s="47" t="s">
        <v>7723</v>
      </c>
      <c r="C145" s="47" t="s">
        <v>7724</v>
      </c>
      <c r="D145" s="48" t="s">
        <v>7675</v>
      </c>
    </row>
    <row r="146" spans="1:4" hidden="1" x14ac:dyDescent="0.25">
      <c r="A146" s="47" t="s">
        <v>7672</v>
      </c>
      <c r="B146" s="47" t="s">
        <v>7725</v>
      </c>
      <c r="C146" s="47" t="s">
        <v>7726</v>
      </c>
      <c r="D146" s="48" t="s">
        <v>7675</v>
      </c>
    </row>
    <row r="147" spans="1:4" hidden="1" x14ac:dyDescent="0.25">
      <c r="A147" s="47" t="s">
        <v>7672</v>
      </c>
      <c r="B147" s="47" t="s">
        <v>7727</v>
      </c>
      <c r="C147" s="47" t="s">
        <v>7728</v>
      </c>
      <c r="D147" s="48" t="s">
        <v>7675</v>
      </c>
    </row>
    <row r="148" spans="1:4" hidden="1" x14ac:dyDescent="0.25">
      <c r="A148" s="47" t="s">
        <v>7672</v>
      </c>
      <c r="B148" s="47" t="s">
        <v>7729</v>
      </c>
      <c r="C148" s="47" t="s">
        <v>7730</v>
      </c>
      <c r="D148" s="48" t="s">
        <v>7675</v>
      </c>
    </row>
    <row r="149" spans="1:4" hidden="1" x14ac:dyDescent="0.25">
      <c r="A149" s="47" t="s">
        <v>7672</v>
      </c>
      <c r="B149" s="47" t="s">
        <v>7731</v>
      </c>
      <c r="C149" s="47" t="s">
        <v>7732</v>
      </c>
      <c r="D149" s="48" t="s">
        <v>7675</v>
      </c>
    </row>
    <row r="150" spans="1:4" hidden="1" x14ac:dyDescent="0.25">
      <c r="A150" s="47" t="s">
        <v>7672</v>
      </c>
      <c r="B150" s="47" t="s">
        <v>7733</v>
      </c>
      <c r="C150" s="47" t="s">
        <v>7734</v>
      </c>
      <c r="D150" s="48" t="s">
        <v>7675</v>
      </c>
    </row>
    <row r="151" spans="1:4" hidden="1" x14ac:dyDescent="0.25">
      <c r="A151" s="47" t="s">
        <v>7672</v>
      </c>
      <c r="B151" s="47" t="s">
        <v>7447</v>
      </c>
      <c r="C151" s="47" t="s">
        <v>7735</v>
      </c>
      <c r="D151" s="48" t="s">
        <v>7675</v>
      </c>
    </row>
    <row r="152" spans="1:4" hidden="1" x14ac:dyDescent="0.25">
      <c r="A152" s="47" t="s">
        <v>7672</v>
      </c>
      <c r="B152" s="47" t="s">
        <v>7736</v>
      </c>
      <c r="C152" s="47" t="s">
        <v>7737</v>
      </c>
      <c r="D152" s="48" t="s">
        <v>7675</v>
      </c>
    </row>
    <row r="153" spans="1:4" hidden="1" x14ac:dyDescent="0.25">
      <c r="A153" s="47" t="s">
        <v>7672</v>
      </c>
      <c r="B153" s="47" t="s">
        <v>7738</v>
      </c>
      <c r="C153" s="47" t="s">
        <v>7739</v>
      </c>
      <c r="D153" s="48" t="s">
        <v>7675</v>
      </c>
    </row>
    <row r="154" spans="1:4" hidden="1" x14ac:dyDescent="0.25">
      <c r="A154" s="47" t="s">
        <v>7672</v>
      </c>
      <c r="B154" s="47" t="s">
        <v>7740</v>
      </c>
      <c r="C154" s="47" t="s">
        <v>7741</v>
      </c>
      <c r="D154" s="48" t="s">
        <v>7675</v>
      </c>
    </row>
    <row r="155" spans="1:4" hidden="1" x14ac:dyDescent="0.25">
      <c r="A155" s="47" t="s">
        <v>7672</v>
      </c>
      <c r="B155" s="47" t="s">
        <v>7742</v>
      </c>
      <c r="C155" s="47" t="s">
        <v>7743</v>
      </c>
      <c r="D155" s="48" t="s">
        <v>7675</v>
      </c>
    </row>
    <row r="156" spans="1:4" hidden="1" x14ac:dyDescent="0.25">
      <c r="A156" s="47" t="s">
        <v>7672</v>
      </c>
      <c r="B156" s="47" t="s">
        <v>7744</v>
      </c>
      <c r="C156" s="47" t="s">
        <v>7745</v>
      </c>
      <c r="D156" s="48" t="s">
        <v>7675</v>
      </c>
    </row>
    <row r="157" spans="1:4" hidden="1" x14ac:dyDescent="0.25">
      <c r="A157" s="47" t="s">
        <v>7672</v>
      </c>
      <c r="B157" s="47" t="s">
        <v>7746</v>
      </c>
      <c r="C157" s="47" t="s">
        <v>7747</v>
      </c>
      <c r="D157" s="48" t="s">
        <v>7675</v>
      </c>
    </row>
    <row r="158" spans="1:4" hidden="1" x14ac:dyDescent="0.25">
      <c r="A158" s="47" t="s">
        <v>7672</v>
      </c>
      <c r="B158" s="47" t="s">
        <v>7748</v>
      </c>
      <c r="C158" s="47" t="s">
        <v>7749</v>
      </c>
      <c r="D158" s="48" t="s">
        <v>7675</v>
      </c>
    </row>
    <row r="159" spans="1:4" hidden="1" x14ac:dyDescent="0.25">
      <c r="A159" s="47" t="s">
        <v>7672</v>
      </c>
      <c r="B159" s="47" t="s">
        <v>7750</v>
      </c>
      <c r="C159" s="47" t="s">
        <v>7751</v>
      </c>
      <c r="D159" s="48" t="s">
        <v>7675</v>
      </c>
    </row>
    <row r="160" spans="1:4" hidden="1" x14ac:dyDescent="0.25">
      <c r="A160" s="47" t="s">
        <v>7672</v>
      </c>
      <c r="B160" s="47" t="s">
        <v>7752</v>
      </c>
      <c r="C160" s="47" t="s">
        <v>7753</v>
      </c>
      <c r="D160" s="48" t="s">
        <v>7675</v>
      </c>
    </row>
    <row r="161" spans="1:4" hidden="1" x14ac:dyDescent="0.25">
      <c r="A161" s="47" t="s">
        <v>7672</v>
      </c>
      <c r="B161" s="47" t="s">
        <v>7754</v>
      </c>
      <c r="C161" s="47" t="s">
        <v>7755</v>
      </c>
      <c r="D161" s="48" t="s">
        <v>7675</v>
      </c>
    </row>
    <row r="162" spans="1:4" hidden="1" x14ac:dyDescent="0.25">
      <c r="A162" s="47" t="s">
        <v>7672</v>
      </c>
      <c r="B162" s="47" t="s">
        <v>7756</v>
      </c>
      <c r="C162" s="47" t="s">
        <v>7757</v>
      </c>
      <c r="D162" s="48" t="s">
        <v>7675</v>
      </c>
    </row>
    <row r="163" spans="1:4" hidden="1" x14ac:dyDescent="0.25">
      <c r="A163" s="47" t="s">
        <v>7672</v>
      </c>
      <c r="B163" s="47" t="s">
        <v>7758</v>
      </c>
      <c r="C163" s="47" t="s">
        <v>7759</v>
      </c>
      <c r="D163" s="48" t="s">
        <v>7675</v>
      </c>
    </row>
    <row r="164" spans="1:4" hidden="1" x14ac:dyDescent="0.25">
      <c r="A164" s="47" t="s">
        <v>7672</v>
      </c>
      <c r="B164" s="47" t="s">
        <v>7760</v>
      </c>
      <c r="C164" s="47" t="s">
        <v>7761</v>
      </c>
      <c r="D164" s="48" t="s">
        <v>7675</v>
      </c>
    </row>
    <row r="165" spans="1:4" hidden="1" x14ac:dyDescent="0.25">
      <c r="A165" s="47" t="s">
        <v>7672</v>
      </c>
      <c r="B165" s="47" t="s">
        <v>7762</v>
      </c>
      <c r="C165" s="47" t="s">
        <v>7763</v>
      </c>
      <c r="D165" s="48" t="s">
        <v>7675</v>
      </c>
    </row>
    <row r="166" spans="1:4" hidden="1" x14ac:dyDescent="0.25">
      <c r="A166" s="47" t="s">
        <v>7672</v>
      </c>
      <c r="B166" s="47" t="s">
        <v>7764</v>
      </c>
      <c r="C166" s="47" t="s">
        <v>7765</v>
      </c>
      <c r="D166" s="48" t="s">
        <v>7675</v>
      </c>
    </row>
    <row r="167" spans="1:4" hidden="1" x14ac:dyDescent="0.25">
      <c r="A167" s="47" t="s">
        <v>7672</v>
      </c>
      <c r="B167" s="47" t="s">
        <v>7766</v>
      </c>
      <c r="C167" s="47" t="s">
        <v>7767</v>
      </c>
      <c r="D167" s="48" t="s">
        <v>7675</v>
      </c>
    </row>
    <row r="168" spans="1:4" hidden="1" x14ac:dyDescent="0.25">
      <c r="A168" s="47" t="s">
        <v>7672</v>
      </c>
      <c r="B168" s="47" t="s">
        <v>7768</v>
      </c>
      <c r="C168" s="47" t="s">
        <v>7769</v>
      </c>
      <c r="D168" s="48" t="s">
        <v>7675</v>
      </c>
    </row>
    <row r="169" spans="1:4" hidden="1" x14ac:dyDescent="0.25">
      <c r="A169" s="47" t="s">
        <v>7672</v>
      </c>
      <c r="B169" s="47" t="s">
        <v>7770</v>
      </c>
      <c r="C169" s="47" t="s">
        <v>7771</v>
      </c>
      <c r="D169" s="48" t="s">
        <v>7675</v>
      </c>
    </row>
    <row r="170" spans="1:4" hidden="1" x14ac:dyDescent="0.25">
      <c r="A170" s="47" t="s">
        <v>7672</v>
      </c>
      <c r="B170" s="47" t="s">
        <v>7772</v>
      </c>
      <c r="C170" s="47" t="s">
        <v>7773</v>
      </c>
      <c r="D170" s="48" t="s">
        <v>7675</v>
      </c>
    </row>
    <row r="171" spans="1:4" hidden="1" x14ac:dyDescent="0.25">
      <c r="A171" s="47" t="s">
        <v>7672</v>
      </c>
      <c r="B171" s="47" t="s">
        <v>7774</v>
      </c>
      <c r="C171" s="47" t="s">
        <v>7775</v>
      </c>
      <c r="D171" s="48" t="s">
        <v>7675</v>
      </c>
    </row>
    <row r="172" spans="1:4" hidden="1" x14ac:dyDescent="0.25">
      <c r="A172" s="47" t="s">
        <v>7672</v>
      </c>
      <c r="B172" s="47" t="s">
        <v>7776</v>
      </c>
      <c r="C172" s="47" t="s">
        <v>7777</v>
      </c>
      <c r="D172" s="48" t="s">
        <v>7675</v>
      </c>
    </row>
    <row r="173" spans="1:4" hidden="1" x14ac:dyDescent="0.25">
      <c r="A173" s="47" t="s">
        <v>7672</v>
      </c>
      <c r="B173" s="47" t="s">
        <v>7778</v>
      </c>
      <c r="C173" s="47" t="s">
        <v>7779</v>
      </c>
      <c r="D173" s="48" t="s">
        <v>7675</v>
      </c>
    </row>
    <row r="174" spans="1:4" hidden="1" x14ac:dyDescent="0.25">
      <c r="A174" s="47" t="s">
        <v>7672</v>
      </c>
      <c r="B174" s="47" t="s">
        <v>7780</v>
      </c>
      <c r="C174" s="47" t="s">
        <v>7781</v>
      </c>
      <c r="D174" s="48" t="s">
        <v>7675</v>
      </c>
    </row>
    <row r="175" spans="1:4" hidden="1" x14ac:dyDescent="0.25">
      <c r="A175" s="47" t="s">
        <v>7672</v>
      </c>
      <c r="B175" s="47" t="s">
        <v>7782</v>
      </c>
      <c r="C175" s="47" t="s">
        <v>7783</v>
      </c>
      <c r="D175" s="48" t="s">
        <v>7675</v>
      </c>
    </row>
    <row r="176" spans="1:4" hidden="1" x14ac:dyDescent="0.25">
      <c r="A176" s="47" t="s">
        <v>7672</v>
      </c>
      <c r="B176" s="47" t="s">
        <v>7784</v>
      </c>
      <c r="C176" s="47" t="s">
        <v>7785</v>
      </c>
      <c r="D176" s="48" t="s">
        <v>7675</v>
      </c>
    </row>
    <row r="177" spans="1:4" hidden="1" x14ac:dyDescent="0.25">
      <c r="A177" s="47" t="s">
        <v>7672</v>
      </c>
      <c r="B177" s="47" t="s">
        <v>1331</v>
      </c>
      <c r="C177" s="47" t="s">
        <v>1332</v>
      </c>
      <c r="D177" s="48" t="s">
        <v>7675</v>
      </c>
    </row>
    <row r="178" spans="1:4" hidden="1" x14ac:dyDescent="0.25">
      <c r="A178" s="47" t="s">
        <v>7672</v>
      </c>
      <c r="B178" s="47" t="s">
        <v>1333</v>
      </c>
      <c r="C178" s="47" t="s">
        <v>1334</v>
      </c>
      <c r="D178" s="48" t="s">
        <v>7675</v>
      </c>
    </row>
    <row r="179" spans="1:4" hidden="1" x14ac:dyDescent="0.25">
      <c r="A179" s="47" t="s">
        <v>7672</v>
      </c>
      <c r="B179" s="47" t="s">
        <v>1335</v>
      </c>
      <c r="C179" s="47" t="s">
        <v>1336</v>
      </c>
      <c r="D179" s="48" t="s">
        <v>7675</v>
      </c>
    </row>
    <row r="180" spans="1:4" hidden="1" x14ac:dyDescent="0.25">
      <c r="A180" s="47" t="s">
        <v>7672</v>
      </c>
      <c r="B180" s="47" t="s">
        <v>7786</v>
      </c>
      <c r="C180" s="47" t="s">
        <v>7787</v>
      </c>
      <c r="D180" s="48" t="s">
        <v>7675</v>
      </c>
    </row>
    <row r="181" spans="1:4" hidden="1" x14ac:dyDescent="0.25">
      <c r="A181" s="47" t="s">
        <v>7672</v>
      </c>
      <c r="B181" s="47" t="s">
        <v>7788</v>
      </c>
      <c r="C181" s="47" t="s">
        <v>7789</v>
      </c>
      <c r="D181" s="48" t="s">
        <v>7675</v>
      </c>
    </row>
    <row r="182" spans="1:4" hidden="1" x14ac:dyDescent="0.25">
      <c r="A182" s="47" t="s">
        <v>7672</v>
      </c>
      <c r="B182" s="47" t="s">
        <v>7790</v>
      </c>
      <c r="C182" s="47" t="s">
        <v>7791</v>
      </c>
      <c r="D182" s="48" t="s">
        <v>7675</v>
      </c>
    </row>
    <row r="183" spans="1:4" hidden="1" x14ac:dyDescent="0.25">
      <c r="A183" s="47" t="s">
        <v>7672</v>
      </c>
      <c r="B183" s="47" t="s">
        <v>7792</v>
      </c>
      <c r="C183" s="47" t="s">
        <v>7793</v>
      </c>
      <c r="D183" s="48" t="s">
        <v>7675</v>
      </c>
    </row>
    <row r="184" spans="1:4" hidden="1" x14ac:dyDescent="0.25">
      <c r="A184" s="47" t="s">
        <v>7672</v>
      </c>
      <c r="B184" s="47" t="s">
        <v>7794</v>
      </c>
      <c r="C184" s="47" t="s">
        <v>7795</v>
      </c>
      <c r="D184" s="48" t="s">
        <v>7675</v>
      </c>
    </row>
    <row r="185" spans="1:4" hidden="1" x14ac:dyDescent="0.25">
      <c r="A185" s="47" t="s">
        <v>7672</v>
      </c>
      <c r="B185" s="47" t="s">
        <v>7796</v>
      </c>
      <c r="C185" s="47" t="s">
        <v>7797</v>
      </c>
      <c r="D185" s="48" t="s">
        <v>7675</v>
      </c>
    </row>
    <row r="186" spans="1:4" hidden="1" x14ac:dyDescent="0.25">
      <c r="A186" s="47" t="s">
        <v>7672</v>
      </c>
      <c r="B186" s="47" t="s">
        <v>7798</v>
      </c>
      <c r="C186" s="47" t="s">
        <v>7799</v>
      </c>
      <c r="D186" s="48" t="s">
        <v>7675</v>
      </c>
    </row>
    <row r="187" spans="1:4" hidden="1" x14ac:dyDescent="0.25">
      <c r="A187" s="47" t="s">
        <v>7672</v>
      </c>
      <c r="B187" s="47" t="s">
        <v>7800</v>
      </c>
      <c r="C187" s="47" t="s">
        <v>7801</v>
      </c>
      <c r="D187" s="48" t="s">
        <v>7675</v>
      </c>
    </row>
    <row r="188" spans="1:4" hidden="1" x14ac:dyDescent="0.25">
      <c r="A188" s="47" t="s">
        <v>7672</v>
      </c>
      <c r="B188" s="47" t="s">
        <v>7802</v>
      </c>
      <c r="C188" s="47" t="s">
        <v>7803</v>
      </c>
      <c r="D188" s="48" t="s">
        <v>7675</v>
      </c>
    </row>
    <row r="189" spans="1:4" hidden="1" x14ac:dyDescent="0.25">
      <c r="A189" s="47" t="s">
        <v>7672</v>
      </c>
      <c r="B189" s="47" t="s">
        <v>7804</v>
      </c>
      <c r="C189" s="47" t="s">
        <v>7805</v>
      </c>
      <c r="D189" s="48" t="s">
        <v>7675</v>
      </c>
    </row>
    <row r="190" spans="1:4" hidden="1" x14ac:dyDescent="0.25">
      <c r="A190" s="47" t="s">
        <v>7672</v>
      </c>
      <c r="B190" s="47" t="s">
        <v>7806</v>
      </c>
      <c r="C190" s="47" t="s">
        <v>7807</v>
      </c>
      <c r="D190" s="48" t="s">
        <v>7675</v>
      </c>
    </row>
    <row r="191" spans="1:4" hidden="1" x14ac:dyDescent="0.25">
      <c r="A191" s="47" t="s">
        <v>7672</v>
      </c>
      <c r="B191" s="47" t="s">
        <v>7808</v>
      </c>
      <c r="C191" s="47" t="s">
        <v>7809</v>
      </c>
      <c r="D191" s="48" t="s">
        <v>7675</v>
      </c>
    </row>
    <row r="192" spans="1:4" hidden="1" x14ac:dyDescent="0.25">
      <c r="A192" s="47" t="s">
        <v>7672</v>
      </c>
      <c r="B192" s="47" t="s">
        <v>7810</v>
      </c>
      <c r="C192" s="47" t="s">
        <v>7811</v>
      </c>
      <c r="D192" s="48" t="s">
        <v>7675</v>
      </c>
    </row>
    <row r="193" spans="1:4" hidden="1" x14ac:dyDescent="0.25">
      <c r="A193" s="47" t="s">
        <v>7672</v>
      </c>
      <c r="B193" s="47" t="s">
        <v>7812</v>
      </c>
      <c r="C193" s="47" t="s">
        <v>7813</v>
      </c>
      <c r="D193" s="48" t="s">
        <v>7675</v>
      </c>
    </row>
    <row r="194" spans="1:4" hidden="1" x14ac:dyDescent="0.25">
      <c r="A194" s="47" t="s">
        <v>7814</v>
      </c>
      <c r="B194" s="47" t="s">
        <v>7815</v>
      </c>
      <c r="C194" s="47" t="s">
        <v>7816</v>
      </c>
      <c r="D194" s="48" t="s">
        <v>7817</v>
      </c>
    </row>
    <row r="195" spans="1:4" hidden="1" x14ac:dyDescent="0.25">
      <c r="A195" s="47" t="s">
        <v>7814</v>
      </c>
      <c r="B195" s="47" t="s">
        <v>7818</v>
      </c>
      <c r="C195" s="47" t="s">
        <v>7819</v>
      </c>
      <c r="D195" s="48" t="s">
        <v>7817</v>
      </c>
    </row>
    <row r="196" spans="1:4" hidden="1" x14ac:dyDescent="0.25">
      <c r="A196" s="47" t="s">
        <v>7814</v>
      </c>
      <c r="B196" s="47" t="s">
        <v>7433</v>
      </c>
      <c r="C196" s="47" t="s">
        <v>7820</v>
      </c>
      <c r="D196" s="48" t="s">
        <v>7817</v>
      </c>
    </row>
    <row r="197" spans="1:4" hidden="1" x14ac:dyDescent="0.25">
      <c r="A197" s="47" t="s">
        <v>7814</v>
      </c>
      <c r="B197" s="47" t="s">
        <v>7821</v>
      </c>
      <c r="C197" s="47" t="s">
        <v>7822</v>
      </c>
      <c r="D197" s="48" t="s">
        <v>7817</v>
      </c>
    </row>
    <row r="198" spans="1:4" hidden="1" x14ac:dyDescent="0.25">
      <c r="A198" s="47" t="s">
        <v>7814</v>
      </c>
      <c r="B198" s="47" t="s">
        <v>7823</v>
      </c>
      <c r="C198" s="47" t="s">
        <v>7824</v>
      </c>
      <c r="D198" s="48" t="s">
        <v>7817</v>
      </c>
    </row>
    <row r="199" spans="1:4" hidden="1" x14ac:dyDescent="0.25">
      <c r="A199" s="47" t="s">
        <v>7814</v>
      </c>
      <c r="B199" s="47" t="s">
        <v>7825</v>
      </c>
      <c r="C199" s="47" t="s">
        <v>7826</v>
      </c>
      <c r="D199" s="48" t="s">
        <v>7817</v>
      </c>
    </row>
    <row r="200" spans="1:4" hidden="1" x14ac:dyDescent="0.25">
      <c r="A200" s="47" t="s">
        <v>7814</v>
      </c>
      <c r="B200" s="47" t="s">
        <v>7443</v>
      </c>
      <c r="C200" s="47" t="s">
        <v>7827</v>
      </c>
      <c r="D200" s="48" t="s">
        <v>7817</v>
      </c>
    </row>
    <row r="201" spans="1:4" hidden="1" x14ac:dyDescent="0.25">
      <c r="A201" s="47" t="s">
        <v>7814</v>
      </c>
      <c r="B201" s="47" t="s">
        <v>7828</v>
      </c>
      <c r="C201" s="47" t="s">
        <v>7829</v>
      </c>
      <c r="D201" s="48" t="s">
        <v>7817</v>
      </c>
    </row>
    <row r="202" spans="1:4" hidden="1" x14ac:dyDescent="0.25">
      <c r="A202" s="47" t="s">
        <v>7830</v>
      </c>
      <c r="B202" s="47">
        <v>1001</v>
      </c>
      <c r="C202" s="47" t="s">
        <v>7831</v>
      </c>
      <c r="D202" s="47" t="s">
        <v>7832</v>
      </c>
    </row>
    <row r="203" spans="1:4" hidden="1" x14ac:dyDescent="0.25">
      <c r="A203" s="47" t="s">
        <v>7830</v>
      </c>
      <c r="B203" s="47" t="s">
        <v>7833</v>
      </c>
      <c r="C203" s="47" t="s">
        <v>7834</v>
      </c>
      <c r="D203" s="47" t="s">
        <v>7832</v>
      </c>
    </row>
    <row r="204" spans="1:4" hidden="1" x14ac:dyDescent="0.25">
      <c r="A204" s="47" t="s">
        <v>7830</v>
      </c>
      <c r="B204" s="47" t="s">
        <v>7835</v>
      </c>
      <c r="C204" s="47" t="s">
        <v>7836</v>
      </c>
      <c r="D204" s="47" t="s">
        <v>7832</v>
      </c>
    </row>
    <row r="205" spans="1:4" hidden="1" x14ac:dyDescent="0.25">
      <c r="A205" s="47" t="s">
        <v>7830</v>
      </c>
      <c r="B205" s="47" t="s">
        <v>7837</v>
      </c>
      <c r="C205" s="47" t="s">
        <v>7838</v>
      </c>
      <c r="D205" s="47" t="s">
        <v>7832</v>
      </c>
    </row>
    <row r="206" spans="1:4" hidden="1" x14ac:dyDescent="0.25">
      <c r="A206" s="47" t="s">
        <v>7830</v>
      </c>
      <c r="B206" s="47" t="s">
        <v>7839</v>
      </c>
      <c r="C206" s="47" t="s">
        <v>7840</v>
      </c>
      <c r="D206" s="47" t="s">
        <v>7832</v>
      </c>
    </row>
    <row r="207" spans="1:4" hidden="1" x14ac:dyDescent="0.25">
      <c r="A207" s="47" t="s">
        <v>7830</v>
      </c>
      <c r="B207" s="47" t="s">
        <v>7841</v>
      </c>
      <c r="C207" s="47" t="s">
        <v>7842</v>
      </c>
      <c r="D207" s="47" t="s">
        <v>7832</v>
      </c>
    </row>
    <row r="208" spans="1:4" hidden="1" x14ac:dyDescent="0.25">
      <c r="A208" s="47" t="s">
        <v>7830</v>
      </c>
      <c r="B208" s="47" t="s">
        <v>7843</v>
      </c>
      <c r="C208" s="47" t="s">
        <v>7844</v>
      </c>
      <c r="D208" s="47" t="s">
        <v>7832</v>
      </c>
    </row>
    <row r="209" spans="1:4" hidden="1" x14ac:dyDescent="0.25">
      <c r="A209" s="47" t="s">
        <v>7830</v>
      </c>
      <c r="B209" s="47" t="s">
        <v>7845</v>
      </c>
      <c r="C209" s="47" t="s">
        <v>7846</v>
      </c>
      <c r="D209" s="47" t="s">
        <v>7832</v>
      </c>
    </row>
    <row r="210" spans="1:4" hidden="1" x14ac:dyDescent="0.25">
      <c r="A210" s="47" t="s">
        <v>7830</v>
      </c>
      <c r="B210" s="47" t="s">
        <v>7847</v>
      </c>
      <c r="C210" s="47" t="s">
        <v>7848</v>
      </c>
      <c r="D210" s="47" t="s">
        <v>7832</v>
      </c>
    </row>
    <row r="211" spans="1:4" hidden="1" x14ac:dyDescent="0.25">
      <c r="A211" s="47" t="s">
        <v>7830</v>
      </c>
      <c r="B211" s="47" t="s">
        <v>7849</v>
      </c>
      <c r="C211" s="47" t="s">
        <v>7850</v>
      </c>
      <c r="D211" s="47" t="s">
        <v>7832</v>
      </c>
    </row>
    <row r="212" spans="1:4" hidden="1" x14ac:dyDescent="0.25">
      <c r="A212" s="47" t="s">
        <v>7830</v>
      </c>
      <c r="B212" s="47" t="s">
        <v>7851</v>
      </c>
      <c r="C212" s="47" t="s">
        <v>7852</v>
      </c>
      <c r="D212" s="47" t="s">
        <v>7832</v>
      </c>
    </row>
    <row r="213" spans="1:4" hidden="1" x14ac:dyDescent="0.25">
      <c r="A213" s="47" t="s">
        <v>7830</v>
      </c>
      <c r="B213" s="47">
        <v>1004</v>
      </c>
      <c r="C213" s="47" t="s">
        <v>7853</v>
      </c>
      <c r="D213" s="47" t="s">
        <v>7832</v>
      </c>
    </row>
    <row r="214" spans="1:4" hidden="1" x14ac:dyDescent="0.25">
      <c r="A214" s="47" t="s">
        <v>7830</v>
      </c>
      <c r="B214" s="47">
        <v>1005</v>
      </c>
      <c r="C214" s="47" t="s">
        <v>7854</v>
      </c>
      <c r="D214" s="47" t="s">
        <v>7832</v>
      </c>
    </row>
    <row r="215" spans="1:4" hidden="1" x14ac:dyDescent="0.25">
      <c r="A215" s="47" t="s">
        <v>7830</v>
      </c>
      <c r="B215" s="47" t="s">
        <v>7855</v>
      </c>
      <c r="C215" s="47" t="s">
        <v>7856</v>
      </c>
      <c r="D215" s="47" t="s">
        <v>7832</v>
      </c>
    </row>
    <row r="216" spans="1:4" hidden="1" x14ac:dyDescent="0.25">
      <c r="A216" s="47" t="s">
        <v>7830</v>
      </c>
      <c r="B216" s="47" t="s">
        <v>7857</v>
      </c>
      <c r="C216" s="47" t="s">
        <v>7858</v>
      </c>
      <c r="D216" s="47" t="s">
        <v>7832</v>
      </c>
    </row>
    <row r="217" spans="1:4" hidden="1" x14ac:dyDescent="0.25">
      <c r="A217" s="47" t="s">
        <v>7830</v>
      </c>
      <c r="B217" s="47" t="s">
        <v>7859</v>
      </c>
      <c r="C217" s="47" t="s">
        <v>7860</v>
      </c>
      <c r="D217" s="47" t="s">
        <v>7832</v>
      </c>
    </row>
    <row r="218" spans="1:4" hidden="1" x14ac:dyDescent="0.25">
      <c r="A218" s="47" t="s">
        <v>7830</v>
      </c>
      <c r="B218" s="47" t="s">
        <v>7861</v>
      </c>
      <c r="C218" s="47" t="s">
        <v>7862</v>
      </c>
      <c r="D218" s="47" t="s">
        <v>7832</v>
      </c>
    </row>
    <row r="219" spans="1:4" hidden="1" x14ac:dyDescent="0.25">
      <c r="A219" s="47" t="s">
        <v>7830</v>
      </c>
      <c r="B219" s="47" t="s">
        <v>7863</v>
      </c>
      <c r="C219" s="47" t="s">
        <v>7864</v>
      </c>
      <c r="D219" s="47" t="s">
        <v>7832</v>
      </c>
    </row>
    <row r="220" spans="1:4" hidden="1" x14ac:dyDescent="0.25">
      <c r="A220" s="47" t="s">
        <v>7830</v>
      </c>
      <c r="B220" s="47" t="s">
        <v>7865</v>
      </c>
      <c r="C220" s="47" t="s">
        <v>7866</v>
      </c>
      <c r="D220" s="47" t="s">
        <v>7832</v>
      </c>
    </row>
    <row r="221" spans="1:4" hidden="1" x14ac:dyDescent="0.25">
      <c r="A221" s="47" t="s">
        <v>7830</v>
      </c>
      <c r="B221" s="47" t="s">
        <v>7867</v>
      </c>
      <c r="C221" s="47" t="s">
        <v>7868</v>
      </c>
      <c r="D221" s="47" t="s">
        <v>7832</v>
      </c>
    </row>
    <row r="222" spans="1:4" hidden="1" x14ac:dyDescent="0.25">
      <c r="A222" s="47" t="s">
        <v>7830</v>
      </c>
      <c r="B222" s="47" t="s">
        <v>7869</v>
      </c>
      <c r="C222" s="47" t="s">
        <v>7870</v>
      </c>
      <c r="D222" s="47" t="s">
        <v>7832</v>
      </c>
    </row>
    <row r="223" spans="1:4" hidden="1" x14ac:dyDescent="0.25">
      <c r="A223" s="47" t="s">
        <v>7830</v>
      </c>
      <c r="B223" s="47" t="s">
        <v>7871</v>
      </c>
      <c r="C223" s="47" t="s">
        <v>7872</v>
      </c>
      <c r="D223" s="47" t="s">
        <v>7832</v>
      </c>
    </row>
    <row r="224" spans="1:4" hidden="1" x14ac:dyDescent="0.25">
      <c r="A224" s="47" t="s">
        <v>7830</v>
      </c>
      <c r="B224" s="47" t="s">
        <v>7873</v>
      </c>
      <c r="C224" s="47" t="s">
        <v>7874</v>
      </c>
      <c r="D224" s="47" t="s">
        <v>7832</v>
      </c>
    </row>
    <row r="225" spans="1:4" hidden="1" x14ac:dyDescent="0.25">
      <c r="A225" s="47" t="s">
        <v>7830</v>
      </c>
      <c r="B225" s="47" t="s">
        <v>7875</v>
      </c>
      <c r="C225" s="47" t="s">
        <v>7876</v>
      </c>
      <c r="D225" s="47" t="s">
        <v>7832</v>
      </c>
    </row>
    <row r="226" spans="1:4" hidden="1" x14ac:dyDescent="0.25">
      <c r="A226" s="47" t="s">
        <v>7830</v>
      </c>
      <c r="B226" s="47" t="s">
        <v>7877</v>
      </c>
      <c r="C226" s="47" t="s">
        <v>7878</v>
      </c>
      <c r="D226" s="47" t="s">
        <v>7832</v>
      </c>
    </row>
    <row r="227" spans="1:4" hidden="1" x14ac:dyDescent="0.25">
      <c r="A227" s="47" t="s">
        <v>7830</v>
      </c>
      <c r="B227" s="47" t="s">
        <v>7879</v>
      </c>
      <c r="C227" s="47" t="s">
        <v>7880</v>
      </c>
      <c r="D227" s="47" t="s">
        <v>7832</v>
      </c>
    </row>
    <row r="228" spans="1:4" hidden="1" x14ac:dyDescent="0.25">
      <c r="A228" s="47" t="s">
        <v>7830</v>
      </c>
      <c r="B228" s="47" t="s">
        <v>7881</v>
      </c>
      <c r="C228" s="47" t="s">
        <v>7882</v>
      </c>
      <c r="D228" s="47" t="s">
        <v>7832</v>
      </c>
    </row>
    <row r="229" spans="1:4" hidden="1" x14ac:dyDescent="0.25">
      <c r="A229" s="47" t="s">
        <v>7830</v>
      </c>
      <c r="B229" s="47" t="s">
        <v>7883</v>
      </c>
      <c r="C229" s="47" t="s">
        <v>7884</v>
      </c>
      <c r="D229" s="47" t="s">
        <v>7832</v>
      </c>
    </row>
    <row r="230" spans="1:4" hidden="1" x14ac:dyDescent="0.25">
      <c r="A230" s="47" t="s">
        <v>7830</v>
      </c>
      <c r="B230" s="47" t="s">
        <v>7885</v>
      </c>
      <c r="C230" s="47" t="s">
        <v>7886</v>
      </c>
      <c r="D230" s="47" t="s">
        <v>7832</v>
      </c>
    </row>
    <row r="231" spans="1:4" hidden="1" x14ac:dyDescent="0.25">
      <c r="A231" s="47" t="s">
        <v>7830</v>
      </c>
      <c r="B231" s="47" t="s">
        <v>7887</v>
      </c>
      <c r="C231" s="47" t="s">
        <v>7888</v>
      </c>
      <c r="D231" s="47" t="s">
        <v>7832</v>
      </c>
    </row>
    <row r="232" spans="1:4" hidden="1" x14ac:dyDescent="0.25">
      <c r="A232" s="47" t="s">
        <v>7830</v>
      </c>
      <c r="B232" s="47" t="s">
        <v>7889</v>
      </c>
      <c r="C232" s="47" t="s">
        <v>7890</v>
      </c>
      <c r="D232" s="47" t="s">
        <v>7832</v>
      </c>
    </row>
    <row r="233" spans="1:4" hidden="1" x14ac:dyDescent="0.25">
      <c r="A233" s="47" t="s">
        <v>7830</v>
      </c>
      <c r="B233" s="47">
        <v>1008</v>
      </c>
      <c r="C233" s="47" t="s">
        <v>7891</v>
      </c>
      <c r="D233" s="47" t="s">
        <v>7832</v>
      </c>
    </row>
    <row r="234" spans="1:4" hidden="1" x14ac:dyDescent="0.25">
      <c r="A234" s="47" t="s">
        <v>7830</v>
      </c>
      <c r="B234" s="47" t="s">
        <v>7892</v>
      </c>
      <c r="C234" s="47" t="s">
        <v>7893</v>
      </c>
      <c r="D234" s="47" t="s">
        <v>7832</v>
      </c>
    </row>
    <row r="235" spans="1:4" hidden="1" x14ac:dyDescent="0.25">
      <c r="A235" s="47" t="s">
        <v>7830</v>
      </c>
      <c r="B235" s="47">
        <v>1009</v>
      </c>
      <c r="C235" s="47" t="s">
        <v>7894</v>
      </c>
      <c r="D235" s="47" t="s">
        <v>7832</v>
      </c>
    </row>
    <row r="236" spans="1:4" hidden="1" x14ac:dyDescent="0.25">
      <c r="A236" s="47" t="s">
        <v>7830</v>
      </c>
      <c r="B236" s="47" t="s">
        <v>7895</v>
      </c>
      <c r="C236" s="47" t="s">
        <v>7896</v>
      </c>
      <c r="D236" s="47" t="s">
        <v>7832</v>
      </c>
    </row>
    <row r="237" spans="1:4" hidden="1" x14ac:dyDescent="0.25">
      <c r="A237" s="47" t="s">
        <v>7830</v>
      </c>
      <c r="B237" s="47" t="s">
        <v>7897</v>
      </c>
      <c r="C237" s="47" t="s">
        <v>7898</v>
      </c>
      <c r="D237" s="47" t="s">
        <v>7832</v>
      </c>
    </row>
    <row r="238" spans="1:4" hidden="1" x14ac:dyDescent="0.25">
      <c r="A238" s="47" t="s">
        <v>7830</v>
      </c>
      <c r="B238" s="47" t="s">
        <v>7899</v>
      </c>
      <c r="C238" s="47" t="s">
        <v>7900</v>
      </c>
      <c r="D238" s="47" t="s">
        <v>7832</v>
      </c>
    </row>
    <row r="239" spans="1:4" hidden="1" x14ac:dyDescent="0.25">
      <c r="A239" s="47" t="s">
        <v>7830</v>
      </c>
      <c r="B239" s="47" t="s">
        <v>7901</v>
      </c>
      <c r="C239" s="47" t="s">
        <v>7902</v>
      </c>
      <c r="D239" s="47" t="s">
        <v>7832</v>
      </c>
    </row>
    <row r="240" spans="1:4" hidden="1" x14ac:dyDescent="0.25">
      <c r="A240" s="47" t="s">
        <v>7830</v>
      </c>
      <c r="B240" s="47" t="s">
        <v>7903</v>
      </c>
      <c r="C240" s="47" t="s">
        <v>7904</v>
      </c>
      <c r="D240" s="47" t="s">
        <v>7832</v>
      </c>
    </row>
    <row r="241" spans="1:4" hidden="1" x14ac:dyDescent="0.25">
      <c r="A241" s="47" t="s">
        <v>7830</v>
      </c>
      <c r="B241" s="47" t="s">
        <v>7905</v>
      </c>
      <c r="C241" s="47" t="s">
        <v>7906</v>
      </c>
      <c r="D241" s="47" t="s">
        <v>7832</v>
      </c>
    </row>
    <row r="242" spans="1:4" hidden="1" x14ac:dyDescent="0.25">
      <c r="A242" s="47" t="s">
        <v>7830</v>
      </c>
      <c r="B242" s="47" t="s">
        <v>7907</v>
      </c>
      <c r="C242" s="47" t="s">
        <v>7908</v>
      </c>
      <c r="D242" s="47" t="s">
        <v>7832</v>
      </c>
    </row>
    <row r="243" spans="1:4" hidden="1" x14ac:dyDescent="0.25">
      <c r="A243" s="47" t="s">
        <v>7830</v>
      </c>
      <c r="B243" s="47" t="s">
        <v>7909</v>
      </c>
      <c r="C243" s="47" t="s">
        <v>7910</v>
      </c>
      <c r="D243" s="47" t="s">
        <v>7832</v>
      </c>
    </row>
    <row r="244" spans="1:4" hidden="1" x14ac:dyDescent="0.25">
      <c r="A244" s="47" t="s">
        <v>7830</v>
      </c>
      <c r="B244" s="47" t="s">
        <v>7911</v>
      </c>
      <c r="C244" s="47" t="s">
        <v>7912</v>
      </c>
      <c r="D244" s="47" t="s">
        <v>7832</v>
      </c>
    </row>
    <row r="245" spans="1:4" hidden="1" x14ac:dyDescent="0.25">
      <c r="A245" s="47" t="s">
        <v>7830</v>
      </c>
      <c r="B245" s="47" t="s">
        <v>7913</v>
      </c>
      <c r="C245" s="47" t="s">
        <v>7914</v>
      </c>
      <c r="D245" s="47" t="s">
        <v>7832</v>
      </c>
    </row>
    <row r="246" spans="1:4" hidden="1" x14ac:dyDescent="0.25">
      <c r="A246" s="47" t="s">
        <v>7830</v>
      </c>
      <c r="B246" s="47" t="s">
        <v>7915</v>
      </c>
      <c r="C246" s="47" t="s">
        <v>7916</v>
      </c>
      <c r="D246" s="47" t="s">
        <v>7832</v>
      </c>
    </row>
    <row r="247" spans="1:4" hidden="1" x14ac:dyDescent="0.25">
      <c r="A247" s="47" t="s">
        <v>7830</v>
      </c>
      <c r="B247" s="47" t="s">
        <v>7917</v>
      </c>
      <c r="C247" s="47" t="s">
        <v>7918</v>
      </c>
      <c r="D247" s="47" t="s">
        <v>7832</v>
      </c>
    </row>
    <row r="248" spans="1:4" hidden="1" x14ac:dyDescent="0.25">
      <c r="A248" s="47" t="s">
        <v>7830</v>
      </c>
      <c r="B248" s="47" t="s">
        <v>7919</v>
      </c>
      <c r="C248" s="47" t="s">
        <v>7920</v>
      </c>
      <c r="D248" s="47" t="s">
        <v>7832</v>
      </c>
    </row>
    <row r="249" spans="1:4" hidden="1" x14ac:dyDescent="0.25">
      <c r="A249" s="47" t="s">
        <v>7830</v>
      </c>
      <c r="B249" s="47" t="s">
        <v>7921</v>
      </c>
      <c r="C249" s="47" t="s">
        <v>7922</v>
      </c>
      <c r="D249" s="47" t="s">
        <v>7832</v>
      </c>
    </row>
    <row r="250" spans="1:4" hidden="1" x14ac:dyDescent="0.25">
      <c r="A250" s="47" t="s">
        <v>7830</v>
      </c>
      <c r="B250" s="47" t="s">
        <v>7923</v>
      </c>
      <c r="C250" s="47" t="s">
        <v>7924</v>
      </c>
      <c r="D250" s="47" t="s">
        <v>7832</v>
      </c>
    </row>
    <row r="251" spans="1:4" hidden="1" x14ac:dyDescent="0.25">
      <c r="A251" s="47" t="s">
        <v>7830</v>
      </c>
      <c r="B251" s="47" t="s">
        <v>7925</v>
      </c>
      <c r="C251" s="47" t="s">
        <v>7926</v>
      </c>
      <c r="D251" s="47" t="s">
        <v>7832</v>
      </c>
    </row>
    <row r="252" spans="1:4" hidden="1" x14ac:dyDescent="0.25">
      <c r="A252" s="47" t="s">
        <v>7830</v>
      </c>
      <c r="B252" s="47" t="s">
        <v>7927</v>
      </c>
      <c r="C252" s="47" t="s">
        <v>7928</v>
      </c>
      <c r="D252" s="47" t="s">
        <v>7832</v>
      </c>
    </row>
    <row r="253" spans="1:4" hidden="1" x14ac:dyDescent="0.25">
      <c r="A253" s="47" t="s">
        <v>7830</v>
      </c>
      <c r="B253" s="47" t="s">
        <v>7929</v>
      </c>
      <c r="C253" s="47" t="s">
        <v>7930</v>
      </c>
      <c r="D253" s="47" t="s">
        <v>7832</v>
      </c>
    </row>
    <row r="254" spans="1:4" hidden="1" x14ac:dyDescent="0.25">
      <c r="A254" s="47" t="s">
        <v>7830</v>
      </c>
      <c r="B254" s="47" t="s">
        <v>7931</v>
      </c>
      <c r="C254" s="47" t="s">
        <v>7932</v>
      </c>
      <c r="D254" s="47" t="s">
        <v>7832</v>
      </c>
    </row>
    <row r="255" spans="1:4" hidden="1" x14ac:dyDescent="0.25">
      <c r="A255" s="47" t="s">
        <v>7830</v>
      </c>
      <c r="B255" s="47" t="s">
        <v>7933</v>
      </c>
      <c r="C255" s="47" t="s">
        <v>7934</v>
      </c>
      <c r="D255" s="47" t="s">
        <v>7832</v>
      </c>
    </row>
    <row r="256" spans="1:4" hidden="1" x14ac:dyDescent="0.25">
      <c r="A256" s="47" t="s">
        <v>7830</v>
      </c>
      <c r="B256" s="47" t="s">
        <v>7935</v>
      </c>
      <c r="C256" s="47" t="s">
        <v>7936</v>
      </c>
      <c r="D256" s="47" t="s">
        <v>7832</v>
      </c>
    </row>
    <row r="257" spans="1:4" hidden="1" x14ac:dyDescent="0.25">
      <c r="A257" s="47" t="s">
        <v>7830</v>
      </c>
      <c r="B257" s="47" t="s">
        <v>7937</v>
      </c>
      <c r="C257" s="47" t="s">
        <v>7938</v>
      </c>
      <c r="D257" s="47" t="s">
        <v>7832</v>
      </c>
    </row>
    <row r="258" spans="1:4" hidden="1" x14ac:dyDescent="0.25">
      <c r="A258" s="47" t="s">
        <v>7830</v>
      </c>
      <c r="B258" s="47" t="s">
        <v>7939</v>
      </c>
      <c r="C258" s="47" t="s">
        <v>7940</v>
      </c>
      <c r="D258" s="47" t="s">
        <v>7832</v>
      </c>
    </row>
    <row r="259" spans="1:4" hidden="1" x14ac:dyDescent="0.25">
      <c r="A259" s="47" t="s">
        <v>7830</v>
      </c>
      <c r="B259" s="47" t="s">
        <v>7941</v>
      </c>
      <c r="C259" s="47" t="s">
        <v>7942</v>
      </c>
      <c r="D259" s="47" t="s">
        <v>7832</v>
      </c>
    </row>
    <row r="260" spans="1:4" hidden="1" x14ac:dyDescent="0.25">
      <c r="A260" s="47" t="s">
        <v>7830</v>
      </c>
      <c r="B260" s="47" t="s">
        <v>7943</v>
      </c>
      <c r="C260" s="47" t="s">
        <v>7944</v>
      </c>
      <c r="D260" s="47" t="s">
        <v>7832</v>
      </c>
    </row>
    <row r="261" spans="1:4" hidden="1" x14ac:dyDescent="0.25">
      <c r="A261" s="47" t="s">
        <v>7830</v>
      </c>
      <c r="B261" s="47" t="s">
        <v>7945</v>
      </c>
      <c r="C261" s="47" t="s">
        <v>7946</v>
      </c>
      <c r="D261" s="47" t="s">
        <v>7832</v>
      </c>
    </row>
    <row r="262" spans="1:4" hidden="1" x14ac:dyDescent="0.25">
      <c r="A262" s="47" t="s">
        <v>7830</v>
      </c>
      <c r="B262" s="47" t="s">
        <v>7947</v>
      </c>
      <c r="C262" s="47" t="s">
        <v>7948</v>
      </c>
      <c r="D262" s="47" t="s">
        <v>7832</v>
      </c>
    </row>
    <row r="263" spans="1:4" hidden="1" x14ac:dyDescent="0.25">
      <c r="A263" s="47" t="s">
        <v>7830</v>
      </c>
      <c r="B263" s="47" t="s">
        <v>7949</v>
      </c>
      <c r="C263" s="47" t="s">
        <v>7950</v>
      </c>
      <c r="D263" s="47" t="s">
        <v>7832</v>
      </c>
    </row>
    <row r="264" spans="1:4" hidden="1" x14ac:dyDescent="0.25">
      <c r="A264" s="47" t="s">
        <v>7830</v>
      </c>
      <c r="B264" s="47" t="s">
        <v>7951</v>
      </c>
      <c r="C264" s="47" t="s">
        <v>7952</v>
      </c>
      <c r="D264" s="47" t="s">
        <v>7832</v>
      </c>
    </row>
    <row r="265" spans="1:4" hidden="1" x14ac:dyDescent="0.25">
      <c r="A265" s="47" t="s">
        <v>7830</v>
      </c>
      <c r="B265" s="47" t="s">
        <v>7953</v>
      </c>
      <c r="C265" s="47" t="s">
        <v>7954</v>
      </c>
      <c r="D265" s="47" t="s">
        <v>7832</v>
      </c>
    </row>
    <row r="266" spans="1:4" hidden="1" x14ac:dyDescent="0.25">
      <c r="A266" s="47" t="s">
        <v>7830</v>
      </c>
      <c r="B266" s="47" t="s">
        <v>7955</v>
      </c>
      <c r="C266" s="47" t="s">
        <v>7956</v>
      </c>
      <c r="D266" s="47" t="s">
        <v>7832</v>
      </c>
    </row>
    <row r="267" spans="1:4" hidden="1" x14ac:dyDescent="0.25">
      <c r="A267" s="47" t="s">
        <v>7830</v>
      </c>
      <c r="B267" s="47" t="s">
        <v>7957</v>
      </c>
      <c r="C267" s="47" t="s">
        <v>7958</v>
      </c>
      <c r="D267" s="47" t="s">
        <v>7832</v>
      </c>
    </row>
    <row r="268" spans="1:4" hidden="1" x14ac:dyDescent="0.25">
      <c r="A268" s="47" t="s">
        <v>7830</v>
      </c>
      <c r="B268" s="47" t="s">
        <v>7959</v>
      </c>
      <c r="C268" s="47" t="s">
        <v>7960</v>
      </c>
      <c r="D268" s="47" t="s">
        <v>7832</v>
      </c>
    </row>
    <row r="269" spans="1:4" hidden="1" x14ac:dyDescent="0.25">
      <c r="A269" s="47" t="s">
        <v>7830</v>
      </c>
      <c r="B269" s="47" t="s">
        <v>7961</v>
      </c>
      <c r="C269" s="47" t="s">
        <v>7962</v>
      </c>
      <c r="D269" s="47" t="s">
        <v>7832</v>
      </c>
    </row>
    <row r="270" spans="1:4" hidden="1" x14ac:dyDescent="0.25">
      <c r="A270" s="47" t="s">
        <v>7830</v>
      </c>
      <c r="B270" s="47" t="s">
        <v>7963</v>
      </c>
      <c r="C270" s="47" t="s">
        <v>7964</v>
      </c>
      <c r="D270" s="47" t="s">
        <v>7832</v>
      </c>
    </row>
    <row r="271" spans="1:4" hidden="1" x14ac:dyDescent="0.25">
      <c r="A271" s="47" t="s">
        <v>7830</v>
      </c>
      <c r="B271" s="47" t="s">
        <v>7965</v>
      </c>
      <c r="C271" s="47" t="s">
        <v>7966</v>
      </c>
      <c r="D271" s="47" t="s">
        <v>7832</v>
      </c>
    </row>
    <row r="272" spans="1:4" hidden="1" x14ac:dyDescent="0.25">
      <c r="A272" s="47" t="s">
        <v>7830</v>
      </c>
      <c r="B272" s="47" t="s">
        <v>7967</v>
      </c>
      <c r="C272" s="47" t="s">
        <v>7968</v>
      </c>
      <c r="D272" s="47" t="s">
        <v>7832</v>
      </c>
    </row>
    <row r="273" spans="1:4" hidden="1" x14ac:dyDescent="0.25">
      <c r="A273" s="47" t="s">
        <v>7830</v>
      </c>
      <c r="B273" s="47" t="s">
        <v>7969</v>
      </c>
      <c r="C273" s="47" t="s">
        <v>7970</v>
      </c>
      <c r="D273" s="47" t="s">
        <v>7832</v>
      </c>
    </row>
    <row r="274" spans="1:4" hidden="1" x14ac:dyDescent="0.25">
      <c r="A274" s="47" t="s">
        <v>7830</v>
      </c>
      <c r="B274" s="47" t="s">
        <v>7971</v>
      </c>
      <c r="C274" s="47" t="s">
        <v>7972</v>
      </c>
      <c r="D274" s="47" t="s">
        <v>7832</v>
      </c>
    </row>
    <row r="275" spans="1:4" hidden="1" x14ac:dyDescent="0.25">
      <c r="A275" s="47" t="s">
        <v>7830</v>
      </c>
      <c r="B275" s="47" t="s">
        <v>7973</v>
      </c>
      <c r="C275" s="47" t="s">
        <v>7974</v>
      </c>
      <c r="D275" s="47" t="s">
        <v>7832</v>
      </c>
    </row>
    <row r="276" spans="1:4" hidden="1" x14ac:dyDescent="0.25">
      <c r="A276" s="47" t="s">
        <v>7830</v>
      </c>
      <c r="B276" s="47" t="s">
        <v>7975</v>
      </c>
      <c r="C276" s="47" t="s">
        <v>7976</v>
      </c>
      <c r="D276" s="47" t="s">
        <v>7832</v>
      </c>
    </row>
    <row r="277" spans="1:4" hidden="1" x14ac:dyDescent="0.25">
      <c r="A277" s="47" t="s">
        <v>7830</v>
      </c>
      <c r="B277" s="47" t="s">
        <v>7977</v>
      </c>
      <c r="C277" s="47" t="s">
        <v>7978</v>
      </c>
      <c r="D277" s="47" t="s">
        <v>7832</v>
      </c>
    </row>
    <row r="278" spans="1:4" hidden="1" x14ac:dyDescent="0.25">
      <c r="A278" s="47" t="s">
        <v>7830</v>
      </c>
      <c r="B278" s="47" t="s">
        <v>7979</v>
      </c>
      <c r="C278" s="47" t="s">
        <v>7980</v>
      </c>
      <c r="D278" s="47" t="s">
        <v>7832</v>
      </c>
    </row>
    <row r="279" spans="1:4" hidden="1" x14ac:dyDescent="0.25">
      <c r="A279" s="47" t="s">
        <v>7830</v>
      </c>
      <c r="B279" s="47" t="s">
        <v>7981</v>
      </c>
      <c r="C279" s="47" t="s">
        <v>7982</v>
      </c>
      <c r="D279" s="47" t="s">
        <v>7832</v>
      </c>
    </row>
    <row r="280" spans="1:4" hidden="1" x14ac:dyDescent="0.25">
      <c r="A280" s="47" t="s">
        <v>7830</v>
      </c>
      <c r="B280" s="47" t="s">
        <v>7983</v>
      </c>
      <c r="C280" s="47" t="s">
        <v>7984</v>
      </c>
      <c r="D280" s="47" t="s">
        <v>7832</v>
      </c>
    </row>
    <row r="281" spans="1:4" hidden="1" x14ac:dyDescent="0.25">
      <c r="A281" s="47" t="s">
        <v>7830</v>
      </c>
      <c r="B281" s="47" t="s">
        <v>7985</v>
      </c>
      <c r="C281" s="47" t="s">
        <v>7986</v>
      </c>
      <c r="D281" s="47" t="s">
        <v>7832</v>
      </c>
    </row>
    <row r="282" spans="1:4" hidden="1" x14ac:dyDescent="0.25">
      <c r="A282" s="47" t="s">
        <v>7830</v>
      </c>
      <c r="B282" s="47" t="s">
        <v>7987</v>
      </c>
      <c r="C282" s="47" t="s">
        <v>7988</v>
      </c>
      <c r="D282" s="47" t="s">
        <v>7832</v>
      </c>
    </row>
    <row r="283" spans="1:4" hidden="1" x14ac:dyDescent="0.25">
      <c r="A283" s="47" t="s">
        <v>7830</v>
      </c>
      <c r="B283" s="47" t="s">
        <v>7989</v>
      </c>
      <c r="C283" s="47" t="s">
        <v>7990</v>
      </c>
      <c r="D283" s="47" t="s">
        <v>7832</v>
      </c>
    </row>
    <row r="284" spans="1:4" hidden="1" x14ac:dyDescent="0.25">
      <c r="A284" s="47" t="s">
        <v>7830</v>
      </c>
      <c r="B284" s="47" t="s">
        <v>7991</v>
      </c>
      <c r="C284" s="47" t="s">
        <v>7992</v>
      </c>
      <c r="D284" s="47" t="s">
        <v>7832</v>
      </c>
    </row>
    <row r="285" spans="1:4" hidden="1" x14ac:dyDescent="0.25">
      <c r="A285" s="47" t="s">
        <v>7830</v>
      </c>
      <c r="B285" s="47" t="s">
        <v>7993</v>
      </c>
      <c r="C285" s="47" t="s">
        <v>7994</v>
      </c>
      <c r="D285" s="47" t="s">
        <v>7832</v>
      </c>
    </row>
    <row r="286" spans="1:4" hidden="1" x14ac:dyDescent="0.25">
      <c r="A286" s="47" t="s">
        <v>7830</v>
      </c>
      <c r="B286" s="47" t="s">
        <v>7995</v>
      </c>
      <c r="C286" s="47" t="s">
        <v>7996</v>
      </c>
      <c r="D286" s="47" t="s">
        <v>7832</v>
      </c>
    </row>
    <row r="287" spans="1:4" hidden="1" x14ac:dyDescent="0.25">
      <c r="A287" s="47" t="s">
        <v>7830</v>
      </c>
      <c r="B287" s="47" t="s">
        <v>7997</v>
      </c>
      <c r="C287" s="47" t="s">
        <v>7998</v>
      </c>
      <c r="D287" s="47" t="s">
        <v>7832</v>
      </c>
    </row>
    <row r="288" spans="1:4" hidden="1" x14ac:dyDescent="0.25">
      <c r="A288" s="47" t="s">
        <v>7830</v>
      </c>
      <c r="B288" s="47" t="s">
        <v>7999</v>
      </c>
      <c r="C288" s="47" t="s">
        <v>8000</v>
      </c>
      <c r="D288" s="47" t="s">
        <v>7832</v>
      </c>
    </row>
    <row r="289" spans="1:4" hidden="1" x14ac:dyDescent="0.25">
      <c r="A289" s="47" t="s">
        <v>7830</v>
      </c>
      <c r="B289" s="47" t="s">
        <v>8001</v>
      </c>
      <c r="C289" s="47" t="s">
        <v>8002</v>
      </c>
      <c r="D289" s="47" t="s">
        <v>7832</v>
      </c>
    </row>
    <row r="290" spans="1:4" hidden="1" x14ac:dyDescent="0.25">
      <c r="A290" s="47" t="s">
        <v>7830</v>
      </c>
      <c r="B290" s="47" t="s">
        <v>8003</v>
      </c>
      <c r="C290" s="47" t="s">
        <v>8004</v>
      </c>
      <c r="D290" s="47" t="s">
        <v>7832</v>
      </c>
    </row>
    <row r="291" spans="1:4" hidden="1" x14ac:dyDescent="0.25">
      <c r="A291" s="47" t="s">
        <v>7830</v>
      </c>
      <c r="B291" s="47" t="s">
        <v>8005</v>
      </c>
      <c r="C291" s="47" t="s">
        <v>8006</v>
      </c>
      <c r="D291" s="47" t="s">
        <v>7832</v>
      </c>
    </row>
    <row r="292" spans="1:4" hidden="1" x14ac:dyDescent="0.25">
      <c r="A292" s="47" t="s">
        <v>7830</v>
      </c>
      <c r="B292" s="47" t="s">
        <v>8007</v>
      </c>
      <c r="C292" s="47" t="s">
        <v>8008</v>
      </c>
      <c r="D292" s="47" t="s">
        <v>7832</v>
      </c>
    </row>
    <row r="293" spans="1:4" hidden="1" x14ac:dyDescent="0.25">
      <c r="A293" s="47" t="s">
        <v>7830</v>
      </c>
      <c r="B293" s="47" t="s">
        <v>8009</v>
      </c>
      <c r="C293" s="47" t="s">
        <v>8010</v>
      </c>
      <c r="D293" s="47" t="s">
        <v>7832</v>
      </c>
    </row>
    <row r="294" spans="1:4" hidden="1" x14ac:dyDescent="0.25">
      <c r="A294" s="47" t="s">
        <v>7830</v>
      </c>
      <c r="B294" s="47" t="s">
        <v>8011</v>
      </c>
      <c r="C294" s="47" t="s">
        <v>8012</v>
      </c>
      <c r="D294" s="47" t="s">
        <v>7832</v>
      </c>
    </row>
    <row r="295" spans="1:4" hidden="1" x14ac:dyDescent="0.25">
      <c r="A295" s="47" t="s">
        <v>7830</v>
      </c>
      <c r="B295" s="47" t="s">
        <v>8013</v>
      </c>
      <c r="C295" s="47" t="s">
        <v>8014</v>
      </c>
      <c r="D295" s="47" t="s">
        <v>7832</v>
      </c>
    </row>
    <row r="296" spans="1:4" hidden="1" x14ac:dyDescent="0.25">
      <c r="A296" s="47" t="s">
        <v>7830</v>
      </c>
      <c r="B296" s="47">
        <v>1018</v>
      </c>
      <c r="C296" s="47" t="s">
        <v>8015</v>
      </c>
      <c r="D296" s="47" t="s">
        <v>7832</v>
      </c>
    </row>
    <row r="297" spans="1:4" hidden="1" x14ac:dyDescent="0.25">
      <c r="A297" s="47" t="s">
        <v>7830</v>
      </c>
      <c r="B297" s="47">
        <v>1019</v>
      </c>
      <c r="C297" s="47" t="s">
        <v>8016</v>
      </c>
      <c r="D297" s="47" t="s">
        <v>7832</v>
      </c>
    </row>
    <row r="298" spans="1:4" hidden="1" x14ac:dyDescent="0.25">
      <c r="A298" s="47" t="s">
        <v>7830</v>
      </c>
      <c r="B298" s="47">
        <v>1020</v>
      </c>
      <c r="C298" s="47" t="s">
        <v>8017</v>
      </c>
      <c r="D298" s="47" t="s">
        <v>7832</v>
      </c>
    </row>
    <row r="299" spans="1:4" hidden="1" x14ac:dyDescent="0.25">
      <c r="A299" s="47" t="s">
        <v>7830</v>
      </c>
      <c r="B299" s="47" t="s">
        <v>8018</v>
      </c>
      <c r="C299" s="47" t="s">
        <v>8019</v>
      </c>
      <c r="D299" s="47" t="s">
        <v>7832</v>
      </c>
    </row>
    <row r="300" spans="1:4" hidden="1" x14ac:dyDescent="0.25">
      <c r="A300" s="47" t="s">
        <v>7830</v>
      </c>
      <c r="B300" s="47" t="s">
        <v>8020</v>
      </c>
      <c r="C300" s="47" t="s">
        <v>8021</v>
      </c>
      <c r="D300" s="47" t="s">
        <v>7832</v>
      </c>
    </row>
    <row r="301" spans="1:4" hidden="1" x14ac:dyDescent="0.25">
      <c r="A301" s="47" t="s">
        <v>7830</v>
      </c>
      <c r="B301" s="47" t="s">
        <v>8022</v>
      </c>
      <c r="C301" s="47" t="s">
        <v>8023</v>
      </c>
      <c r="D301" s="47" t="s">
        <v>7832</v>
      </c>
    </row>
    <row r="302" spans="1:4" hidden="1" x14ac:dyDescent="0.25">
      <c r="A302" s="47" t="s">
        <v>7830</v>
      </c>
      <c r="B302" s="47" t="s">
        <v>8024</v>
      </c>
      <c r="C302" s="47" t="s">
        <v>8025</v>
      </c>
      <c r="D302" s="47" t="s">
        <v>7832</v>
      </c>
    </row>
    <row r="303" spans="1:4" hidden="1" x14ac:dyDescent="0.25">
      <c r="A303" s="47" t="s">
        <v>7830</v>
      </c>
      <c r="B303" s="47">
        <v>1021</v>
      </c>
      <c r="C303" s="47" t="s">
        <v>8026</v>
      </c>
      <c r="D303" s="47" t="s">
        <v>7832</v>
      </c>
    </row>
    <row r="304" spans="1:4" hidden="1" x14ac:dyDescent="0.25">
      <c r="A304" s="47" t="s">
        <v>7830</v>
      </c>
      <c r="B304" s="47">
        <v>1022</v>
      </c>
      <c r="C304" s="47" t="s">
        <v>8027</v>
      </c>
      <c r="D304" s="47" t="s">
        <v>7832</v>
      </c>
    </row>
    <row r="305" spans="1:4" hidden="1" x14ac:dyDescent="0.25">
      <c r="A305" s="47" t="s">
        <v>7830</v>
      </c>
      <c r="B305" s="47" t="s">
        <v>8028</v>
      </c>
      <c r="C305" s="47" t="s">
        <v>8029</v>
      </c>
      <c r="D305" s="47" t="s">
        <v>7832</v>
      </c>
    </row>
    <row r="306" spans="1:4" hidden="1" x14ac:dyDescent="0.25">
      <c r="A306" s="47" t="s">
        <v>7830</v>
      </c>
      <c r="B306" s="47" t="s">
        <v>8030</v>
      </c>
      <c r="C306" s="47" t="s">
        <v>8031</v>
      </c>
      <c r="D306" s="47" t="s">
        <v>7832</v>
      </c>
    </row>
    <row r="307" spans="1:4" hidden="1" x14ac:dyDescent="0.25">
      <c r="A307" s="47" t="s">
        <v>7830</v>
      </c>
      <c r="B307" s="47" t="s">
        <v>8032</v>
      </c>
      <c r="C307" s="47" t="s">
        <v>8033</v>
      </c>
      <c r="D307" s="47" t="s">
        <v>7832</v>
      </c>
    </row>
    <row r="308" spans="1:4" hidden="1" x14ac:dyDescent="0.25">
      <c r="A308" s="47" t="s">
        <v>7830</v>
      </c>
      <c r="B308" s="47" t="s">
        <v>8034</v>
      </c>
      <c r="C308" s="47" t="s">
        <v>8035</v>
      </c>
      <c r="D308" s="47" t="s">
        <v>7832</v>
      </c>
    </row>
    <row r="309" spans="1:4" hidden="1" x14ac:dyDescent="0.25">
      <c r="A309" s="47" t="s">
        <v>7830</v>
      </c>
      <c r="B309" s="47" t="s">
        <v>8036</v>
      </c>
      <c r="C309" s="47" t="s">
        <v>8037</v>
      </c>
      <c r="D309" s="47" t="s">
        <v>7832</v>
      </c>
    </row>
    <row r="310" spans="1:4" hidden="1" x14ac:dyDescent="0.25">
      <c r="A310" s="47" t="s">
        <v>7830</v>
      </c>
      <c r="B310" s="47" t="s">
        <v>8038</v>
      </c>
      <c r="C310" s="47" t="s">
        <v>8039</v>
      </c>
      <c r="D310" s="47" t="s">
        <v>7832</v>
      </c>
    </row>
    <row r="311" spans="1:4" hidden="1" x14ac:dyDescent="0.25">
      <c r="A311" s="47" t="s">
        <v>7830</v>
      </c>
      <c r="B311" s="47" t="s">
        <v>8040</v>
      </c>
      <c r="C311" s="47" t="s">
        <v>8041</v>
      </c>
      <c r="D311" s="47" t="s">
        <v>7832</v>
      </c>
    </row>
    <row r="312" spans="1:4" hidden="1" x14ac:dyDescent="0.25">
      <c r="A312" s="47" t="s">
        <v>7830</v>
      </c>
      <c r="B312" s="47" t="s">
        <v>8042</v>
      </c>
      <c r="C312" s="47" t="s">
        <v>8043</v>
      </c>
      <c r="D312" s="47" t="s">
        <v>7832</v>
      </c>
    </row>
    <row r="313" spans="1:4" hidden="1" x14ac:dyDescent="0.25">
      <c r="A313" s="47" t="s">
        <v>7830</v>
      </c>
      <c r="B313" s="47">
        <v>1023</v>
      </c>
      <c r="C313" s="47" t="s">
        <v>8044</v>
      </c>
      <c r="D313" s="47" t="s">
        <v>7832</v>
      </c>
    </row>
    <row r="314" spans="1:4" hidden="1" x14ac:dyDescent="0.25">
      <c r="A314" s="47" t="s">
        <v>7830</v>
      </c>
      <c r="B314" s="47">
        <v>1024</v>
      </c>
      <c r="C314" s="47" t="s">
        <v>8045</v>
      </c>
      <c r="D314" s="47" t="s">
        <v>7832</v>
      </c>
    </row>
    <row r="315" spans="1:4" hidden="1" x14ac:dyDescent="0.25">
      <c r="A315" s="47" t="s">
        <v>7830</v>
      </c>
      <c r="B315" s="47" t="s">
        <v>8046</v>
      </c>
      <c r="C315" s="47" t="s">
        <v>8047</v>
      </c>
      <c r="D315" s="47" t="s">
        <v>7832</v>
      </c>
    </row>
    <row r="316" spans="1:4" hidden="1" x14ac:dyDescent="0.25">
      <c r="A316" s="47" t="s">
        <v>7830</v>
      </c>
      <c r="B316" s="47" t="s">
        <v>8048</v>
      </c>
      <c r="C316" s="47" t="s">
        <v>8049</v>
      </c>
      <c r="D316" s="47" t="s">
        <v>7832</v>
      </c>
    </row>
    <row r="317" spans="1:4" hidden="1" x14ac:dyDescent="0.25">
      <c r="A317" s="47" t="s">
        <v>7830</v>
      </c>
      <c r="B317" s="47" t="s">
        <v>8050</v>
      </c>
      <c r="C317" s="47" t="s">
        <v>8051</v>
      </c>
      <c r="D317" s="47" t="s">
        <v>7832</v>
      </c>
    </row>
    <row r="318" spans="1:4" hidden="1" x14ac:dyDescent="0.25">
      <c r="A318" s="47" t="s">
        <v>7830</v>
      </c>
      <c r="B318" s="47" t="s">
        <v>8052</v>
      </c>
      <c r="C318" s="47" t="s">
        <v>8053</v>
      </c>
      <c r="D318" s="47" t="s">
        <v>7832</v>
      </c>
    </row>
    <row r="319" spans="1:4" hidden="1" x14ac:dyDescent="0.25">
      <c r="A319" s="47" t="s">
        <v>7830</v>
      </c>
      <c r="B319" s="47" t="s">
        <v>8054</v>
      </c>
      <c r="C319" s="47" t="s">
        <v>8055</v>
      </c>
      <c r="D319" s="47" t="s">
        <v>7832</v>
      </c>
    </row>
    <row r="320" spans="1:4" hidden="1" x14ac:dyDescent="0.25">
      <c r="A320" s="47" t="s">
        <v>7830</v>
      </c>
      <c r="B320" s="47" t="s">
        <v>8056</v>
      </c>
      <c r="C320" s="47" t="s">
        <v>8057</v>
      </c>
      <c r="D320" s="47" t="s">
        <v>7832</v>
      </c>
    </row>
    <row r="321" spans="1:4" hidden="1" x14ac:dyDescent="0.25">
      <c r="A321" s="47" t="s">
        <v>7830</v>
      </c>
      <c r="B321" s="47">
        <v>1026</v>
      </c>
      <c r="C321" s="47" t="s">
        <v>8058</v>
      </c>
      <c r="D321" s="47" t="s">
        <v>7832</v>
      </c>
    </row>
    <row r="322" spans="1:4" hidden="1" x14ac:dyDescent="0.25">
      <c r="A322" s="47" t="s">
        <v>7830</v>
      </c>
      <c r="B322" s="47" t="s">
        <v>8059</v>
      </c>
      <c r="C322" s="47" t="s">
        <v>8060</v>
      </c>
      <c r="D322" s="47" t="s">
        <v>7832</v>
      </c>
    </row>
    <row r="323" spans="1:4" hidden="1" x14ac:dyDescent="0.25">
      <c r="A323" s="47" t="s">
        <v>7830</v>
      </c>
      <c r="B323" s="47" t="s">
        <v>8061</v>
      </c>
      <c r="C323" s="47" t="s">
        <v>8062</v>
      </c>
      <c r="D323" s="47" t="s">
        <v>7832</v>
      </c>
    </row>
    <row r="324" spans="1:4" hidden="1" x14ac:dyDescent="0.25">
      <c r="A324" s="47" t="s">
        <v>7830</v>
      </c>
      <c r="B324" s="47" t="s">
        <v>8063</v>
      </c>
      <c r="C324" s="47" t="s">
        <v>8064</v>
      </c>
      <c r="D324" s="47" t="s">
        <v>7832</v>
      </c>
    </row>
    <row r="325" spans="1:4" hidden="1" x14ac:dyDescent="0.25">
      <c r="A325" s="47" t="s">
        <v>7830</v>
      </c>
      <c r="B325" s="47" t="s">
        <v>8065</v>
      </c>
      <c r="C325" s="47" t="s">
        <v>8066</v>
      </c>
      <c r="D325" s="47" t="s">
        <v>7832</v>
      </c>
    </row>
    <row r="326" spans="1:4" hidden="1" x14ac:dyDescent="0.25">
      <c r="A326" s="47" t="s">
        <v>7830</v>
      </c>
      <c r="B326" s="47" t="s">
        <v>8067</v>
      </c>
      <c r="C326" s="47" t="s">
        <v>8068</v>
      </c>
      <c r="D326" s="47" t="s">
        <v>7832</v>
      </c>
    </row>
    <row r="327" spans="1:4" hidden="1" x14ac:dyDescent="0.25">
      <c r="A327" s="47" t="s">
        <v>7830</v>
      </c>
      <c r="B327" s="47">
        <v>1028</v>
      </c>
      <c r="C327" s="47" t="s">
        <v>8069</v>
      </c>
      <c r="D327" s="47" t="s">
        <v>7832</v>
      </c>
    </row>
    <row r="328" spans="1:4" hidden="1" x14ac:dyDescent="0.25">
      <c r="A328" s="47" t="s">
        <v>7830</v>
      </c>
      <c r="B328" s="47">
        <v>1029</v>
      </c>
      <c r="C328" s="47" t="s">
        <v>8070</v>
      </c>
      <c r="D328" s="47" t="s">
        <v>7832</v>
      </c>
    </row>
    <row r="329" spans="1:4" hidden="1" x14ac:dyDescent="0.25">
      <c r="A329" s="47" t="s">
        <v>7830</v>
      </c>
      <c r="B329" s="47">
        <v>1030</v>
      </c>
      <c r="C329" s="47" t="s">
        <v>8071</v>
      </c>
      <c r="D329" s="47" t="s">
        <v>7832</v>
      </c>
    </row>
    <row r="330" spans="1:4" hidden="1" x14ac:dyDescent="0.25">
      <c r="A330" s="47" t="s">
        <v>7830</v>
      </c>
      <c r="B330" s="47" t="s">
        <v>8072</v>
      </c>
      <c r="C330" s="47" t="s">
        <v>8073</v>
      </c>
      <c r="D330" s="47" t="s">
        <v>7832</v>
      </c>
    </row>
    <row r="331" spans="1:4" hidden="1" x14ac:dyDescent="0.25">
      <c r="A331" s="47" t="s">
        <v>7830</v>
      </c>
      <c r="B331" s="47" t="s">
        <v>8074</v>
      </c>
      <c r="C331" s="47" t="s">
        <v>8075</v>
      </c>
      <c r="D331" s="47" t="s">
        <v>7832</v>
      </c>
    </row>
    <row r="332" spans="1:4" hidden="1" x14ac:dyDescent="0.25">
      <c r="A332" s="47" t="s">
        <v>7830</v>
      </c>
      <c r="B332" s="47" t="s">
        <v>8076</v>
      </c>
      <c r="C332" s="47" t="s">
        <v>8077</v>
      </c>
      <c r="D332" s="47" t="s">
        <v>7832</v>
      </c>
    </row>
    <row r="333" spans="1:4" hidden="1" x14ac:dyDescent="0.25">
      <c r="A333" s="47" t="s">
        <v>7830</v>
      </c>
      <c r="B333" s="47" t="s">
        <v>8078</v>
      </c>
      <c r="C333" s="47" t="s">
        <v>8079</v>
      </c>
      <c r="D333" s="47" t="s">
        <v>7832</v>
      </c>
    </row>
    <row r="334" spans="1:4" hidden="1" x14ac:dyDescent="0.25">
      <c r="A334" s="47" t="s">
        <v>7830</v>
      </c>
      <c r="B334" s="47" t="s">
        <v>8080</v>
      </c>
      <c r="C334" s="47" t="s">
        <v>8081</v>
      </c>
      <c r="D334" s="47" t="s">
        <v>7832</v>
      </c>
    </row>
    <row r="335" spans="1:4" hidden="1" x14ac:dyDescent="0.25">
      <c r="A335" s="47" t="s">
        <v>7830</v>
      </c>
      <c r="B335" s="47" t="s">
        <v>8082</v>
      </c>
      <c r="C335" s="47" t="s">
        <v>8083</v>
      </c>
      <c r="D335" s="47" t="s">
        <v>7832</v>
      </c>
    </row>
    <row r="336" spans="1:4" hidden="1" x14ac:dyDescent="0.25">
      <c r="A336" s="47" t="s">
        <v>7830</v>
      </c>
      <c r="B336" s="47" t="s">
        <v>8084</v>
      </c>
      <c r="C336" s="47" t="s">
        <v>8085</v>
      </c>
      <c r="D336" s="47" t="s">
        <v>7832</v>
      </c>
    </row>
    <row r="337" spans="1:4" hidden="1" x14ac:dyDescent="0.25">
      <c r="A337" s="47" t="s">
        <v>7830</v>
      </c>
      <c r="B337" s="47" t="s">
        <v>8086</v>
      </c>
      <c r="C337" s="47" t="s">
        <v>8087</v>
      </c>
      <c r="D337" s="47" t="s">
        <v>7832</v>
      </c>
    </row>
    <row r="338" spans="1:4" hidden="1" x14ac:dyDescent="0.25">
      <c r="A338" s="47" t="s">
        <v>7830</v>
      </c>
      <c r="B338" s="47" t="s">
        <v>8088</v>
      </c>
      <c r="C338" s="47" t="s">
        <v>8089</v>
      </c>
      <c r="D338" s="47" t="s">
        <v>7832</v>
      </c>
    </row>
    <row r="339" spans="1:4" hidden="1" x14ac:dyDescent="0.25">
      <c r="A339" s="47" t="s">
        <v>7830</v>
      </c>
      <c r="B339" s="47" t="s">
        <v>8090</v>
      </c>
      <c r="C339" s="47" t="s">
        <v>8091</v>
      </c>
      <c r="D339" s="47" t="s">
        <v>7832</v>
      </c>
    </row>
    <row r="340" spans="1:4" hidden="1" x14ac:dyDescent="0.25">
      <c r="A340" s="47" t="s">
        <v>7830</v>
      </c>
      <c r="B340" s="47" t="s">
        <v>8092</v>
      </c>
      <c r="C340" s="47" t="s">
        <v>8093</v>
      </c>
      <c r="D340" s="47" t="s">
        <v>7832</v>
      </c>
    </row>
    <row r="341" spans="1:4" hidden="1" x14ac:dyDescent="0.25">
      <c r="A341" s="47" t="s">
        <v>7830</v>
      </c>
      <c r="B341" s="47" t="s">
        <v>8094</v>
      </c>
      <c r="C341" s="47" t="s">
        <v>8095</v>
      </c>
      <c r="D341" s="47" t="s">
        <v>7832</v>
      </c>
    </row>
    <row r="342" spans="1:4" hidden="1" x14ac:dyDescent="0.25">
      <c r="A342" s="47" t="s">
        <v>7830</v>
      </c>
      <c r="B342" s="47" t="s">
        <v>8096</v>
      </c>
      <c r="C342" s="47" t="s">
        <v>8097</v>
      </c>
      <c r="D342" s="47" t="s">
        <v>7832</v>
      </c>
    </row>
    <row r="343" spans="1:4" hidden="1" x14ac:dyDescent="0.25">
      <c r="A343" s="47" t="s">
        <v>7830</v>
      </c>
      <c r="B343" s="47" t="s">
        <v>8098</v>
      </c>
      <c r="C343" s="47" t="s">
        <v>8099</v>
      </c>
      <c r="D343" s="47" t="s">
        <v>7832</v>
      </c>
    </row>
    <row r="344" spans="1:4" hidden="1" x14ac:dyDescent="0.25">
      <c r="A344" s="47" t="s">
        <v>7830</v>
      </c>
      <c r="B344" s="47" t="s">
        <v>8100</v>
      </c>
      <c r="C344" s="47" t="s">
        <v>8101</v>
      </c>
      <c r="D344" s="47" t="s">
        <v>7832</v>
      </c>
    </row>
    <row r="345" spans="1:4" hidden="1" x14ac:dyDescent="0.25">
      <c r="A345" s="47" t="s">
        <v>7830</v>
      </c>
      <c r="B345" s="47" t="s">
        <v>8102</v>
      </c>
      <c r="C345" s="47" t="s">
        <v>8103</v>
      </c>
      <c r="D345" s="47" t="s">
        <v>7832</v>
      </c>
    </row>
    <row r="346" spans="1:4" hidden="1" x14ac:dyDescent="0.25">
      <c r="A346" s="47" t="s">
        <v>7830</v>
      </c>
      <c r="B346" s="47" t="s">
        <v>8104</v>
      </c>
      <c r="C346" s="47" t="s">
        <v>8105</v>
      </c>
      <c r="D346" s="47" t="s">
        <v>7832</v>
      </c>
    </row>
    <row r="347" spans="1:4" hidden="1" x14ac:dyDescent="0.25">
      <c r="A347" s="47" t="s">
        <v>7830</v>
      </c>
      <c r="B347" s="47" t="s">
        <v>8106</v>
      </c>
      <c r="C347" s="47" t="s">
        <v>8107</v>
      </c>
      <c r="D347" s="47" t="s">
        <v>7832</v>
      </c>
    </row>
    <row r="348" spans="1:4" x14ac:dyDescent="0.25">
      <c r="A348" s="47" t="s">
        <v>7830</v>
      </c>
      <c r="B348" s="47" t="s">
        <v>8108</v>
      </c>
      <c r="C348" s="47" t="s">
        <v>8109</v>
      </c>
      <c r="D348" s="47" t="s">
        <v>7832</v>
      </c>
    </row>
    <row r="349" spans="1:4" x14ac:dyDescent="0.25">
      <c r="A349" s="47" t="s">
        <v>7830</v>
      </c>
      <c r="B349" s="47" t="s">
        <v>8110</v>
      </c>
      <c r="C349" s="47" t="s">
        <v>8111</v>
      </c>
      <c r="D349" s="47" t="s">
        <v>7832</v>
      </c>
    </row>
    <row r="350" spans="1:4" hidden="1" x14ac:dyDescent="0.25">
      <c r="A350" s="47" t="s">
        <v>7830</v>
      </c>
      <c r="B350" s="47" t="s">
        <v>8112</v>
      </c>
      <c r="C350" s="47" t="s">
        <v>8113</v>
      </c>
      <c r="D350" s="47" t="s">
        <v>7832</v>
      </c>
    </row>
    <row r="351" spans="1:4" hidden="1" x14ac:dyDescent="0.25">
      <c r="A351" s="47" t="s">
        <v>7830</v>
      </c>
      <c r="B351" s="47" t="s">
        <v>8114</v>
      </c>
      <c r="C351" s="47" t="s">
        <v>8115</v>
      </c>
      <c r="D351" s="47" t="s">
        <v>7832</v>
      </c>
    </row>
    <row r="352" spans="1:4" hidden="1" x14ac:dyDescent="0.25">
      <c r="A352" s="47" t="s">
        <v>7830</v>
      </c>
      <c r="B352" s="47" t="s">
        <v>8116</v>
      </c>
      <c r="C352" s="47" t="s">
        <v>8117</v>
      </c>
      <c r="D352" s="47" t="s">
        <v>7832</v>
      </c>
    </row>
    <row r="353" spans="1:4" hidden="1" x14ac:dyDescent="0.25">
      <c r="A353" s="47" t="s">
        <v>7830</v>
      </c>
      <c r="B353" s="47" t="s">
        <v>8118</v>
      </c>
      <c r="C353" s="47" t="s">
        <v>8119</v>
      </c>
      <c r="D353" s="47" t="s">
        <v>7832</v>
      </c>
    </row>
    <row r="354" spans="1:4" hidden="1" x14ac:dyDescent="0.25">
      <c r="A354" s="47" t="s">
        <v>7830</v>
      </c>
      <c r="B354" s="47">
        <v>1032</v>
      </c>
      <c r="C354" s="47" t="s">
        <v>8120</v>
      </c>
      <c r="D354" s="47" t="s">
        <v>7832</v>
      </c>
    </row>
    <row r="355" spans="1:4" hidden="1" x14ac:dyDescent="0.25">
      <c r="A355" s="47" t="s">
        <v>7830</v>
      </c>
      <c r="B355" s="47" t="s">
        <v>8121</v>
      </c>
      <c r="C355" s="47" t="s">
        <v>8122</v>
      </c>
      <c r="D355" s="47" t="s">
        <v>7832</v>
      </c>
    </row>
    <row r="356" spans="1:4" hidden="1" x14ac:dyDescent="0.25">
      <c r="A356" s="47" t="s">
        <v>7830</v>
      </c>
      <c r="B356" s="47" t="s">
        <v>8123</v>
      </c>
      <c r="C356" s="47" t="s">
        <v>8124</v>
      </c>
      <c r="D356" s="47" t="s">
        <v>7832</v>
      </c>
    </row>
    <row r="357" spans="1:4" hidden="1" x14ac:dyDescent="0.25">
      <c r="A357" s="47" t="s">
        <v>7830</v>
      </c>
      <c r="B357" s="47" t="s">
        <v>8125</v>
      </c>
      <c r="C357" s="47" t="s">
        <v>8126</v>
      </c>
      <c r="D357" s="47" t="s">
        <v>7832</v>
      </c>
    </row>
    <row r="358" spans="1:4" hidden="1" x14ac:dyDescent="0.25">
      <c r="A358" s="47" t="s">
        <v>7830</v>
      </c>
      <c r="B358" s="47" t="s">
        <v>8127</v>
      </c>
      <c r="C358" s="47" t="s">
        <v>8128</v>
      </c>
      <c r="D358" s="47" t="s">
        <v>7832</v>
      </c>
    </row>
    <row r="359" spans="1:4" hidden="1" x14ac:dyDescent="0.25">
      <c r="A359" s="47" t="s">
        <v>7830</v>
      </c>
      <c r="B359" s="47" t="s">
        <v>8129</v>
      </c>
      <c r="C359" s="47" t="s">
        <v>8130</v>
      </c>
      <c r="D359" s="47" t="s">
        <v>7832</v>
      </c>
    </row>
    <row r="360" spans="1:4" hidden="1" x14ac:dyDescent="0.25">
      <c r="A360" s="47" t="s">
        <v>7830</v>
      </c>
      <c r="B360" s="47" t="s">
        <v>8131</v>
      </c>
      <c r="C360" s="47" t="s">
        <v>8132</v>
      </c>
      <c r="D360" s="47" t="s">
        <v>7832</v>
      </c>
    </row>
    <row r="361" spans="1:4" hidden="1" x14ac:dyDescent="0.25">
      <c r="A361" s="47" t="s">
        <v>7830</v>
      </c>
      <c r="B361" s="47">
        <v>1033</v>
      </c>
      <c r="C361" s="47" t="s">
        <v>8133</v>
      </c>
      <c r="D361" s="47" t="s">
        <v>7832</v>
      </c>
    </row>
    <row r="362" spans="1:4" hidden="1" x14ac:dyDescent="0.25">
      <c r="A362" s="47" t="s">
        <v>7830</v>
      </c>
      <c r="B362" s="47">
        <v>1034</v>
      </c>
      <c r="C362" s="47" t="s">
        <v>8134</v>
      </c>
      <c r="D362" s="47" t="s">
        <v>7832</v>
      </c>
    </row>
    <row r="363" spans="1:4" hidden="1" x14ac:dyDescent="0.25">
      <c r="A363" s="47" t="s">
        <v>7830</v>
      </c>
      <c r="B363" s="47" t="s">
        <v>8135</v>
      </c>
      <c r="C363" s="47" t="s">
        <v>8136</v>
      </c>
      <c r="D363" s="47" t="s">
        <v>7832</v>
      </c>
    </row>
    <row r="364" spans="1:4" hidden="1" x14ac:dyDescent="0.25">
      <c r="A364" s="47" t="s">
        <v>7830</v>
      </c>
      <c r="B364" s="47">
        <v>1035</v>
      </c>
      <c r="C364" s="47" t="s">
        <v>8137</v>
      </c>
      <c r="D364" s="47" t="s">
        <v>7832</v>
      </c>
    </row>
    <row r="365" spans="1:4" hidden="1" x14ac:dyDescent="0.25">
      <c r="A365" s="47" t="s">
        <v>7830</v>
      </c>
      <c r="B365" s="47">
        <v>1036</v>
      </c>
      <c r="C365" s="47" t="s">
        <v>8138</v>
      </c>
      <c r="D365" s="47" t="s">
        <v>7832</v>
      </c>
    </row>
    <row r="366" spans="1:4" hidden="1" x14ac:dyDescent="0.25">
      <c r="A366" s="47" t="s">
        <v>7830</v>
      </c>
      <c r="B366" s="47" t="s">
        <v>8139</v>
      </c>
      <c r="C366" s="47" t="s">
        <v>8140</v>
      </c>
      <c r="D366" s="47" t="s">
        <v>7832</v>
      </c>
    </row>
    <row r="367" spans="1:4" hidden="1" x14ac:dyDescent="0.25">
      <c r="A367" s="47" t="s">
        <v>7830</v>
      </c>
      <c r="B367" s="47" t="s">
        <v>8141</v>
      </c>
      <c r="C367" s="47" t="s">
        <v>8142</v>
      </c>
      <c r="D367" s="47" t="s">
        <v>7832</v>
      </c>
    </row>
    <row r="368" spans="1:4" hidden="1" x14ac:dyDescent="0.25">
      <c r="A368" s="47" t="s">
        <v>7830</v>
      </c>
      <c r="B368" s="47" t="s">
        <v>8143</v>
      </c>
      <c r="C368" s="47" t="s">
        <v>8144</v>
      </c>
      <c r="D368" s="47" t="s">
        <v>7832</v>
      </c>
    </row>
    <row r="369" spans="1:4" hidden="1" x14ac:dyDescent="0.25">
      <c r="A369" s="47" t="s">
        <v>7830</v>
      </c>
      <c r="B369" s="47" t="s">
        <v>8145</v>
      </c>
      <c r="C369" s="47" t="s">
        <v>8146</v>
      </c>
      <c r="D369" s="47" t="s">
        <v>7832</v>
      </c>
    </row>
    <row r="370" spans="1:4" hidden="1" x14ac:dyDescent="0.25">
      <c r="A370" s="47" t="s">
        <v>7830</v>
      </c>
      <c r="B370" s="47">
        <v>1037</v>
      </c>
      <c r="C370" s="47" t="s">
        <v>8147</v>
      </c>
      <c r="D370" s="47" t="s">
        <v>7832</v>
      </c>
    </row>
    <row r="371" spans="1:4" hidden="1" x14ac:dyDescent="0.25">
      <c r="A371" s="47" t="s">
        <v>7830</v>
      </c>
      <c r="B371" s="47" t="s">
        <v>8148</v>
      </c>
      <c r="C371" s="47" t="s">
        <v>8149</v>
      </c>
      <c r="D371" s="47" t="s">
        <v>7832</v>
      </c>
    </row>
    <row r="372" spans="1:4" hidden="1" x14ac:dyDescent="0.25">
      <c r="A372" s="47" t="s">
        <v>7830</v>
      </c>
      <c r="B372" s="47" t="s">
        <v>8150</v>
      </c>
      <c r="C372" s="47" t="s">
        <v>8151</v>
      </c>
      <c r="D372" s="47" t="s">
        <v>7832</v>
      </c>
    </row>
    <row r="373" spans="1:4" hidden="1" x14ac:dyDescent="0.25">
      <c r="A373" s="47" t="s">
        <v>7830</v>
      </c>
      <c r="B373" s="47">
        <v>1038</v>
      </c>
      <c r="C373" s="47" t="s">
        <v>8152</v>
      </c>
      <c r="D373" s="47" t="s">
        <v>7832</v>
      </c>
    </row>
    <row r="374" spans="1:4" hidden="1" x14ac:dyDescent="0.25">
      <c r="A374" s="47" t="s">
        <v>7830</v>
      </c>
      <c r="B374" s="47">
        <v>1039</v>
      </c>
      <c r="C374" s="47" t="s">
        <v>8153</v>
      </c>
      <c r="D374" s="47" t="s">
        <v>7832</v>
      </c>
    </row>
  </sheetData>
  <autoFilter ref="A1:D374" xr:uid="{3075B738-1712-450A-A0CB-9F45CEFEBE87}">
    <filterColumn colId="2">
      <filters>
        <filter val="Административно-производственные здания, административно-складские здания"/>
        <filter val="Полигоны, открытые склады"/>
        <filter val="Полигоны, открытые склады с подкрановыми путями"/>
        <filter val="Производственные и производственно-складские здания площадью более 10000 кв.м"/>
        <filter val="Производственные и производственно-складские здания площадью до 5000 кв.м"/>
        <filter val="Производственные и производственно-складские здания площадью от 5000 кв.м до 10000 кв.м"/>
        <filter val="Производственные, производственно-складские и административно-производственные здания до 100 кв. м"/>
        <filter val="Прочие складские объекты, кроме ангаров и площадью более 10 000 кв.м."/>
        <filter val="Складские здания класса А"/>
        <filter val="Складские здания, кроме ангаров, площадью до 5000 кв.м"/>
        <filter val="Складские здания, кроме ангаров, площадью от 5000 до 10000 кв.м"/>
        <filter val="Торгово-складские объекты (гипермаркеты)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C290-3B17-43AC-A40F-29575DF770C2}">
  <dimension ref="A1:E2771"/>
  <sheetViews>
    <sheetView workbookViewId="0">
      <selection activeCell="I14" sqref="I14"/>
    </sheetView>
  </sheetViews>
  <sheetFormatPr defaultRowHeight="15" x14ac:dyDescent="0.25"/>
  <cols>
    <col min="1" max="5" width="20" style="41" customWidth="1"/>
  </cols>
  <sheetData>
    <row r="1" spans="1:5" x14ac:dyDescent="0.25">
      <c r="A1" s="41" t="s">
        <v>8155</v>
      </c>
      <c r="B1" s="41" t="s">
        <v>50</v>
      </c>
      <c r="C1" s="41" t="s">
        <v>57</v>
      </c>
      <c r="D1" s="41" t="s">
        <v>40</v>
      </c>
      <c r="E1" s="41" t="s">
        <v>8156</v>
      </c>
    </row>
    <row r="2" spans="1:5" x14ac:dyDescent="0.25">
      <c r="A2" s="41" t="s">
        <v>8157</v>
      </c>
      <c r="B2" s="41" t="s">
        <v>7509</v>
      </c>
      <c r="C2" s="41" t="s">
        <v>1350</v>
      </c>
      <c r="D2" s="41" t="s">
        <v>8158</v>
      </c>
      <c r="E2" s="41">
        <v>6570</v>
      </c>
    </row>
    <row r="3" spans="1:5" x14ac:dyDescent="0.25">
      <c r="A3" s="41" t="s">
        <v>8157</v>
      </c>
      <c r="B3" s="41" t="s">
        <v>7414</v>
      </c>
      <c r="C3" s="41" t="s">
        <v>1350</v>
      </c>
      <c r="D3" s="41" t="s">
        <v>8158</v>
      </c>
      <c r="E3" s="41">
        <v>29000</v>
      </c>
    </row>
    <row r="4" spans="1:5" x14ac:dyDescent="0.25">
      <c r="A4" s="41" t="s">
        <v>8157</v>
      </c>
      <c r="B4" s="41" t="s">
        <v>67</v>
      </c>
      <c r="C4" s="41" t="s">
        <v>1350</v>
      </c>
      <c r="D4" s="41" t="s">
        <v>8159</v>
      </c>
      <c r="E4" s="41">
        <v>27300</v>
      </c>
    </row>
    <row r="5" spans="1:5" x14ac:dyDescent="0.25">
      <c r="A5" s="41" t="s">
        <v>8157</v>
      </c>
      <c r="B5" s="41" t="s">
        <v>67</v>
      </c>
      <c r="C5" s="41" t="s">
        <v>1350</v>
      </c>
      <c r="D5" s="41" t="s">
        <v>8160</v>
      </c>
      <c r="E5" s="41">
        <v>25400</v>
      </c>
    </row>
    <row r="6" spans="1:5" x14ac:dyDescent="0.25">
      <c r="A6" s="41" t="s">
        <v>8157</v>
      </c>
      <c r="B6" s="41" t="s">
        <v>67</v>
      </c>
      <c r="C6" s="41" t="s">
        <v>1350</v>
      </c>
      <c r="D6" s="41" t="s">
        <v>8161</v>
      </c>
      <c r="E6" s="41">
        <v>22900</v>
      </c>
    </row>
    <row r="7" spans="1:5" x14ac:dyDescent="0.25">
      <c r="A7" s="41" t="s">
        <v>8157</v>
      </c>
      <c r="B7" s="41" t="s">
        <v>67</v>
      </c>
      <c r="C7" s="41" t="s">
        <v>1350</v>
      </c>
      <c r="D7" s="41" t="s">
        <v>8162</v>
      </c>
      <c r="E7" s="41">
        <v>20600</v>
      </c>
    </row>
    <row r="8" spans="1:5" x14ac:dyDescent="0.25">
      <c r="A8" s="41" t="s">
        <v>8157</v>
      </c>
      <c r="B8" s="41" t="s">
        <v>7408</v>
      </c>
      <c r="C8" s="41" t="s">
        <v>1350</v>
      </c>
      <c r="D8" s="41" t="s">
        <v>8163</v>
      </c>
      <c r="E8" s="41">
        <v>33900</v>
      </c>
    </row>
    <row r="9" spans="1:5" x14ac:dyDescent="0.25">
      <c r="A9" s="41" t="s">
        <v>8157</v>
      </c>
      <c r="B9" s="41" t="s">
        <v>7408</v>
      </c>
      <c r="C9" s="41" t="s">
        <v>1350</v>
      </c>
      <c r="D9" s="41" t="s">
        <v>8164</v>
      </c>
      <c r="E9" s="41">
        <v>32300</v>
      </c>
    </row>
    <row r="10" spans="1:5" x14ac:dyDescent="0.25">
      <c r="A10" s="41" t="s">
        <v>8157</v>
      </c>
      <c r="B10" s="41" t="s">
        <v>7408</v>
      </c>
      <c r="C10" s="41" t="s">
        <v>1350</v>
      </c>
      <c r="D10" s="41" t="s">
        <v>8165</v>
      </c>
      <c r="E10" s="41">
        <v>30200</v>
      </c>
    </row>
    <row r="11" spans="1:5" x14ac:dyDescent="0.25">
      <c r="A11" s="41" t="s">
        <v>8157</v>
      </c>
      <c r="B11" s="41" t="s">
        <v>7408</v>
      </c>
      <c r="C11" s="41" t="s">
        <v>1350</v>
      </c>
      <c r="D11" s="41" t="s">
        <v>8166</v>
      </c>
      <c r="E11" s="41">
        <v>28200</v>
      </c>
    </row>
    <row r="12" spans="1:5" x14ac:dyDescent="0.25">
      <c r="A12" s="41" t="s">
        <v>8157</v>
      </c>
      <c r="B12" s="41" t="s">
        <v>7408</v>
      </c>
      <c r="C12" s="41" t="s">
        <v>1350</v>
      </c>
      <c r="D12" s="41" t="s">
        <v>8167</v>
      </c>
      <c r="E12" s="41">
        <v>26350</v>
      </c>
    </row>
    <row r="13" spans="1:5" x14ac:dyDescent="0.25">
      <c r="A13" s="41" t="s">
        <v>8157</v>
      </c>
      <c r="B13" s="41" t="s">
        <v>7408</v>
      </c>
      <c r="C13" s="41" t="s">
        <v>1350</v>
      </c>
      <c r="D13" s="41" t="s">
        <v>8168</v>
      </c>
      <c r="E13" s="41">
        <v>24500</v>
      </c>
    </row>
    <row r="14" spans="1:5" x14ac:dyDescent="0.25">
      <c r="A14" s="41" t="s">
        <v>8157</v>
      </c>
      <c r="B14" s="41" t="s">
        <v>7409</v>
      </c>
      <c r="C14" s="41" t="s">
        <v>1350</v>
      </c>
      <c r="D14" s="41" t="s">
        <v>8169</v>
      </c>
      <c r="E14" s="41">
        <v>35256</v>
      </c>
    </row>
    <row r="15" spans="1:5" x14ac:dyDescent="0.25">
      <c r="A15" s="41" t="s">
        <v>8157</v>
      </c>
      <c r="B15" s="41" t="s">
        <v>7409</v>
      </c>
      <c r="C15" s="41" t="s">
        <v>1350</v>
      </c>
      <c r="D15" s="41" t="s">
        <v>8170</v>
      </c>
      <c r="E15" s="41">
        <v>32800</v>
      </c>
    </row>
    <row r="16" spans="1:5" x14ac:dyDescent="0.25">
      <c r="A16" s="41" t="s">
        <v>8157</v>
      </c>
      <c r="B16" s="41" t="s">
        <v>7409</v>
      </c>
      <c r="C16" s="41" t="s">
        <v>1350</v>
      </c>
      <c r="D16" s="41" t="s">
        <v>8171</v>
      </c>
      <c r="E16" s="41">
        <v>29500</v>
      </c>
    </row>
    <row r="17" spans="1:5" x14ac:dyDescent="0.25">
      <c r="A17" s="41" t="s">
        <v>8157</v>
      </c>
      <c r="B17" s="41" t="s">
        <v>7483</v>
      </c>
      <c r="C17" s="41" t="s">
        <v>1350</v>
      </c>
      <c r="D17" s="41" t="s">
        <v>8172</v>
      </c>
      <c r="E17" s="41">
        <v>23870</v>
      </c>
    </row>
    <row r="18" spans="1:5" x14ac:dyDescent="0.25">
      <c r="A18" s="41" t="s">
        <v>8157</v>
      </c>
      <c r="B18" s="41" t="s">
        <v>7483</v>
      </c>
      <c r="C18" s="41" t="s">
        <v>1350</v>
      </c>
      <c r="D18" s="41" t="s">
        <v>8173</v>
      </c>
      <c r="E18" s="41">
        <v>22200</v>
      </c>
    </row>
    <row r="19" spans="1:5" x14ac:dyDescent="0.25">
      <c r="A19" s="41" t="s">
        <v>8157</v>
      </c>
      <c r="B19" s="41" t="s">
        <v>7483</v>
      </c>
      <c r="C19" s="41" t="s">
        <v>1350</v>
      </c>
      <c r="D19" s="41" t="s">
        <v>8174</v>
      </c>
      <c r="E19" s="41">
        <v>20600</v>
      </c>
    </row>
    <row r="20" spans="1:5" x14ac:dyDescent="0.25">
      <c r="A20" s="41" t="s">
        <v>8157</v>
      </c>
      <c r="B20" s="41" t="s">
        <v>7483</v>
      </c>
      <c r="C20" s="41" t="s">
        <v>1350</v>
      </c>
      <c r="D20" s="41" t="s">
        <v>8175</v>
      </c>
      <c r="E20" s="41">
        <v>19200</v>
      </c>
    </row>
    <row r="21" spans="1:5" x14ac:dyDescent="0.25">
      <c r="A21" s="41" t="s">
        <v>8157</v>
      </c>
      <c r="B21" s="41" t="s">
        <v>7483</v>
      </c>
      <c r="C21" s="41" t="s">
        <v>1350</v>
      </c>
      <c r="D21" s="41" t="s">
        <v>8176</v>
      </c>
      <c r="E21" s="41">
        <v>17900</v>
      </c>
    </row>
    <row r="22" spans="1:5" x14ac:dyDescent="0.25">
      <c r="A22" s="41" t="s">
        <v>8157</v>
      </c>
      <c r="B22" s="41" t="s">
        <v>7410</v>
      </c>
      <c r="C22" s="41" t="s">
        <v>1350</v>
      </c>
      <c r="D22" s="41" t="s">
        <v>8177</v>
      </c>
      <c r="E22" s="41">
        <v>22700</v>
      </c>
    </row>
    <row r="23" spans="1:5" x14ac:dyDescent="0.25">
      <c r="A23" s="41" t="s">
        <v>8157</v>
      </c>
      <c r="B23" s="41" t="s">
        <v>7410</v>
      </c>
      <c r="C23" s="41" t="s">
        <v>1350</v>
      </c>
      <c r="D23" s="41" t="s">
        <v>8178</v>
      </c>
      <c r="E23" s="41">
        <v>21100</v>
      </c>
    </row>
    <row r="24" spans="1:5" x14ac:dyDescent="0.25">
      <c r="A24" s="41" t="s">
        <v>8157</v>
      </c>
      <c r="B24" s="41" t="s">
        <v>7410</v>
      </c>
      <c r="C24" s="41" t="s">
        <v>1350</v>
      </c>
      <c r="D24" s="41" t="s">
        <v>8179</v>
      </c>
      <c r="E24" s="41">
        <v>20000</v>
      </c>
    </row>
    <row r="25" spans="1:5" x14ac:dyDescent="0.25">
      <c r="A25" s="41" t="s">
        <v>8157</v>
      </c>
      <c r="B25" s="41" t="s">
        <v>7410</v>
      </c>
      <c r="C25" s="41" t="s">
        <v>1350</v>
      </c>
      <c r="D25" s="41" t="s">
        <v>8180</v>
      </c>
      <c r="E25" s="41">
        <v>19000</v>
      </c>
    </row>
    <row r="26" spans="1:5" x14ac:dyDescent="0.25">
      <c r="A26" s="41" t="s">
        <v>8157</v>
      </c>
      <c r="B26" s="41" t="s">
        <v>7410</v>
      </c>
      <c r="C26" s="41" t="s">
        <v>1350</v>
      </c>
      <c r="D26" s="41" t="s">
        <v>8181</v>
      </c>
      <c r="E26" s="41">
        <v>17700</v>
      </c>
    </row>
    <row r="27" spans="1:5" x14ac:dyDescent="0.25">
      <c r="A27" s="41" t="s">
        <v>8157</v>
      </c>
      <c r="B27" s="41" t="s">
        <v>7410</v>
      </c>
      <c r="C27" s="41" t="s">
        <v>1350</v>
      </c>
      <c r="D27" s="41" t="s">
        <v>8182</v>
      </c>
      <c r="E27" s="41">
        <v>16800</v>
      </c>
    </row>
    <row r="28" spans="1:5" x14ac:dyDescent="0.25">
      <c r="A28" s="41" t="s">
        <v>8157</v>
      </c>
      <c r="B28" s="41" t="s">
        <v>7410</v>
      </c>
      <c r="C28" s="41" t="s">
        <v>1350</v>
      </c>
      <c r="D28" s="41" t="s">
        <v>8183</v>
      </c>
      <c r="E28" s="41">
        <v>15600</v>
      </c>
    </row>
    <row r="29" spans="1:5" x14ac:dyDescent="0.25">
      <c r="A29" s="41" t="s">
        <v>8157</v>
      </c>
      <c r="B29" s="41" t="s">
        <v>7410</v>
      </c>
      <c r="C29" s="41" t="s">
        <v>1350</v>
      </c>
      <c r="D29" s="41" t="s">
        <v>8184</v>
      </c>
      <c r="E29" s="41">
        <v>14500</v>
      </c>
    </row>
    <row r="30" spans="1:5" x14ac:dyDescent="0.25">
      <c r="A30" s="41" t="s">
        <v>8157</v>
      </c>
      <c r="B30" s="41" t="s">
        <v>7407</v>
      </c>
      <c r="C30" s="41" t="s">
        <v>1350</v>
      </c>
      <c r="D30" s="41" t="s">
        <v>8185</v>
      </c>
      <c r="E30" s="41">
        <v>26900</v>
      </c>
    </row>
    <row r="31" spans="1:5" x14ac:dyDescent="0.25">
      <c r="A31" s="41" t="s">
        <v>8157</v>
      </c>
      <c r="B31" s="41" t="s">
        <v>7407</v>
      </c>
      <c r="C31" s="41" t="s">
        <v>1350</v>
      </c>
      <c r="D31" s="41" t="s">
        <v>8186</v>
      </c>
      <c r="E31" s="41">
        <v>25000</v>
      </c>
    </row>
    <row r="32" spans="1:5" x14ac:dyDescent="0.25">
      <c r="A32" s="41" t="s">
        <v>8157</v>
      </c>
      <c r="B32" s="41" t="s">
        <v>7407</v>
      </c>
      <c r="C32" s="41" t="s">
        <v>1350</v>
      </c>
      <c r="D32" s="41" t="s">
        <v>8187</v>
      </c>
      <c r="E32" s="41">
        <v>23300</v>
      </c>
    </row>
    <row r="33" spans="1:5" x14ac:dyDescent="0.25">
      <c r="A33" s="41" t="s">
        <v>8157</v>
      </c>
      <c r="B33" s="41" t="s">
        <v>7407</v>
      </c>
      <c r="C33" s="41" t="s">
        <v>1350</v>
      </c>
      <c r="D33" s="41" t="s">
        <v>8188</v>
      </c>
      <c r="E33" s="41">
        <v>21700</v>
      </c>
    </row>
    <row r="34" spans="1:5" x14ac:dyDescent="0.25">
      <c r="A34" s="41" t="s">
        <v>8157</v>
      </c>
      <c r="B34" s="41" t="s">
        <v>7407</v>
      </c>
      <c r="C34" s="41" t="s">
        <v>1350</v>
      </c>
      <c r="D34" s="41" t="s">
        <v>8189</v>
      </c>
      <c r="E34" s="41">
        <v>20200</v>
      </c>
    </row>
    <row r="35" spans="1:5" x14ac:dyDescent="0.25">
      <c r="A35" s="41" t="s">
        <v>8157</v>
      </c>
      <c r="B35" s="41" t="s">
        <v>7407</v>
      </c>
      <c r="C35" s="41" t="s">
        <v>1350</v>
      </c>
      <c r="D35" s="41" t="s">
        <v>8190</v>
      </c>
      <c r="E35" s="41">
        <v>18800</v>
      </c>
    </row>
    <row r="36" spans="1:5" x14ac:dyDescent="0.25">
      <c r="A36" s="41" t="s">
        <v>8157</v>
      </c>
      <c r="B36" s="41" t="s">
        <v>7521</v>
      </c>
      <c r="C36" s="41" t="s">
        <v>1350</v>
      </c>
      <c r="D36" s="41" t="s">
        <v>8158</v>
      </c>
      <c r="E36" s="41">
        <v>17300</v>
      </c>
    </row>
    <row r="37" spans="1:5" x14ac:dyDescent="0.25">
      <c r="A37" s="41" t="s">
        <v>8157</v>
      </c>
      <c r="B37" s="41" t="s">
        <v>7523</v>
      </c>
      <c r="C37" s="41" t="s">
        <v>1350</v>
      </c>
      <c r="D37" s="41" t="s">
        <v>8158</v>
      </c>
      <c r="E37" s="41">
        <v>9780</v>
      </c>
    </row>
    <row r="38" spans="1:5" x14ac:dyDescent="0.25">
      <c r="A38" s="41" t="s">
        <v>8157</v>
      </c>
      <c r="B38" s="41" t="s">
        <v>7484</v>
      </c>
      <c r="C38" s="41" t="s">
        <v>1350</v>
      </c>
      <c r="D38" s="41" t="s">
        <v>8158</v>
      </c>
      <c r="E38" s="41">
        <v>17400</v>
      </c>
    </row>
    <row r="39" spans="1:5" x14ac:dyDescent="0.25">
      <c r="A39" s="41" t="s">
        <v>8157</v>
      </c>
      <c r="B39" s="41" t="s">
        <v>7526</v>
      </c>
      <c r="C39" s="41" t="s">
        <v>1350</v>
      </c>
      <c r="D39" s="41" t="s">
        <v>8158</v>
      </c>
      <c r="E39" s="41">
        <v>7800</v>
      </c>
    </row>
    <row r="40" spans="1:5" x14ac:dyDescent="0.25">
      <c r="A40" s="41" t="s">
        <v>8157</v>
      </c>
      <c r="B40" s="41" t="s">
        <v>7471</v>
      </c>
      <c r="C40" s="41" t="s">
        <v>1350</v>
      </c>
      <c r="D40" s="41" t="s">
        <v>8191</v>
      </c>
      <c r="E40" s="41">
        <v>59750</v>
      </c>
    </row>
    <row r="41" spans="1:5" x14ac:dyDescent="0.25">
      <c r="A41" s="41" t="s">
        <v>8157</v>
      </c>
      <c r="B41" s="41" t="s">
        <v>7471</v>
      </c>
      <c r="C41" s="41" t="s">
        <v>1350</v>
      </c>
      <c r="D41" s="41" t="s">
        <v>8192</v>
      </c>
      <c r="E41" s="41">
        <v>58560</v>
      </c>
    </row>
    <row r="42" spans="1:5" x14ac:dyDescent="0.25">
      <c r="A42" s="41" t="s">
        <v>8157</v>
      </c>
      <c r="B42" s="41" t="s">
        <v>7471</v>
      </c>
      <c r="C42" s="41" t="s">
        <v>1350</v>
      </c>
      <c r="D42" s="41" t="s">
        <v>8193</v>
      </c>
      <c r="E42" s="41">
        <v>56800</v>
      </c>
    </row>
    <row r="43" spans="1:5" x14ac:dyDescent="0.25">
      <c r="A43" s="41" t="s">
        <v>8157</v>
      </c>
      <c r="B43" s="41" t="s">
        <v>1298</v>
      </c>
      <c r="C43" s="41" t="s">
        <v>1350</v>
      </c>
      <c r="D43" s="41" t="s">
        <v>8194</v>
      </c>
      <c r="E43" s="41">
        <v>68240</v>
      </c>
    </row>
    <row r="44" spans="1:5" x14ac:dyDescent="0.25">
      <c r="A44" s="41" t="s">
        <v>8157</v>
      </c>
      <c r="B44" s="41" t="s">
        <v>1298</v>
      </c>
      <c r="C44" s="41" t="s">
        <v>1350</v>
      </c>
      <c r="D44" s="41" t="s">
        <v>8195</v>
      </c>
      <c r="E44" s="41">
        <v>66190</v>
      </c>
    </row>
    <row r="45" spans="1:5" x14ac:dyDescent="0.25">
      <c r="A45" s="41" t="s">
        <v>8157</v>
      </c>
      <c r="B45" s="41" t="s">
        <v>1298</v>
      </c>
      <c r="C45" s="41" t="s">
        <v>1350</v>
      </c>
      <c r="D45" s="41" t="s">
        <v>8196</v>
      </c>
      <c r="E45" s="41">
        <v>64200</v>
      </c>
    </row>
    <row r="46" spans="1:5" x14ac:dyDescent="0.25">
      <c r="A46" s="41" t="s">
        <v>8157</v>
      </c>
      <c r="B46" s="41" t="s">
        <v>1298</v>
      </c>
      <c r="C46" s="41" t="s">
        <v>1350</v>
      </c>
      <c r="D46" s="41" t="s">
        <v>8197</v>
      </c>
      <c r="E46" s="41">
        <v>62270</v>
      </c>
    </row>
    <row r="47" spans="1:5" x14ac:dyDescent="0.25">
      <c r="A47" s="41" t="s">
        <v>8157</v>
      </c>
      <c r="B47" s="41" t="s">
        <v>1298</v>
      </c>
      <c r="C47" s="41" t="s">
        <v>1350</v>
      </c>
      <c r="D47" s="41" t="s">
        <v>8198</v>
      </c>
      <c r="E47" s="41">
        <v>61020</v>
      </c>
    </row>
    <row r="48" spans="1:5" x14ac:dyDescent="0.25">
      <c r="A48" s="41" t="s">
        <v>8157</v>
      </c>
      <c r="B48" s="41" t="s">
        <v>1298</v>
      </c>
      <c r="C48" s="41" t="s">
        <v>1350</v>
      </c>
      <c r="D48" s="41" t="s">
        <v>8199</v>
      </c>
      <c r="E48" s="41">
        <v>59800</v>
      </c>
    </row>
    <row r="49" spans="1:5" x14ac:dyDescent="0.25">
      <c r="A49" s="41" t="s">
        <v>8157</v>
      </c>
      <c r="B49" s="41" t="s">
        <v>1301</v>
      </c>
      <c r="C49" s="41" t="s">
        <v>1350</v>
      </c>
      <c r="D49" s="41" t="s">
        <v>8163</v>
      </c>
      <c r="E49" s="41">
        <v>67540</v>
      </c>
    </row>
    <row r="50" spans="1:5" x14ac:dyDescent="0.25">
      <c r="A50" s="41" t="s">
        <v>8157</v>
      </c>
      <c r="B50" s="41" t="s">
        <v>1301</v>
      </c>
      <c r="C50" s="41" t="s">
        <v>1350</v>
      </c>
      <c r="D50" s="41" t="s">
        <v>8200</v>
      </c>
      <c r="E50" s="41">
        <v>62800</v>
      </c>
    </row>
    <row r="51" spans="1:5" x14ac:dyDescent="0.25">
      <c r="A51" s="41" t="s">
        <v>8157</v>
      </c>
      <c r="B51" s="41" t="s">
        <v>1301</v>
      </c>
      <c r="C51" s="41" t="s">
        <v>1350</v>
      </c>
      <c r="D51" s="41" t="s">
        <v>8201</v>
      </c>
      <c r="E51" s="41">
        <v>59700</v>
      </c>
    </row>
    <row r="52" spans="1:5" x14ac:dyDescent="0.25">
      <c r="A52" s="41" t="s">
        <v>8157</v>
      </c>
      <c r="B52" s="41" t="s">
        <v>1301</v>
      </c>
      <c r="C52" s="41" t="s">
        <v>1350</v>
      </c>
      <c r="D52" s="41" t="s">
        <v>8202</v>
      </c>
      <c r="E52" s="41">
        <v>55500</v>
      </c>
    </row>
    <row r="53" spans="1:5" x14ac:dyDescent="0.25">
      <c r="A53" s="41" t="s">
        <v>8157</v>
      </c>
      <c r="B53" s="41" t="s">
        <v>1301</v>
      </c>
      <c r="C53" s="41" t="s">
        <v>1350</v>
      </c>
      <c r="D53" s="41" t="s">
        <v>8203</v>
      </c>
      <c r="E53" s="41">
        <v>52700</v>
      </c>
    </row>
    <row r="54" spans="1:5" x14ac:dyDescent="0.25">
      <c r="A54" s="41" t="s">
        <v>8157</v>
      </c>
      <c r="B54" s="41" t="s">
        <v>1301</v>
      </c>
      <c r="C54" s="41" t="s">
        <v>1350</v>
      </c>
      <c r="D54" s="41" t="s">
        <v>8204</v>
      </c>
      <c r="E54" s="41">
        <v>50100</v>
      </c>
    </row>
    <row r="55" spans="1:5" x14ac:dyDescent="0.25">
      <c r="A55" s="41" t="s">
        <v>8157</v>
      </c>
      <c r="B55" s="41" t="s">
        <v>1301</v>
      </c>
      <c r="C55" s="41" t="s">
        <v>1350</v>
      </c>
      <c r="D55" s="41" t="s">
        <v>8205</v>
      </c>
      <c r="E55" s="41">
        <v>47600</v>
      </c>
    </row>
    <row r="56" spans="1:5" x14ac:dyDescent="0.25">
      <c r="A56" s="41" t="s">
        <v>8157</v>
      </c>
      <c r="B56" s="41" t="s">
        <v>1303</v>
      </c>
      <c r="C56" s="41" t="s">
        <v>1350</v>
      </c>
      <c r="D56" s="41" t="s">
        <v>8206</v>
      </c>
      <c r="E56" s="41">
        <v>60400</v>
      </c>
    </row>
    <row r="57" spans="1:5" x14ac:dyDescent="0.25">
      <c r="A57" s="41" t="s">
        <v>8157</v>
      </c>
      <c r="B57" s="41" t="s">
        <v>1303</v>
      </c>
      <c r="C57" s="41" t="s">
        <v>1350</v>
      </c>
      <c r="D57" s="41" t="s">
        <v>8207</v>
      </c>
      <c r="E57" s="41">
        <v>58600</v>
      </c>
    </row>
    <row r="58" spans="1:5" x14ac:dyDescent="0.25">
      <c r="A58" s="41" t="s">
        <v>8157</v>
      </c>
      <c r="B58" s="41" t="s">
        <v>1303</v>
      </c>
      <c r="C58" s="41" t="s">
        <v>1350</v>
      </c>
      <c r="D58" s="41" t="s">
        <v>8208</v>
      </c>
      <c r="E58" s="41">
        <v>54500</v>
      </c>
    </row>
    <row r="59" spans="1:5" x14ac:dyDescent="0.25">
      <c r="A59" s="41" t="s">
        <v>8157</v>
      </c>
      <c r="B59" s="41" t="s">
        <v>1303</v>
      </c>
      <c r="C59" s="41" t="s">
        <v>1350</v>
      </c>
      <c r="D59" s="41" t="s">
        <v>8209</v>
      </c>
      <c r="E59" s="41">
        <v>52900</v>
      </c>
    </row>
    <row r="60" spans="1:5" x14ac:dyDescent="0.25">
      <c r="A60" s="41" t="s">
        <v>8157</v>
      </c>
      <c r="B60" s="41" t="s">
        <v>1303</v>
      </c>
      <c r="C60" s="41" t="s">
        <v>1350</v>
      </c>
      <c r="D60" s="41" t="s">
        <v>8210</v>
      </c>
      <c r="E60" s="41">
        <v>48700</v>
      </c>
    </row>
    <row r="61" spans="1:5" x14ac:dyDescent="0.25">
      <c r="A61" s="41" t="s">
        <v>8157</v>
      </c>
      <c r="B61" s="41" t="s">
        <v>1303</v>
      </c>
      <c r="C61" s="41" t="s">
        <v>1350</v>
      </c>
      <c r="D61" s="41" t="s">
        <v>8211</v>
      </c>
      <c r="E61" s="41">
        <v>47200</v>
      </c>
    </row>
    <row r="62" spans="1:5" x14ac:dyDescent="0.25">
      <c r="A62" s="41" t="s">
        <v>8157</v>
      </c>
      <c r="B62" s="41" t="s">
        <v>1305</v>
      </c>
      <c r="C62" s="41" t="s">
        <v>1350</v>
      </c>
      <c r="D62" s="41" t="s">
        <v>8212</v>
      </c>
      <c r="E62" s="41">
        <v>64780</v>
      </c>
    </row>
    <row r="63" spans="1:5" x14ac:dyDescent="0.25">
      <c r="A63" s="41" t="s">
        <v>8157</v>
      </c>
      <c r="B63" s="41" t="s">
        <v>1305</v>
      </c>
      <c r="C63" s="41" t="s">
        <v>1350</v>
      </c>
      <c r="D63" s="41" t="s">
        <v>8213</v>
      </c>
      <c r="E63" s="41">
        <v>61500</v>
      </c>
    </row>
    <row r="64" spans="1:5" x14ac:dyDescent="0.25">
      <c r="A64" s="41" t="s">
        <v>8157</v>
      </c>
      <c r="B64" s="41" t="s">
        <v>1305</v>
      </c>
      <c r="C64" s="41" t="s">
        <v>1350</v>
      </c>
      <c r="D64" s="41" t="s">
        <v>8214</v>
      </c>
      <c r="E64" s="41">
        <v>59700</v>
      </c>
    </row>
    <row r="65" spans="1:5" x14ac:dyDescent="0.25">
      <c r="A65" s="41" t="s">
        <v>8157</v>
      </c>
      <c r="B65" s="41" t="s">
        <v>1305</v>
      </c>
      <c r="C65" s="41" t="s">
        <v>1350</v>
      </c>
      <c r="D65" s="41" t="s">
        <v>8167</v>
      </c>
      <c r="E65" s="41">
        <v>57900</v>
      </c>
    </row>
    <row r="66" spans="1:5" x14ac:dyDescent="0.25">
      <c r="A66" s="41" t="s">
        <v>8157</v>
      </c>
      <c r="B66" s="41" t="s">
        <v>1305</v>
      </c>
      <c r="C66" s="41" t="s">
        <v>1350</v>
      </c>
      <c r="D66" s="41" t="s">
        <v>8215</v>
      </c>
      <c r="E66" s="41">
        <v>52700</v>
      </c>
    </row>
    <row r="67" spans="1:5" x14ac:dyDescent="0.25">
      <c r="A67" s="41" t="s">
        <v>8157</v>
      </c>
      <c r="B67" s="41" t="s">
        <v>1305</v>
      </c>
      <c r="C67" s="41" t="s">
        <v>1350</v>
      </c>
      <c r="D67" s="41" t="s">
        <v>8216</v>
      </c>
      <c r="E67" s="41">
        <v>46400</v>
      </c>
    </row>
    <row r="68" spans="1:5" x14ac:dyDescent="0.25">
      <c r="A68" s="41" t="s">
        <v>8157</v>
      </c>
      <c r="B68" s="41" t="s">
        <v>1305</v>
      </c>
      <c r="C68" s="41" t="s">
        <v>1350</v>
      </c>
      <c r="D68" s="41" t="s">
        <v>8217</v>
      </c>
      <c r="E68" s="41">
        <v>40800</v>
      </c>
    </row>
    <row r="69" spans="1:5" x14ac:dyDescent="0.25">
      <c r="A69" s="41" t="s">
        <v>8157</v>
      </c>
      <c r="B69" s="41" t="s">
        <v>1307</v>
      </c>
      <c r="C69" s="41" t="s">
        <v>1350</v>
      </c>
      <c r="D69" s="41" t="s">
        <v>8177</v>
      </c>
      <c r="E69" s="41">
        <v>49780</v>
      </c>
    </row>
    <row r="70" spans="1:5" x14ac:dyDescent="0.25">
      <c r="A70" s="41" t="s">
        <v>8157</v>
      </c>
      <c r="B70" s="41" t="s">
        <v>1307</v>
      </c>
      <c r="C70" s="41" t="s">
        <v>1350</v>
      </c>
      <c r="D70" s="41" t="s">
        <v>8178</v>
      </c>
      <c r="E70" s="41">
        <v>48300</v>
      </c>
    </row>
    <row r="71" spans="1:5" x14ac:dyDescent="0.25">
      <c r="A71" s="41" t="s">
        <v>8157</v>
      </c>
      <c r="B71" s="41" t="s">
        <v>1307</v>
      </c>
      <c r="C71" s="41" t="s">
        <v>1350</v>
      </c>
      <c r="D71" s="41" t="s">
        <v>8218</v>
      </c>
      <c r="E71" s="41">
        <v>45900</v>
      </c>
    </row>
    <row r="72" spans="1:5" x14ac:dyDescent="0.25">
      <c r="A72" s="41" t="s">
        <v>8157</v>
      </c>
      <c r="B72" s="41" t="s">
        <v>1307</v>
      </c>
      <c r="C72" s="41" t="s">
        <v>1350</v>
      </c>
      <c r="D72" s="41" t="s">
        <v>8219</v>
      </c>
      <c r="E72" s="41">
        <v>44500</v>
      </c>
    </row>
    <row r="73" spans="1:5" x14ac:dyDescent="0.25">
      <c r="A73" s="41" t="s">
        <v>8157</v>
      </c>
      <c r="B73" s="41" t="s">
        <v>1307</v>
      </c>
      <c r="C73" s="41" t="s">
        <v>1350</v>
      </c>
      <c r="D73" s="41" t="s">
        <v>8220</v>
      </c>
      <c r="E73" s="41">
        <v>42300</v>
      </c>
    </row>
    <row r="74" spans="1:5" x14ac:dyDescent="0.25">
      <c r="A74" s="41" t="s">
        <v>8157</v>
      </c>
      <c r="B74" s="41" t="s">
        <v>1307</v>
      </c>
      <c r="C74" s="41" t="s">
        <v>1350</v>
      </c>
      <c r="D74" s="41" t="s">
        <v>8221</v>
      </c>
      <c r="E74" s="41">
        <v>41000</v>
      </c>
    </row>
    <row r="75" spans="1:5" x14ac:dyDescent="0.25">
      <c r="A75" s="41" t="s">
        <v>8157</v>
      </c>
      <c r="B75" s="41" t="s">
        <v>1307</v>
      </c>
      <c r="C75" s="41" t="s">
        <v>1350</v>
      </c>
      <c r="D75" s="41" t="s">
        <v>8222</v>
      </c>
      <c r="E75" s="41">
        <v>39800</v>
      </c>
    </row>
    <row r="76" spans="1:5" x14ac:dyDescent="0.25">
      <c r="A76" s="41" t="s">
        <v>8157</v>
      </c>
      <c r="B76" s="41" t="s">
        <v>7533</v>
      </c>
      <c r="C76" s="41" t="s">
        <v>1350</v>
      </c>
      <c r="D76" s="41" t="s">
        <v>8223</v>
      </c>
      <c r="E76" s="41">
        <v>28975</v>
      </c>
    </row>
    <row r="77" spans="1:5" x14ac:dyDescent="0.25">
      <c r="A77" s="41" t="s">
        <v>8157</v>
      </c>
      <c r="B77" s="41" t="s">
        <v>7533</v>
      </c>
      <c r="C77" s="41" t="s">
        <v>1350</v>
      </c>
      <c r="D77" s="41" t="s">
        <v>8224</v>
      </c>
      <c r="E77" s="41">
        <v>27500</v>
      </c>
    </row>
    <row r="78" spans="1:5" x14ac:dyDescent="0.25">
      <c r="A78" s="41" t="s">
        <v>8157</v>
      </c>
      <c r="B78" s="41" t="s">
        <v>7533</v>
      </c>
      <c r="C78" s="41" t="s">
        <v>1350</v>
      </c>
      <c r="D78" s="41" t="s">
        <v>8225</v>
      </c>
      <c r="E78" s="41">
        <v>25600</v>
      </c>
    </row>
    <row r="79" spans="1:5" x14ac:dyDescent="0.25">
      <c r="A79" s="41" t="s">
        <v>8157</v>
      </c>
      <c r="B79" s="41" t="s">
        <v>7533</v>
      </c>
      <c r="C79" s="41" t="s">
        <v>1350</v>
      </c>
      <c r="D79" s="41" t="s">
        <v>8226</v>
      </c>
      <c r="E79" s="41">
        <v>24300</v>
      </c>
    </row>
    <row r="80" spans="1:5" x14ac:dyDescent="0.25">
      <c r="A80" s="41" t="s">
        <v>8157</v>
      </c>
      <c r="B80" s="41" t="s">
        <v>7533</v>
      </c>
      <c r="C80" s="41" t="s">
        <v>1350</v>
      </c>
      <c r="D80" s="41" t="s">
        <v>8215</v>
      </c>
      <c r="E80" s="41">
        <v>22600</v>
      </c>
    </row>
    <row r="81" spans="1:5" x14ac:dyDescent="0.25">
      <c r="A81" s="41" t="s">
        <v>8157</v>
      </c>
      <c r="B81" s="41" t="s">
        <v>7533</v>
      </c>
      <c r="C81" s="41" t="s">
        <v>1350</v>
      </c>
      <c r="D81" s="41" t="s">
        <v>8227</v>
      </c>
      <c r="E81" s="41">
        <v>21900</v>
      </c>
    </row>
    <row r="82" spans="1:5" x14ac:dyDescent="0.25">
      <c r="A82" s="41" t="s">
        <v>8157</v>
      </c>
      <c r="B82" s="41" t="s">
        <v>1309</v>
      </c>
      <c r="C82" s="41" t="s">
        <v>1350</v>
      </c>
      <c r="D82" s="41" t="s">
        <v>8228</v>
      </c>
      <c r="E82" s="41">
        <v>58840</v>
      </c>
    </row>
    <row r="83" spans="1:5" x14ac:dyDescent="0.25">
      <c r="A83" s="41" t="s">
        <v>8157</v>
      </c>
      <c r="B83" s="41" t="s">
        <v>1309</v>
      </c>
      <c r="C83" s="41" t="s">
        <v>1350</v>
      </c>
      <c r="D83" s="41" t="s">
        <v>8203</v>
      </c>
      <c r="E83" s="41">
        <v>57660</v>
      </c>
    </row>
    <row r="84" spans="1:5" x14ac:dyDescent="0.25">
      <c r="A84" s="41" t="s">
        <v>8157</v>
      </c>
      <c r="B84" s="41" t="s">
        <v>1309</v>
      </c>
      <c r="C84" s="41" t="s">
        <v>1350</v>
      </c>
      <c r="D84" s="41" t="s">
        <v>8229</v>
      </c>
      <c r="E84" s="41">
        <v>53120</v>
      </c>
    </row>
    <row r="85" spans="1:5" x14ac:dyDescent="0.25">
      <c r="A85" s="41" t="s">
        <v>8157</v>
      </c>
      <c r="B85" s="41" t="s">
        <v>1309</v>
      </c>
      <c r="C85" s="41" t="s">
        <v>1350</v>
      </c>
      <c r="D85" s="41" t="s">
        <v>8210</v>
      </c>
      <c r="E85" s="41">
        <v>44260</v>
      </c>
    </row>
    <row r="86" spans="1:5" x14ac:dyDescent="0.25">
      <c r="A86" s="41" t="s">
        <v>8157</v>
      </c>
      <c r="B86" s="41" t="s">
        <v>1309</v>
      </c>
      <c r="C86" s="41" t="s">
        <v>1350</v>
      </c>
      <c r="D86" s="41" t="s">
        <v>8230</v>
      </c>
      <c r="E86" s="41">
        <v>42050</v>
      </c>
    </row>
    <row r="87" spans="1:5" x14ac:dyDescent="0.25">
      <c r="A87" s="41" t="s">
        <v>8157</v>
      </c>
      <c r="B87" s="41" t="s">
        <v>1309</v>
      </c>
      <c r="C87" s="41" t="s">
        <v>1350</v>
      </c>
      <c r="D87" s="41" t="s">
        <v>8231</v>
      </c>
      <c r="E87" s="41">
        <v>41210</v>
      </c>
    </row>
    <row r="88" spans="1:5" x14ac:dyDescent="0.25">
      <c r="A88" s="41" t="s">
        <v>8157</v>
      </c>
      <c r="B88" s="41" t="s">
        <v>1309</v>
      </c>
      <c r="C88" s="41" t="s">
        <v>1350</v>
      </c>
      <c r="D88" s="41" t="s">
        <v>8232</v>
      </c>
      <c r="E88" s="41">
        <v>40060</v>
      </c>
    </row>
    <row r="89" spans="1:5" x14ac:dyDescent="0.25">
      <c r="A89" s="41" t="s">
        <v>8157</v>
      </c>
      <c r="B89" s="41" t="s">
        <v>7536</v>
      </c>
      <c r="C89" s="41" t="s">
        <v>1350</v>
      </c>
      <c r="D89" s="41" t="s">
        <v>8233</v>
      </c>
      <c r="E89" s="41">
        <v>38030</v>
      </c>
    </row>
    <row r="90" spans="1:5" x14ac:dyDescent="0.25">
      <c r="A90" s="41" t="s">
        <v>8157</v>
      </c>
      <c r="B90" s="41" t="s">
        <v>7536</v>
      </c>
      <c r="C90" s="41" t="s">
        <v>1350</v>
      </c>
      <c r="D90" s="41" t="s">
        <v>8234</v>
      </c>
      <c r="E90" s="41">
        <v>37270</v>
      </c>
    </row>
    <row r="91" spans="1:5" x14ac:dyDescent="0.25">
      <c r="A91" s="41" t="s">
        <v>8157</v>
      </c>
      <c r="B91" s="41" t="s">
        <v>7536</v>
      </c>
      <c r="C91" s="41" t="s">
        <v>1350</v>
      </c>
      <c r="D91" s="41" t="s">
        <v>8178</v>
      </c>
      <c r="E91" s="41">
        <v>36520</v>
      </c>
    </row>
    <row r="92" spans="1:5" x14ac:dyDescent="0.25">
      <c r="A92" s="41" t="s">
        <v>8157</v>
      </c>
      <c r="B92" s="41" t="s">
        <v>7536</v>
      </c>
      <c r="C92" s="41" t="s">
        <v>1350</v>
      </c>
      <c r="D92" s="41" t="s">
        <v>8179</v>
      </c>
      <c r="E92" s="41">
        <v>35790</v>
      </c>
    </row>
    <row r="93" spans="1:5" x14ac:dyDescent="0.25">
      <c r="A93" s="41" t="s">
        <v>8157</v>
      </c>
      <c r="B93" s="41" t="s">
        <v>7536</v>
      </c>
      <c r="C93" s="41" t="s">
        <v>1350</v>
      </c>
      <c r="D93" s="41" t="s">
        <v>8180</v>
      </c>
      <c r="E93" s="41">
        <v>35070</v>
      </c>
    </row>
    <row r="94" spans="1:5" x14ac:dyDescent="0.25">
      <c r="A94" s="41" t="s">
        <v>8157</v>
      </c>
      <c r="B94" s="41" t="s">
        <v>7536</v>
      </c>
      <c r="C94" s="41" t="s">
        <v>1350</v>
      </c>
      <c r="D94" s="41" t="s">
        <v>8235</v>
      </c>
      <c r="E94" s="41">
        <v>34370</v>
      </c>
    </row>
    <row r="95" spans="1:5" x14ac:dyDescent="0.25">
      <c r="A95" s="41" t="s">
        <v>8157</v>
      </c>
      <c r="B95" s="41" t="s">
        <v>7536</v>
      </c>
      <c r="C95" s="41" t="s">
        <v>1350</v>
      </c>
      <c r="D95" s="41" t="s">
        <v>8236</v>
      </c>
      <c r="E95" s="41">
        <v>33680</v>
      </c>
    </row>
    <row r="96" spans="1:5" x14ac:dyDescent="0.25">
      <c r="A96" s="41" t="s">
        <v>8157</v>
      </c>
      <c r="B96" s="41" t="s">
        <v>7536</v>
      </c>
      <c r="C96" s="41" t="s">
        <v>1350</v>
      </c>
      <c r="D96" s="41" t="s">
        <v>8237</v>
      </c>
      <c r="E96" s="41">
        <v>33010</v>
      </c>
    </row>
    <row r="97" spans="1:5" x14ac:dyDescent="0.25">
      <c r="A97" s="41" t="s">
        <v>8157</v>
      </c>
      <c r="B97" s="41" t="s">
        <v>7538</v>
      </c>
      <c r="C97" s="41" t="s">
        <v>1350</v>
      </c>
      <c r="D97" s="41" t="s">
        <v>8158</v>
      </c>
      <c r="E97" s="41">
        <v>44370</v>
      </c>
    </row>
    <row r="98" spans="1:5" x14ac:dyDescent="0.25">
      <c r="A98" s="41" t="s">
        <v>8157</v>
      </c>
      <c r="B98" s="41" t="s">
        <v>7540</v>
      </c>
      <c r="C98" s="41" t="s">
        <v>1350</v>
      </c>
      <c r="D98" s="41" t="s">
        <v>8185</v>
      </c>
      <c r="E98" s="41">
        <v>43480</v>
      </c>
    </row>
    <row r="99" spans="1:5" x14ac:dyDescent="0.25">
      <c r="A99" s="41" t="s">
        <v>8157</v>
      </c>
      <c r="B99" s="41" t="s">
        <v>7540</v>
      </c>
      <c r="C99" s="41" t="s">
        <v>1350</v>
      </c>
      <c r="D99" s="41" t="s">
        <v>8193</v>
      </c>
      <c r="E99" s="41">
        <v>42180</v>
      </c>
    </row>
    <row r="100" spans="1:5" x14ac:dyDescent="0.25">
      <c r="A100" s="41" t="s">
        <v>8157</v>
      </c>
      <c r="B100" s="41" t="s">
        <v>7542</v>
      </c>
      <c r="C100" s="41" t="s">
        <v>1350</v>
      </c>
      <c r="D100" s="41" t="s">
        <v>8238</v>
      </c>
      <c r="E100" s="41">
        <v>67500</v>
      </c>
    </row>
    <row r="101" spans="1:5" x14ac:dyDescent="0.25">
      <c r="A101" s="41" t="s">
        <v>8157</v>
      </c>
      <c r="B101" s="41" t="s">
        <v>7542</v>
      </c>
      <c r="C101" s="41" t="s">
        <v>1350</v>
      </c>
      <c r="D101" s="41" t="s">
        <v>1138</v>
      </c>
      <c r="E101" s="41">
        <v>64100</v>
      </c>
    </row>
    <row r="102" spans="1:5" x14ac:dyDescent="0.25">
      <c r="A102" s="41" t="s">
        <v>8157</v>
      </c>
      <c r="B102" s="41" t="s">
        <v>7542</v>
      </c>
      <c r="C102" s="41" t="s">
        <v>1350</v>
      </c>
      <c r="D102" s="41" t="s">
        <v>821</v>
      </c>
      <c r="E102" s="41">
        <v>62700</v>
      </c>
    </row>
    <row r="103" spans="1:5" x14ac:dyDescent="0.25">
      <c r="A103" s="41" t="s">
        <v>8157</v>
      </c>
      <c r="B103" s="41" t="s">
        <v>7542</v>
      </c>
      <c r="C103" s="41" t="s">
        <v>1350</v>
      </c>
      <c r="D103" s="41" t="s">
        <v>8239</v>
      </c>
      <c r="E103" s="41">
        <v>53700</v>
      </c>
    </row>
    <row r="104" spans="1:5" x14ac:dyDescent="0.25">
      <c r="A104" s="41" t="s">
        <v>8157</v>
      </c>
      <c r="B104" s="41" t="s">
        <v>7542</v>
      </c>
      <c r="C104" s="41" t="s">
        <v>1350</v>
      </c>
      <c r="D104" s="41" t="s">
        <v>8240</v>
      </c>
      <c r="E104" s="41">
        <v>39400</v>
      </c>
    </row>
    <row r="105" spans="1:5" x14ac:dyDescent="0.25">
      <c r="A105" s="41" t="s">
        <v>8157</v>
      </c>
      <c r="B105" s="41" t="s">
        <v>7542</v>
      </c>
      <c r="C105" s="41" t="s">
        <v>1350</v>
      </c>
      <c r="D105" s="41" t="s">
        <v>8241</v>
      </c>
      <c r="E105" s="41">
        <v>48300</v>
      </c>
    </row>
    <row r="106" spans="1:5" x14ac:dyDescent="0.25">
      <c r="A106" s="41" t="s">
        <v>8157</v>
      </c>
      <c r="B106" s="41" t="s">
        <v>7544</v>
      </c>
      <c r="C106" s="41" t="s">
        <v>1350</v>
      </c>
      <c r="D106" s="41" t="s">
        <v>8242</v>
      </c>
      <c r="E106" s="41">
        <v>30160</v>
      </c>
    </row>
    <row r="107" spans="1:5" x14ac:dyDescent="0.25">
      <c r="A107" s="41" t="s">
        <v>8157</v>
      </c>
      <c r="B107" s="41" t="s">
        <v>7544</v>
      </c>
      <c r="C107" s="41" t="s">
        <v>1350</v>
      </c>
      <c r="D107" s="41" t="s">
        <v>8243</v>
      </c>
      <c r="E107" s="41">
        <v>29700</v>
      </c>
    </row>
    <row r="108" spans="1:5" x14ac:dyDescent="0.25">
      <c r="A108" s="41" t="s">
        <v>8157</v>
      </c>
      <c r="B108" s="41" t="s">
        <v>1311</v>
      </c>
      <c r="C108" s="41" t="s">
        <v>1350</v>
      </c>
      <c r="D108" s="41" t="s">
        <v>8244</v>
      </c>
      <c r="E108" s="41">
        <v>51240</v>
      </c>
    </row>
    <row r="109" spans="1:5" x14ac:dyDescent="0.25">
      <c r="A109" s="41" t="s">
        <v>8157</v>
      </c>
      <c r="B109" s="41" t="s">
        <v>1311</v>
      </c>
      <c r="C109" s="41" t="s">
        <v>1350</v>
      </c>
      <c r="D109" s="41" t="s">
        <v>8245</v>
      </c>
      <c r="E109" s="41">
        <v>46480</v>
      </c>
    </row>
    <row r="110" spans="1:5" x14ac:dyDescent="0.25">
      <c r="A110" s="41" t="s">
        <v>8157</v>
      </c>
      <c r="B110" s="41" t="s">
        <v>1313</v>
      </c>
      <c r="C110" s="41" t="s">
        <v>1350</v>
      </c>
      <c r="D110" s="41" t="s">
        <v>8246</v>
      </c>
      <c r="E110" s="41">
        <v>58840</v>
      </c>
    </row>
    <row r="111" spans="1:5" x14ac:dyDescent="0.25">
      <c r="A111" s="41" t="s">
        <v>8157</v>
      </c>
      <c r="B111" s="41" t="s">
        <v>1313</v>
      </c>
      <c r="C111" s="41" t="s">
        <v>1350</v>
      </c>
      <c r="D111" s="41" t="s">
        <v>8247</v>
      </c>
      <c r="E111" s="41">
        <v>57100</v>
      </c>
    </row>
    <row r="112" spans="1:5" x14ac:dyDescent="0.25">
      <c r="A112" s="41" t="s">
        <v>8157</v>
      </c>
      <c r="B112" s="41" t="s">
        <v>1313</v>
      </c>
      <c r="C112" s="41" t="s">
        <v>1350</v>
      </c>
      <c r="D112" s="41" t="s">
        <v>8248</v>
      </c>
      <c r="E112" s="41">
        <v>54200</v>
      </c>
    </row>
    <row r="113" spans="1:5" x14ac:dyDescent="0.25">
      <c r="A113" s="41" t="s">
        <v>8157</v>
      </c>
      <c r="B113" s="41" t="s">
        <v>1313</v>
      </c>
      <c r="C113" s="41" t="s">
        <v>1350</v>
      </c>
      <c r="D113" s="41" t="s">
        <v>8249</v>
      </c>
      <c r="E113" s="41">
        <v>50400</v>
      </c>
    </row>
    <row r="114" spans="1:5" x14ac:dyDescent="0.25">
      <c r="A114" s="41" t="s">
        <v>8157</v>
      </c>
      <c r="B114" s="41" t="s">
        <v>1313</v>
      </c>
      <c r="C114" s="41" t="s">
        <v>1350</v>
      </c>
      <c r="D114" s="41" t="s">
        <v>8250</v>
      </c>
      <c r="E114" s="41">
        <v>46900</v>
      </c>
    </row>
    <row r="115" spans="1:5" x14ac:dyDescent="0.25">
      <c r="A115" s="41" t="s">
        <v>8157</v>
      </c>
      <c r="B115" s="41" t="s">
        <v>1313</v>
      </c>
      <c r="C115" s="41" t="s">
        <v>1350</v>
      </c>
      <c r="D115" s="41" t="s">
        <v>8251</v>
      </c>
      <c r="E115" s="41">
        <v>45500</v>
      </c>
    </row>
    <row r="116" spans="1:5" x14ac:dyDescent="0.25">
      <c r="A116" s="41" t="s">
        <v>8157</v>
      </c>
      <c r="B116" s="41" t="s">
        <v>7468</v>
      </c>
      <c r="C116" s="41" t="s">
        <v>1350</v>
      </c>
      <c r="D116" s="41" t="s">
        <v>8158</v>
      </c>
      <c r="E116" s="41">
        <v>50625</v>
      </c>
    </row>
    <row r="117" spans="1:5" x14ac:dyDescent="0.25">
      <c r="A117" s="41" t="s">
        <v>8157</v>
      </c>
      <c r="B117" s="41" t="s">
        <v>7467</v>
      </c>
      <c r="C117" s="41" t="s">
        <v>1350</v>
      </c>
      <c r="D117" s="41" t="s">
        <v>8172</v>
      </c>
      <c r="E117" s="41">
        <v>72000</v>
      </c>
    </row>
    <row r="118" spans="1:5" x14ac:dyDescent="0.25">
      <c r="A118" s="41" t="s">
        <v>8157</v>
      </c>
      <c r="B118" s="41" t="s">
        <v>7467</v>
      </c>
      <c r="C118" s="41" t="s">
        <v>1350</v>
      </c>
      <c r="D118" s="41" t="s">
        <v>8173</v>
      </c>
      <c r="E118" s="41">
        <v>67000</v>
      </c>
    </row>
    <row r="119" spans="1:5" x14ac:dyDescent="0.25">
      <c r="A119" s="41" t="s">
        <v>8157</v>
      </c>
      <c r="B119" s="41" t="s">
        <v>7467</v>
      </c>
      <c r="C119" s="41" t="s">
        <v>1350</v>
      </c>
      <c r="D119" s="41" t="s">
        <v>8252</v>
      </c>
      <c r="E119" s="41">
        <v>63700</v>
      </c>
    </row>
    <row r="120" spans="1:5" x14ac:dyDescent="0.25">
      <c r="A120" s="41" t="s">
        <v>8157</v>
      </c>
      <c r="B120" s="41" t="s">
        <v>7467</v>
      </c>
      <c r="C120" s="41" t="s">
        <v>1350</v>
      </c>
      <c r="D120" s="41" t="s">
        <v>8243</v>
      </c>
      <c r="E120" s="41">
        <v>60500</v>
      </c>
    </row>
    <row r="121" spans="1:5" x14ac:dyDescent="0.25">
      <c r="A121" s="41" t="s">
        <v>8157</v>
      </c>
      <c r="B121" s="41" t="s">
        <v>7548</v>
      </c>
      <c r="C121" s="41" t="s">
        <v>1350</v>
      </c>
      <c r="D121" s="41" t="s">
        <v>8158</v>
      </c>
      <c r="E121" s="41">
        <v>10875</v>
      </c>
    </row>
    <row r="122" spans="1:5" x14ac:dyDescent="0.25">
      <c r="A122" s="41" t="s">
        <v>8157</v>
      </c>
      <c r="B122" s="41" t="s">
        <v>7550</v>
      </c>
      <c r="C122" s="41" t="s">
        <v>1350</v>
      </c>
      <c r="D122" s="41" t="s">
        <v>8158</v>
      </c>
      <c r="E122" s="41">
        <v>50715</v>
      </c>
    </row>
    <row r="123" spans="1:5" x14ac:dyDescent="0.25">
      <c r="A123" s="41" t="s">
        <v>8157</v>
      </c>
      <c r="B123" s="41" t="s">
        <v>1315</v>
      </c>
      <c r="C123" s="41" t="s">
        <v>1350</v>
      </c>
      <c r="D123" s="41" t="s">
        <v>8253</v>
      </c>
      <c r="E123" s="41">
        <v>49800</v>
      </c>
    </row>
    <row r="124" spans="1:5" x14ac:dyDescent="0.25">
      <c r="A124" s="41" t="s">
        <v>8157</v>
      </c>
      <c r="B124" s="41" t="s">
        <v>1315</v>
      </c>
      <c r="C124" s="41" t="s">
        <v>1350</v>
      </c>
      <c r="D124" s="41" t="s">
        <v>8254</v>
      </c>
      <c r="E124" s="41">
        <v>47100</v>
      </c>
    </row>
    <row r="125" spans="1:5" x14ac:dyDescent="0.25">
      <c r="A125" s="41" t="s">
        <v>8157</v>
      </c>
      <c r="B125" s="41" t="s">
        <v>1315</v>
      </c>
      <c r="C125" s="41" t="s">
        <v>1350</v>
      </c>
      <c r="D125" s="41" t="s">
        <v>8255</v>
      </c>
      <c r="E125" s="41">
        <v>44500</v>
      </c>
    </row>
    <row r="126" spans="1:5" x14ac:dyDescent="0.25">
      <c r="A126" s="41" t="s">
        <v>8157</v>
      </c>
      <c r="B126" s="41" t="s">
        <v>1315</v>
      </c>
      <c r="C126" s="41" t="s">
        <v>1350</v>
      </c>
      <c r="D126" s="41" t="s">
        <v>8256</v>
      </c>
      <c r="E126" s="41">
        <v>43230</v>
      </c>
    </row>
    <row r="127" spans="1:5" x14ac:dyDescent="0.25">
      <c r="A127" s="41" t="s">
        <v>8157</v>
      </c>
      <c r="B127" s="41" t="s">
        <v>1315</v>
      </c>
      <c r="C127" s="41" t="s">
        <v>1350</v>
      </c>
      <c r="D127" s="41" t="s">
        <v>8257</v>
      </c>
      <c r="E127" s="41">
        <v>42720</v>
      </c>
    </row>
    <row r="128" spans="1:5" x14ac:dyDescent="0.25">
      <c r="A128" s="41" t="s">
        <v>8157</v>
      </c>
      <c r="B128" s="41" t="s">
        <v>1315</v>
      </c>
      <c r="C128" s="41" t="s">
        <v>1350</v>
      </c>
      <c r="D128" s="41" t="s">
        <v>8258</v>
      </c>
      <c r="E128" s="41">
        <v>41375</v>
      </c>
    </row>
    <row r="129" spans="1:5" x14ac:dyDescent="0.25">
      <c r="A129" s="41" t="s">
        <v>8157</v>
      </c>
      <c r="B129" s="41" t="s">
        <v>1317</v>
      </c>
      <c r="C129" s="41" t="s">
        <v>1350</v>
      </c>
      <c r="D129" s="41" t="s">
        <v>8233</v>
      </c>
      <c r="E129" s="41">
        <v>64000</v>
      </c>
    </row>
    <row r="130" spans="1:5" x14ac:dyDescent="0.25">
      <c r="A130" s="41" t="s">
        <v>8157</v>
      </c>
      <c r="B130" s="41" t="s">
        <v>1317</v>
      </c>
      <c r="C130" s="41" t="s">
        <v>1350</v>
      </c>
      <c r="D130" s="41" t="s">
        <v>8259</v>
      </c>
      <c r="E130" s="41">
        <v>51500</v>
      </c>
    </row>
    <row r="131" spans="1:5" x14ac:dyDescent="0.25">
      <c r="A131" s="41" t="s">
        <v>8157</v>
      </c>
      <c r="B131" s="41" t="s">
        <v>1317</v>
      </c>
      <c r="C131" s="41" t="s">
        <v>1350</v>
      </c>
      <c r="D131" s="41" t="s">
        <v>8260</v>
      </c>
      <c r="E131" s="41">
        <v>39100</v>
      </c>
    </row>
    <row r="132" spans="1:5" x14ac:dyDescent="0.25">
      <c r="A132" s="41" t="s">
        <v>8157</v>
      </c>
      <c r="B132" s="41" t="s">
        <v>1319</v>
      </c>
      <c r="C132" s="41" t="s">
        <v>1350</v>
      </c>
      <c r="D132" s="41" t="s">
        <v>8261</v>
      </c>
      <c r="E132" s="41">
        <v>63400</v>
      </c>
    </row>
    <row r="133" spans="1:5" x14ac:dyDescent="0.25">
      <c r="A133" s="41" t="s">
        <v>8157</v>
      </c>
      <c r="B133" s="41" t="s">
        <v>1319</v>
      </c>
      <c r="C133" s="41" t="s">
        <v>1350</v>
      </c>
      <c r="D133" s="41" t="s">
        <v>8166</v>
      </c>
      <c r="E133" s="41">
        <v>57500</v>
      </c>
    </row>
    <row r="134" spans="1:5" x14ac:dyDescent="0.25">
      <c r="A134" s="41" t="s">
        <v>8157</v>
      </c>
      <c r="B134" s="41" t="s">
        <v>1319</v>
      </c>
      <c r="C134" s="41" t="s">
        <v>1350</v>
      </c>
      <c r="D134" s="41" t="s">
        <v>8237</v>
      </c>
      <c r="E134" s="41">
        <v>55900</v>
      </c>
    </row>
    <row r="135" spans="1:5" x14ac:dyDescent="0.25">
      <c r="A135" s="41" t="s">
        <v>8157</v>
      </c>
      <c r="B135" s="41" t="s">
        <v>1321</v>
      </c>
      <c r="C135" s="41" t="s">
        <v>1350</v>
      </c>
      <c r="D135" s="41" t="s">
        <v>8262</v>
      </c>
      <c r="E135" s="41">
        <v>54450</v>
      </c>
    </row>
    <row r="136" spans="1:5" x14ac:dyDescent="0.25">
      <c r="A136" s="41" t="s">
        <v>8157</v>
      </c>
      <c r="B136" s="41" t="s">
        <v>1321</v>
      </c>
      <c r="C136" s="41" t="s">
        <v>1350</v>
      </c>
      <c r="D136" s="41" t="s">
        <v>8263</v>
      </c>
      <c r="E136" s="41">
        <v>52910</v>
      </c>
    </row>
    <row r="137" spans="1:5" x14ac:dyDescent="0.25">
      <c r="A137" s="41" t="s">
        <v>8157</v>
      </c>
      <c r="B137" s="41" t="s">
        <v>1321</v>
      </c>
      <c r="C137" s="41" t="s">
        <v>1350</v>
      </c>
      <c r="D137" s="41" t="s">
        <v>8264</v>
      </c>
      <c r="E137" s="41">
        <v>51810</v>
      </c>
    </row>
    <row r="138" spans="1:5" x14ac:dyDescent="0.25">
      <c r="A138" s="41" t="s">
        <v>8157</v>
      </c>
      <c r="B138" s="41" t="s">
        <v>7554</v>
      </c>
      <c r="C138" s="41" t="s">
        <v>1350</v>
      </c>
      <c r="D138" s="41" t="s">
        <v>8233</v>
      </c>
      <c r="E138" s="41">
        <v>54800</v>
      </c>
    </row>
    <row r="139" spans="1:5" x14ac:dyDescent="0.25">
      <c r="A139" s="41" t="s">
        <v>8157</v>
      </c>
      <c r="B139" s="41" t="s">
        <v>7554</v>
      </c>
      <c r="C139" s="41" t="s">
        <v>1350</v>
      </c>
      <c r="D139" s="41" t="s">
        <v>8265</v>
      </c>
      <c r="E139" s="41">
        <v>50710</v>
      </c>
    </row>
    <row r="140" spans="1:5" x14ac:dyDescent="0.25">
      <c r="A140" s="41" t="s">
        <v>8157</v>
      </c>
      <c r="B140" s="41" t="s">
        <v>7554</v>
      </c>
      <c r="C140" s="41" t="s">
        <v>1350</v>
      </c>
      <c r="D140" s="41" t="s">
        <v>8190</v>
      </c>
      <c r="E140" s="41">
        <v>41250</v>
      </c>
    </row>
    <row r="141" spans="1:5" x14ac:dyDescent="0.25">
      <c r="A141" s="41" t="s">
        <v>8157</v>
      </c>
      <c r="B141" s="41" t="s">
        <v>7556</v>
      </c>
      <c r="C141" s="41" t="s">
        <v>1350</v>
      </c>
      <c r="D141" s="41" t="s">
        <v>8158</v>
      </c>
      <c r="E141" s="41">
        <v>49200</v>
      </c>
    </row>
    <row r="142" spans="1:5" x14ac:dyDescent="0.25">
      <c r="A142" s="41" t="s">
        <v>8157</v>
      </c>
      <c r="B142" s="41" t="s">
        <v>7558</v>
      </c>
      <c r="C142" s="41" t="s">
        <v>1350</v>
      </c>
      <c r="D142" s="41" t="s">
        <v>8233</v>
      </c>
      <c r="E142" s="41">
        <v>53670</v>
      </c>
    </row>
    <row r="143" spans="1:5" x14ac:dyDescent="0.25">
      <c r="A143" s="41" t="s">
        <v>8157</v>
      </c>
      <c r="B143" s="41" t="s">
        <v>7558</v>
      </c>
      <c r="C143" s="41" t="s">
        <v>1350</v>
      </c>
      <c r="D143" s="41" t="s">
        <v>8161</v>
      </c>
      <c r="E143" s="41">
        <v>49910</v>
      </c>
    </row>
    <row r="144" spans="1:5" x14ac:dyDescent="0.25">
      <c r="A144" s="41" t="s">
        <v>8157</v>
      </c>
      <c r="B144" s="41" t="s">
        <v>7558</v>
      </c>
      <c r="C144" s="41" t="s">
        <v>1350</v>
      </c>
      <c r="D144" s="41" t="s">
        <v>8165</v>
      </c>
      <c r="E144" s="41">
        <v>46420</v>
      </c>
    </row>
    <row r="145" spans="1:5" x14ac:dyDescent="0.25">
      <c r="A145" s="41" t="s">
        <v>8157</v>
      </c>
      <c r="B145" s="41" t="s">
        <v>7558</v>
      </c>
      <c r="C145" s="41" t="s">
        <v>1350</v>
      </c>
      <c r="D145" s="41" t="s">
        <v>8266</v>
      </c>
      <c r="E145" s="41">
        <v>43170</v>
      </c>
    </row>
    <row r="146" spans="1:5" x14ac:dyDescent="0.25">
      <c r="A146" s="41" t="s">
        <v>8157</v>
      </c>
      <c r="B146" s="41" t="s">
        <v>7560</v>
      </c>
      <c r="C146" s="41" t="s">
        <v>1350</v>
      </c>
      <c r="D146" s="41" t="s">
        <v>8244</v>
      </c>
      <c r="E146" s="41">
        <v>49200</v>
      </c>
    </row>
    <row r="147" spans="1:5" x14ac:dyDescent="0.25">
      <c r="A147" s="41" t="s">
        <v>8157</v>
      </c>
      <c r="B147" s="41" t="s">
        <v>7560</v>
      </c>
      <c r="C147" s="41" t="s">
        <v>1350</v>
      </c>
      <c r="D147" s="41" t="s">
        <v>8267</v>
      </c>
      <c r="E147" s="41">
        <v>45200</v>
      </c>
    </row>
    <row r="148" spans="1:5" x14ac:dyDescent="0.25">
      <c r="A148" s="41" t="s">
        <v>8157</v>
      </c>
      <c r="B148" s="41" t="s">
        <v>7560</v>
      </c>
      <c r="C148" s="41" t="s">
        <v>1350</v>
      </c>
      <c r="D148" s="41" t="s">
        <v>8266</v>
      </c>
      <c r="E148" s="41">
        <v>41000</v>
      </c>
    </row>
    <row r="149" spans="1:5" x14ac:dyDescent="0.25">
      <c r="A149" s="41" t="s">
        <v>8157</v>
      </c>
      <c r="B149" s="41" t="s">
        <v>7562</v>
      </c>
      <c r="C149" s="41" t="s">
        <v>1350</v>
      </c>
      <c r="D149" s="41" t="s">
        <v>8158</v>
      </c>
      <c r="E149" s="41">
        <v>34440</v>
      </c>
    </row>
    <row r="150" spans="1:5" x14ac:dyDescent="0.25">
      <c r="A150" s="41" t="s">
        <v>8157</v>
      </c>
      <c r="B150" s="41" t="s">
        <v>7564</v>
      </c>
      <c r="C150" s="41" t="s">
        <v>1350</v>
      </c>
      <c r="D150" s="41" t="s">
        <v>8158</v>
      </c>
      <c r="E150" s="41">
        <v>36900</v>
      </c>
    </row>
    <row r="151" spans="1:5" x14ac:dyDescent="0.25">
      <c r="A151" s="41" t="s">
        <v>8157</v>
      </c>
      <c r="B151" s="41" t="s">
        <v>7566</v>
      </c>
      <c r="C151" s="41" t="s">
        <v>1350</v>
      </c>
      <c r="D151" s="41" t="s">
        <v>8233</v>
      </c>
      <c r="E151" s="41">
        <v>49200</v>
      </c>
    </row>
    <row r="152" spans="1:5" x14ac:dyDescent="0.25">
      <c r="A152" s="41" t="s">
        <v>8157</v>
      </c>
      <c r="B152" s="41" t="s">
        <v>7566</v>
      </c>
      <c r="C152" s="41" t="s">
        <v>1350</v>
      </c>
      <c r="D152" s="41" t="s">
        <v>8161</v>
      </c>
      <c r="E152" s="41">
        <v>47000</v>
      </c>
    </row>
    <row r="153" spans="1:5" x14ac:dyDescent="0.25">
      <c r="A153" s="41" t="s">
        <v>8157</v>
      </c>
      <c r="B153" s="41" t="s">
        <v>7566</v>
      </c>
      <c r="C153" s="41" t="s">
        <v>1350</v>
      </c>
      <c r="D153" s="41" t="s">
        <v>8162</v>
      </c>
      <c r="E153" s="41">
        <v>44900</v>
      </c>
    </row>
    <row r="154" spans="1:5" x14ac:dyDescent="0.25">
      <c r="A154" s="41" t="s">
        <v>8157</v>
      </c>
      <c r="B154" s="41" t="s">
        <v>7568</v>
      </c>
      <c r="C154" s="41" t="s">
        <v>1350</v>
      </c>
      <c r="D154" s="41" t="s">
        <v>8158</v>
      </c>
      <c r="E154" s="41">
        <v>18900</v>
      </c>
    </row>
    <row r="155" spans="1:5" x14ac:dyDescent="0.25">
      <c r="A155" s="41" t="s">
        <v>8157</v>
      </c>
      <c r="B155" s="41" t="s">
        <v>7570</v>
      </c>
      <c r="C155" s="41" t="s">
        <v>1350</v>
      </c>
      <c r="D155" s="41" t="s">
        <v>8158</v>
      </c>
      <c r="E155" s="41">
        <v>47600</v>
      </c>
    </row>
    <row r="156" spans="1:5" x14ac:dyDescent="0.25">
      <c r="A156" s="41" t="s">
        <v>8157</v>
      </c>
      <c r="B156" s="41" t="s">
        <v>7572</v>
      </c>
      <c r="C156" s="41" t="s">
        <v>1350</v>
      </c>
      <c r="D156" s="41" t="s">
        <v>8158</v>
      </c>
      <c r="E156" s="41">
        <v>36960</v>
      </c>
    </row>
    <row r="157" spans="1:5" x14ac:dyDescent="0.25">
      <c r="A157" s="41" t="s">
        <v>8157</v>
      </c>
      <c r="B157" s="41" t="s">
        <v>7574</v>
      </c>
      <c r="C157" s="41" t="s">
        <v>1350</v>
      </c>
      <c r="D157" s="41" t="s">
        <v>8158</v>
      </c>
      <c r="E157" s="41">
        <v>38080</v>
      </c>
    </row>
    <row r="158" spans="1:5" x14ac:dyDescent="0.25">
      <c r="A158" s="41" t="s">
        <v>8157</v>
      </c>
      <c r="B158" s="41" t="s">
        <v>7576</v>
      </c>
      <c r="C158" s="41" t="s">
        <v>1350</v>
      </c>
      <c r="D158" s="41" t="s">
        <v>8158</v>
      </c>
      <c r="E158" s="41">
        <v>36960</v>
      </c>
    </row>
    <row r="159" spans="1:5" x14ac:dyDescent="0.25">
      <c r="A159" s="41" t="s">
        <v>8157</v>
      </c>
      <c r="B159" s="41" t="s">
        <v>7578</v>
      </c>
      <c r="C159" s="41" t="s">
        <v>1350</v>
      </c>
      <c r="D159" s="41" t="s">
        <v>8158</v>
      </c>
      <c r="E159" s="41">
        <v>9700</v>
      </c>
    </row>
    <row r="160" spans="1:5" x14ac:dyDescent="0.25">
      <c r="A160" s="41" t="s">
        <v>8157</v>
      </c>
      <c r="B160" s="41" t="s">
        <v>1323</v>
      </c>
      <c r="C160" s="41" t="s">
        <v>1350</v>
      </c>
      <c r="D160" s="41" t="s">
        <v>8261</v>
      </c>
      <c r="E160" s="41">
        <v>61800</v>
      </c>
    </row>
    <row r="161" spans="1:5" x14ac:dyDescent="0.25">
      <c r="A161" s="41" t="s">
        <v>8157</v>
      </c>
      <c r="B161" s="41" t="s">
        <v>1323</v>
      </c>
      <c r="C161" s="41" t="s">
        <v>1350</v>
      </c>
      <c r="D161" s="41" t="s">
        <v>8166</v>
      </c>
      <c r="E161" s="41">
        <v>58700</v>
      </c>
    </row>
    <row r="162" spans="1:5" x14ac:dyDescent="0.25">
      <c r="A162" s="41" t="s">
        <v>8157</v>
      </c>
      <c r="B162" s="41" t="s">
        <v>1323</v>
      </c>
      <c r="C162" s="41" t="s">
        <v>1350</v>
      </c>
      <c r="D162" s="41" t="s">
        <v>8268</v>
      </c>
      <c r="E162" s="41">
        <v>54600</v>
      </c>
    </row>
    <row r="163" spans="1:5" x14ac:dyDescent="0.25">
      <c r="A163" s="41" t="s">
        <v>8157</v>
      </c>
      <c r="B163" s="41" t="s">
        <v>1323</v>
      </c>
      <c r="C163" s="41" t="s">
        <v>1350</v>
      </c>
      <c r="D163" s="41" t="s">
        <v>8269</v>
      </c>
      <c r="E163" s="41">
        <v>50800</v>
      </c>
    </row>
    <row r="164" spans="1:5" x14ac:dyDescent="0.25">
      <c r="A164" s="41" t="s">
        <v>8157</v>
      </c>
      <c r="B164" s="41" t="s">
        <v>1323</v>
      </c>
      <c r="C164" s="41" t="s">
        <v>1350</v>
      </c>
      <c r="D164" s="41" t="s">
        <v>8270</v>
      </c>
      <c r="E164" s="41">
        <v>48300</v>
      </c>
    </row>
    <row r="165" spans="1:5" x14ac:dyDescent="0.25">
      <c r="A165" s="41" t="s">
        <v>8157</v>
      </c>
      <c r="B165" s="41" t="s">
        <v>1325</v>
      </c>
      <c r="C165" s="41" t="s">
        <v>1350</v>
      </c>
      <c r="D165" s="41" t="s">
        <v>8271</v>
      </c>
      <c r="E165" s="41">
        <v>78800</v>
      </c>
    </row>
    <row r="166" spans="1:5" x14ac:dyDescent="0.25">
      <c r="A166" s="41" t="s">
        <v>8157</v>
      </c>
      <c r="B166" s="41" t="s">
        <v>1325</v>
      </c>
      <c r="C166" s="41" t="s">
        <v>1350</v>
      </c>
      <c r="D166" s="41" t="s">
        <v>8272</v>
      </c>
      <c r="E166" s="41">
        <v>76440</v>
      </c>
    </row>
    <row r="167" spans="1:5" x14ac:dyDescent="0.25">
      <c r="A167" s="41" t="s">
        <v>8157</v>
      </c>
      <c r="B167" s="41" t="s">
        <v>1325</v>
      </c>
      <c r="C167" s="41" t="s">
        <v>1350</v>
      </c>
      <c r="D167" s="41" t="s">
        <v>8273</v>
      </c>
      <c r="E167" s="41">
        <v>71090</v>
      </c>
    </row>
    <row r="168" spans="1:5" x14ac:dyDescent="0.25">
      <c r="A168" s="41" t="s">
        <v>8157</v>
      </c>
      <c r="B168" s="41" t="s">
        <v>1325</v>
      </c>
      <c r="C168" s="41" t="s">
        <v>1350</v>
      </c>
      <c r="D168" s="41" t="s">
        <v>8274</v>
      </c>
      <c r="E168" s="41">
        <v>67540</v>
      </c>
    </row>
    <row r="169" spans="1:5" x14ac:dyDescent="0.25">
      <c r="A169" s="41" t="s">
        <v>8157</v>
      </c>
      <c r="B169" s="41" t="s">
        <v>1325</v>
      </c>
      <c r="C169" s="41" t="s">
        <v>1350</v>
      </c>
      <c r="D169" s="41" t="s">
        <v>8275</v>
      </c>
      <c r="E169" s="41">
        <v>64160</v>
      </c>
    </row>
    <row r="170" spans="1:5" x14ac:dyDescent="0.25">
      <c r="A170" s="41" t="s">
        <v>8157</v>
      </c>
      <c r="B170" s="41" t="s">
        <v>1325</v>
      </c>
      <c r="C170" s="41" t="s">
        <v>1350</v>
      </c>
      <c r="D170" s="41" t="s">
        <v>8276</v>
      </c>
      <c r="E170" s="41">
        <v>65510</v>
      </c>
    </row>
    <row r="171" spans="1:5" x14ac:dyDescent="0.25">
      <c r="A171" s="41" t="s">
        <v>8157</v>
      </c>
      <c r="B171" s="41" t="s">
        <v>1325</v>
      </c>
      <c r="C171" s="41" t="s">
        <v>1350</v>
      </c>
      <c r="D171" s="41" t="s">
        <v>8277</v>
      </c>
      <c r="E171" s="41">
        <v>62240</v>
      </c>
    </row>
    <row r="172" spans="1:5" x14ac:dyDescent="0.25">
      <c r="A172" s="41" t="s">
        <v>8157</v>
      </c>
      <c r="B172" s="41" t="s">
        <v>1327</v>
      </c>
      <c r="C172" s="41" t="s">
        <v>1350</v>
      </c>
      <c r="D172" s="41" t="s">
        <v>8278</v>
      </c>
      <c r="E172" s="41">
        <v>58780</v>
      </c>
    </row>
    <row r="173" spans="1:5" x14ac:dyDescent="0.25">
      <c r="A173" s="41" t="s">
        <v>8157</v>
      </c>
      <c r="B173" s="41" t="s">
        <v>1327</v>
      </c>
      <c r="C173" s="41" t="s">
        <v>1350</v>
      </c>
      <c r="D173" s="41" t="s">
        <v>8279</v>
      </c>
      <c r="E173" s="41">
        <v>55980</v>
      </c>
    </row>
    <row r="174" spans="1:5" x14ac:dyDescent="0.25">
      <c r="A174" s="41" t="s">
        <v>8157</v>
      </c>
      <c r="B174" s="41" t="s">
        <v>1327</v>
      </c>
      <c r="C174" s="41" t="s">
        <v>1350</v>
      </c>
      <c r="D174" s="41" t="s">
        <v>8280</v>
      </c>
      <c r="E174" s="41">
        <v>52320</v>
      </c>
    </row>
    <row r="175" spans="1:5" x14ac:dyDescent="0.25">
      <c r="A175" s="41" t="s">
        <v>8157</v>
      </c>
      <c r="B175" s="41" t="s">
        <v>1327</v>
      </c>
      <c r="C175" s="41" t="s">
        <v>1350</v>
      </c>
      <c r="D175" s="41" t="s">
        <v>8281</v>
      </c>
      <c r="E175" s="41">
        <v>48900</v>
      </c>
    </row>
    <row r="176" spans="1:5" x14ac:dyDescent="0.25">
      <c r="A176" s="41" t="s">
        <v>8157</v>
      </c>
      <c r="B176" s="41" t="s">
        <v>1327</v>
      </c>
      <c r="C176" s="41" t="s">
        <v>1350</v>
      </c>
      <c r="D176" s="41" t="s">
        <v>8282</v>
      </c>
      <c r="E176" s="41">
        <v>46500</v>
      </c>
    </row>
    <row r="177" spans="1:5" x14ac:dyDescent="0.25">
      <c r="A177" s="41" t="s">
        <v>8157</v>
      </c>
      <c r="B177" s="41" t="s">
        <v>1327</v>
      </c>
      <c r="C177" s="41" t="s">
        <v>1350</v>
      </c>
      <c r="D177" s="41" t="s">
        <v>8283</v>
      </c>
      <c r="E177" s="41">
        <v>45500</v>
      </c>
    </row>
    <row r="178" spans="1:5" x14ac:dyDescent="0.25">
      <c r="A178" s="41" t="s">
        <v>8157</v>
      </c>
      <c r="B178" s="41" t="s">
        <v>1327</v>
      </c>
      <c r="C178" s="41" t="s">
        <v>1350</v>
      </c>
      <c r="D178" s="41" t="s">
        <v>8168</v>
      </c>
      <c r="E178" s="41">
        <v>44200</v>
      </c>
    </row>
    <row r="179" spans="1:5" x14ac:dyDescent="0.25">
      <c r="A179" s="41" t="s">
        <v>8157</v>
      </c>
      <c r="B179" s="41" t="s">
        <v>1329</v>
      </c>
      <c r="C179" s="41" t="s">
        <v>1350</v>
      </c>
      <c r="D179" s="41" t="s">
        <v>8284</v>
      </c>
      <c r="E179" s="41">
        <v>55250</v>
      </c>
    </row>
    <row r="180" spans="1:5" x14ac:dyDescent="0.25">
      <c r="A180" s="41" t="s">
        <v>8157</v>
      </c>
      <c r="B180" s="41" t="s">
        <v>1329</v>
      </c>
      <c r="C180" s="41" t="s">
        <v>1350</v>
      </c>
      <c r="D180" s="41" t="s">
        <v>8285</v>
      </c>
      <c r="E180" s="41">
        <v>52500</v>
      </c>
    </row>
    <row r="181" spans="1:5" x14ac:dyDescent="0.25">
      <c r="A181" s="41" t="s">
        <v>8157</v>
      </c>
      <c r="B181" s="41" t="s">
        <v>1329</v>
      </c>
      <c r="C181" s="41" t="s">
        <v>1350</v>
      </c>
      <c r="D181" s="41" t="s">
        <v>8286</v>
      </c>
      <c r="E181" s="41">
        <v>49900</v>
      </c>
    </row>
    <row r="182" spans="1:5" x14ac:dyDescent="0.25">
      <c r="A182" s="41" t="s">
        <v>8157</v>
      </c>
      <c r="B182" s="41" t="s">
        <v>1329</v>
      </c>
      <c r="C182" s="41" t="s">
        <v>1350</v>
      </c>
      <c r="D182" s="41" t="s">
        <v>8260</v>
      </c>
      <c r="E182" s="41">
        <v>46400</v>
      </c>
    </row>
    <row r="183" spans="1:5" x14ac:dyDescent="0.25">
      <c r="A183" s="41" t="s">
        <v>8157</v>
      </c>
      <c r="B183" s="41" t="s">
        <v>7441</v>
      </c>
      <c r="C183" s="41" t="s">
        <v>1350</v>
      </c>
      <c r="D183" s="41" t="s">
        <v>8287</v>
      </c>
      <c r="E183" s="41">
        <v>50980</v>
      </c>
    </row>
    <row r="184" spans="1:5" x14ac:dyDescent="0.25">
      <c r="A184" s="41" t="s">
        <v>8157</v>
      </c>
      <c r="B184" s="41" t="s">
        <v>7441</v>
      </c>
      <c r="C184" s="41" t="s">
        <v>1350</v>
      </c>
      <c r="D184" s="41" t="s">
        <v>8288</v>
      </c>
      <c r="E184" s="41">
        <v>48400</v>
      </c>
    </row>
    <row r="185" spans="1:5" x14ac:dyDescent="0.25">
      <c r="A185" s="41" t="s">
        <v>8157</v>
      </c>
      <c r="B185" s="41" t="s">
        <v>7441</v>
      </c>
      <c r="C185" s="41" t="s">
        <v>1350</v>
      </c>
      <c r="D185" s="41" t="s">
        <v>8265</v>
      </c>
      <c r="E185" s="41">
        <v>45000</v>
      </c>
    </row>
    <row r="186" spans="1:5" x14ac:dyDescent="0.25">
      <c r="A186" s="41" t="s">
        <v>8157</v>
      </c>
      <c r="B186" s="41" t="s">
        <v>7441</v>
      </c>
      <c r="C186" s="41" t="s">
        <v>1350</v>
      </c>
      <c r="D186" s="41" t="s">
        <v>8289</v>
      </c>
      <c r="E186" s="41">
        <v>42800</v>
      </c>
    </row>
    <row r="187" spans="1:5" x14ac:dyDescent="0.25">
      <c r="A187" s="41" t="s">
        <v>8157</v>
      </c>
      <c r="B187" s="41" t="s">
        <v>7441</v>
      </c>
      <c r="C187" s="41" t="s">
        <v>1350</v>
      </c>
      <c r="D187" s="41" t="s">
        <v>8290</v>
      </c>
      <c r="E187" s="41">
        <v>39800</v>
      </c>
    </row>
    <row r="188" spans="1:5" x14ac:dyDescent="0.25">
      <c r="A188" s="41" t="s">
        <v>8157</v>
      </c>
      <c r="B188" s="41" t="s">
        <v>7441</v>
      </c>
      <c r="C188" s="41" t="s">
        <v>1350</v>
      </c>
      <c r="D188" s="41" t="s">
        <v>8258</v>
      </c>
      <c r="E188" s="41">
        <v>37000</v>
      </c>
    </row>
    <row r="189" spans="1:5" x14ac:dyDescent="0.25">
      <c r="A189" s="41" t="s">
        <v>8157</v>
      </c>
      <c r="B189" s="41" t="s">
        <v>7429</v>
      </c>
      <c r="C189" s="41" t="s">
        <v>1350</v>
      </c>
      <c r="D189" s="41" t="s">
        <v>8233</v>
      </c>
      <c r="E189" s="41">
        <v>53590</v>
      </c>
    </row>
    <row r="190" spans="1:5" x14ac:dyDescent="0.25">
      <c r="A190" s="41" t="s">
        <v>8157</v>
      </c>
      <c r="B190" s="41" t="s">
        <v>7429</v>
      </c>
      <c r="C190" s="41" t="s">
        <v>1350</v>
      </c>
      <c r="D190" s="41" t="s">
        <v>8265</v>
      </c>
      <c r="E190" s="41">
        <v>49800</v>
      </c>
    </row>
    <row r="191" spans="1:5" x14ac:dyDescent="0.25">
      <c r="A191" s="41" t="s">
        <v>8157</v>
      </c>
      <c r="B191" s="41" t="s">
        <v>7429</v>
      </c>
      <c r="C191" s="41" t="s">
        <v>1350</v>
      </c>
      <c r="D191" s="41" t="s">
        <v>8291</v>
      </c>
      <c r="E191" s="41">
        <v>46300</v>
      </c>
    </row>
    <row r="192" spans="1:5" x14ac:dyDescent="0.25">
      <c r="A192" s="41" t="s">
        <v>8157</v>
      </c>
      <c r="B192" s="41" t="s">
        <v>7429</v>
      </c>
      <c r="C192" s="41" t="s">
        <v>1350</v>
      </c>
      <c r="D192" s="41" t="s">
        <v>8292</v>
      </c>
      <c r="E192" s="41">
        <v>43100</v>
      </c>
    </row>
    <row r="193" spans="1:5" x14ac:dyDescent="0.25">
      <c r="A193" s="41" t="s">
        <v>8157</v>
      </c>
      <c r="B193" s="41" t="s">
        <v>7429</v>
      </c>
      <c r="C193" s="41" t="s">
        <v>1350</v>
      </c>
      <c r="D193" s="41" t="s">
        <v>8229</v>
      </c>
      <c r="E193" s="41">
        <v>40100</v>
      </c>
    </row>
    <row r="194" spans="1:5" x14ac:dyDescent="0.25">
      <c r="A194" s="41" t="s">
        <v>8157</v>
      </c>
      <c r="B194" s="41" t="s">
        <v>7429</v>
      </c>
      <c r="C194" s="41" t="s">
        <v>1350</v>
      </c>
      <c r="D194" s="41" t="s">
        <v>8168</v>
      </c>
      <c r="E194" s="41">
        <v>37300</v>
      </c>
    </row>
    <row r="195" spans="1:5" x14ac:dyDescent="0.25">
      <c r="A195" s="41" t="s">
        <v>8157</v>
      </c>
      <c r="B195" s="41" t="s">
        <v>7584</v>
      </c>
      <c r="C195" s="41" t="s">
        <v>1350</v>
      </c>
      <c r="D195" s="41" t="s">
        <v>8287</v>
      </c>
      <c r="E195" s="41">
        <v>32440</v>
      </c>
    </row>
    <row r="196" spans="1:5" x14ac:dyDescent="0.25">
      <c r="A196" s="41" t="s">
        <v>8157</v>
      </c>
      <c r="B196" s="41" t="s">
        <v>7584</v>
      </c>
      <c r="C196" s="41" t="s">
        <v>1350</v>
      </c>
      <c r="D196" s="41" t="s">
        <v>8293</v>
      </c>
      <c r="E196" s="41">
        <v>30200</v>
      </c>
    </row>
    <row r="197" spans="1:5" x14ac:dyDescent="0.25">
      <c r="A197" s="41" t="s">
        <v>8157</v>
      </c>
      <c r="B197" s="41" t="s">
        <v>7584</v>
      </c>
      <c r="C197" s="41" t="s">
        <v>1350</v>
      </c>
      <c r="D197" s="41" t="s">
        <v>8294</v>
      </c>
      <c r="E197" s="41">
        <v>28100</v>
      </c>
    </row>
    <row r="198" spans="1:5" x14ac:dyDescent="0.25">
      <c r="A198" s="41" t="s">
        <v>8157</v>
      </c>
      <c r="B198" s="41" t="s">
        <v>7584</v>
      </c>
      <c r="C198" s="41" t="s">
        <v>1350</v>
      </c>
      <c r="D198" s="41" t="s">
        <v>8266</v>
      </c>
      <c r="E198" s="41">
        <v>26100</v>
      </c>
    </row>
    <row r="199" spans="1:5" x14ac:dyDescent="0.25">
      <c r="A199" s="41" t="s">
        <v>8157</v>
      </c>
      <c r="B199" s="41" t="s">
        <v>7586</v>
      </c>
      <c r="C199" s="41" t="s">
        <v>1350</v>
      </c>
      <c r="D199" s="41" t="s">
        <v>8295</v>
      </c>
      <c r="E199" s="41">
        <v>46540</v>
      </c>
    </row>
    <row r="200" spans="1:5" x14ac:dyDescent="0.25">
      <c r="A200" s="41" t="s">
        <v>8157</v>
      </c>
      <c r="B200" s="41" t="s">
        <v>7586</v>
      </c>
      <c r="C200" s="41" t="s">
        <v>1350</v>
      </c>
      <c r="D200" s="41" t="s">
        <v>8296</v>
      </c>
      <c r="E200" s="41">
        <v>45370</v>
      </c>
    </row>
    <row r="201" spans="1:5" x14ac:dyDescent="0.25">
      <c r="A201" s="41" t="s">
        <v>8157</v>
      </c>
      <c r="B201" s="41" t="s">
        <v>7586</v>
      </c>
      <c r="C201" s="41" t="s">
        <v>1350</v>
      </c>
      <c r="D201" s="41" t="s">
        <v>8260</v>
      </c>
      <c r="E201" s="41">
        <v>44460</v>
      </c>
    </row>
    <row r="202" spans="1:5" x14ac:dyDescent="0.25">
      <c r="A202" s="41" t="s">
        <v>8157</v>
      </c>
      <c r="B202" s="41" t="s">
        <v>7475</v>
      </c>
      <c r="C202" s="41" t="s">
        <v>1350</v>
      </c>
      <c r="D202" s="41" t="s">
        <v>8172</v>
      </c>
      <c r="E202" s="41">
        <v>34220</v>
      </c>
    </row>
    <row r="203" spans="1:5" x14ac:dyDescent="0.25">
      <c r="A203" s="41" t="s">
        <v>8157</v>
      </c>
      <c r="B203" s="41" t="s">
        <v>7475</v>
      </c>
      <c r="C203" s="41" t="s">
        <v>1350</v>
      </c>
      <c r="D203" s="41" t="s">
        <v>8173</v>
      </c>
      <c r="E203" s="41">
        <v>31800</v>
      </c>
    </row>
    <row r="204" spans="1:5" x14ac:dyDescent="0.25">
      <c r="A204" s="41" t="s">
        <v>8157</v>
      </c>
      <c r="B204" s="41" t="s">
        <v>7475</v>
      </c>
      <c r="C204" s="41" t="s">
        <v>1350</v>
      </c>
      <c r="D204" s="41" t="s">
        <v>8297</v>
      </c>
      <c r="E204" s="41">
        <v>29600</v>
      </c>
    </row>
    <row r="205" spans="1:5" x14ac:dyDescent="0.25">
      <c r="A205" s="41" t="s">
        <v>8157</v>
      </c>
      <c r="B205" s="41" t="s">
        <v>7589</v>
      </c>
      <c r="C205" s="41" t="s">
        <v>1350</v>
      </c>
      <c r="D205" s="41" t="s">
        <v>8158</v>
      </c>
      <c r="E205" s="41">
        <v>43935</v>
      </c>
    </row>
    <row r="206" spans="1:5" x14ac:dyDescent="0.25">
      <c r="A206" s="41" t="s">
        <v>8157</v>
      </c>
      <c r="B206" s="41" t="s">
        <v>7591</v>
      </c>
      <c r="C206" s="41" t="s">
        <v>1350</v>
      </c>
      <c r="D206" s="41" t="s">
        <v>8298</v>
      </c>
      <c r="E206" s="41">
        <v>48720</v>
      </c>
    </row>
    <row r="207" spans="1:5" x14ac:dyDescent="0.25">
      <c r="A207" s="41" t="s">
        <v>8157</v>
      </c>
      <c r="B207" s="41" t="s">
        <v>7591</v>
      </c>
      <c r="C207" s="41" t="s">
        <v>1350</v>
      </c>
      <c r="D207" s="41" t="s">
        <v>8299</v>
      </c>
      <c r="E207" s="41">
        <v>46400</v>
      </c>
    </row>
    <row r="208" spans="1:5" x14ac:dyDescent="0.25">
      <c r="A208" s="41" t="s">
        <v>8157</v>
      </c>
      <c r="B208" s="41" t="s">
        <v>7591</v>
      </c>
      <c r="C208" s="41" t="s">
        <v>1350</v>
      </c>
      <c r="D208" s="41" t="s">
        <v>8243</v>
      </c>
      <c r="E208" s="41">
        <v>43935</v>
      </c>
    </row>
    <row r="209" spans="1:5" x14ac:dyDescent="0.25">
      <c r="A209" s="41" t="s">
        <v>8157</v>
      </c>
      <c r="B209" s="41" t="s">
        <v>7594</v>
      </c>
      <c r="C209" s="41" t="s">
        <v>1350</v>
      </c>
      <c r="D209" s="41" t="s">
        <v>8300</v>
      </c>
      <c r="E209" s="41">
        <v>36540</v>
      </c>
    </row>
    <row r="210" spans="1:5" x14ac:dyDescent="0.25">
      <c r="A210" s="41" t="s">
        <v>8157</v>
      </c>
      <c r="B210" s="41" t="s">
        <v>7594</v>
      </c>
      <c r="C210" s="41" t="s">
        <v>1350</v>
      </c>
      <c r="D210" s="41" t="s">
        <v>8301</v>
      </c>
      <c r="E210" s="41">
        <v>34000</v>
      </c>
    </row>
    <row r="211" spans="1:5" x14ac:dyDescent="0.25">
      <c r="A211" s="41" t="s">
        <v>8157</v>
      </c>
      <c r="B211" s="41" t="s">
        <v>7594</v>
      </c>
      <c r="C211" s="41" t="s">
        <v>1350</v>
      </c>
      <c r="D211" s="41" t="s">
        <v>8302</v>
      </c>
      <c r="E211" s="41">
        <v>33000</v>
      </c>
    </row>
    <row r="212" spans="1:5" x14ac:dyDescent="0.25">
      <c r="A212" s="41" t="s">
        <v>8157</v>
      </c>
      <c r="B212" s="41" t="s">
        <v>7597</v>
      </c>
      <c r="C212" s="41" t="s">
        <v>1350</v>
      </c>
      <c r="D212" s="41" t="s">
        <v>8303</v>
      </c>
      <c r="E212" s="41">
        <v>28400</v>
      </c>
    </row>
    <row r="213" spans="1:5" x14ac:dyDescent="0.25">
      <c r="A213" s="41" t="s">
        <v>8157</v>
      </c>
      <c r="B213" s="41" t="s">
        <v>7597</v>
      </c>
      <c r="C213" s="41" t="s">
        <v>1350</v>
      </c>
      <c r="D213" s="41" t="s">
        <v>1133</v>
      </c>
      <c r="E213" s="41">
        <v>23100</v>
      </c>
    </row>
    <row r="214" spans="1:5" x14ac:dyDescent="0.25">
      <c r="A214" s="41" t="s">
        <v>8157</v>
      </c>
      <c r="B214" s="41" t="s">
        <v>7597</v>
      </c>
      <c r="C214" s="41" t="s">
        <v>1350</v>
      </c>
      <c r="D214" s="41" t="s">
        <v>8304</v>
      </c>
      <c r="E214" s="41">
        <v>20500</v>
      </c>
    </row>
    <row r="215" spans="1:5" x14ac:dyDescent="0.25">
      <c r="A215" s="41" t="s">
        <v>8157</v>
      </c>
      <c r="B215" s="41" t="s">
        <v>7597</v>
      </c>
      <c r="C215" s="41" t="s">
        <v>1350</v>
      </c>
      <c r="D215" s="41" t="s">
        <v>8305</v>
      </c>
      <c r="E215" s="41">
        <v>17700</v>
      </c>
    </row>
    <row r="216" spans="1:5" x14ac:dyDescent="0.25">
      <c r="A216" s="41" t="s">
        <v>8157</v>
      </c>
      <c r="B216" s="41" t="s">
        <v>7474</v>
      </c>
      <c r="C216" s="41" t="s">
        <v>1350</v>
      </c>
      <c r="D216" s="41" t="s">
        <v>8306</v>
      </c>
      <c r="E216" s="41">
        <v>24900</v>
      </c>
    </row>
    <row r="217" spans="1:5" x14ac:dyDescent="0.25">
      <c r="A217" s="41" t="s">
        <v>8157</v>
      </c>
      <c r="B217" s="41" t="s">
        <v>7474</v>
      </c>
      <c r="C217" s="41" t="s">
        <v>1350</v>
      </c>
      <c r="D217" s="41" t="s">
        <v>8307</v>
      </c>
      <c r="E217" s="41">
        <v>21300</v>
      </c>
    </row>
    <row r="218" spans="1:5" x14ac:dyDescent="0.25">
      <c r="A218" s="41" t="s">
        <v>8157</v>
      </c>
      <c r="B218" s="41" t="s">
        <v>7474</v>
      </c>
      <c r="C218" s="41" t="s">
        <v>1350</v>
      </c>
      <c r="D218" s="41" t="s">
        <v>8308</v>
      </c>
      <c r="E218" s="41">
        <v>17700</v>
      </c>
    </row>
    <row r="219" spans="1:5" x14ac:dyDescent="0.25">
      <c r="A219" s="41" t="s">
        <v>8157</v>
      </c>
      <c r="B219" s="41" t="s">
        <v>7600</v>
      </c>
      <c r="C219" s="41" t="s">
        <v>1350</v>
      </c>
      <c r="D219" s="41" t="s">
        <v>8309</v>
      </c>
      <c r="E219" s="41">
        <v>30100</v>
      </c>
    </row>
    <row r="220" spans="1:5" x14ac:dyDescent="0.25">
      <c r="A220" s="41" t="s">
        <v>8157</v>
      </c>
      <c r="B220" s="41" t="s">
        <v>7600</v>
      </c>
      <c r="C220" s="41" t="s">
        <v>1350</v>
      </c>
      <c r="D220" s="41" t="s">
        <v>8310</v>
      </c>
      <c r="E220" s="41">
        <v>28000</v>
      </c>
    </row>
    <row r="221" spans="1:5" x14ac:dyDescent="0.25">
      <c r="A221" s="41" t="s">
        <v>8157</v>
      </c>
      <c r="B221" s="41" t="s">
        <v>7600</v>
      </c>
      <c r="C221" s="41" t="s">
        <v>1350</v>
      </c>
      <c r="D221" s="41" t="s">
        <v>8311</v>
      </c>
      <c r="E221" s="41">
        <v>26000</v>
      </c>
    </row>
    <row r="222" spans="1:5" x14ac:dyDescent="0.25">
      <c r="A222" s="41" t="s">
        <v>8157</v>
      </c>
      <c r="B222" s="41" t="s">
        <v>7600</v>
      </c>
      <c r="C222" s="41" t="s">
        <v>1350</v>
      </c>
      <c r="D222" s="41" t="s">
        <v>8312</v>
      </c>
      <c r="E222" s="41">
        <v>24700</v>
      </c>
    </row>
    <row r="223" spans="1:5" x14ac:dyDescent="0.25">
      <c r="A223" s="41" t="s">
        <v>8157</v>
      </c>
      <c r="B223" s="41" t="s">
        <v>7600</v>
      </c>
      <c r="C223" s="41" t="s">
        <v>1350</v>
      </c>
      <c r="D223" s="41" t="s">
        <v>8313</v>
      </c>
      <c r="E223" s="41">
        <v>23500</v>
      </c>
    </row>
    <row r="224" spans="1:5" x14ac:dyDescent="0.25">
      <c r="A224" s="41" t="s">
        <v>8157</v>
      </c>
      <c r="B224" s="41" t="s">
        <v>7600</v>
      </c>
      <c r="C224" s="41" t="s">
        <v>1350</v>
      </c>
      <c r="D224" s="41" t="s">
        <v>8245</v>
      </c>
      <c r="E224" s="41">
        <v>22300</v>
      </c>
    </row>
    <row r="225" spans="1:5" x14ac:dyDescent="0.25">
      <c r="A225" s="41" t="s">
        <v>8157</v>
      </c>
      <c r="B225" s="41" t="s">
        <v>7602</v>
      </c>
      <c r="C225" s="41" t="s">
        <v>1350</v>
      </c>
      <c r="D225" s="41" t="s">
        <v>8228</v>
      </c>
      <c r="E225" s="41">
        <v>20700</v>
      </c>
    </row>
    <row r="226" spans="1:5" x14ac:dyDescent="0.25">
      <c r="A226" s="41" t="s">
        <v>8157</v>
      </c>
      <c r="B226" s="41" t="s">
        <v>7602</v>
      </c>
      <c r="C226" s="41" t="s">
        <v>1350</v>
      </c>
      <c r="D226" s="41" t="s">
        <v>8176</v>
      </c>
      <c r="E226" s="41">
        <v>19700</v>
      </c>
    </row>
    <row r="227" spans="1:5" x14ac:dyDescent="0.25">
      <c r="A227" s="41" t="s">
        <v>8157</v>
      </c>
      <c r="B227" s="41" t="s">
        <v>7604</v>
      </c>
      <c r="C227" s="41" t="s">
        <v>1350</v>
      </c>
      <c r="D227" s="41" t="s">
        <v>8314</v>
      </c>
      <c r="E227" s="41">
        <v>18700</v>
      </c>
    </row>
    <row r="228" spans="1:5" x14ac:dyDescent="0.25">
      <c r="A228" s="41" t="s">
        <v>8157</v>
      </c>
      <c r="B228" s="41" t="s">
        <v>7604</v>
      </c>
      <c r="C228" s="41" t="s">
        <v>1350</v>
      </c>
      <c r="D228" s="41" t="s">
        <v>8315</v>
      </c>
      <c r="E228" s="41">
        <v>17800</v>
      </c>
    </row>
    <row r="229" spans="1:5" x14ac:dyDescent="0.25">
      <c r="A229" s="41" t="s">
        <v>8157</v>
      </c>
      <c r="B229" s="41" t="s">
        <v>7604</v>
      </c>
      <c r="C229" s="41" t="s">
        <v>1350</v>
      </c>
      <c r="D229" s="41" t="s">
        <v>8316</v>
      </c>
      <c r="E229" s="41">
        <v>16900</v>
      </c>
    </row>
    <row r="230" spans="1:5" x14ac:dyDescent="0.25">
      <c r="A230" s="41" t="s">
        <v>8157</v>
      </c>
      <c r="B230" s="41" t="s">
        <v>7604</v>
      </c>
      <c r="C230" s="41" t="s">
        <v>1350</v>
      </c>
      <c r="D230" s="41" t="s">
        <v>8229</v>
      </c>
      <c r="E230" s="41">
        <v>15700</v>
      </c>
    </row>
    <row r="231" spans="1:5" x14ac:dyDescent="0.25">
      <c r="A231" s="41" t="s">
        <v>8157</v>
      </c>
      <c r="B231" s="41" t="s">
        <v>7604</v>
      </c>
      <c r="C231" s="41" t="s">
        <v>1350</v>
      </c>
      <c r="D231" s="41" t="s">
        <v>8317</v>
      </c>
      <c r="E231" s="41">
        <v>14600</v>
      </c>
    </row>
    <row r="232" spans="1:5" x14ac:dyDescent="0.25">
      <c r="A232" s="41" t="s">
        <v>8157</v>
      </c>
      <c r="B232" s="41" t="s">
        <v>7604</v>
      </c>
      <c r="C232" s="41" t="s">
        <v>1350</v>
      </c>
      <c r="D232" s="41" t="s">
        <v>8318</v>
      </c>
      <c r="E232" s="41">
        <v>13900</v>
      </c>
    </row>
    <row r="233" spans="1:5" x14ac:dyDescent="0.25">
      <c r="A233" s="41" t="s">
        <v>8157</v>
      </c>
      <c r="B233" s="41" t="s">
        <v>7604</v>
      </c>
      <c r="C233" s="41" t="s">
        <v>1350</v>
      </c>
      <c r="D233" s="41" t="s">
        <v>8319</v>
      </c>
      <c r="E233" s="41">
        <v>13200</v>
      </c>
    </row>
    <row r="234" spans="1:5" x14ac:dyDescent="0.25">
      <c r="A234" s="41" t="s">
        <v>8157</v>
      </c>
      <c r="B234" s="41" t="s">
        <v>7604</v>
      </c>
      <c r="C234" s="41" t="s">
        <v>1350</v>
      </c>
      <c r="D234" s="41" t="s">
        <v>8320</v>
      </c>
      <c r="E234" s="41">
        <v>12500</v>
      </c>
    </row>
    <row r="235" spans="1:5" x14ac:dyDescent="0.25">
      <c r="A235" s="41" t="s">
        <v>8157</v>
      </c>
      <c r="B235" s="41" t="s">
        <v>7604</v>
      </c>
      <c r="C235" s="41" t="s">
        <v>1350</v>
      </c>
      <c r="D235" s="41" t="s">
        <v>8321</v>
      </c>
      <c r="E235" s="41">
        <v>11900</v>
      </c>
    </row>
    <row r="236" spans="1:5" x14ac:dyDescent="0.25">
      <c r="A236" s="41" t="s">
        <v>8157</v>
      </c>
      <c r="B236" s="41" t="s">
        <v>7604</v>
      </c>
      <c r="C236" s="41" t="s">
        <v>1350</v>
      </c>
      <c r="D236" s="41" t="s">
        <v>8322</v>
      </c>
      <c r="E236" s="41">
        <v>11300</v>
      </c>
    </row>
    <row r="237" spans="1:5" x14ac:dyDescent="0.25">
      <c r="A237" s="41" t="s">
        <v>8157</v>
      </c>
      <c r="B237" s="41" t="s">
        <v>7604</v>
      </c>
      <c r="C237" s="41" t="s">
        <v>1350</v>
      </c>
      <c r="D237" s="41" t="s">
        <v>8323</v>
      </c>
      <c r="E237" s="41">
        <v>10700</v>
      </c>
    </row>
    <row r="238" spans="1:5" x14ac:dyDescent="0.25">
      <c r="A238" s="41" t="s">
        <v>8157</v>
      </c>
      <c r="B238" s="41" t="s">
        <v>7606</v>
      </c>
      <c r="C238" s="41" t="s">
        <v>1350</v>
      </c>
      <c r="D238" s="41" t="s">
        <v>8158</v>
      </c>
      <c r="E238" s="41">
        <v>27600</v>
      </c>
    </row>
    <row r="239" spans="1:5" x14ac:dyDescent="0.25">
      <c r="A239" s="41" t="s">
        <v>8157</v>
      </c>
      <c r="B239" s="41" t="s">
        <v>7455</v>
      </c>
      <c r="C239" s="41" t="s">
        <v>1350</v>
      </c>
      <c r="D239" s="41" t="s">
        <v>8287</v>
      </c>
      <c r="E239" s="41">
        <v>17680</v>
      </c>
    </row>
    <row r="240" spans="1:5" x14ac:dyDescent="0.25">
      <c r="A240" s="41" t="s">
        <v>8157</v>
      </c>
      <c r="B240" s="41" t="s">
        <v>7455</v>
      </c>
      <c r="C240" s="41" t="s">
        <v>1350</v>
      </c>
      <c r="D240" s="41" t="s">
        <v>8324</v>
      </c>
      <c r="E240" s="41">
        <v>17160</v>
      </c>
    </row>
    <row r="241" spans="1:5" x14ac:dyDescent="0.25">
      <c r="A241" s="41" t="s">
        <v>8157</v>
      </c>
      <c r="B241" s="41" t="s">
        <v>7455</v>
      </c>
      <c r="C241" s="41" t="s">
        <v>1350</v>
      </c>
      <c r="D241" s="41" t="s">
        <v>8325</v>
      </c>
      <c r="E241" s="41">
        <v>15875</v>
      </c>
    </row>
    <row r="242" spans="1:5" x14ac:dyDescent="0.25">
      <c r="A242" s="41" t="s">
        <v>8157</v>
      </c>
      <c r="B242" s="41" t="s">
        <v>7455</v>
      </c>
      <c r="C242" s="41" t="s">
        <v>1350</v>
      </c>
      <c r="D242" s="41" t="s">
        <v>8326</v>
      </c>
      <c r="E242" s="41">
        <v>14625</v>
      </c>
    </row>
    <row r="243" spans="1:5" x14ac:dyDescent="0.25">
      <c r="A243" s="41" t="s">
        <v>8157</v>
      </c>
      <c r="B243" s="41" t="s">
        <v>7455</v>
      </c>
      <c r="C243" s="41" t="s">
        <v>1350</v>
      </c>
      <c r="D243" s="41" t="s">
        <v>8313</v>
      </c>
      <c r="E243" s="41">
        <v>13500</v>
      </c>
    </row>
    <row r="244" spans="1:5" x14ac:dyDescent="0.25">
      <c r="A244" s="41" t="s">
        <v>8157</v>
      </c>
      <c r="B244" s="41" t="s">
        <v>7455</v>
      </c>
      <c r="C244" s="41" t="s">
        <v>1350</v>
      </c>
      <c r="D244" s="41" t="s">
        <v>8245</v>
      </c>
      <c r="E244" s="41">
        <v>12375</v>
      </c>
    </row>
    <row r="245" spans="1:5" x14ac:dyDescent="0.25">
      <c r="A245" s="41" t="s">
        <v>8157</v>
      </c>
      <c r="B245" s="41" t="s">
        <v>7424</v>
      </c>
      <c r="C245" s="41" t="s">
        <v>1350</v>
      </c>
      <c r="D245" s="41" t="s">
        <v>8242</v>
      </c>
      <c r="E245" s="41">
        <v>10700</v>
      </c>
    </row>
    <row r="246" spans="1:5" x14ac:dyDescent="0.25">
      <c r="A246" s="41" t="s">
        <v>8157</v>
      </c>
      <c r="B246" s="41" t="s">
        <v>7424</v>
      </c>
      <c r="C246" s="41" t="s">
        <v>1350</v>
      </c>
      <c r="D246" s="41" t="s">
        <v>8327</v>
      </c>
      <c r="E246" s="41">
        <v>9800</v>
      </c>
    </row>
    <row r="247" spans="1:5" x14ac:dyDescent="0.25">
      <c r="A247" s="41" t="s">
        <v>8157</v>
      </c>
      <c r="B247" s="41" t="s">
        <v>7424</v>
      </c>
      <c r="C247" s="41" t="s">
        <v>1350</v>
      </c>
      <c r="D247" s="41" t="s">
        <v>8328</v>
      </c>
      <c r="E247" s="41">
        <v>8900</v>
      </c>
    </row>
    <row r="248" spans="1:5" x14ac:dyDescent="0.25">
      <c r="A248" s="41" t="s">
        <v>8157</v>
      </c>
      <c r="B248" s="41" t="s">
        <v>7437</v>
      </c>
      <c r="C248" s="41" t="s">
        <v>1350</v>
      </c>
      <c r="D248" s="41" t="s">
        <v>8287</v>
      </c>
      <c r="E248" s="41">
        <v>11880</v>
      </c>
    </row>
    <row r="249" spans="1:5" x14ac:dyDescent="0.25">
      <c r="A249" s="41" t="s">
        <v>8157</v>
      </c>
      <c r="B249" s="41" t="s">
        <v>7437</v>
      </c>
      <c r="C249" s="41" t="s">
        <v>1350</v>
      </c>
      <c r="D249" s="41" t="s">
        <v>8329</v>
      </c>
      <c r="E249" s="41">
        <v>10800</v>
      </c>
    </row>
    <row r="250" spans="1:5" x14ac:dyDescent="0.25">
      <c r="A250" s="41" t="s">
        <v>8157</v>
      </c>
      <c r="B250" s="41" t="s">
        <v>7437</v>
      </c>
      <c r="C250" s="41" t="s">
        <v>1350</v>
      </c>
      <c r="D250" s="41" t="s">
        <v>8330</v>
      </c>
      <c r="E250" s="41">
        <v>10320</v>
      </c>
    </row>
    <row r="251" spans="1:5" x14ac:dyDescent="0.25">
      <c r="A251" s="41" t="s">
        <v>8157</v>
      </c>
      <c r="B251" s="41" t="s">
        <v>7437</v>
      </c>
      <c r="C251" s="41" t="s">
        <v>1350</v>
      </c>
      <c r="D251" s="41" t="s">
        <v>8331</v>
      </c>
      <c r="E251" s="41">
        <v>9840</v>
      </c>
    </row>
    <row r="252" spans="1:5" x14ac:dyDescent="0.25">
      <c r="A252" s="41" t="s">
        <v>8157</v>
      </c>
      <c r="B252" s="41" t="s">
        <v>7445</v>
      </c>
      <c r="C252" s="41" t="s">
        <v>1350</v>
      </c>
      <c r="D252" s="41" t="s">
        <v>8332</v>
      </c>
      <c r="E252" s="41">
        <v>18300</v>
      </c>
    </row>
    <row r="253" spans="1:5" x14ac:dyDescent="0.25">
      <c r="A253" s="41" t="s">
        <v>8157</v>
      </c>
      <c r="B253" s="41" t="s">
        <v>7445</v>
      </c>
      <c r="C253" s="41" t="s">
        <v>1350</v>
      </c>
      <c r="D253" s="41" t="s">
        <v>8333</v>
      </c>
      <c r="E253" s="41">
        <v>17400</v>
      </c>
    </row>
    <row r="254" spans="1:5" x14ac:dyDescent="0.25">
      <c r="A254" s="41" t="s">
        <v>8157</v>
      </c>
      <c r="B254" s="41" t="s">
        <v>7445</v>
      </c>
      <c r="C254" s="41" t="s">
        <v>1350</v>
      </c>
      <c r="D254" s="41" t="s">
        <v>8193</v>
      </c>
      <c r="E254" s="41">
        <v>16200</v>
      </c>
    </row>
    <row r="255" spans="1:5" x14ac:dyDescent="0.25">
      <c r="A255" s="41" t="s">
        <v>8157</v>
      </c>
      <c r="B255" s="41" t="s">
        <v>7612</v>
      </c>
      <c r="C255" s="41" t="s">
        <v>1350</v>
      </c>
      <c r="D255" s="41" t="s">
        <v>8158</v>
      </c>
      <c r="E255" s="41">
        <v>16400</v>
      </c>
    </row>
    <row r="256" spans="1:5" x14ac:dyDescent="0.25">
      <c r="A256" s="41" t="s">
        <v>8157</v>
      </c>
      <c r="B256" s="41" t="s">
        <v>7614</v>
      </c>
      <c r="C256" s="41" t="s">
        <v>1350</v>
      </c>
      <c r="D256" s="41" t="s">
        <v>8158</v>
      </c>
      <c r="E256" s="41">
        <v>39900</v>
      </c>
    </row>
    <row r="257" spans="1:5" x14ac:dyDescent="0.25">
      <c r="A257" s="41" t="s">
        <v>8157</v>
      </c>
      <c r="B257" s="41" t="s">
        <v>7616</v>
      </c>
      <c r="C257" s="41" t="s">
        <v>1350</v>
      </c>
      <c r="D257" s="41" t="s">
        <v>8158</v>
      </c>
      <c r="E257" s="41">
        <v>16000</v>
      </c>
    </row>
    <row r="258" spans="1:5" x14ac:dyDescent="0.25">
      <c r="A258" s="41" t="s">
        <v>8157</v>
      </c>
      <c r="B258" s="41" t="s">
        <v>7794</v>
      </c>
      <c r="C258" s="41" t="s">
        <v>1350</v>
      </c>
      <c r="D258" s="41" t="s">
        <v>8162</v>
      </c>
      <c r="E258" s="41">
        <v>49200</v>
      </c>
    </row>
    <row r="259" spans="1:5" x14ac:dyDescent="0.25">
      <c r="A259" s="41" t="s">
        <v>8157</v>
      </c>
      <c r="B259" s="41" t="s">
        <v>7796</v>
      </c>
      <c r="C259" s="41" t="s">
        <v>1350</v>
      </c>
      <c r="D259" s="41" t="s">
        <v>8334</v>
      </c>
      <c r="E259" s="41">
        <v>86600</v>
      </c>
    </row>
    <row r="260" spans="1:5" x14ac:dyDescent="0.25">
      <c r="A260" s="41" t="s">
        <v>8157</v>
      </c>
      <c r="B260" s="41" t="s">
        <v>7796</v>
      </c>
      <c r="C260" s="41" t="s">
        <v>1350</v>
      </c>
      <c r="D260" s="41" t="s">
        <v>8335</v>
      </c>
      <c r="E260" s="41">
        <v>79300</v>
      </c>
    </row>
    <row r="261" spans="1:5" x14ac:dyDescent="0.25">
      <c r="A261" s="41" t="s">
        <v>8157</v>
      </c>
      <c r="B261" s="41" t="s">
        <v>7796</v>
      </c>
      <c r="C261" s="41" t="s">
        <v>1350</v>
      </c>
      <c r="D261" s="41" t="s">
        <v>8249</v>
      </c>
      <c r="E261" s="41">
        <v>75500</v>
      </c>
    </row>
    <row r="262" spans="1:5" x14ac:dyDescent="0.25">
      <c r="A262" s="41" t="s">
        <v>8157</v>
      </c>
      <c r="B262" s="41" t="s">
        <v>7796</v>
      </c>
      <c r="C262" s="41" t="s">
        <v>1350</v>
      </c>
      <c r="D262" s="41" t="s">
        <v>8331</v>
      </c>
      <c r="E262" s="41">
        <v>62900</v>
      </c>
    </row>
    <row r="263" spans="1:5" x14ac:dyDescent="0.25">
      <c r="A263" s="41" t="s">
        <v>8157</v>
      </c>
      <c r="B263" s="41" t="s">
        <v>7798</v>
      </c>
      <c r="C263" s="41" t="s">
        <v>1350</v>
      </c>
      <c r="D263" s="41" t="s">
        <v>8158</v>
      </c>
      <c r="E263" s="41">
        <v>59900</v>
      </c>
    </row>
    <row r="264" spans="1:5" x14ac:dyDescent="0.25">
      <c r="A264" s="41" t="s">
        <v>8157</v>
      </c>
      <c r="B264" s="41" t="s">
        <v>7802</v>
      </c>
      <c r="C264" s="41" t="s">
        <v>1350</v>
      </c>
      <c r="D264" s="41" t="s">
        <v>8158</v>
      </c>
      <c r="E264" s="41">
        <v>356800</v>
      </c>
    </row>
    <row r="265" spans="1:5" x14ac:dyDescent="0.25">
      <c r="A265" s="41" t="s">
        <v>8157</v>
      </c>
      <c r="B265" s="41" t="s">
        <v>7804</v>
      </c>
      <c r="C265" s="41" t="s">
        <v>1350</v>
      </c>
      <c r="D265" s="41" t="s">
        <v>8287</v>
      </c>
      <c r="E265" s="41">
        <v>70200</v>
      </c>
    </row>
    <row r="266" spans="1:5" x14ac:dyDescent="0.25">
      <c r="A266" s="41" t="s">
        <v>8157</v>
      </c>
      <c r="B266" s="41" t="s">
        <v>7804</v>
      </c>
      <c r="C266" s="41" t="s">
        <v>1350</v>
      </c>
      <c r="D266" s="41" t="s">
        <v>8174</v>
      </c>
      <c r="E266" s="41">
        <v>66900</v>
      </c>
    </row>
    <row r="267" spans="1:5" x14ac:dyDescent="0.25">
      <c r="A267" s="41" t="s">
        <v>8157</v>
      </c>
      <c r="B267" s="41" t="s">
        <v>7435</v>
      </c>
      <c r="C267" s="41" t="s">
        <v>1350</v>
      </c>
      <c r="D267" s="41" t="s">
        <v>8287</v>
      </c>
      <c r="E267" s="41">
        <v>16400</v>
      </c>
    </row>
    <row r="268" spans="1:5" x14ac:dyDescent="0.25">
      <c r="A268" s="41" t="s">
        <v>8157</v>
      </c>
      <c r="B268" s="41" t="s">
        <v>7435</v>
      </c>
      <c r="C268" s="41" t="s">
        <v>1350</v>
      </c>
      <c r="D268" s="41" t="s">
        <v>8249</v>
      </c>
      <c r="E268" s="41">
        <v>15600</v>
      </c>
    </row>
    <row r="269" spans="1:5" x14ac:dyDescent="0.25">
      <c r="A269" s="41" t="s">
        <v>8157</v>
      </c>
      <c r="B269" s="41" t="s">
        <v>7435</v>
      </c>
      <c r="C269" s="41" t="s">
        <v>1350</v>
      </c>
      <c r="D269" s="41" t="s">
        <v>8336</v>
      </c>
      <c r="E269" s="41">
        <v>14800</v>
      </c>
    </row>
    <row r="270" spans="1:5" x14ac:dyDescent="0.25">
      <c r="A270" s="41" t="s">
        <v>8157</v>
      </c>
      <c r="B270" s="41" t="s">
        <v>7435</v>
      </c>
      <c r="C270" s="41" t="s">
        <v>1350</v>
      </c>
      <c r="D270" s="41" t="s">
        <v>8337</v>
      </c>
      <c r="E270" s="41">
        <v>14100</v>
      </c>
    </row>
    <row r="271" spans="1:5" x14ac:dyDescent="0.25">
      <c r="A271" s="41" t="s">
        <v>8157</v>
      </c>
      <c r="B271" s="41" t="s">
        <v>7619</v>
      </c>
      <c r="C271" s="41" t="s">
        <v>1350</v>
      </c>
      <c r="D271" s="41" t="s">
        <v>8158</v>
      </c>
      <c r="E271" s="41">
        <v>21000</v>
      </c>
    </row>
    <row r="272" spans="1:5" x14ac:dyDescent="0.25">
      <c r="A272" s="41" t="s">
        <v>8157</v>
      </c>
      <c r="B272" s="41" t="s">
        <v>7621</v>
      </c>
      <c r="C272" s="41" t="s">
        <v>1350</v>
      </c>
      <c r="D272" s="41" t="s">
        <v>8158</v>
      </c>
      <c r="E272" s="41">
        <v>16200</v>
      </c>
    </row>
    <row r="273" spans="1:5" x14ac:dyDescent="0.25">
      <c r="A273" s="41" t="s">
        <v>8157</v>
      </c>
      <c r="B273" s="41" t="s">
        <v>7623</v>
      </c>
      <c r="C273" s="41" t="s">
        <v>1350</v>
      </c>
      <c r="D273" s="41" t="s">
        <v>8338</v>
      </c>
      <c r="E273" s="41">
        <v>17700</v>
      </c>
    </row>
    <row r="274" spans="1:5" x14ac:dyDescent="0.25">
      <c r="A274" s="41" t="s">
        <v>8157</v>
      </c>
      <c r="B274" s="41" t="s">
        <v>7623</v>
      </c>
      <c r="C274" s="41" t="s">
        <v>1350</v>
      </c>
      <c r="D274" s="41" t="s">
        <v>8339</v>
      </c>
      <c r="E274" s="41">
        <v>15700</v>
      </c>
    </row>
    <row r="275" spans="1:5" x14ac:dyDescent="0.25">
      <c r="A275" s="41" t="s">
        <v>8157</v>
      </c>
      <c r="B275" s="41" t="s">
        <v>7623</v>
      </c>
      <c r="C275" s="41" t="s">
        <v>1350</v>
      </c>
      <c r="D275" s="41" t="s">
        <v>8340</v>
      </c>
      <c r="E275" s="41">
        <v>14100</v>
      </c>
    </row>
    <row r="276" spans="1:5" x14ac:dyDescent="0.25">
      <c r="A276" s="41" t="s">
        <v>8157</v>
      </c>
      <c r="B276" s="41" t="s">
        <v>7625</v>
      </c>
      <c r="C276" s="41" t="s">
        <v>1350</v>
      </c>
      <c r="D276" s="41" t="s">
        <v>8341</v>
      </c>
      <c r="E276" s="41">
        <v>14100</v>
      </c>
    </row>
    <row r="277" spans="1:5" x14ac:dyDescent="0.25">
      <c r="A277" s="41" t="s">
        <v>8157</v>
      </c>
      <c r="B277" s="41" t="s">
        <v>7625</v>
      </c>
      <c r="C277" s="41" t="s">
        <v>1350</v>
      </c>
      <c r="D277" s="41" t="s">
        <v>8342</v>
      </c>
      <c r="E277" s="41">
        <v>13400</v>
      </c>
    </row>
    <row r="278" spans="1:5" x14ac:dyDescent="0.25">
      <c r="A278" s="41" t="s">
        <v>8157</v>
      </c>
      <c r="B278" s="41" t="s">
        <v>7625</v>
      </c>
      <c r="C278" s="41" t="s">
        <v>1350</v>
      </c>
      <c r="D278" s="41" t="s">
        <v>8343</v>
      </c>
      <c r="E278" s="41">
        <v>12700</v>
      </c>
    </row>
    <row r="279" spans="1:5" x14ac:dyDescent="0.25">
      <c r="A279" s="41" t="s">
        <v>8157</v>
      </c>
      <c r="B279" s="41" t="s">
        <v>7625</v>
      </c>
      <c r="C279" s="41" t="s">
        <v>1350</v>
      </c>
      <c r="D279" s="41" t="s">
        <v>8344</v>
      </c>
      <c r="E279" s="41">
        <v>12100</v>
      </c>
    </row>
    <row r="280" spans="1:5" x14ac:dyDescent="0.25">
      <c r="A280" s="41" t="s">
        <v>8157</v>
      </c>
      <c r="B280" s="41" t="s">
        <v>7439</v>
      </c>
      <c r="C280" s="41" t="s">
        <v>1350</v>
      </c>
      <c r="D280" s="41" t="s">
        <v>8345</v>
      </c>
      <c r="E280" s="41">
        <v>16900</v>
      </c>
    </row>
    <row r="281" spans="1:5" x14ac:dyDescent="0.25">
      <c r="A281" s="41" t="s">
        <v>8157</v>
      </c>
      <c r="B281" s="41" t="s">
        <v>7439</v>
      </c>
      <c r="C281" s="41" t="s">
        <v>1350</v>
      </c>
      <c r="D281" s="41" t="s">
        <v>8346</v>
      </c>
      <c r="E281" s="41">
        <v>16300</v>
      </c>
    </row>
    <row r="282" spans="1:5" x14ac:dyDescent="0.25">
      <c r="A282" s="41" t="s">
        <v>8157</v>
      </c>
      <c r="B282" s="41" t="s">
        <v>7439</v>
      </c>
      <c r="C282" s="41" t="s">
        <v>1350</v>
      </c>
      <c r="D282" s="41" t="s">
        <v>8288</v>
      </c>
      <c r="E282" s="41">
        <v>15700</v>
      </c>
    </row>
    <row r="283" spans="1:5" x14ac:dyDescent="0.25">
      <c r="A283" s="41" t="s">
        <v>8157</v>
      </c>
      <c r="B283" s="41" t="s">
        <v>7439</v>
      </c>
      <c r="C283" s="41" t="s">
        <v>1350</v>
      </c>
      <c r="D283" s="41" t="s">
        <v>8347</v>
      </c>
      <c r="E283" s="41">
        <v>14900</v>
      </c>
    </row>
    <row r="284" spans="1:5" x14ac:dyDescent="0.25">
      <c r="A284" s="41" t="s">
        <v>8157</v>
      </c>
      <c r="B284" s="41" t="s">
        <v>7628</v>
      </c>
      <c r="C284" s="41" t="s">
        <v>1350</v>
      </c>
      <c r="D284" s="41" t="s">
        <v>8158</v>
      </c>
      <c r="E284" s="41">
        <v>17100</v>
      </c>
    </row>
    <row r="285" spans="1:5" x14ac:dyDescent="0.25">
      <c r="A285" s="41" t="s">
        <v>8157</v>
      </c>
      <c r="B285" s="41" t="s">
        <v>7630</v>
      </c>
      <c r="C285" s="41" t="s">
        <v>1350</v>
      </c>
      <c r="D285" s="41" t="s">
        <v>8158</v>
      </c>
      <c r="E285" s="41">
        <v>17600</v>
      </c>
    </row>
    <row r="286" spans="1:5" x14ac:dyDescent="0.25">
      <c r="A286" s="41" t="s">
        <v>8157</v>
      </c>
      <c r="B286" s="41" t="s">
        <v>7632</v>
      </c>
      <c r="C286" s="41" t="s">
        <v>1350</v>
      </c>
      <c r="D286" s="41" t="s">
        <v>8158</v>
      </c>
      <c r="E286" s="41">
        <v>18800</v>
      </c>
    </row>
    <row r="287" spans="1:5" x14ac:dyDescent="0.25">
      <c r="A287" s="41" t="s">
        <v>8157</v>
      </c>
      <c r="B287" s="41" t="s">
        <v>7634</v>
      </c>
      <c r="C287" s="41" t="s">
        <v>1350</v>
      </c>
      <c r="D287" s="41" t="s">
        <v>8348</v>
      </c>
      <c r="E287" s="41">
        <v>14300</v>
      </c>
    </row>
    <row r="288" spans="1:5" x14ac:dyDescent="0.25">
      <c r="A288" s="41" t="s">
        <v>8157</v>
      </c>
      <c r="B288" s="41" t="s">
        <v>7634</v>
      </c>
      <c r="C288" s="41" t="s">
        <v>1350</v>
      </c>
      <c r="D288" s="41" t="s">
        <v>8349</v>
      </c>
      <c r="E288" s="41">
        <v>11800</v>
      </c>
    </row>
    <row r="289" spans="1:5" x14ac:dyDescent="0.25">
      <c r="A289" s="41" t="s">
        <v>8157</v>
      </c>
      <c r="B289" s="41" t="s">
        <v>7636</v>
      </c>
      <c r="C289" s="41" t="s">
        <v>1350</v>
      </c>
      <c r="D289" s="41" t="s">
        <v>8158</v>
      </c>
      <c r="E289" s="41">
        <v>14600</v>
      </c>
    </row>
    <row r="290" spans="1:5" x14ac:dyDescent="0.25">
      <c r="A290" s="41" t="s">
        <v>8157</v>
      </c>
      <c r="B290" s="41" t="s">
        <v>7638</v>
      </c>
      <c r="C290" s="41" t="s">
        <v>1350</v>
      </c>
      <c r="D290" s="41" t="s">
        <v>8212</v>
      </c>
      <c r="E290" s="41">
        <v>14200</v>
      </c>
    </row>
    <row r="291" spans="1:5" x14ac:dyDescent="0.25">
      <c r="A291" s="41" t="s">
        <v>8157</v>
      </c>
      <c r="B291" s="41" t="s">
        <v>7638</v>
      </c>
      <c r="C291" s="41" t="s">
        <v>1350</v>
      </c>
      <c r="D291" s="41" t="s">
        <v>8350</v>
      </c>
      <c r="E291" s="41">
        <v>13600</v>
      </c>
    </row>
    <row r="292" spans="1:5" x14ac:dyDescent="0.25">
      <c r="A292" s="41" t="s">
        <v>8157</v>
      </c>
      <c r="B292" s="41" t="s">
        <v>7450</v>
      </c>
      <c r="C292" s="41" t="s">
        <v>1350</v>
      </c>
      <c r="D292" s="41" t="s">
        <v>8233</v>
      </c>
      <c r="E292" s="41">
        <v>27300</v>
      </c>
    </row>
    <row r="293" spans="1:5" x14ac:dyDescent="0.25">
      <c r="A293" s="41" t="s">
        <v>8157</v>
      </c>
      <c r="B293" s="41" t="s">
        <v>7450</v>
      </c>
      <c r="C293" s="41" t="s">
        <v>1350</v>
      </c>
      <c r="D293" s="41" t="s">
        <v>8351</v>
      </c>
      <c r="E293" s="41">
        <v>26300</v>
      </c>
    </row>
    <row r="294" spans="1:5" x14ac:dyDescent="0.25">
      <c r="A294" s="41" t="s">
        <v>8157</v>
      </c>
      <c r="B294" s="41" t="s">
        <v>7450</v>
      </c>
      <c r="C294" s="41" t="s">
        <v>1350</v>
      </c>
      <c r="D294" s="41" t="s">
        <v>8352</v>
      </c>
      <c r="E294" s="41">
        <v>25300</v>
      </c>
    </row>
    <row r="295" spans="1:5" x14ac:dyDescent="0.25">
      <c r="A295" s="41" t="s">
        <v>8157</v>
      </c>
      <c r="B295" s="41" t="s">
        <v>7450</v>
      </c>
      <c r="C295" s="41" t="s">
        <v>1350</v>
      </c>
      <c r="D295" s="41" t="s">
        <v>8178</v>
      </c>
      <c r="E295" s="41">
        <v>23200</v>
      </c>
    </row>
    <row r="296" spans="1:5" x14ac:dyDescent="0.25">
      <c r="A296" s="41" t="s">
        <v>8157</v>
      </c>
      <c r="B296" s="41" t="s">
        <v>7450</v>
      </c>
      <c r="C296" s="41" t="s">
        <v>1350</v>
      </c>
      <c r="D296" s="41" t="s">
        <v>8165</v>
      </c>
      <c r="E296" s="41">
        <v>21200</v>
      </c>
    </row>
    <row r="297" spans="1:5" x14ac:dyDescent="0.25">
      <c r="A297" s="41" t="s">
        <v>8157</v>
      </c>
      <c r="B297" s="41" t="s">
        <v>7450</v>
      </c>
      <c r="C297" s="41" t="s">
        <v>1350</v>
      </c>
      <c r="D297" s="41" t="s">
        <v>8266</v>
      </c>
      <c r="E297" s="41">
        <v>19100</v>
      </c>
    </row>
    <row r="298" spans="1:5" x14ac:dyDescent="0.25">
      <c r="A298" s="41" t="s">
        <v>8157</v>
      </c>
      <c r="B298" s="41" t="s">
        <v>7641</v>
      </c>
      <c r="C298" s="41" t="s">
        <v>1350</v>
      </c>
      <c r="D298" s="41" t="s">
        <v>8353</v>
      </c>
      <c r="E298" s="41">
        <v>38000</v>
      </c>
    </row>
    <row r="299" spans="1:5" x14ac:dyDescent="0.25">
      <c r="A299" s="41" t="s">
        <v>8157</v>
      </c>
      <c r="B299" s="41" t="s">
        <v>7641</v>
      </c>
      <c r="C299" s="41" t="s">
        <v>1350</v>
      </c>
      <c r="D299" s="41" t="s">
        <v>8354</v>
      </c>
      <c r="E299" s="41">
        <v>35300</v>
      </c>
    </row>
    <row r="300" spans="1:5" x14ac:dyDescent="0.25">
      <c r="A300" s="41" t="s">
        <v>8157</v>
      </c>
      <c r="B300" s="41" t="s">
        <v>7641</v>
      </c>
      <c r="C300" s="41" t="s">
        <v>1350</v>
      </c>
      <c r="D300" s="41" t="s">
        <v>8355</v>
      </c>
      <c r="E300" s="41">
        <v>32800</v>
      </c>
    </row>
    <row r="301" spans="1:5" x14ac:dyDescent="0.25">
      <c r="A301" s="41" t="s">
        <v>8157</v>
      </c>
      <c r="B301" s="41" t="s">
        <v>7641</v>
      </c>
      <c r="C301" s="41" t="s">
        <v>1350</v>
      </c>
      <c r="D301" s="41" t="s">
        <v>8178</v>
      </c>
      <c r="E301" s="41">
        <v>31200</v>
      </c>
    </row>
    <row r="302" spans="1:5" x14ac:dyDescent="0.25">
      <c r="A302" s="41" t="s">
        <v>8157</v>
      </c>
      <c r="B302" s="41" t="s">
        <v>7641</v>
      </c>
      <c r="C302" s="41" t="s">
        <v>1350</v>
      </c>
      <c r="D302" s="41" t="s">
        <v>8179</v>
      </c>
      <c r="E302" s="41">
        <v>29600</v>
      </c>
    </row>
    <row r="303" spans="1:5" x14ac:dyDescent="0.25">
      <c r="A303" s="41" t="s">
        <v>8157</v>
      </c>
      <c r="B303" s="41" t="s">
        <v>7641</v>
      </c>
      <c r="C303" s="41" t="s">
        <v>1350</v>
      </c>
      <c r="D303" s="41" t="s">
        <v>8337</v>
      </c>
      <c r="E303" s="41">
        <v>28100</v>
      </c>
    </row>
    <row r="304" spans="1:5" x14ac:dyDescent="0.25">
      <c r="A304" s="41" t="s">
        <v>8157</v>
      </c>
      <c r="B304" s="41" t="s">
        <v>7643</v>
      </c>
      <c r="C304" s="41" t="s">
        <v>1350</v>
      </c>
      <c r="D304" s="41" t="s">
        <v>8228</v>
      </c>
      <c r="E304" s="41">
        <v>25185</v>
      </c>
    </row>
    <row r="305" spans="1:5" x14ac:dyDescent="0.25">
      <c r="A305" s="41" t="s">
        <v>8157</v>
      </c>
      <c r="B305" s="41" t="s">
        <v>7643</v>
      </c>
      <c r="C305" s="41" t="s">
        <v>1350</v>
      </c>
      <c r="D305" s="41" t="s">
        <v>8176</v>
      </c>
      <c r="E305" s="41">
        <v>22920</v>
      </c>
    </row>
    <row r="306" spans="1:5" x14ac:dyDescent="0.25">
      <c r="A306" s="41" t="s">
        <v>8157</v>
      </c>
      <c r="B306" s="41" t="s">
        <v>7645</v>
      </c>
      <c r="C306" s="41" t="s">
        <v>1350</v>
      </c>
      <c r="D306" s="41" t="s">
        <v>8356</v>
      </c>
      <c r="E306" s="41">
        <v>23000</v>
      </c>
    </row>
    <row r="307" spans="1:5" x14ac:dyDescent="0.25">
      <c r="A307" s="41" t="s">
        <v>8157</v>
      </c>
      <c r="B307" s="41" t="s">
        <v>7645</v>
      </c>
      <c r="C307" s="41" t="s">
        <v>1350</v>
      </c>
      <c r="D307" s="41" t="s">
        <v>8357</v>
      </c>
      <c r="E307" s="41">
        <v>22538</v>
      </c>
    </row>
    <row r="308" spans="1:5" x14ac:dyDescent="0.25">
      <c r="A308" s="41" t="s">
        <v>8157</v>
      </c>
      <c r="B308" s="41" t="s">
        <v>7645</v>
      </c>
      <c r="C308" s="41" t="s">
        <v>1350</v>
      </c>
      <c r="D308" s="41" t="s">
        <v>8358</v>
      </c>
      <c r="E308" s="41">
        <v>21476</v>
      </c>
    </row>
    <row r="309" spans="1:5" x14ac:dyDescent="0.25">
      <c r="A309" s="41" t="s">
        <v>8157</v>
      </c>
      <c r="B309" s="41" t="s">
        <v>7645</v>
      </c>
      <c r="C309" s="41" t="s">
        <v>1350</v>
      </c>
      <c r="D309" s="41" t="s">
        <v>8168</v>
      </c>
      <c r="E309" s="41">
        <v>20355</v>
      </c>
    </row>
    <row r="310" spans="1:5" x14ac:dyDescent="0.25">
      <c r="A310" s="41" t="s">
        <v>8157</v>
      </c>
      <c r="B310" s="41" t="s">
        <v>7647</v>
      </c>
      <c r="C310" s="41" t="s">
        <v>1350</v>
      </c>
      <c r="D310" s="41" t="s">
        <v>8356</v>
      </c>
      <c r="E310" s="41">
        <v>29140</v>
      </c>
    </row>
    <row r="311" spans="1:5" x14ac:dyDescent="0.25">
      <c r="A311" s="41" t="s">
        <v>8157</v>
      </c>
      <c r="B311" s="41" t="s">
        <v>7647</v>
      </c>
      <c r="C311" s="41" t="s">
        <v>1350</v>
      </c>
      <c r="D311" s="41" t="s">
        <v>8359</v>
      </c>
      <c r="E311" s="41">
        <v>27700</v>
      </c>
    </row>
    <row r="312" spans="1:5" x14ac:dyDescent="0.25">
      <c r="A312" s="41" t="s">
        <v>8157</v>
      </c>
      <c r="B312" s="41" t="s">
        <v>7647</v>
      </c>
      <c r="C312" s="41" t="s">
        <v>1350</v>
      </c>
      <c r="D312" s="41" t="s">
        <v>8211</v>
      </c>
      <c r="E312" s="41">
        <v>26300</v>
      </c>
    </row>
    <row r="313" spans="1:5" x14ac:dyDescent="0.25">
      <c r="A313" s="41" t="s">
        <v>8157</v>
      </c>
      <c r="B313" s="41" t="s">
        <v>7649</v>
      </c>
      <c r="C313" s="41" t="s">
        <v>1350</v>
      </c>
      <c r="D313" s="41" t="s">
        <v>8158</v>
      </c>
      <c r="E313" s="41">
        <v>14100</v>
      </c>
    </row>
    <row r="314" spans="1:5" x14ac:dyDescent="0.25">
      <c r="A314" s="41" t="s">
        <v>8157</v>
      </c>
      <c r="B314" s="41" t="s">
        <v>7651</v>
      </c>
      <c r="C314" s="41" t="s">
        <v>1350</v>
      </c>
      <c r="D314" s="41" t="s">
        <v>8158</v>
      </c>
      <c r="E314" s="41">
        <v>11200</v>
      </c>
    </row>
    <row r="315" spans="1:5" x14ac:dyDescent="0.25">
      <c r="A315" s="41" t="s">
        <v>8157</v>
      </c>
      <c r="B315" s="41" t="s">
        <v>7653</v>
      </c>
      <c r="C315" s="41" t="s">
        <v>1350</v>
      </c>
      <c r="D315" s="41" t="s">
        <v>8158</v>
      </c>
      <c r="E315" s="41">
        <v>12100</v>
      </c>
    </row>
    <row r="316" spans="1:5" x14ac:dyDescent="0.25">
      <c r="A316" s="41" t="s">
        <v>8157</v>
      </c>
      <c r="B316" s="41" t="s">
        <v>7431</v>
      </c>
      <c r="C316" s="41" t="s">
        <v>1350</v>
      </c>
      <c r="D316" s="41" t="s">
        <v>8158</v>
      </c>
      <c r="E316" s="41">
        <v>8200</v>
      </c>
    </row>
    <row r="317" spans="1:5" x14ac:dyDescent="0.25">
      <c r="A317" s="41" t="s">
        <v>8157</v>
      </c>
      <c r="B317" s="41" t="s">
        <v>7656</v>
      </c>
      <c r="C317" s="41" t="s">
        <v>1350</v>
      </c>
      <c r="D317" s="41" t="s">
        <v>8360</v>
      </c>
      <c r="E317" s="41">
        <v>33330</v>
      </c>
    </row>
    <row r="318" spans="1:5" x14ac:dyDescent="0.25">
      <c r="A318" s="41" t="s">
        <v>8157</v>
      </c>
      <c r="B318" s="41" t="s">
        <v>7656</v>
      </c>
      <c r="C318" s="41" t="s">
        <v>1350</v>
      </c>
      <c r="D318" s="41" t="s">
        <v>8165</v>
      </c>
      <c r="E318" s="41">
        <v>30140</v>
      </c>
    </row>
    <row r="319" spans="1:5" x14ac:dyDescent="0.25">
      <c r="A319" s="41" t="s">
        <v>8157</v>
      </c>
      <c r="B319" s="41" t="s">
        <v>7656</v>
      </c>
      <c r="C319" s="41" t="s">
        <v>1350</v>
      </c>
      <c r="D319" s="41" t="s">
        <v>8266</v>
      </c>
      <c r="E319" s="41">
        <v>27060</v>
      </c>
    </row>
    <row r="320" spans="1:5" x14ac:dyDescent="0.25">
      <c r="A320" s="41" t="s">
        <v>8157</v>
      </c>
      <c r="B320" s="41" t="s">
        <v>7658</v>
      </c>
      <c r="C320" s="41" t="s">
        <v>1350</v>
      </c>
      <c r="D320" s="41" t="s">
        <v>8158</v>
      </c>
      <c r="E320" s="41">
        <v>12300</v>
      </c>
    </row>
    <row r="321" spans="1:5" x14ac:dyDescent="0.25">
      <c r="A321" s="41" t="s">
        <v>8157</v>
      </c>
      <c r="B321" s="41" t="s">
        <v>7660</v>
      </c>
      <c r="C321" s="41" t="s">
        <v>1350</v>
      </c>
      <c r="D321" s="41" t="s">
        <v>8158</v>
      </c>
      <c r="E321" s="41">
        <v>27300</v>
      </c>
    </row>
    <row r="322" spans="1:5" x14ac:dyDescent="0.25">
      <c r="A322" s="41" t="s">
        <v>8157</v>
      </c>
      <c r="B322" s="41" t="s">
        <v>7662</v>
      </c>
      <c r="C322" s="41" t="s">
        <v>1350</v>
      </c>
      <c r="D322" s="41" t="s">
        <v>8233</v>
      </c>
      <c r="E322" s="41">
        <v>51500</v>
      </c>
    </row>
    <row r="323" spans="1:5" x14ac:dyDescent="0.25">
      <c r="A323" s="41" t="s">
        <v>8157</v>
      </c>
      <c r="B323" s="41" t="s">
        <v>7662</v>
      </c>
      <c r="C323" s="41" t="s">
        <v>1350</v>
      </c>
      <c r="D323" s="41" t="s">
        <v>8361</v>
      </c>
      <c r="E323" s="41">
        <v>41800</v>
      </c>
    </row>
    <row r="324" spans="1:5" x14ac:dyDescent="0.25">
      <c r="A324" s="41" t="s">
        <v>8157</v>
      </c>
      <c r="B324" s="41" t="s">
        <v>7662</v>
      </c>
      <c r="C324" s="41" t="s">
        <v>1350</v>
      </c>
      <c r="D324" s="41" t="s">
        <v>8362</v>
      </c>
      <c r="E324" s="41">
        <v>40600</v>
      </c>
    </row>
    <row r="325" spans="1:5" x14ac:dyDescent="0.25">
      <c r="A325" s="41" t="s">
        <v>8157</v>
      </c>
      <c r="B325" s="41" t="s">
        <v>7662</v>
      </c>
      <c r="C325" s="41" t="s">
        <v>1350</v>
      </c>
      <c r="D325" s="41" t="s">
        <v>8166</v>
      </c>
      <c r="E325" s="41">
        <v>39000</v>
      </c>
    </row>
    <row r="326" spans="1:5" x14ac:dyDescent="0.25">
      <c r="A326" s="41" t="s">
        <v>8157</v>
      </c>
      <c r="B326" s="41" t="s">
        <v>7662</v>
      </c>
      <c r="C326" s="41" t="s">
        <v>1350</v>
      </c>
      <c r="D326" s="41" t="s">
        <v>8237</v>
      </c>
      <c r="E326" s="41">
        <v>37700</v>
      </c>
    </row>
    <row r="327" spans="1:5" x14ac:dyDescent="0.25">
      <c r="A327" s="41" t="s">
        <v>8157</v>
      </c>
      <c r="B327" s="41" t="s">
        <v>7664</v>
      </c>
      <c r="C327" s="41" t="s">
        <v>1350</v>
      </c>
      <c r="D327" s="41" t="s">
        <v>8158</v>
      </c>
      <c r="E327" s="41">
        <v>30600</v>
      </c>
    </row>
    <row r="328" spans="1:5" x14ac:dyDescent="0.25">
      <c r="A328" s="41" t="s">
        <v>8157</v>
      </c>
      <c r="B328" s="41" t="s">
        <v>7666</v>
      </c>
      <c r="C328" s="41" t="s">
        <v>1350</v>
      </c>
      <c r="D328" s="41" t="s">
        <v>8158</v>
      </c>
      <c r="E328" s="41">
        <v>27000</v>
      </c>
    </row>
    <row r="329" spans="1:5" x14ac:dyDescent="0.25">
      <c r="A329" s="41" t="s">
        <v>8157</v>
      </c>
      <c r="B329" s="41" t="s">
        <v>7668</v>
      </c>
      <c r="C329" s="41" t="s">
        <v>1350</v>
      </c>
      <c r="D329" s="41" t="s">
        <v>8158</v>
      </c>
      <c r="E329" s="41">
        <v>20100</v>
      </c>
    </row>
    <row r="330" spans="1:5" x14ac:dyDescent="0.25">
      <c r="A330" s="41" t="s">
        <v>8157</v>
      </c>
      <c r="B330" s="41" t="s">
        <v>7670</v>
      </c>
      <c r="C330" s="41" t="s">
        <v>1350</v>
      </c>
      <c r="D330" s="41" t="s">
        <v>8246</v>
      </c>
      <c r="E330" s="41">
        <v>24600</v>
      </c>
    </row>
    <row r="331" spans="1:5" x14ac:dyDescent="0.25">
      <c r="A331" s="41" t="s">
        <v>8157</v>
      </c>
      <c r="B331" s="41" t="s">
        <v>7670</v>
      </c>
      <c r="C331" s="41" t="s">
        <v>1350</v>
      </c>
      <c r="D331" s="41" t="s">
        <v>8363</v>
      </c>
      <c r="E331" s="41">
        <v>24400</v>
      </c>
    </row>
    <row r="332" spans="1:5" x14ac:dyDescent="0.25">
      <c r="A332" s="41" t="s">
        <v>8157</v>
      </c>
      <c r="B332" s="41" t="s">
        <v>7670</v>
      </c>
      <c r="C332" s="41" t="s">
        <v>1350</v>
      </c>
      <c r="D332" s="41" t="s">
        <v>8364</v>
      </c>
      <c r="E332" s="41">
        <v>23500</v>
      </c>
    </row>
    <row r="333" spans="1:5" x14ac:dyDescent="0.25">
      <c r="A333" s="41" t="s">
        <v>8157</v>
      </c>
      <c r="B333" s="41" t="s">
        <v>7670</v>
      </c>
      <c r="C333" s="41" t="s">
        <v>1350</v>
      </c>
      <c r="D333" s="41" t="s">
        <v>8188</v>
      </c>
      <c r="E333" s="41">
        <v>19600</v>
      </c>
    </row>
    <row r="334" spans="1:5" x14ac:dyDescent="0.25">
      <c r="A334" s="41" t="s">
        <v>8157</v>
      </c>
      <c r="B334" s="41" t="s">
        <v>7670</v>
      </c>
      <c r="C334" s="41" t="s">
        <v>1350</v>
      </c>
      <c r="D334" s="41" t="s">
        <v>8365</v>
      </c>
      <c r="E334" s="41">
        <v>14800</v>
      </c>
    </row>
    <row r="335" spans="1:5" x14ac:dyDescent="0.25">
      <c r="A335" s="41" t="s">
        <v>8157</v>
      </c>
      <c r="B335" s="41" t="s">
        <v>7670</v>
      </c>
      <c r="C335" s="41" t="s">
        <v>1350</v>
      </c>
      <c r="D335" s="41" t="s">
        <v>8234</v>
      </c>
      <c r="E335" s="41">
        <v>14300</v>
      </c>
    </row>
    <row r="336" spans="1:5" x14ac:dyDescent="0.25">
      <c r="A336" s="41" t="s">
        <v>8157</v>
      </c>
      <c r="B336" s="41" t="s">
        <v>7670</v>
      </c>
      <c r="C336" s="41" t="s">
        <v>1350</v>
      </c>
      <c r="D336" s="41" t="s">
        <v>8331</v>
      </c>
      <c r="E336" s="41">
        <v>12800</v>
      </c>
    </row>
    <row r="337" spans="1:5" x14ac:dyDescent="0.25">
      <c r="A337" s="41" t="s">
        <v>8157</v>
      </c>
      <c r="B337" s="41" t="s">
        <v>7673</v>
      </c>
      <c r="C337" s="41" t="s">
        <v>1350</v>
      </c>
      <c r="D337" s="41" t="s">
        <v>8298</v>
      </c>
      <c r="E337" s="41">
        <v>24000</v>
      </c>
    </row>
    <row r="338" spans="1:5" x14ac:dyDescent="0.25">
      <c r="A338" s="41" t="s">
        <v>8157</v>
      </c>
      <c r="B338" s="41" t="s">
        <v>7673</v>
      </c>
      <c r="C338" s="41" t="s">
        <v>1350</v>
      </c>
      <c r="D338" s="41" t="s">
        <v>8299</v>
      </c>
      <c r="E338" s="41">
        <v>23300</v>
      </c>
    </row>
    <row r="339" spans="1:5" x14ac:dyDescent="0.25">
      <c r="A339" s="41" t="s">
        <v>8157</v>
      </c>
      <c r="B339" s="41" t="s">
        <v>7673</v>
      </c>
      <c r="C339" s="41" t="s">
        <v>1350</v>
      </c>
      <c r="D339" s="41" t="s">
        <v>8327</v>
      </c>
      <c r="E339" s="41">
        <v>22800</v>
      </c>
    </row>
    <row r="340" spans="1:5" x14ac:dyDescent="0.25">
      <c r="A340" s="41" t="s">
        <v>8157</v>
      </c>
      <c r="B340" s="41" t="s">
        <v>7673</v>
      </c>
      <c r="C340" s="41" t="s">
        <v>1350</v>
      </c>
      <c r="D340" s="41" t="s">
        <v>8328</v>
      </c>
      <c r="E340" s="41">
        <v>21900</v>
      </c>
    </row>
    <row r="341" spans="1:5" x14ac:dyDescent="0.25">
      <c r="A341" s="41" t="s">
        <v>8157</v>
      </c>
      <c r="B341" s="41" t="s">
        <v>7676</v>
      </c>
      <c r="C341" s="41" t="s">
        <v>1350</v>
      </c>
      <c r="D341" s="41" t="s">
        <v>8366</v>
      </c>
      <c r="E341" s="41">
        <v>21400</v>
      </c>
    </row>
    <row r="342" spans="1:5" x14ac:dyDescent="0.25">
      <c r="A342" s="41" t="s">
        <v>8157</v>
      </c>
      <c r="B342" s="41" t="s">
        <v>7676</v>
      </c>
      <c r="C342" s="41" t="s">
        <v>1350</v>
      </c>
      <c r="D342" s="41" t="s">
        <v>8367</v>
      </c>
      <c r="E342" s="41">
        <v>20700</v>
      </c>
    </row>
    <row r="343" spans="1:5" x14ac:dyDescent="0.25">
      <c r="A343" s="41" t="s">
        <v>8157</v>
      </c>
      <c r="B343" s="41" t="s">
        <v>7676</v>
      </c>
      <c r="C343" s="41" t="s">
        <v>1350</v>
      </c>
      <c r="D343" s="41" t="s">
        <v>8368</v>
      </c>
      <c r="E343" s="41">
        <v>19900</v>
      </c>
    </row>
    <row r="344" spans="1:5" x14ac:dyDescent="0.25">
      <c r="A344" s="41" t="s">
        <v>8157</v>
      </c>
      <c r="B344" s="41" t="s">
        <v>7678</v>
      </c>
      <c r="C344" s="41" t="s">
        <v>1350</v>
      </c>
      <c r="D344" s="41" t="s">
        <v>8158</v>
      </c>
      <c r="E344" s="41">
        <v>11300</v>
      </c>
    </row>
    <row r="345" spans="1:5" x14ac:dyDescent="0.25">
      <c r="A345" s="41" t="s">
        <v>8157</v>
      </c>
      <c r="B345" s="41" t="s">
        <v>7680</v>
      </c>
      <c r="C345" s="41" t="s">
        <v>1350</v>
      </c>
      <c r="D345" s="41" t="s">
        <v>8360</v>
      </c>
      <c r="E345" s="41">
        <v>57500</v>
      </c>
    </row>
    <row r="346" spans="1:5" x14ac:dyDescent="0.25">
      <c r="A346" s="41" t="s">
        <v>8157</v>
      </c>
      <c r="B346" s="41" t="s">
        <v>7680</v>
      </c>
      <c r="C346" s="41" t="s">
        <v>1350</v>
      </c>
      <c r="D346" s="41" t="s">
        <v>8175</v>
      </c>
      <c r="E346" s="41">
        <v>50700</v>
      </c>
    </row>
    <row r="347" spans="1:5" x14ac:dyDescent="0.25">
      <c r="A347" s="41" t="s">
        <v>8157</v>
      </c>
      <c r="B347" s="41" t="s">
        <v>7680</v>
      </c>
      <c r="C347" s="41" t="s">
        <v>1350</v>
      </c>
      <c r="D347" s="41" t="s">
        <v>8176</v>
      </c>
      <c r="E347" s="41">
        <v>44000</v>
      </c>
    </row>
    <row r="348" spans="1:5" x14ac:dyDescent="0.25">
      <c r="A348" s="41" t="s">
        <v>8157</v>
      </c>
      <c r="B348" s="41" t="s">
        <v>7682</v>
      </c>
      <c r="C348" s="41" t="s">
        <v>1350</v>
      </c>
      <c r="D348" s="41" t="s">
        <v>8158</v>
      </c>
      <c r="E348" s="41">
        <v>77600</v>
      </c>
    </row>
    <row r="349" spans="1:5" x14ac:dyDescent="0.25">
      <c r="A349" s="41" t="s">
        <v>8157</v>
      </c>
      <c r="B349" s="41" t="s">
        <v>7684</v>
      </c>
      <c r="C349" s="41" t="s">
        <v>1350</v>
      </c>
      <c r="D349" s="41" t="s">
        <v>8158</v>
      </c>
      <c r="E349" s="41">
        <v>51700</v>
      </c>
    </row>
    <row r="350" spans="1:5" x14ac:dyDescent="0.25">
      <c r="A350" s="41" t="s">
        <v>8157</v>
      </c>
      <c r="B350" s="41" t="s">
        <v>7426</v>
      </c>
      <c r="C350" s="41" t="s">
        <v>1350</v>
      </c>
      <c r="D350" s="41" t="s">
        <v>8158</v>
      </c>
      <c r="E350" s="41">
        <v>2600</v>
      </c>
    </row>
    <row r="351" spans="1:5" x14ac:dyDescent="0.25">
      <c r="A351" s="41" t="s">
        <v>8157</v>
      </c>
      <c r="B351" s="41" t="s">
        <v>7687</v>
      </c>
      <c r="C351" s="41" t="s">
        <v>1350</v>
      </c>
      <c r="D351" s="41" t="s">
        <v>8348</v>
      </c>
      <c r="E351" s="41">
        <v>25900</v>
      </c>
    </row>
    <row r="352" spans="1:5" x14ac:dyDescent="0.25">
      <c r="A352" s="41" t="s">
        <v>8157</v>
      </c>
      <c r="B352" s="41" t="s">
        <v>7687</v>
      </c>
      <c r="C352" s="41" t="s">
        <v>1350</v>
      </c>
      <c r="D352" s="41" t="s">
        <v>8349</v>
      </c>
      <c r="E352" s="41">
        <v>25100</v>
      </c>
    </row>
    <row r="353" spans="1:5" x14ac:dyDescent="0.25">
      <c r="A353" s="41" t="s">
        <v>8157</v>
      </c>
      <c r="B353" s="41" t="s">
        <v>7689</v>
      </c>
      <c r="C353" s="41" t="s">
        <v>1350</v>
      </c>
      <c r="D353" s="41" t="s">
        <v>8158</v>
      </c>
      <c r="E353" s="41">
        <v>38800</v>
      </c>
    </row>
    <row r="354" spans="1:5" x14ac:dyDescent="0.25">
      <c r="A354" s="41" t="s">
        <v>8157</v>
      </c>
      <c r="B354" s="41" t="s">
        <v>7691</v>
      </c>
      <c r="C354" s="41" t="s">
        <v>1350</v>
      </c>
      <c r="D354" s="41" t="s">
        <v>8369</v>
      </c>
      <c r="E354" s="41">
        <v>235700</v>
      </c>
    </row>
    <row r="355" spans="1:5" x14ac:dyDescent="0.25">
      <c r="A355" s="41" t="s">
        <v>8157</v>
      </c>
      <c r="B355" s="41" t="s">
        <v>7691</v>
      </c>
      <c r="C355" s="41" t="s">
        <v>1350</v>
      </c>
      <c r="D355" s="41" t="s">
        <v>8370</v>
      </c>
      <c r="E355" s="41">
        <v>157500</v>
      </c>
    </row>
    <row r="356" spans="1:5" x14ac:dyDescent="0.25">
      <c r="A356" s="41" t="s">
        <v>8157</v>
      </c>
      <c r="B356" s="41" t="s">
        <v>7691</v>
      </c>
      <c r="C356" s="41" t="s">
        <v>1350</v>
      </c>
      <c r="D356" s="41" t="s">
        <v>8371</v>
      </c>
      <c r="E356" s="41">
        <v>82900</v>
      </c>
    </row>
    <row r="357" spans="1:5" x14ac:dyDescent="0.25">
      <c r="A357" s="41" t="s">
        <v>8157</v>
      </c>
      <c r="B357" s="41" t="s">
        <v>7691</v>
      </c>
      <c r="C357" s="41" t="s">
        <v>1350</v>
      </c>
      <c r="D357" s="41" t="s">
        <v>8372</v>
      </c>
      <c r="E357" s="41">
        <v>43600</v>
      </c>
    </row>
    <row r="358" spans="1:5" x14ac:dyDescent="0.25">
      <c r="A358" s="41" t="s">
        <v>8157</v>
      </c>
      <c r="B358" s="41" t="s">
        <v>7691</v>
      </c>
      <c r="C358" s="41" t="s">
        <v>1350</v>
      </c>
      <c r="D358" s="41" t="s">
        <v>8373</v>
      </c>
      <c r="E358" s="41">
        <v>38500</v>
      </c>
    </row>
    <row r="359" spans="1:5" x14ac:dyDescent="0.25">
      <c r="A359" s="41" t="s">
        <v>8157</v>
      </c>
      <c r="B359" s="41" t="s">
        <v>7693</v>
      </c>
      <c r="C359" s="41" t="s">
        <v>1350</v>
      </c>
      <c r="D359" s="41" t="s">
        <v>8374</v>
      </c>
      <c r="E359" s="41">
        <v>43500</v>
      </c>
    </row>
    <row r="360" spans="1:5" x14ac:dyDescent="0.25">
      <c r="A360" s="41" t="s">
        <v>8157</v>
      </c>
      <c r="B360" s="41" t="s">
        <v>7693</v>
      </c>
      <c r="C360" s="41" t="s">
        <v>1350</v>
      </c>
      <c r="D360" s="41" t="s">
        <v>8257</v>
      </c>
      <c r="E360" s="41">
        <v>37200</v>
      </c>
    </row>
    <row r="361" spans="1:5" x14ac:dyDescent="0.25">
      <c r="A361" s="41" t="s">
        <v>8157</v>
      </c>
      <c r="B361" s="41" t="s">
        <v>7693</v>
      </c>
      <c r="C361" s="41" t="s">
        <v>1350</v>
      </c>
      <c r="D361" s="41" t="s">
        <v>8375</v>
      </c>
      <c r="E361" s="41">
        <v>33600</v>
      </c>
    </row>
    <row r="362" spans="1:5" x14ac:dyDescent="0.25">
      <c r="A362" s="41" t="s">
        <v>8157</v>
      </c>
      <c r="B362" s="41" t="s">
        <v>7693</v>
      </c>
      <c r="C362" s="41" t="s">
        <v>1350</v>
      </c>
      <c r="D362" s="41" t="s">
        <v>8376</v>
      </c>
      <c r="E362" s="41">
        <v>31400</v>
      </c>
    </row>
    <row r="363" spans="1:5" x14ac:dyDescent="0.25">
      <c r="A363" s="41" t="s">
        <v>8157</v>
      </c>
      <c r="B363" s="41" t="s">
        <v>7693</v>
      </c>
      <c r="C363" s="41" t="s">
        <v>1350</v>
      </c>
      <c r="D363" s="41" t="s">
        <v>8377</v>
      </c>
      <c r="E363" s="41">
        <v>27500</v>
      </c>
    </row>
    <row r="364" spans="1:5" x14ac:dyDescent="0.25">
      <c r="A364" s="41" t="s">
        <v>8157</v>
      </c>
      <c r="B364" s="41" t="s">
        <v>7693</v>
      </c>
      <c r="C364" s="41" t="s">
        <v>1350</v>
      </c>
      <c r="D364" s="41" t="s">
        <v>8378</v>
      </c>
      <c r="E364" s="41">
        <v>26500</v>
      </c>
    </row>
    <row r="365" spans="1:5" x14ac:dyDescent="0.25">
      <c r="A365" s="41" t="s">
        <v>8157</v>
      </c>
      <c r="B365" s="41" t="s">
        <v>7693</v>
      </c>
      <c r="C365" s="41" t="s">
        <v>1350</v>
      </c>
      <c r="D365" s="41" t="s">
        <v>8379</v>
      </c>
      <c r="E365" s="41">
        <v>25500</v>
      </c>
    </row>
    <row r="366" spans="1:5" x14ac:dyDescent="0.25">
      <c r="A366" s="41" t="s">
        <v>8157</v>
      </c>
      <c r="B366" s="41" t="s">
        <v>7693</v>
      </c>
      <c r="C366" s="41" t="s">
        <v>1350</v>
      </c>
      <c r="D366" s="41" t="s">
        <v>8380</v>
      </c>
      <c r="E366" s="41">
        <v>24400</v>
      </c>
    </row>
    <row r="367" spans="1:5" x14ac:dyDescent="0.25">
      <c r="A367" s="41" t="s">
        <v>8157</v>
      </c>
      <c r="B367" s="41" t="s">
        <v>7693</v>
      </c>
      <c r="C367" s="41" t="s">
        <v>1350</v>
      </c>
      <c r="D367" s="41" t="s">
        <v>8381</v>
      </c>
      <c r="E367" s="41">
        <v>22200</v>
      </c>
    </row>
    <row r="368" spans="1:5" x14ac:dyDescent="0.25">
      <c r="A368" s="41" t="s">
        <v>8157</v>
      </c>
      <c r="B368" s="41" t="s">
        <v>7695</v>
      </c>
      <c r="C368" s="41" t="s">
        <v>1350</v>
      </c>
      <c r="D368" s="41" t="s">
        <v>8244</v>
      </c>
      <c r="E368" s="41">
        <v>33100</v>
      </c>
    </row>
    <row r="369" spans="1:5" x14ac:dyDescent="0.25">
      <c r="A369" s="41" t="s">
        <v>8157</v>
      </c>
      <c r="B369" s="41" t="s">
        <v>7695</v>
      </c>
      <c r="C369" s="41" t="s">
        <v>1350</v>
      </c>
      <c r="D369" s="41" t="s">
        <v>8382</v>
      </c>
      <c r="E369" s="41">
        <v>31900</v>
      </c>
    </row>
    <row r="370" spans="1:5" x14ac:dyDescent="0.25">
      <c r="A370" s="41" t="s">
        <v>8157</v>
      </c>
      <c r="B370" s="41" t="s">
        <v>7695</v>
      </c>
      <c r="C370" s="41" t="s">
        <v>1350</v>
      </c>
      <c r="D370" s="41" t="s">
        <v>8383</v>
      </c>
      <c r="E370" s="41">
        <v>30600</v>
      </c>
    </row>
    <row r="371" spans="1:5" x14ac:dyDescent="0.25">
      <c r="A371" s="41" t="s">
        <v>8157</v>
      </c>
      <c r="B371" s="41" t="s">
        <v>7697</v>
      </c>
      <c r="C371" s="41" t="s">
        <v>1350</v>
      </c>
      <c r="D371" s="41" t="s">
        <v>8384</v>
      </c>
      <c r="E371" s="41">
        <v>10900</v>
      </c>
    </row>
    <row r="372" spans="1:5" x14ac:dyDescent="0.25">
      <c r="A372" s="41" t="s">
        <v>8157</v>
      </c>
      <c r="B372" s="41" t="s">
        <v>7697</v>
      </c>
      <c r="C372" s="41" t="s">
        <v>1350</v>
      </c>
      <c r="D372" s="41" t="s">
        <v>8385</v>
      </c>
      <c r="E372" s="41">
        <v>14400</v>
      </c>
    </row>
    <row r="373" spans="1:5" x14ac:dyDescent="0.25">
      <c r="A373" s="41" t="s">
        <v>8157</v>
      </c>
      <c r="B373" s="41" t="s">
        <v>7697</v>
      </c>
      <c r="C373" s="41" t="s">
        <v>1350</v>
      </c>
      <c r="D373" s="41" t="s">
        <v>8386</v>
      </c>
      <c r="E373" s="41">
        <v>26000</v>
      </c>
    </row>
    <row r="374" spans="1:5" x14ac:dyDescent="0.25">
      <c r="A374" s="41" t="s">
        <v>8157</v>
      </c>
      <c r="B374" s="41" t="s">
        <v>7697</v>
      </c>
      <c r="C374" s="41" t="s">
        <v>1350</v>
      </c>
      <c r="D374" s="41" t="s">
        <v>8387</v>
      </c>
      <c r="E374" s="41">
        <v>19700</v>
      </c>
    </row>
    <row r="375" spans="1:5" x14ac:dyDescent="0.25">
      <c r="A375" s="41" t="s">
        <v>8157</v>
      </c>
      <c r="B375" s="41" t="s">
        <v>7699</v>
      </c>
      <c r="C375" s="41" t="s">
        <v>1350</v>
      </c>
      <c r="D375" s="41" t="s">
        <v>8158</v>
      </c>
      <c r="E375" s="41">
        <v>12600</v>
      </c>
    </row>
    <row r="376" spans="1:5" x14ac:dyDescent="0.25">
      <c r="A376" s="41" t="s">
        <v>8157</v>
      </c>
      <c r="B376" s="41" t="s">
        <v>7701</v>
      </c>
      <c r="C376" s="41" t="s">
        <v>1350</v>
      </c>
      <c r="D376" s="41" t="s">
        <v>8233</v>
      </c>
      <c r="E376" s="41">
        <v>13300</v>
      </c>
    </row>
    <row r="377" spans="1:5" x14ac:dyDescent="0.25">
      <c r="A377" s="41" t="s">
        <v>8157</v>
      </c>
      <c r="B377" s="41" t="s">
        <v>7701</v>
      </c>
      <c r="C377" s="41" t="s">
        <v>1350</v>
      </c>
      <c r="D377" s="41" t="s">
        <v>8347</v>
      </c>
      <c r="E377" s="41">
        <v>11600</v>
      </c>
    </row>
    <row r="378" spans="1:5" x14ac:dyDescent="0.25">
      <c r="A378" s="41" t="s">
        <v>8157</v>
      </c>
      <c r="B378" s="41" t="s">
        <v>7703</v>
      </c>
      <c r="C378" s="41" t="s">
        <v>1350</v>
      </c>
      <c r="D378" s="41" t="s">
        <v>8163</v>
      </c>
      <c r="E378" s="41">
        <v>58600</v>
      </c>
    </row>
    <row r="379" spans="1:5" x14ac:dyDescent="0.25">
      <c r="A379" s="41" t="s">
        <v>8157</v>
      </c>
      <c r="B379" s="41" t="s">
        <v>7703</v>
      </c>
      <c r="C379" s="41" t="s">
        <v>1350</v>
      </c>
      <c r="D379" s="41" t="s">
        <v>8388</v>
      </c>
      <c r="E379" s="41">
        <v>54500</v>
      </c>
    </row>
    <row r="380" spans="1:5" x14ac:dyDescent="0.25">
      <c r="A380" s="41" t="s">
        <v>8157</v>
      </c>
      <c r="B380" s="41" t="s">
        <v>7703</v>
      </c>
      <c r="C380" s="41" t="s">
        <v>1350</v>
      </c>
      <c r="D380" s="41" t="s">
        <v>8389</v>
      </c>
      <c r="E380" s="41">
        <v>50700</v>
      </c>
    </row>
    <row r="381" spans="1:5" x14ac:dyDescent="0.25">
      <c r="A381" s="41" t="s">
        <v>8157</v>
      </c>
      <c r="B381" s="41" t="s">
        <v>7703</v>
      </c>
      <c r="C381" s="41" t="s">
        <v>1350</v>
      </c>
      <c r="D381" s="41" t="s">
        <v>8199</v>
      </c>
      <c r="E381" s="41">
        <v>47200</v>
      </c>
    </row>
    <row r="382" spans="1:5" x14ac:dyDescent="0.25">
      <c r="A382" s="41" t="s">
        <v>8157</v>
      </c>
      <c r="B382" s="41" t="s">
        <v>7705</v>
      </c>
      <c r="C382" s="41" t="s">
        <v>1350</v>
      </c>
      <c r="D382" s="41" t="s">
        <v>8360</v>
      </c>
      <c r="E382" s="41">
        <v>44000</v>
      </c>
    </row>
    <row r="383" spans="1:5" x14ac:dyDescent="0.25">
      <c r="A383" s="41" t="s">
        <v>8157</v>
      </c>
      <c r="B383" s="41" t="s">
        <v>7705</v>
      </c>
      <c r="C383" s="41" t="s">
        <v>1350</v>
      </c>
      <c r="D383" s="41" t="s">
        <v>8218</v>
      </c>
      <c r="E383" s="41">
        <v>44100</v>
      </c>
    </row>
    <row r="384" spans="1:5" x14ac:dyDescent="0.25">
      <c r="A384" s="41" t="s">
        <v>8157</v>
      </c>
      <c r="B384" s="41" t="s">
        <v>7705</v>
      </c>
      <c r="C384" s="41" t="s">
        <v>1350</v>
      </c>
      <c r="D384" s="41" t="s">
        <v>8260</v>
      </c>
      <c r="E384" s="41">
        <v>47600</v>
      </c>
    </row>
    <row r="385" spans="1:5" x14ac:dyDescent="0.25">
      <c r="A385" s="41" t="s">
        <v>8157</v>
      </c>
      <c r="B385" s="41" t="s">
        <v>7707</v>
      </c>
      <c r="C385" s="41" t="s">
        <v>1350</v>
      </c>
      <c r="D385" s="41" t="s">
        <v>8360</v>
      </c>
      <c r="E385" s="41">
        <v>59700</v>
      </c>
    </row>
    <row r="386" spans="1:5" x14ac:dyDescent="0.25">
      <c r="A386" s="41" t="s">
        <v>8157</v>
      </c>
      <c r="B386" s="41" t="s">
        <v>7707</v>
      </c>
      <c r="C386" s="41" t="s">
        <v>1350</v>
      </c>
      <c r="D386" s="41" t="s">
        <v>8390</v>
      </c>
      <c r="E386" s="41">
        <v>57800</v>
      </c>
    </row>
    <row r="387" spans="1:5" x14ac:dyDescent="0.25">
      <c r="A387" s="41" t="s">
        <v>8157</v>
      </c>
      <c r="B387" s="41" t="s">
        <v>7707</v>
      </c>
      <c r="C387" s="41" t="s">
        <v>1350</v>
      </c>
      <c r="D387" s="41" t="s">
        <v>8391</v>
      </c>
      <c r="E387" s="41">
        <v>53500</v>
      </c>
    </row>
    <row r="388" spans="1:5" x14ac:dyDescent="0.25">
      <c r="A388" s="41" t="s">
        <v>8157</v>
      </c>
      <c r="B388" s="41" t="s">
        <v>7707</v>
      </c>
      <c r="C388" s="41" t="s">
        <v>1350</v>
      </c>
      <c r="D388" s="41" t="s">
        <v>8392</v>
      </c>
      <c r="E388" s="41">
        <v>53000</v>
      </c>
    </row>
    <row r="389" spans="1:5" x14ac:dyDescent="0.25">
      <c r="A389" s="41" t="s">
        <v>8157</v>
      </c>
      <c r="B389" s="41" t="s">
        <v>7707</v>
      </c>
      <c r="C389" s="41" t="s">
        <v>1350</v>
      </c>
      <c r="D389" s="41" t="s">
        <v>8393</v>
      </c>
      <c r="E389" s="41">
        <v>41700</v>
      </c>
    </row>
    <row r="390" spans="1:5" x14ac:dyDescent="0.25">
      <c r="A390" s="41" t="s">
        <v>8157</v>
      </c>
      <c r="B390" s="41" t="s">
        <v>7707</v>
      </c>
      <c r="C390" s="41" t="s">
        <v>1350</v>
      </c>
      <c r="D390" s="41" t="s">
        <v>8205</v>
      </c>
      <c r="E390" s="41">
        <v>39700</v>
      </c>
    </row>
    <row r="391" spans="1:5" x14ac:dyDescent="0.25">
      <c r="A391" s="41" t="s">
        <v>8157</v>
      </c>
      <c r="B391" s="41" t="s">
        <v>7709</v>
      </c>
      <c r="C391" s="41" t="s">
        <v>1350</v>
      </c>
      <c r="D391" s="41" t="s">
        <v>8158</v>
      </c>
      <c r="E391" s="41">
        <v>52800</v>
      </c>
    </row>
    <row r="392" spans="1:5" x14ac:dyDescent="0.25">
      <c r="A392" s="41" t="s">
        <v>8157</v>
      </c>
      <c r="B392" s="41" t="s">
        <v>7711</v>
      </c>
      <c r="C392" s="41" t="s">
        <v>1350</v>
      </c>
      <c r="D392" s="41" t="s">
        <v>8394</v>
      </c>
      <c r="E392" s="41">
        <v>36960</v>
      </c>
    </row>
    <row r="393" spans="1:5" x14ac:dyDescent="0.25">
      <c r="A393" s="41" t="s">
        <v>8157</v>
      </c>
      <c r="B393" s="41" t="s">
        <v>7711</v>
      </c>
      <c r="C393" s="41" t="s">
        <v>1350</v>
      </c>
      <c r="D393" s="41" t="s">
        <v>8395</v>
      </c>
      <c r="E393" s="41">
        <v>39280</v>
      </c>
    </row>
    <row r="394" spans="1:5" x14ac:dyDescent="0.25">
      <c r="A394" s="41" t="s">
        <v>8157</v>
      </c>
      <c r="B394" s="41" t="s">
        <v>7711</v>
      </c>
      <c r="C394" s="41" t="s">
        <v>1350</v>
      </c>
      <c r="D394" s="41" t="s">
        <v>8396</v>
      </c>
      <c r="E394" s="41">
        <v>40640</v>
      </c>
    </row>
    <row r="395" spans="1:5" x14ac:dyDescent="0.25">
      <c r="A395" s="41" t="s">
        <v>8157</v>
      </c>
      <c r="B395" s="41" t="s">
        <v>7713</v>
      </c>
      <c r="C395" s="41" t="s">
        <v>1350</v>
      </c>
      <c r="D395" s="41" t="s">
        <v>8158</v>
      </c>
      <c r="E395" s="41">
        <v>65000</v>
      </c>
    </row>
    <row r="396" spans="1:5" x14ac:dyDescent="0.25">
      <c r="A396" s="41" t="s">
        <v>8157</v>
      </c>
      <c r="B396" s="41" t="s">
        <v>7715</v>
      </c>
      <c r="C396" s="41" t="s">
        <v>1350</v>
      </c>
      <c r="D396" s="41" t="s">
        <v>8158</v>
      </c>
      <c r="E396" s="41">
        <v>63500</v>
      </c>
    </row>
    <row r="397" spans="1:5" x14ac:dyDescent="0.25">
      <c r="A397" s="41" t="s">
        <v>8157</v>
      </c>
      <c r="B397" s="41" t="s">
        <v>7717</v>
      </c>
      <c r="C397" s="41" t="s">
        <v>1350</v>
      </c>
      <c r="D397" s="41" t="s">
        <v>8158</v>
      </c>
      <c r="E397" s="41">
        <v>110200</v>
      </c>
    </row>
    <row r="398" spans="1:5" x14ac:dyDescent="0.25">
      <c r="A398" s="41" t="s">
        <v>8157</v>
      </c>
      <c r="B398" s="41" t="s">
        <v>7719</v>
      </c>
      <c r="C398" s="41" t="s">
        <v>1350</v>
      </c>
      <c r="D398" s="41" t="s">
        <v>8158</v>
      </c>
      <c r="E398" s="41">
        <v>57700</v>
      </c>
    </row>
    <row r="399" spans="1:5" x14ac:dyDescent="0.25">
      <c r="A399" s="41" t="s">
        <v>8157</v>
      </c>
      <c r="B399" s="41" t="s">
        <v>7721</v>
      </c>
      <c r="C399" s="41" t="s">
        <v>1350</v>
      </c>
      <c r="D399" s="41" t="s">
        <v>8158</v>
      </c>
      <c r="E399" s="41">
        <v>68300</v>
      </c>
    </row>
    <row r="400" spans="1:5" x14ac:dyDescent="0.25">
      <c r="A400" s="41" t="s">
        <v>8157</v>
      </c>
      <c r="B400" s="41" t="s">
        <v>7723</v>
      </c>
      <c r="C400" s="41" t="s">
        <v>1350</v>
      </c>
      <c r="D400" s="41" t="s">
        <v>8158</v>
      </c>
      <c r="E400" s="41">
        <v>36100</v>
      </c>
    </row>
    <row r="401" spans="1:5" x14ac:dyDescent="0.25">
      <c r="A401" s="41" t="s">
        <v>8157</v>
      </c>
      <c r="B401" s="41" t="s">
        <v>7725</v>
      </c>
      <c r="C401" s="41" t="s">
        <v>1350</v>
      </c>
      <c r="D401" s="41" t="s">
        <v>8158</v>
      </c>
      <c r="E401" s="41">
        <v>34500</v>
      </c>
    </row>
    <row r="402" spans="1:5" x14ac:dyDescent="0.25">
      <c r="A402" s="41" t="s">
        <v>8157</v>
      </c>
      <c r="B402" s="41" t="s">
        <v>7727</v>
      </c>
      <c r="C402" s="41" t="s">
        <v>1350</v>
      </c>
      <c r="D402" s="41" t="s">
        <v>8177</v>
      </c>
      <c r="E402" s="41">
        <v>32700</v>
      </c>
    </row>
    <row r="403" spans="1:5" x14ac:dyDescent="0.25">
      <c r="A403" s="41" t="s">
        <v>8157</v>
      </c>
      <c r="B403" s="41" t="s">
        <v>7727</v>
      </c>
      <c r="C403" s="41" t="s">
        <v>1350</v>
      </c>
      <c r="D403" s="41" t="s">
        <v>8336</v>
      </c>
      <c r="E403" s="41">
        <v>30400</v>
      </c>
    </row>
    <row r="404" spans="1:5" x14ac:dyDescent="0.25">
      <c r="A404" s="41" t="s">
        <v>8157</v>
      </c>
      <c r="B404" s="41" t="s">
        <v>7727</v>
      </c>
      <c r="C404" s="41" t="s">
        <v>1350</v>
      </c>
      <c r="D404" s="41" t="s">
        <v>8397</v>
      </c>
      <c r="E404" s="41">
        <v>28300</v>
      </c>
    </row>
    <row r="405" spans="1:5" x14ac:dyDescent="0.25">
      <c r="A405" s="41" t="s">
        <v>8157</v>
      </c>
      <c r="B405" s="41" t="s">
        <v>7727</v>
      </c>
      <c r="C405" s="41" t="s">
        <v>1350</v>
      </c>
      <c r="D405" s="41" t="s">
        <v>8398</v>
      </c>
      <c r="E405" s="41">
        <v>26300</v>
      </c>
    </row>
    <row r="406" spans="1:5" x14ac:dyDescent="0.25">
      <c r="A406" s="41" t="s">
        <v>8157</v>
      </c>
      <c r="B406" s="41" t="s">
        <v>7731</v>
      </c>
      <c r="C406" s="41" t="s">
        <v>1350</v>
      </c>
      <c r="D406" s="41" t="s">
        <v>8158</v>
      </c>
      <c r="E406" s="41">
        <v>35700</v>
      </c>
    </row>
    <row r="407" spans="1:5" x14ac:dyDescent="0.25">
      <c r="A407" s="41" t="s">
        <v>8157</v>
      </c>
      <c r="B407" s="41" t="s">
        <v>7733</v>
      </c>
      <c r="C407" s="41" t="s">
        <v>1350</v>
      </c>
      <c r="D407" s="41" t="s">
        <v>8158</v>
      </c>
      <c r="E407" s="41">
        <v>34700</v>
      </c>
    </row>
    <row r="408" spans="1:5" x14ac:dyDescent="0.25">
      <c r="A408" s="41" t="s">
        <v>8157</v>
      </c>
      <c r="B408" s="41" t="s">
        <v>7729</v>
      </c>
      <c r="C408" s="41" t="s">
        <v>1350</v>
      </c>
      <c r="D408" s="41" t="s">
        <v>8399</v>
      </c>
      <c r="E408" s="41">
        <v>40200</v>
      </c>
    </row>
    <row r="409" spans="1:5" x14ac:dyDescent="0.25">
      <c r="A409" s="41" t="s">
        <v>8157</v>
      </c>
      <c r="B409" s="41" t="s">
        <v>7729</v>
      </c>
      <c r="C409" s="41" t="s">
        <v>1350</v>
      </c>
      <c r="D409" s="41" t="s">
        <v>8400</v>
      </c>
      <c r="E409" s="41">
        <v>34200</v>
      </c>
    </row>
    <row r="410" spans="1:5" x14ac:dyDescent="0.25">
      <c r="A410" s="41" t="s">
        <v>8157</v>
      </c>
      <c r="B410" s="41" t="s">
        <v>7729</v>
      </c>
      <c r="C410" s="41" t="s">
        <v>1350</v>
      </c>
      <c r="D410" s="41" t="s">
        <v>8401</v>
      </c>
      <c r="E410" s="41">
        <v>33480</v>
      </c>
    </row>
    <row r="411" spans="1:5" x14ac:dyDescent="0.25">
      <c r="A411" s="41" t="s">
        <v>8157</v>
      </c>
      <c r="B411" s="41" t="s">
        <v>7729</v>
      </c>
      <c r="C411" s="41" t="s">
        <v>1350</v>
      </c>
      <c r="D411" s="41" t="s">
        <v>8402</v>
      </c>
      <c r="E411" s="41">
        <v>31920</v>
      </c>
    </row>
    <row r="412" spans="1:5" x14ac:dyDescent="0.25">
      <c r="A412" s="41" t="s">
        <v>8157</v>
      </c>
      <c r="B412" s="41" t="s">
        <v>7729</v>
      </c>
      <c r="C412" s="41" t="s">
        <v>1350</v>
      </c>
      <c r="D412" s="41" t="s">
        <v>8403</v>
      </c>
      <c r="E412" s="41">
        <v>30360</v>
      </c>
    </row>
    <row r="413" spans="1:5" x14ac:dyDescent="0.25">
      <c r="A413" s="41" t="s">
        <v>8157</v>
      </c>
      <c r="B413" s="41" t="s">
        <v>7447</v>
      </c>
      <c r="C413" s="41" t="s">
        <v>1350</v>
      </c>
      <c r="D413" s="41" t="s">
        <v>8404</v>
      </c>
      <c r="E413" s="41">
        <v>49000</v>
      </c>
    </row>
    <row r="414" spans="1:5" x14ac:dyDescent="0.25">
      <c r="A414" s="41" t="s">
        <v>8157</v>
      </c>
      <c r="B414" s="41" t="s">
        <v>7447</v>
      </c>
      <c r="C414" s="41" t="s">
        <v>1350</v>
      </c>
      <c r="D414" s="41" t="s">
        <v>8405</v>
      </c>
      <c r="E414" s="41">
        <v>45600</v>
      </c>
    </row>
    <row r="415" spans="1:5" x14ac:dyDescent="0.25">
      <c r="A415" s="41" t="s">
        <v>8157</v>
      </c>
      <c r="B415" s="41" t="s">
        <v>7447</v>
      </c>
      <c r="C415" s="41" t="s">
        <v>1350</v>
      </c>
      <c r="D415" s="41" t="s">
        <v>8406</v>
      </c>
      <c r="E415" s="41">
        <v>42400</v>
      </c>
    </row>
    <row r="416" spans="1:5" x14ac:dyDescent="0.25">
      <c r="A416" s="41" t="s">
        <v>8157</v>
      </c>
      <c r="B416" s="41" t="s">
        <v>7447</v>
      </c>
      <c r="C416" s="41" t="s">
        <v>1350</v>
      </c>
      <c r="D416" s="41" t="s">
        <v>8407</v>
      </c>
      <c r="E416" s="41">
        <v>39400</v>
      </c>
    </row>
    <row r="417" spans="1:5" x14ac:dyDescent="0.25">
      <c r="A417" s="41" t="s">
        <v>8157</v>
      </c>
      <c r="B417" s="41" t="s">
        <v>7447</v>
      </c>
      <c r="C417" s="41" t="s">
        <v>1350</v>
      </c>
      <c r="D417" s="41" t="s">
        <v>8408</v>
      </c>
      <c r="E417" s="41">
        <v>36600</v>
      </c>
    </row>
    <row r="418" spans="1:5" x14ac:dyDescent="0.25">
      <c r="A418" s="41" t="s">
        <v>8157</v>
      </c>
      <c r="B418" s="41" t="s">
        <v>7736</v>
      </c>
      <c r="C418" s="41" t="s">
        <v>1350</v>
      </c>
      <c r="D418" s="41" t="s">
        <v>8360</v>
      </c>
      <c r="E418" s="41">
        <v>44400</v>
      </c>
    </row>
    <row r="419" spans="1:5" x14ac:dyDescent="0.25">
      <c r="A419" s="41" t="s">
        <v>8157</v>
      </c>
      <c r="B419" s="41" t="s">
        <v>7736</v>
      </c>
      <c r="C419" s="41" t="s">
        <v>1350</v>
      </c>
      <c r="D419" s="41" t="s">
        <v>8162</v>
      </c>
      <c r="E419" s="41">
        <v>35100</v>
      </c>
    </row>
    <row r="420" spans="1:5" x14ac:dyDescent="0.25">
      <c r="A420" s="41" t="s">
        <v>8157</v>
      </c>
      <c r="B420" s="41" t="s">
        <v>7738</v>
      </c>
      <c r="C420" s="41" t="s">
        <v>1350</v>
      </c>
      <c r="D420" s="41" t="s">
        <v>8172</v>
      </c>
      <c r="E420" s="41">
        <v>46000</v>
      </c>
    </row>
    <row r="421" spans="1:5" x14ac:dyDescent="0.25">
      <c r="A421" s="41" t="s">
        <v>8157</v>
      </c>
      <c r="B421" s="41" t="s">
        <v>7738</v>
      </c>
      <c r="C421" s="41" t="s">
        <v>1350</v>
      </c>
      <c r="D421" s="41" t="s">
        <v>8173</v>
      </c>
      <c r="E421" s="41">
        <v>42800</v>
      </c>
    </row>
    <row r="422" spans="1:5" x14ac:dyDescent="0.25">
      <c r="A422" s="41" t="s">
        <v>8157</v>
      </c>
      <c r="B422" s="41" t="s">
        <v>7738</v>
      </c>
      <c r="C422" s="41" t="s">
        <v>1350</v>
      </c>
      <c r="D422" s="41" t="s">
        <v>8409</v>
      </c>
      <c r="E422" s="41">
        <v>39800</v>
      </c>
    </row>
    <row r="423" spans="1:5" x14ac:dyDescent="0.25">
      <c r="A423" s="41" t="s">
        <v>8157</v>
      </c>
      <c r="B423" s="41" t="s">
        <v>7738</v>
      </c>
      <c r="C423" s="41" t="s">
        <v>1350</v>
      </c>
      <c r="D423" s="41" t="s">
        <v>8410</v>
      </c>
      <c r="E423" s="41">
        <v>37000</v>
      </c>
    </row>
    <row r="424" spans="1:5" x14ac:dyDescent="0.25">
      <c r="A424" s="41" t="s">
        <v>8157</v>
      </c>
      <c r="B424" s="41" t="s">
        <v>7738</v>
      </c>
      <c r="C424" s="41" t="s">
        <v>1350</v>
      </c>
      <c r="D424" s="41" t="s">
        <v>8411</v>
      </c>
      <c r="E424" s="41">
        <v>34400</v>
      </c>
    </row>
    <row r="425" spans="1:5" x14ac:dyDescent="0.25">
      <c r="A425" s="41" t="s">
        <v>8157</v>
      </c>
      <c r="B425" s="41" t="s">
        <v>7738</v>
      </c>
      <c r="C425" s="41" t="s">
        <v>1350</v>
      </c>
      <c r="D425" s="41" t="s">
        <v>8260</v>
      </c>
      <c r="E425" s="41">
        <v>31000</v>
      </c>
    </row>
    <row r="426" spans="1:5" x14ac:dyDescent="0.25">
      <c r="A426" s="41" t="s">
        <v>8157</v>
      </c>
      <c r="B426" s="41" t="s">
        <v>7740</v>
      </c>
      <c r="C426" s="41" t="s">
        <v>1350</v>
      </c>
      <c r="D426" s="41" t="s">
        <v>8158</v>
      </c>
      <c r="E426" s="41">
        <v>37800</v>
      </c>
    </row>
    <row r="427" spans="1:5" x14ac:dyDescent="0.25">
      <c r="A427" s="41" t="s">
        <v>8157</v>
      </c>
      <c r="B427" s="41" t="s">
        <v>7742</v>
      </c>
      <c r="C427" s="41" t="s">
        <v>1350</v>
      </c>
      <c r="D427" s="41" t="s">
        <v>8158</v>
      </c>
      <c r="E427" s="41">
        <v>32300</v>
      </c>
    </row>
    <row r="428" spans="1:5" x14ac:dyDescent="0.25">
      <c r="A428" s="41" t="s">
        <v>8157</v>
      </c>
      <c r="B428" s="41" t="s">
        <v>7744</v>
      </c>
      <c r="C428" s="41" t="s">
        <v>1350</v>
      </c>
      <c r="D428" s="41" t="s">
        <v>8177</v>
      </c>
      <c r="E428" s="41">
        <v>41090</v>
      </c>
    </row>
    <row r="429" spans="1:5" x14ac:dyDescent="0.25">
      <c r="A429" s="41" t="s">
        <v>8157</v>
      </c>
      <c r="B429" s="41" t="s">
        <v>7744</v>
      </c>
      <c r="C429" s="41" t="s">
        <v>1350</v>
      </c>
      <c r="D429" s="41" t="s">
        <v>8178</v>
      </c>
      <c r="E429" s="41">
        <v>39000</v>
      </c>
    </row>
    <row r="430" spans="1:5" x14ac:dyDescent="0.25">
      <c r="A430" s="41" t="s">
        <v>8157</v>
      </c>
      <c r="B430" s="41" t="s">
        <v>7744</v>
      </c>
      <c r="C430" s="41" t="s">
        <v>1350</v>
      </c>
      <c r="D430" s="41" t="s">
        <v>8218</v>
      </c>
      <c r="E430" s="41">
        <v>36300</v>
      </c>
    </row>
    <row r="431" spans="1:5" x14ac:dyDescent="0.25">
      <c r="A431" s="41" t="s">
        <v>8157</v>
      </c>
      <c r="B431" s="41" t="s">
        <v>7744</v>
      </c>
      <c r="C431" s="41" t="s">
        <v>1350</v>
      </c>
      <c r="D431" s="41" t="s">
        <v>8412</v>
      </c>
      <c r="E431" s="41">
        <v>33800</v>
      </c>
    </row>
    <row r="432" spans="1:5" x14ac:dyDescent="0.25">
      <c r="A432" s="41" t="s">
        <v>8157</v>
      </c>
      <c r="B432" s="41" t="s">
        <v>7744</v>
      </c>
      <c r="C432" s="41" t="s">
        <v>1350</v>
      </c>
      <c r="D432" s="41" t="s">
        <v>8383</v>
      </c>
      <c r="E432" s="41">
        <v>31400</v>
      </c>
    </row>
    <row r="433" spans="1:5" x14ac:dyDescent="0.25">
      <c r="A433" s="41" t="s">
        <v>8157</v>
      </c>
      <c r="B433" s="41" t="s">
        <v>7746</v>
      </c>
      <c r="C433" s="41" t="s">
        <v>1350</v>
      </c>
      <c r="D433" s="41" t="s">
        <v>8360</v>
      </c>
      <c r="E433" s="41">
        <v>49610</v>
      </c>
    </row>
    <row r="434" spans="1:5" x14ac:dyDescent="0.25">
      <c r="A434" s="41" t="s">
        <v>8157</v>
      </c>
      <c r="B434" s="41" t="s">
        <v>7746</v>
      </c>
      <c r="C434" s="41" t="s">
        <v>1350</v>
      </c>
      <c r="D434" s="41" t="s">
        <v>8413</v>
      </c>
      <c r="E434" s="41">
        <v>46100</v>
      </c>
    </row>
    <row r="435" spans="1:5" x14ac:dyDescent="0.25">
      <c r="A435" s="41" t="s">
        <v>8157</v>
      </c>
      <c r="B435" s="41" t="s">
        <v>7746</v>
      </c>
      <c r="C435" s="41" t="s">
        <v>1350</v>
      </c>
      <c r="D435" s="41" t="s">
        <v>8257</v>
      </c>
      <c r="E435" s="41">
        <v>42900</v>
      </c>
    </row>
    <row r="436" spans="1:5" x14ac:dyDescent="0.25">
      <c r="A436" s="41" t="s">
        <v>8157</v>
      </c>
      <c r="B436" s="41" t="s">
        <v>7746</v>
      </c>
      <c r="C436" s="41" t="s">
        <v>1350</v>
      </c>
      <c r="D436" s="41" t="s">
        <v>8414</v>
      </c>
      <c r="E436" s="41">
        <v>39900</v>
      </c>
    </row>
    <row r="437" spans="1:5" x14ac:dyDescent="0.25">
      <c r="A437" s="41" t="s">
        <v>8157</v>
      </c>
      <c r="B437" s="41" t="s">
        <v>7746</v>
      </c>
      <c r="C437" s="41" t="s">
        <v>1350</v>
      </c>
      <c r="D437" s="41" t="s">
        <v>8403</v>
      </c>
      <c r="E437" s="41">
        <v>37100</v>
      </c>
    </row>
    <row r="438" spans="1:5" x14ac:dyDescent="0.25">
      <c r="A438" s="41" t="s">
        <v>8157</v>
      </c>
      <c r="B438" s="41" t="s">
        <v>7748</v>
      </c>
      <c r="C438" s="41" t="s">
        <v>1350</v>
      </c>
      <c r="D438" s="41" t="s">
        <v>8261</v>
      </c>
      <c r="E438" s="41">
        <v>46000</v>
      </c>
    </row>
    <row r="439" spans="1:5" x14ac:dyDescent="0.25">
      <c r="A439" s="41" t="s">
        <v>8157</v>
      </c>
      <c r="B439" s="41" t="s">
        <v>7748</v>
      </c>
      <c r="C439" s="41" t="s">
        <v>1350</v>
      </c>
      <c r="D439" s="41" t="s">
        <v>8181</v>
      </c>
      <c r="E439" s="41">
        <v>42800</v>
      </c>
    </row>
    <row r="440" spans="1:5" x14ac:dyDescent="0.25">
      <c r="A440" s="41" t="s">
        <v>8157</v>
      </c>
      <c r="B440" s="41" t="s">
        <v>7748</v>
      </c>
      <c r="C440" s="41" t="s">
        <v>1350</v>
      </c>
      <c r="D440" s="41" t="s">
        <v>8208</v>
      </c>
      <c r="E440" s="41">
        <v>39800</v>
      </c>
    </row>
    <row r="441" spans="1:5" x14ac:dyDescent="0.25">
      <c r="A441" s="41" t="s">
        <v>8157</v>
      </c>
      <c r="B441" s="41" t="s">
        <v>7748</v>
      </c>
      <c r="C441" s="41" t="s">
        <v>1350</v>
      </c>
      <c r="D441" s="41" t="s">
        <v>8415</v>
      </c>
      <c r="E441" s="41">
        <v>37000</v>
      </c>
    </row>
    <row r="442" spans="1:5" x14ac:dyDescent="0.25">
      <c r="A442" s="41" t="s">
        <v>8157</v>
      </c>
      <c r="B442" s="41" t="s">
        <v>7748</v>
      </c>
      <c r="C442" s="41" t="s">
        <v>1350</v>
      </c>
      <c r="D442" s="41" t="s">
        <v>8416</v>
      </c>
      <c r="E442" s="41">
        <v>34400</v>
      </c>
    </row>
    <row r="443" spans="1:5" x14ac:dyDescent="0.25">
      <c r="A443" s="41" t="s">
        <v>8157</v>
      </c>
      <c r="B443" s="41" t="s">
        <v>7748</v>
      </c>
      <c r="C443" s="41" t="s">
        <v>1350</v>
      </c>
      <c r="D443" s="41" t="s">
        <v>8417</v>
      </c>
      <c r="E443" s="41">
        <v>32000</v>
      </c>
    </row>
    <row r="444" spans="1:5" x14ac:dyDescent="0.25">
      <c r="A444" s="41" t="s">
        <v>8157</v>
      </c>
      <c r="B444" s="41" t="s">
        <v>7748</v>
      </c>
      <c r="C444" s="41" t="s">
        <v>1350</v>
      </c>
      <c r="D444" s="41" t="s">
        <v>8418</v>
      </c>
      <c r="E444" s="41">
        <v>29800</v>
      </c>
    </row>
    <row r="445" spans="1:5" x14ac:dyDescent="0.25">
      <c r="A445" s="41" t="s">
        <v>8157</v>
      </c>
      <c r="B445" s="41" t="s">
        <v>7750</v>
      </c>
      <c r="C445" s="41" t="s">
        <v>1350</v>
      </c>
      <c r="D445" s="41" t="s">
        <v>8177</v>
      </c>
      <c r="E445" s="41">
        <v>39900</v>
      </c>
    </row>
    <row r="446" spans="1:5" x14ac:dyDescent="0.25">
      <c r="A446" s="41" t="s">
        <v>8157</v>
      </c>
      <c r="B446" s="41" t="s">
        <v>7750</v>
      </c>
      <c r="C446" s="41" t="s">
        <v>1350</v>
      </c>
      <c r="D446" s="41" t="s">
        <v>8178</v>
      </c>
      <c r="E446" s="41">
        <v>36200</v>
      </c>
    </row>
    <row r="447" spans="1:5" x14ac:dyDescent="0.25">
      <c r="A447" s="41" t="s">
        <v>8157</v>
      </c>
      <c r="B447" s="41" t="s">
        <v>7750</v>
      </c>
      <c r="C447" s="41" t="s">
        <v>1350</v>
      </c>
      <c r="D447" s="41" t="s">
        <v>8419</v>
      </c>
      <c r="E447" s="41">
        <v>35300</v>
      </c>
    </row>
    <row r="448" spans="1:5" x14ac:dyDescent="0.25">
      <c r="A448" s="41" t="s">
        <v>8157</v>
      </c>
      <c r="B448" s="41" t="s">
        <v>7750</v>
      </c>
      <c r="C448" s="41" t="s">
        <v>1350</v>
      </c>
      <c r="D448" s="41" t="s">
        <v>8420</v>
      </c>
      <c r="E448" s="41">
        <v>34400</v>
      </c>
    </row>
    <row r="449" spans="1:5" x14ac:dyDescent="0.25">
      <c r="A449" s="41" t="s">
        <v>8157</v>
      </c>
      <c r="B449" s="41" t="s">
        <v>7750</v>
      </c>
      <c r="C449" s="41" t="s">
        <v>1350</v>
      </c>
      <c r="D449" s="41" t="s">
        <v>8199</v>
      </c>
      <c r="E449" s="41">
        <v>32600</v>
      </c>
    </row>
    <row r="450" spans="1:5" x14ac:dyDescent="0.25">
      <c r="A450" s="41" t="s">
        <v>8157</v>
      </c>
      <c r="B450" s="41" t="s">
        <v>7752</v>
      </c>
      <c r="C450" s="41" t="s">
        <v>1350</v>
      </c>
      <c r="D450" s="41" t="s">
        <v>8300</v>
      </c>
      <c r="E450" s="41">
        <v>39900</v>
      </c>
    </row>
    <row r="451" spans="1:5" x14ac:dyDescent="0.25">
      <c r="A451" s="41" t="s">
        <v>8157</v>
      </c>
      <c r="B451" s="41" t="s">
        <v>7752</v>
      </c>
      <c r="C451" s="41" t="s">
        <v>1350</v>
      </c>
      <c r="D451" s="41" t="s">
        <v>8421</v>
      </c>
      <c r="E451" s="41">
        <v>38900</v>
      </c>
    </row>
    <row r="452" spans="1:5" x14ac:dyDescent="0.25">
      <c r="A452" s="41" t="s">
        <v>8157</v>
      </c>
      <c r="B452" s="41" t="s">
        <v>7752</v>
      </c>
      <c r="C452" s="41" t="s">
        <v>1350</v>
      </c>
      <c r="D452" s="41" t="s">
        <v>8422</v>
      </c>
      <c r="E452" s="41">
        <v>38000</v>
      </c>
    </row>
    <row r="453" spans="1:5" x14ac:dyDescent="0.25">
      <c r="A453" s="41" t="s">
        <v>8157</v>
      </c>
      <c r="B453" s="41" t="s">
        <v>7752</v>
      </c>
      <c r="C453" s="41" t="s">
        <v>1350</v>
      </c>
      <c r="D453" s="41" t="s">
        <v>8248</v>
      </c>
      <c r="E453" s="41">
        <v>36200</v>
      </c>
    </row>
    <row r="454" spans="1:5" x14ac:dyDescent="0.25">
      <c r="A454" s="41" t="s">
        <v>8157</v>
      </c>
      <c r="B454" s="41" t="s">
        <v>7752</v>
      </c>
      <c r="C454" s="41" t="s">
        <v>1350</v>
      </c>
      <c r="D454" s="41" t="s">
        <v>8288</v>
      </c>
      <c r="E454" s="41">
        <v>34400</v>
      </c>
    </row>
    <row r="455" spans="1:5" x14ac:dyDescent="0.25">
      <c r="A455" s="41" t="s">
        <v>8157</v>
      </c>
      <c r="B455" s="41" t="s">
        <v>7752</v>
      </c>
      <c r="C455" s="41" t="s">
        <v>1350</v>
      </c>
      <c r="D455" s="41" t="s">
        <v>8234</v>
      </c>
      <c r="E455" s="41">
        <v>33500</v>
      </c>
    </row>
    <row r="456" spans="1:5" x14ac:dyDescent="0.25">
      <c r="A456" s="41" t="s">
        <v>8157</v>
      </c>
      <c r="B456" s="41" t="s">
        <v>7752</v>
      </c>
      <c r="C456" s="41" t="s">
        <v>1350</v>
      </c>
      <c r="D456" s="41" t="s">
        <v>8331</v>
      </c>
      <c r="E456" s="41">
        <v>32600</v>
      </c>
    </row>
    <row r="457" spans="1:5" x14ac:dyDescent="0.25">
      <c r="A457" s="41" t="s">
        <v>8157</v>
      </c>
      <c r="B457" s="41" t="s">
        <v>7754</v>
      </c>
      <c r="C457" s="41" t="s">
        <v>1350</v>
      </c>
      <c r="D457" s="41" t="s">
        <v>8242</v>
      </c>
      <c r="E457" s="41">
        <v>50260</v>
      </c>
    </row>
    <row r="458" spans="1:5" x14ac:dyDescent="0.25">
      <c r="A458" s="41" t="s">
        <v>8157</v>
      </c>
      <c r="B458" s="41" t="s">
        <v>7754</v>
      </c>
      <c r="C458" s="41" t="s">
        <v>1350</v>
      </c>
      <c r="D458" s="41" t="s">
        <v>8423</v>
      </c>
      <c r="E458" s="41">
        <v>45640</v>
      </c>
    </row>
    <row r="459" spans="1:5" x14ac:dyDescent="0.25">
      <c r="A459" s="41" t="s">
        <v>8157</v>
      </c>
      <c r="B459" s="41" t="s">
        <v>7754</v>
      </c>
      <c r="C459" s="41" t="s">
        <v>1350</v>
      </c>
      <c r="D459" s="41" t="s">
        <v>8424</v>
      </c>
      <c r="E459" s="41">
        <v>42485</v>
      </c>
    </row>
    <row r="460" spans="1:5" x14ac:dyDescent="0.25">
      <c r="A460" s="41" t="s">
        <v>8157</v>
      </c>
      <c r="B460" s="41" t="s">
        <v>7756</v>
      </c>
      <c r="C460" s="41" t="s">
        <v>1350</v>
      </c>
      <c r="D460" s="41" t="s">
        <v>8374</v>
      </c>
      <c r="E460" s="41">
        <v>66900</v>
      </c>
    </row>
    <row r="461" spans="1:5" x14ac:dyDescent="0.25">
      <c r="A461" s="41" t="s">
        <v>8157</v>
      </c>
      <c r="B461" s="41" t="s">
        <v>7756</v>
      </c>
      <c r="C461" s="41" t="s">
        <v>1350</v>
      </c>
      <c r="D461" s="41" t="s">
        <v>8425</v>
      </c>
      <c r="E461" s="41">
        <v>63000</v>
      </c>
    </row>
    <row r="462" spans="1:5" x14ac:dyDescent="0.25">
      <c r="A462" s="41" t="s">
        <v>8157</v>
      </c>
      <c r="B462" s="41" t="s">
        <v>7756</v>
      </c>
      <c r="C462" s="41" t="s">
        <v>1350</v>
      </c>
      <c r="D462" s="41" t="s">
        <v>8203</v>
      </c>
      <c r="E462" s="41">
        <v>59100</v>
      </c>
    </row>
    <row r="463" spans="1:5" x14ac:dyDescent="0.25">
      <c r="A463" s="41" t="s">
        <v>8157</v>
      </c>
      <c r="B463" s="41" t="s">
        <v>7756</v>
      </c>
      <c r="C463" s="41" t="s">
        <v>1350</v>
      </c>
      <c r="D463" s="41" t="s">
        <v>8229</v>
      </c>
      <c r="E463" s="41">
        <v>55100</v>
      </c>
    </row>
    <row r="464" spans="1:5" x14ac:dyDescent="0.25">
      <c r="A464" s="41" t="s">
        <v>8157</v>
      </c>
      <c r="B464" s="41" t="s">
        <v>7756</v>
      </c>
      <c r="C464" s="41" t="s">
        <v>1350</v>
      </c>
      <c r="D464" s="41" t="s">
        <v>8168</v>
      </c>
      <c r="E464" s="41">
        <v>51200</v>
      </c>
    </row>
    <row r="465" spans="1:5" x14ac:dyDescent="0.25">
      <c r="A465" s="41" t="s">
        <v>8157</v>
      </c>
      <c r="B465" s="41" t="s">
        <v>7758</v>
      </c>
      <c r="C465" s="41" t="s">
        <v>1350</v>
      </c>
      <c r="D465" s="41" t="s">
        <v>8158</v>
      </c>
      <c r="E465" s="41">
        <v>44600</v>
      </c>
    </row>
    <row r="466" spans="1:5" x14ac:dyDescent="0.25">
      <c r="A466" s="41" t="s">
        <v>8157</v>
      </c>
      <c r="B466" s="41" t="s">
        <v>7760</v>
      </c>
      <c r="C466" s="41" t="s">
        <v>1350</v>
      </c>
      <c r="D466" s="41" t="s">
        <v>8158</v>
      </c>
      <c r="E466" s="41">
        <v>23600</v>
      </c>
    </row>
    <row r="467" spans="1:5" x14ac:dyDescent="0.25">
      <c r="A467" s="41" t="s">
        <v>8157</v>
      </c>
      <c r="B467" s="41" t="s">
        <v>7762</v>
      </c>
      <c r="C467" s="41" t="s">
        <v>1350</v>
      </c>
      <c r="D467" s="41" t="s">
        <v>8228</v>
      </c>
      <c r="E467" s="41">
        <v>60340</v>
      </c>
    </row>
    <row r="468" spans="1:5" x14ac:dyDescent="0.25">
      <c r="A468" s="41" t="s">
        <v>8157</v>
      </c>
      <c r="B468" s="41" t="s">
        <v>7762</v>
      </c>
      <c r="C468" s="41" t="s">
        <v>1350</v>
      </c>
      <c r="D468" s="41" t="s">
        <v>8426</v>
      </c>
      <c r="E468" s="41">
        <v>58660</v>
      </c>
    </row>
    <row r="469" spans="1:5" x14ac:dyDescent="0.25">
      <c r="A469" s="41" t="s">
        <v>8157</v>
      </c>
      <c r="B469" s="41" t="s">
        <v>7762</v>
      </c>
      <c r="C469" s="41" t="s">
        <v>1350</v>
      </c>
      <c r="D469" s="41" t="s">
        <v>8392</v>
      </c>
      <c r="E469" s="41">
        <v>59360</v>
      </c>
    </row>
    <row r="470" spans="1:5" x14ac:dyDescent="0.25">
      <c r="A470" s="41" t="s">
        <v>8157</v>
      </c>
      <c r="B470" s="41" t="s">
        <v>7762</v>
      </c>
      <c r="C470" s="41" t="s">
        <v>1350</v>
      </c>
      <c r="D470" s="41" t="s">
        <v>8393</v>
      </c>
      <c r="E470" s="41">
        <v>45780</v>
      </c>
    </row>
    <row r="471" spans="1:5" x14ac:dyDescent="0.25">
      <c r="A471" s="41" t="s">
        <v>8157</v>
      </c>
      <c r="B471" s="41" t="s">
        <v>7762</v>
      </c>
      <c r="C471" s="41" t="s">
        <v>1350</v>
      </c>
      <c r="D471" s="41" t="s">
        <v>8205</v>
      </c>
      <c r="E471" s="41">
        <v>52500</v>
      </c>
    </row>
    <row r="472" spans="1:5" x14ac:dyDescent="0.25">
      <c r="A472" s="41" t="s">
        <v>8157</v>
      </c>
      <c r="B472" s="41" t="s">
        <v>7764</v>
      </c>
      <c r="C472" s="41" t="s">
        <v>1350</v>
      </c>
      <c r="D472" s="41" t="s">
        <v>8287</v>
      </c>
      <c r="E472" s="41">
        <v>34200</v>
      </c>
    </row>
    <row r="473" spans="1:5" x14ac:dyDescent="0.25">
      <c r="A473" s="41" t="s">
        <v>8157</v>
      </c>
      <c r="B473" s="41" t="s">
        <v>7764</v>
      </c>
      <c r="C473" s="41" t="s">
        <v>1350</v>
      </c>
      <c r="D473" s="41" t="s">
        <v>8329</v>
      </c>
      <c r="E473" s="41">
        <v>32700</v>
      </c>
    </row>
    <row r="474" spans="1:5" x14ac:dyDescent="0.25">
      <c r="A474" s="41" t="s">
        <v>8157</v>
      </c>
      <c r="B474" s="41" t="s">
        <v>7764</v>
      </c>
      <c r="C474" s="41" t="s">
        <v>1350</v>
      </c>
      <c r="D474" s="41" t="s">
        <v>8328</v>
      </c>
      <c r="E474" s="41">
        <v>31100</v>
      </c>
    </row>
    <row r="475" spans="1:5" x14ac:dyDescent="0.25">
      <c r="A475" s="41" t="s">
        <v>8157</v>
      </c>
      <c r="B475" s="41" t="s">
        <v>7766</v>
      </c>
      <c r="C475" s="41" t="s">
        <v>1350</v>
      </c>
      <c r="D475" s="41" t="s">
        <v>8172</v>
      </c>
      <c r="E475" s="41">
        <v>40583</v>
      </c>
    </row>
    <row r="476" spans="1:5" x14ac:dyDescent="0.25">
      <c r="A476" s="41" t="s">
        <v>8157</v>
      </c>
      <c r="B476" s="41" t="s">
        <v>7766</v>
      </c>
      <c r="C476" s="41" t="s">
        <v>1350</v>
      </c>
      <c r="D476" s="41" t="s">
        <v>8427</v>
      </c>
      <c r="E476" s="41">
        <v>37700</v>
      </c>
    </row>
    <row r="477" spans="1:5" x14ac:dyDescent="0.25">
      <c r="A477" s="41" t="s">
        <v>8157</v>
      </c>
      <c r="B477" s="41" t="s">
        <v>7766</v>
      </c>
      <c r="C477" s="41" t="s">
        <v>1350</v>
      </c>
      <c r="D477" s="41" t="s">
        <v>8428</v>
      </c>
      <c r="E477" s="41">
        <v>35100</v>
      </c>
    </row>
    <row r="478" spans="1:5" x14ac:dyDescent="0.25">
      <c r="A478" s="41" t="s">
        <v>8157</v>
      </c>
      <c r="B478" s="41" t="s">
        <v>7766</v>
      </c>
      <c r="C478" s="41" t="s">
        <v>1350</v>
      </c>
      <c r="D478" s="41" t="s">
        <v>8243</v>
      </c>
      <c r="E478" s="41">
        <v>32600</v>
      </c>
    </row>
    <row r="479" spans="1:5" x14ac:dyDescent="0.25">
      <c r="A479" s="41" t="s">
        <v>8157</v>
      </c>
      <c r="B479" s="41" t="s">
        <v>7768</v>
      </c>
      <c r="C479" s="41" t="s">
        <v>1350</v>
      </c>
      <c r="D479" s="41" t="s">
        <v>8233</v>
      </c>
      <c r="E479" s="41">
        <v>45700</v>
      </c>
    </row>
    <row r="480" spans="1:5" x14ac:dyDescent="0.25">
      <c r="A480" s="41" t="s">
        <v>8157</v>
      </c>
      <c r="B480" s="41" t="s">
        <v>7768</v>
      </c>
      <c r="C480" s="41" t="s">
        <v>1350</v>
      </c>
      <c r="D480" s="41" t="s">
        <v>8234</v>
      </c>
      <c r="E480" s="41">
        <v>43500</v>
      </c>
    </row>
    <row r="481" spans="1:5" x14ac:dyDescent="0.25">
      <c r="A481" s="41" t="s">
        <v>8157</v>
      </c>
      <c r="B481" s="41" t="s">
        <v>7768</v>
      </c>
      <c r="C481" s="41" t="s">
        <v>1350</v>
      </c>
      <c r="D481" s="41" t="s">
        <v>8429</v>
      </c>
      <c r="E481" s="41">
        <v>41500</v>
      </c>
    </row>
    <row r="482" spans="1:5" x14ac:dyDescent="0.25">
      <c r="A482" s="41" t="s">
        <v>8157</v>
      </c>
      <c r="B482" s="41" t="s">
        <v>7768</v>
      </c>
      <c r="C482" s="41" t="s">
        <v>1350</v>
      </c>
      <c r="D482" s="41" t="s">
        <v>8245</v>
      </c>
      <c r="E482" s="41">
        <v>39500</v>
      </c>
    </row>
    <row r="483" spans="1:5" x14ac:dyDescent="0.25">
      <c r="A483" s="41" t="s">
        <v>8157</v>
      </c>
      <c r="B483" s="41" t="s">
        <v>7770</v>
      </c>
      <c r="C483" s="41" t="s">
        <v>1350</v>
      </c>
      <c r="D483" s="41" t="s">
        <v>8332</v>
      </c>
      <c r="E483" s="41">
        <v>41400</v>
      </c>
    </row>
    <row r="484" spans="1:5" x14ac:dyDescent="0.25">
      <c r="A484" s="41" t="s">
        <v>8157</v>
      </c>
      <c r="B484" s="41" t="s">
        <v>7770</v>
      </c>
      <c r="C484" s="41" t="s">
        <v>1350</v>
      </c>
      <c r="D484" s="41" t="s">
        <v>8430</v>
      </c>
      <c r="E484" s="41">
        <v>35200</v>
      </c>
    </row>
    <row r="485" spans="1:5" x14ac:dyDescent="0.25">
      <c r="A485" s="41" t="s">
        <v>8157</v>
      </c>
      <c r="B485" s="41" t="s">
        <v>7770</v>
      </c>
      <c r="C485" s="41" t="s">
        <v>1350</v>
      </c>
      <c r="D485" s="41" t="s">
        <v>8431</v>
      </c>
      <c r="E485" s="41">
        <v>32100</v>
      </c>
    </row>
    <row r="486" spans="1:5" x14ac:dyDescent="0.25">
      <c r="A486" s="41" t="s">
        <v>8157</v>
      </c>
      <c r="B486" s="41" t="s">
        <v>7770</v>
      </c>
      <c r="C486" s="41" t="s">
        <v>1350</v>
      </c>
      <c r="D486" s="41" t="s">
        <v>8432</v>
      </c>
      <c r="E486" s="41">
        <v>29000</v>
      </c>
    </row>
    <row r="487" spans="1:5" x14ac:dyDescent="0.25">
      <c r="A487" s="41" t="s">
        <v>8157</v>
      </c>
      <c r="B487" s="41" t="s">
        <v>7772</v>
      </c>
      <c r="C487" s="41" t="s">
        <v>1350</v>
      </c>
      <c r="D487" s="41" t="s">
        <v>8185</v>
      </c>
      <c r="E487" s="41">
        <v>37300</v>
      </c>
    </row>
    <row r="488" spans="1:5" x14ac:dyDescent="0.25">
      <c r="A488" s="41" t="s">
        <v>8157</v>
      </c>
      <c r="B488" s="41" t="s">
        <v>7772</v>
      </c>
      <c r="C488" s="41" t="s">
        <v>1350</v>
      </c>
      <c r="D488" s="41" t="s">
        <v>8433</v>
      </c>
      <c r="E488" s="41">
        <v>36200</v>
      </c>
    </row>
    <row r="489" spans="1:5" x14ac:dyDescent="0.25">
      <c r="A489" s="41" t="s">
        <v>8157</v>
      </c>
      <c r="B489" s="41" t="s">
        <v>7772</v>
      </c>
      <c r="C489" s="41" t="s">
        <v>1350</v>
      </c>
      <c r="D489" s="41" t="s">
        <v>8434</v>
      </c>
      <c r="E489" s="41">
        <v>35200</v>
      </c>
    </row>
    <row r="490" spans="1:5" x14ac:dyDescent="0.25">
      <c r="A490" s="41" t="s">
        <v>8157</v>
      </c>
      <c r="B490" s="41" t="s">
        <v>7772</v>
      </c>
      <c r="C490" s="41" t="s">
        <v>1350</v>
      </c>
      <c r="D490" s="41" t="s">
        <v>8347</v>
      </c>
      <c r="E490" s="41">
        <v>33100</v>
      </c>
    </row>
    <row r="491" spans="1:5" x14ac:dyDescent="0.25">
      <c r="A491" s="41" t="s">
        <v>8157</v>
      </c>
      <c r="B491" s="41" t="s">
        <v>7774</v>
      </c>
      <c r="C491" s="41" t="s">
        <v>1350</v>
      </c>
      <c r="D491" s="41" t="s">
        <v>8158</v>
      </c>
      <c r="E491" s="41">
        <v>45500</v>
      </c>
    </row>
    <row r="492" spans="1:5" x14ac:dyDescent="0.25">
      <c r="A492" s="41" t="s">
        <v>8157</v>
      </c>
      <c r="B492" s="41" t="s">
        <v>7776</v>
      </c>
      <c r="C492" s="41" t="s">
        <v>1350</v>
      </c>
      <c r="D492" s="41" t="s">
        <v>8158</v>
      </c>
      <c r="E492" s="41">
        <v>29900</v>
      </c>
    </row>
    <row r="493" spans="1:5" x14ac:dyDescent="0.25">
      <c r="A493" s="41" t="s">
        <v>8157</v>
      </c>
      <c r="B493" s="41" t="s">
        <v>7778</v>
      </c>
      <c r="C493" s="41" t="s">
        <v>1350</v>
      </c>
      <c r="D493" s="41" t="s">
        <v>8158</v>
      </c>
      <c r="E493" s="41">
        <v>37800</v>
      </c>
    </row>
    <row r="494" spans="1:5" x14ac:dyDescent="0.25">
      <c r="A494" s="41" t="s">
        <v>8157</v>
      </c>
      <c r="B494" s="41" t="s">
        <v>7780</v>
      </c>
      <c r="C494" s="41" t="s">
        <v>1350</v>
      </c>
      <c r="D494" s="41" t="s">
        <v>8158</v>
      </c>
      <c r="E494" s="41">
        <v>29600</v>
      </c>
    </row>
    <row r="495" spans="1:5" x14ac:dyDescent="0.25">
      <c r="A495" s="41" t="s">
        <v>8157</v>
      </c>
      <c r="B495" s="41" t="s">
        <v>7782</v>
      </c>
      <c r="C495" s="41" t="s">
        <v>1350</v>
      </c>
      <c r="D495" s="41" t="s">
        <v>8158</v>
      </c>
      <c r="E495" s="41">
        <v>76400</v>
      </c>
    </row>
    <row r="496" spans="1:5" x14ac:dyDescent="0.25">
      <c r="A496" s="41" t="s">
        <v>8157</v>
      </c>
      <c r="B496" s="41" t="s">
        <v>7784</v>
      </c>
      <c r="C496" s="41" t="s">
        <v>1350</v>
      </c>
      <c r="D496" s="41" t="s">
        <v>8158</v>
      </c>
      <c r="E496" s="41">
        <v>74200</v>
      </c>
    </row>
    <row r="497" spans="1:5" x14ac:dyDescent="0.25">
      <c r="A497" s="41" t="s">
        <v>8157</v>
      </c>
      <c r="B497" s="41" t="s">
        <v>1331</v>
      </c>
      <c r="C497" s="41" t="s">
        <v>1350</v>
      </c>
      <c r="D497" s="41" t="s">
        <v>8158</v>
      </c>
      <c r="E497" s="41">
        <v>60680</v>
      </c>
    </row>
    <row r="498" spans="1:5" x14ac:dyDescent="0.25">
      <c r="A498" s="41" t="s">
        <v>8157</v>
      </c>
      <c r="B498" s="41" t="s">
        <v>1333</v>
      </c>
      <c r="C498" s="41" t="s">
        <v>1350</v>
      </c>
      <c r="D498" s="41" t="s">
        <v>8158</v>
      </c>
      <c r="E498" s="41">
        <v>98000</v>
      </c>
    </row>
    <row r="499" spans="1:5" x14ac:dyDescent="0.25">
      <c r="A499" s="41" t="s">
        <v>8157</v>
      </c>
      <c r="B499" s="41" t="s">
        <v>1335</v>
      </c>
      <c r="C499" s="41" t="s">
        <v>1350</v>
      </c>
      <c r="D499" s="41" t="s">
        <v>8262</v>
      </c>
      <c r="E499" s="41">
        <v>46500</v>
      </c>
    </row>
    <row r="500" spans="1:5" x14ac:dyDescent="0.25">
      <c r="A500" s="41" t="s">
        <v>8157</v>
      </c>
      <c r="B500" s="41" t="s">
        <v>1335</v>
      </c>
      <c r="C500" s="41" t="s">
        <v>1350</v>
      </c>
      <c r="D500" s="41" t="s">
        <v>8256</v>
      </c>
      <c r="E500" s="41">
        <v>43200</v>
      </c>
    </row>
    <row r="501" spans="1:5" x14ac:dyDescent="0.25">
      <c r="A501" s="41" t="s">
        <v>8157</v>
      </c>
      <c r="B501" s="41" t="s">
        <v>1335</v>
      </c>
      <c r="C501" s="41" t="s">
        <v>1350</v>
      </c>
      <c r="D501" s="41" t="s">
        <v>8435</v>
      </c>
      <c r="E501" s="41">
        <v>40200</v>
      </c>
    </row>
    <row r="502" spans="1:5" x14ac:dyDescent="0.25">
      <c r="A502" s="41" t="s">
        <v>8157</v>
      </c>
      <c r="B502" s="41" t="s">
        <v>1335</v>
      </c>
      <c r="C502" s="41" t="s">
        <v>1350</v>
      </c>
      <c r="D502" s="41" t="s">
        <v>8436</v>
      </c>
      <c r="E502" s="41">
        <v>37400</v>
      </c>
    </row>
    <row r="503" spans="1:5" x14ac:dyDescent="0.25">
      <c r="A503" s="41" t="s">
        <v>8157</v>
      </c>
      <c r="B503" s="41" t="s">
        <v>7786</v>
      </c>
      <c r="C503" s="41" t="s">
        <v>1350</v>
      </c>
      <c r="D503" s="41" t="s">
        <v>8360</v>
      </c>
      <c r="E503" s="41">
        <v>52800</v>
      </c>
    </row>
    <row r="504" spans="1:5" x14ac:dyDescent="0.25">
      <c r="A504" s="41" t="s">
        <v>8157</v>
      </c>
      <c r="B504" s="41" t="s">
        <v>7786</v>
      </c>
      <c r="C504" s="41" t="s">
        <v>1350</v>
      </c>
      <c r="D504" s="41" t="s">
        <v>8162</v>
      </c>
      <c r="E504" s="41">
        <v>49100</v>
      </c>
    </row>
    <row r="505" spans="1:5" x14ac:dyDescent="0.25">
      <c r="A505" s="41" t="s">
        <v>8157</v>
      </c>
      <c r="B505" s="41" t="s">
        <v>7788</v>
      </c>
      <c r="C505" s="41" t="s">
        <v>1350</v>
      </c>
      <c r="D505" s="41" t="s">
        <v>8158</v>
      </c>
      <c r="E505" s="41">
        <v>33200</v>
      </c>
    </row>
    <row r="506" spans="1:5" x14ac:dyDescent="0.25">
      <c r="A506" s="41" t="s">
        <v>8157</v>
      </c>
      <c r="B506" s="41" t="s">
        <v>7790</v>
      </c>
      <c r="C506" s="41" t="s">
        <v>1350</v>
      </c>
      <c r="D506" s="41" t="s">
        <v>8287</v>
      </c>
      <c r="E506" s="41">
        <v>43000</v>
      </c>
    </row>
    <row r="507" spans="1:5" x14ac:dyDescent="0.25">
      <c r="A507" s="41" t="s">
        <v>8157</v>
      </c>
      <c r="B507" s="41" t="s">
        <v>7790</v>
      </c>
      <c r="C507" s="41" t="s">
        <v>1350</v>
      </c>
      <c r="D507" s="41" t="s">
        <v>8437</v>
      </c>
      <c r="E507" s="41">
        <v>41900</v>
      </c>
    </row>
    <row r="508" spans="1:5" x14ac:dyDescent="0.25">
      <c r="A508" s="41" t="s">
        <v>8157</v>
      </c>
      <c r="B508" s="41" t="s">
        <v>7790</v>
      </c>
      <c r="C508" s="41" t="s">
        <v>1350</v>
      </c>
      <c r="D508" s="41" t="s">
        <v>8438</v>
      </c>
      <c r="E508" s="41">
        <v>41000</v>
      </c>
    </row>
    <row r="509" spans="1:5" x14ac:dyDescent="0.25">
      <c r="A509" s="41" t="s">
        <v>8157</v>
      </c>
      <c r="B509" s="41" t="s">
        <v>7792</v>
      </c>
      <c r="C509" s="41" t="s">
        <v>1350</v>
      </c>
      <c r="D509" s="41" t="s">
        <v>8158</v>
      </c>
      <c r="E509" s="41">
        <v>60000</v>
      </c>
    </row>
    <row r="510" spans="1:5" x14ac:dyDescent="0.25">
      <c r="A510" s="41" t="s">
        <v>8157</v>
      </c>
      <c r="B510" s="41" t="s">
        <v>8439</v>
      </c>
      <c r="C510" s="41" t="s">
        <v>1350</v>
      </c>
      <c r="D510" s="41" t="s">
        <v>8158</v>
      </c>
      <c r="E510" s="41">
        <v>55400</v>
      </c>
    </row>
    <row r="511" spans="1:5" x14ac:dyDescent="0.25">
      <c r="A511" s="41" t="s">
        <v>8157</v>
      </c>
      <c r="B511" s="41" t="s">
        <v>8440</v>
      </c>
      <c r="C511" s="41" t="s">
        <v>1350</v>
      </c>
      <c r="D511" s="41" t="s">
        <v>8158</v>
      </c>
      <c r="E511" s="41">
        <v>60000</v>
      </c>
    </row>
    <row r="512" spans="1:5" x14ac:dyDescent="0.25">
      <c r="A512" s="41" t="s">
        <v>8157</v>
      </c>
      <c r="B512" s="41" t="s">
        <v>7794</v>
      </c>
      <c r="C512" s="41" t="s">
        <v>1350</v>
      </c>
      <c r="D512" s="41" t="s">
        <v>8233</v>
      </c>
      <c r="E512" s="41">
        <v>62000</v>
      </c>
    </row>
    <row r="513" spans="1:5" x14ac:dyDescent="0.25">
      <c r="A513" s="41" t="s">
        <v>8157</v>
      </c>
      <c r="B513" s="41" t="s">
        <v>7794</v>
      </c>
      <c r="C513" s="41" t="s">
        <v>1350</v>
      </c>
      <c r="D513" s="41" t="s">
        <v>8161</v>
      </c>
      <c r="E513" s="41">
        <v>59000</v>
      </c>
    </row>
    <row r="514" spans="1:5" x14ac:dyDescent="0.25">
      <c r="A514" s="41" t="s">
        <v>8157</v>
      </c>
      <c r="B514" s="41" t="s">
        <v>7800</v>
      </c>
      <c r="C514" s="41" t="s">
        <v>1350</v>
      </c>
      <c r="D514" s="41" t="s">
        <v>8158</v>
      </c>
      <c r="E514" s="41">
        <v>581900</v>
      </c>
    </row>
    <row r="515" spans="1:5" x14ac:dyDescent="0.25">
      <c r="A515" s="41" t="s">
        <v>8157</v>
      </c>
      <c r="B515" s="41" t="s">
        <v>7804</v>
      </c>
      <c r="C515" s="41" t="s">
        <v>1350</v>
      </c>
      <c r="D515" s="41" t="s">
        <v>8162</v>
      </c>
      <c r="E515" s="41">
        <v>55800</v>
      </c>
    </row>
    <row r="516" spans="1:5" x14ac:dyDescent="0.25">
      <c r="A516" s="41" t="s">
        <v>8157</v>
      </c>
      <c r="B516" s="41" t="s">
        <v>7806</v>
      </c>
      <c r="C516" s="41" t="s">
        <v>1350</v>
      </c>
      <c r="D516" s="41" t="s">
        <v>8298</v>
      </c>
      <c r="E516" s="41">
        <v>22700</v>
      </c>
    </row>
    <row r="517" spans="1:5" x14ac:dyDescent="0.25">
      <c r="A517" s="41" t="s">
        <v>8157</v>
      </c>
      <c r="B517" s="41" t="s">
        <v>7806</v>
      </c>
      <c r="C517" s="41" t="s">
        <v>1350</v>
      </c>
      <c r="D517" s="41" t="s">
        <v>8299</v>
      </c>
      <c r="E517" s="41">
        <v>15300</v>
      </c>
    </row>
    <row r="518" spans="1:5" x14ac:dyDescent="0.25">
      <c r="A518" s="41" t="s">
        <v>8157</v>
      </c>
      <c r="B518" s="41" t="s">
        <v>7806</v>
      </c>
      <c r="C518" s="41" t="s">
        <v>1350</v>
      </c>
      <c r="D518" s="41" t="s">
        <v>8243</v>
      </c>
      <c r="E518" s="41">
        <v>18400</v>
      </c>
    </row>
    <row r="519" spans="1:5" x14ac:dyDescent="0.25">
      <c r="A519" s="41" t="s">
        <v>8157</v>
      </c>
      <c r="B519" s="41" t="s">
        <v>7808</v>
      </c>
      <c r="C519" s="41" t="s">
        <v>1350</v>
      </c>
      <c r="D519" s="41" t="s">
        <v>8158</v>
      </c>
      <c r="E519" s="41">
        <v>11700</v>
      </c>
    </row>
    <row r="520" spans="1:5" x14ac:dyDescent="0.25">
      <c r="A520" s="41" t="s">
        <v>8157</v>
      </c>
      <c r="B520" s="41" t="s">
        <v>7810</v>
      </c>
      <c r="C520" s="41" t="s">
        <v>1350</v>
      </c>
      <c r="D520" s="41" t="s">
        <v>8158</v>
      </c>
      <c r="E520" s="41">
        <v>34900</v>
      </c>
    </row>
    <row r="521" spans="1:5" x14ac:dyDescent="0.25">
      <c r="A521" s="41" t="s">
        <v>8157</v>
      </c>
      <c r="B521" s="41" t="s">
        <v>7812</v>
      </c>
      <c r="C521" s="41" t="s">
        <v>1350</v>
      </c>
      <c r="D521" s="41" t="s">
        <v>8158</v>
      </c>
      <c r="E521" s="41">
        <v>26100</v>
      </c>
    </row>
    <row r="522" spans="1:5" x14ac:dyDescent="0.25">
      <c r="A522" s="41" t="s">
        <v>8157</v>
      </c>
      <c r="B522" s="41" t="s">
        <v>7815</v>
      </c>
      <c r="C522" s="41" t="s">
        <v>1350</v>
      </c>
      <c r="D522" s="41" t="s">
        <v>8158</v>
      </c>
      <c r="E522" s="41">
        <v>41400</v>
      </c>
    </row>
    <row r="523" spans="1:5" x14ac:dyDescent="0.25">
      <c r="A523" s="41" t="s">
        <v>8157</v>
      </c>
      <c r="B523" s="41" t="s">
        <v>7818</v>
      </c>
      <c r="C523" s="41" t="s">
        <v>1350</v>
      </c>
      <c r="D523" s="41" t="s">
        <v>8158</v>
      </c>
      <c r="E523" s="41">
        <v>10500</v>
      </c>
    </row>
    <row r="524" spans="1:5" x14ac:dyDescent="0.25">
      <c r="A524" s="41" t="s">
        <v>8157</v>
      </c>
      <c r="B524" s="41" t="s">
        <v>7433</v>
      </c>
      <c r="C524" s="41" t="s">
        <v>1350</v>
      </c>
      <c r="D524" s="41" t="s">
        <v>8287</v>
      </c>
      <c r="E524" s="41">
        <v>5600</v>
      </c>
    </row>
    <row r="525" spans="1:5" x14ac:dyDescent="0.25">
      <c r="A525" s="41" t="s">
        <v>8157</v>
      </c>
      <c r="B525" s="41" t="s">
        <v>7433</v>
      </c>
      <c r="C525" s="41" t="s">
        <v>1350</v>
      </c>
      <c r="D525" s="41" t="s">
        <v>8297</v>
      </c>
      <c r="E525" s="41">
        <v>5200</v>
      </c>
    </row>
    <row r="526" spans="1:5" x14ac:dyDescent="0.25">
      <c r="A526" s="41" t="s">
        <v>8157</v>
      </c>
      <c r="B526" s="41" t="s">
        <v>7821</v>
      </c>
      <c r="C526" s="41" t="s">
        <v>1350</v>
      </c>
      <c r="D526" s="41" t="s">
        <v>8158</v>
      </c>
      <c r="E526" s="41">
        <v>17700</v>
      </c>
    </row>
    <row r="527" spans="1:5" x14ac:dyDescent="0.25">
      <c r="A527" s="41" t="s">
        <v>8157</v>
      </c>
      <c r="B527" s="41" t="s">
        <v>7823</v>
      </c>
      <c r="C527" s="41" t="s">
        <v>1350</v>
      </c>
      <c r="D527" s="41" t="s">
        <v>8158</v>
      </c>
      <c r="E527" s="41">
        <v>25000</v>
      </c>
    </row>
    <row r="528" spans="1:5" x14ac:dyDescent="0.25">
      <c r="A528" s="41" t="s">
        <v>8157</v>
      </c>
      <c r="B528" s="41" t="s">
        <v>7825</v>
      </c>
      <c r="C528" s="41" t="s">
        <v>1350</v>
      </c>
      <c r="D528" s="41" t="s">
        <v>8287</v>
      </c>
      <c r="E528" s="41">
        <v>50980</v>
      </c>
    </row>
    <row r="529" spans="1:5" x14ac:dyDescent="0.25">
      <c r="A529" s="41" t="s">
        <v>8157</v>
      </c>
      <c r="B529" s="41" t="s">
        <v>7825</v>
      </c>
      <c r="C529" s="41" t="s">
        <v>1350</v>
      </c>
      <c r="D529" s="41" t="s">
        <v>8288</v>
      </c>
      <c r="E529" s="41">
        <v>48400</v>
      </c>
    </row>
    <row r="530" spans="1:5" x14ac:dyDescent="0.25">
      <c r="A530" s="41" t="s">
        <v>8157</v>
      </c>
      <c r="B530" s="41" t="s">
        <v>7825</v>
      </c>
      <c r="C530" s="41" t="s">
        <v>1350</v>
      </c>
      <c r="D530" s="41" t="s">
        <v>8265</v>
      </c>
      <c r="E530" s="41">
        <v>45000</v>
      </c>
    </row>
    <row r="531" spans="1:5" x14ac:dyDescent="0.25">
      <c r="A531" s="41" t="s">
        <v>8157</v>
      </c>
      <c r="B531" s="41" t="s">
        <v>7825</v>
      </c>
      <c r="C531" s="41" t="s">
        <v>1350</v>
      </c>
      <c r="D531" s="41" t="s">
        <v>8289</v>
      </c>
      <c r="E531" s="41">
        <v>42800</v>
      </c>
    </row>
    <row r="532" spans="1:5" x14ac:dyDescent="0.25">
      <c r="A532" s="41" t="s">
        <v>8157</v>
      </c>
      <c r="B532" s="41" t="s">
        <v>7825</v>
      </c>
      <c r="C532" s="41" t="s">
        <v>1350</v>
      </c>
      <c r="D532" s="41" t="s">
        <v>8290</v>
      </c>
      <c r="E532" s="41">
        <v>39800</v>
      </c>
    </row>
    <row r="533" spans="1:5" x14ac:dyDescent="0.25">
      <c r="A533" s="41" t="s">
        <v>8157</v>
      </c>
      <c r="B533" s="41" t="s">
        <v>7825</v>
      </c>
      <c r="C533" s="41" t="s">
        <v>1350</v>
      </c>
      <c r="D533" s="41" t="s">
        <v>8258</v>
      </c>
      <c r="E533" s="41">
        <v>37000</v>
      </c>
    </row>
    <row r="534" spans="1:5" x14ac:dyDescent="0.25">
      <c r="A534" s="41" t="s">
        <v>8157</v>
      </c>
      <c r="B534" s="41" t="s">
        <v>7443</v>
      </c>
      <c r="C534" s="41" t="s">
        <v>1350</v>
      </c>
      <c r="D534" s="41" t="s">
        <v>8158</v>
      </c>
      <c r="E534" s="41">
        <v>18650</v>
      </c>
    </row>
    <row r="535" spans="1:5" x14ac:dyDescent="0.25">
      <c r="A535" s="41" t="s">
        <v>8157</v>
      </c>
      <c r="B535" s="41" t="s">
        <v>7509</v>
      </c>
      <c r="C535" s="41" t="s">
        <v>1351</v>
      </c>
      <c r="D535" s="41" t="s">
        <v>8158</v>
      </c>
      <c r="E535" s="41">
        <v>6400</v>
      </c>
    </row>
    <row r="536" spans="1:5" x14ac:dyDescent="0.25">
      <c r="A536" s="41" t="s">
        <v>8157</v>
      </c>
      <c r="B536" s="41" t="s">
        <v>7414</v>
      </c>
      <c r="C536" s="41" t="s">
        <v>1351</v>
      </c>
      <c r="D536" s="41" t="s">
        <v>8158</v>
      </c>
      <c r="E536" s="41">
        <v>28420</v>
      </c>
    </row>
    <row r="537" spans="1:5" x14ac:dyDescent="0.25">
      <c r="A537" s="41" t="s">
        <v>8157</v>
      </c>
      <c r="B537" s="41" t="s">
        <v>67</v>
      </c>
      <c r="C537" s="41" t="s">
        <v>1351</v>
      </c>
      <c r="D537" s="41" t="s">
        <v>8159</v>
      </c>
      <c r="E537" s="41">
        <v>26750</v>
      </c>
    </row>
    <row r="538" spans="1:5" x14ac:dyDescent="0.25">
      <c r="A538" s="41" t="s">
        <v>8157</v>
      </c>
      <c r="B538" s="41" t="s">
        <v>67</v>
      </c>
      <c r="C538" s="41" t="s">
        <v>1351</v>
      </c>
      <c r="D538" s="41" t="s">
        <v>8160</v>
      </c>
      <c r="E538" s="41">
        <v>24890</v>
      </c>
    </row>
    <row r="539" spans="1:5" x14ac:dyDescent="0.25">
      <c r="A539" s="41" t="s">
        <v>8157</v>
      </c>
      <c r="B539" s="41" t="s">
        <v>67</v>
      </c>
      <c r="C539" s="41" t="s">
        <v>1351</v>
      </c>
      <c r="D539" s="41" t="s">
        <v>8161</v>
      </c>
      <c r="E539" s="41">
        <v>22440</v>
      </c>
    </row>
    <row r="540" spans="1:5" x14ac:dyDescent="0.25">
      <c r="A540" s="41" t="s">
        <v>8157</v>
      </c>
      <c r="B540" s="41" t="s">
        <v>67</v>
      </c>
      <c r="C540" s="41" t="s">
        <v>1351</v>
      </c>
      <c r="D540" s="41" t="s">
        <v>8162</v>
      </c>
      <c r="E540" s="41">
        <v>20190</v>
      </c>
    </row>
    <row r="541" spans="1:5" x14ac:dyDescent="0.25">
      <c r="A541" s="41" t="s">
        <v>8157</v>
      </c>
      <c r="B541" s="41" t="s">
        <v>7408</v>
      </c>
      <c r="C541" s="41" t="s">
        <v>1351</v>
      </c>
      <c r="D541" s="41" t="s">
        <v>8163</v>
      </c>
      <c r="E541" s="41">
        <v>33200</v>
      </c>
    </row>
    <row r="542" spans="1:5" x14ac:dyDescent="0.25">
      <c r="A542" s="41" t="s">
        <v>8157</v>
      </c>
      <c r="B542" s="41" t="s">
        <v>7408</v>
      </c>
      <c r="C542" s="41" t="s">
        <v>1351</v>
      </c>
      <c r="D542" s="41" t="s">
        <v>8164</v>
      </c>
      <c r="E542" s="41">
        <v>31700</v>
      </c>
    </row>
    <row r="543" spans="1:5" x14ac:dyDescent="0.25">
      <c r="A543" s="41" t="s">
        <v>8157</v>
      </c>
      <c r="B543" s="41" t="s">
        <v>7408</v>
      </c>
      <c r="C543" s="41" t="s">
        <v>1351</v>
      </c>
      <c r="D543" s="41" t="s">
        <v>8165</v>
      </c>
      <c r="E543" s="41">
        <v>29600</v>
      </c>
    </row>
    <row r="544" spans="1:5" x14ac:dyDescent="0.25">
      <c r="A544" s="41" t="s">
        <v>8157</v>
      </c>
      <c r="B544" s="41" t="s">
        <v>7408</v>
      </c>
      <c r="C544" s="41" t="s">
        <v>1351</v>
      </c>
      <c r="D544" s="41" t="s">
        <v>8166</v>
      </c>
      <c r="E544" s="41">
        <v>27600</v>
      </c>
    </row>
    <row r="545" spans="1:5" x14ac:dyDescent="0.25">
      <c r="A545" s="41" t="s">
        <v>8157</v>
      </c>
      <c r="B545" s="41" t="s">
        <v>7408</v>
      </c>
      <c r="C545" s="41" t="s">
        <v>1351</v>
      </c>
      <c r="D545" s="41" t="s">
        <v>8167</v>
      </c>
      <c r="E545" s="41">
        <v>25800</v>
      </c>
    </row>
    <row r="546" spans="1:5" x14ac:dyDescent="0.25">
      <c r="A546" s="41" t="s">
        <v>8157</v>
      </c>
      <c r="B546" s="41" t="s">
        <v>7408</v>
      </c>
      <c r="C546" s="41" t="s">
        <v>1351</v>
      </c>
      <c r="D546" s="41" t="s">
        <v>8168</v>
      </c>
      <c r="E546" s="41">
        <v>24000</v>
      </c>
    </row>
    <row r="547" spans="1:5" x14ac:dyDescent="0.25">
      <c r="A547" s="41" t="s">
        <v>8157</v>
      </c>
      <c r="B547" s="41" t="s">
        <v>7409</v>
      </c>
      <c r="C547" s="41" t="s">
        <v>1351</v>
      </c>
      <c r="D547" s="41" t="s">
        <v>8169</v>
      </c>
      <c r="E547" s="41">
        <v>34600</v>
      </c>
    </row>
    <row r="548" spans="1:5" x14ac:dyDescent="0.25">
      <c r="A548" s="41" t="s">
        <v>8157</v>
      </c>
      <c r="B548" s="41" t="s">
        <v>7409</v>
      </c>
      <c r="C548" s="41" t="s">
        <v>1351</v>
      </c>
      <c r="D548" s="41" t="s">
        <v>8170</v>
      </c>
      <c r="E548" s="41">
        <v>32100</v>
      </c>
    </row>
    <row r="549" spans="1:5" x14ac:dyDescent="0.25">
      <c r="A549" s="41" t="s">
        <v>8157</v>
      </c>
      <c r="B549" s="41" t="s">
        <v>7409</v>
      </c>
      <c r="C549" s="41" t="s">
        <v>1351</v>
      </c>
      <c r="D549" s="41" t="s">
        <v>8171</v>
      </c>
      <c r="E549" s="41">
        <v>28900</v>
      </c>
    </row>
    <row r="550" spans="1:5" x14ac:dyDescent="0.25">
      <c r="A550" s="41" t="s">
        <v>8157</v>
      </c>
      <c r="B550" s="41" t="s">
        <v>7483</v>
      </c>
      <c r="C550" s="41" t="s">
        <v>1351</v>
      </c>
      <c r="D550" s="41" t="s">
        <v>8172</v>
      </c>
      <c r="E550" s="41">
        <v>23400</v>
      </c>
    </row>
    <row r="551" spans="1:5" x14ac:dyDescent="0.25">
      <c r="A551" s="41" t="s">
        <v>8157</v>
      </c>
      <c r="B551" s="41" t="s">
        <v>7483</v>
      </c>
      <c r="C551" s="41" t="s">
        <v>1351</v>
      </c>
      <c r="D551" s="41" t="s">
        <v>8173</v>
      </c>
      <c r="E551" s="41">
        <v>21800</v>
      </c>
    </row>
    <row r="552" spans="1:5" x14ac:dyDescent="0.25">
      <c r="A552" s="41" t="s">
        <v>8157</v>
      </c>
      <c r="B552" s="41" t="s">
        <v>7483</v>
      </c>
      <c r="C552" s="41" t="s">
        <v>1351</v>
      </c>
      <c r="D552" s="41" t="s">
        <v>8174</v>
      </c>
      <c r="E552" s="41">
        <v>20200</v>
      </c>
    </row>
    <row r="553" spans="1:5" x14ac:dyDescent="0.25">
      <c r="A553" s="41" t="s">
        <v>8157</v>
      </c>
      <c r="B553" s="41" t="s">
        <v>7483</v>
      </c>
      <c r="C553" s="41" t="s">
        <v>1351</v>
      </c>
      <c r="D553" s="41" t="s">
        <v>8175</v>
      </c>
      <c r="E553" s="41">
        <v>18800</v>
      </c>
    </row>
    <row r="554" spans="1:5" x14ac:dyDescent="0.25">
      <c r="A554" s="41" t="s">
        <v>8157</v>
      </c>
      <c r="B554" s="41" t="s">
        <v>7483</v>
      </c>
      <c r="C554" s="41" t="s">
        <v>1351</v>
      </c>
      <c r="D554" s="41" t="s">
        <v>8176</v>
      </c>
      <c r="E554" s="41">
        <v>17500</v>
      </c>
    </row>
    <row r="555" spans="1:5" x14ac:dyDescent="0.25">
      <c r="A555" s="41" t="s">
        <v>8157</v>
      </c>
      <c r="B555" s="41" t="s">
        <v>7410</v>
      </c>
      <c r="C555" s="41" t="s">
        <v>1351</v>
      </c>
      <c r="D555" s="41" t="s">
        <v>8177</v>
      </c>
      <c r="E555" s="41">
        <v>22200</v>
      </c>
    </row>
    <row r="556" spans="1:5" x14ac:dyDescent="0.25">
      <c r="A556" s="41" t="s">
        <v>8157</v>
      </c>
      <c r="B556" s="41" t="s">
        <v>7410</v>
      </c>
      <c r="C556" s="41" t="s">
        <v>1351</v>
      </c>
      <c r="D556" s="41" t="s">
        <v>8178</v>
      </c>
      <c r="E556" s="41">
        <v>20700</v>
      </c>
    </row>
    <row r="557" spans="1:5" x14ac:dyDescent="0.25">
      <c r="A557" s="41" t="s">
        <v>8157</v>
      </c>
      <c r="B557" s="41" t="s">
        <v>7410</v>
      </c>
      <c r="C557" s="41" t="s">
        <v>1351</v>
      </c>
      <c r="D557" s="41" t="s">
        <v>8179</v>
      </c>
      <c r="E557" s="41">
        <v>19600</v>
      </c>
    </row>
    <row r="558" spans="1:5" x14ac:dyDescent="0.25">
      <c r="A558" s="41" t="s">
        <v>8157</v>
      </c>
      <c r="B558" s="41" t="s">
        <v>7410</v>
      </c>
      <c r="C558" s="41" t="s">
        <v>1351</v>
      </c>
      <c r="D558" s="41" t="s">
        <v>8180</v>
      </c>
      <c r="E558" s="41">
        <v>18600</v>
      </c>
    </row>
    <row r="559" spans="1:5" x14ac:dyDescent="0.25">
      <c r="A559" s="41" t="s">
        <v>8157</v>
      </c>
      <c r="B559" s="41" t="s">
        <v>7410</v>
      </c>
      <c r="C559" s="41" t="s">
        <v>1351</v>
      </c>
      <c r="D559" s="41" t="s">
        <v>8181</v>
      </c>
      <c r="E559" s="41">
        <v>17300</v>
      </c>
    </row>
    <row r="560" spans="1:5" x14ac:dyDescent="0.25">
      <c r="A560" s="41" t="s">
        <v>8157</v>
      </c>
      <c r="B560" s="41" t="s">
        <v>7410</v>
      </c>
      <c r="C560" s="41" t="s">
        <v>1351</v>
      </c>
      <c r="D560" s="41" t="s">
        <v>8182</v>
      </c>
      <c r="E560" s="41">
        <v>16500</v>
      </c>
    </row>
    <row r="561" spans="1:5" x14ac:dyDescent="0.25">
      <c r="A561" s="41" t="s">
        <v>8157</v>
      </c>
      <c r="B561" s="41" t="s">
        <v>7410</v>
      </c>
      <c r="C561" s="41" t="s">
        <v>1351</v>
      </c>
      <c r="D561" s="41" t="s">
        <v>8183</v>
      </c>
      <c r="E561" s="41">
        <v>15300</v>
      </c>
    </row>
    <row r="562" spans="1:5" x14ac:dyDescent="0.25">
      <c r="A562" s="41" t="s">
        <v>8157</v>
      </c>
      <c r="B562" s="41" t="s">
        <v>7410</v>
      </c>
      <c r="C562" s="41" t="s">
        <v>1351</v>
      </c>
      <c r="D562" s="41" t="s">
        <v>8184</v>
      </c>
      <c r="E562" s="41">
        <v>14200</v>
      </c>
    </row>
    <row r="563" spans="1:5" x14ac:dyDescent="0.25">
      <c r="A563" s="41" t="s">
        <v>8157</v>
      </c>
      <c r="B563" s="41" t="s">
        <v>7407</v>
      </c>
      <c r="C563" s="41" t="s">
        <v>1351</v>
      </c>
      <c r="D563" s="41" t="s">
        <v>8185</v>
      </c>
      <c r="E563" s="41">
        <v>26400</v>
      </c>
    </row>
    <row r="564" spans="1:5" x14ac:dyDescent="0.25">
      <c r="A564" s="41" t="s">
        <v>8157</v>
      </c>
      <c r="B564" s="41" t="s">
        <v>7407</v>
      </c>
      <c r="C564" s="41" t="s">
        <v>1351</v>
      </c>
      <c r="D564" s="41" t="s">
        <v>8186</v>
      </c>
      <c r="E564" s="41">
        <v>24500</v>
      </c>
    </row>
    <row r="565" spans="1:5" x14ac:dyDescent="0.25">
      <c r="A565" s="41" t="s">
        <v>8157</v>
      </c>
      <c r="B565" s="41" t="s">
        <v>7407</v>
      </c>
      <c r="C565" s="41" t="s">
        <v>1351</v>
      </c>
      <c r="D565" s="41" t="s">
        <v>8187</v>
      </c>
      <c r="E565" s="41">
        <v>22800</v>
      </c>
    </row>
    <row r="566" spans="1:5" x14ac:dyDescent="0.25">
      <c r="A566" s="41" t="s">
        <v>8157</v>
      </c>
      <c r="B566" s="41" t="s">
        <v>7407</v>
      </c>
      <c r="C566" s="41" t="s">
        <v>1351</v>
      </c>
      <c r="D566" s="41" t="s">
        <v>8188</v>
      </c>
      <c r="E566" s="41">
        <v>21300</v>
      </c>
    </row>
    <row r="567" spans="1:5" x14ac:dyDescent="0.25">
      <c r="A567" s="41" t="s">
        <v>8157</v>
      </c>
      <c r="B567" s="41" t="s">
        <v>7407</v>
      </c>
      <c r="C567" s="41" t="s">
        <v>1351</v>
      </c>
      <c r="D567" s="41" t="s">
        <v>8189</v>
      </c>
      <c r="E567" s="41">
        <v>19800</v>
      </c>
    </row>
    <row r="568" spans="1:5" x14ac:dyDescent="0.25">
      <c r="A568" s="41" t="s">
        <v>8157</v>
      </c>
      <c r="B568" s="41" t="s">
        <v>7407</v>
      </c>
      <c r="C568" s="41" t="s">
        <v>1351</v>
      </c>
      <c r="D568" s="41" t="s">
        <v>8190</v>
      </c>
      <c r="E568" s="41">
        <v>18400</v>
      </c>
    </row>
    <row r="569" spans="1:5" x14ac:dyDescent="0.25">
      <c r="A569" s="41" t="s">
        <v>8157</v>
      </c>
      <c r="B569" s="41" t="s">
        <v>7521</v>
      </c>
      <c r="C569" s="41" t="s">
        <v>1351</v>
      </c>
      <c r="D569" s="41" t="s">
        <v>8158</v>
      </c>
      <c r="E569" s="41">
        <v>16000</v>
      </c>
    </row>
    <row r="570" spans="1:5" x14ac:dyDescent="0.25">
      <c r="A570" s="41" t="s">
        <v>8157</v>
      </c>
      <c r="B570" s="41" t="s">
        <v>7523</v>
      </c>
      <c r="C570" s="41" t="s">
        <v>1351</v>
      </c>
      <c r="D570" s="41" t="s">
        <v>8158</v>
      </c>
      <c r="E570" s="41">
        <v>9600</v>
      </c>
    </row>
    <row r="571" spans="1:5" x14ac:dyDescent="0.25">
      <c r="A571" s="41" t="s">
        <v>8157</v>
      </c>
      <c r="B571" s="41" t="s">
        <v>7484</v>
      </c>
      <c r="C571" s="41" t="s">
        <v>1351</v>
      </c>
      <c r="D571" s="41" t="s">
        <v>8158</v>
      </c>
      <c r="E571" s="41">
        <v>17300</v>
      </c>
    </row>
    <row r="572" spans="1:5" x14ac:dyDescent="0.25">
      <c r="A572" s="41" t="s">
        <v>8157</v>
      </c>
      <c r="B572" s="41" t="s">
        <v>7526</v>
      </c>
      <c r="C572" s="41" t="s">
        <v>1351</v>
      </c>
      <c r="D572" s="41" t="s">
        <v>8158</v>
      </c>
      <c r="E572" s="41">
        <v>7700</v>
      </c>
    </row>
    <row r="573" spans="1:5" x14ac:dyDescent="0.25">
      <c r="A573" s="41" t="s">
        <v>8157</v>
      </c>
      <c r="B573" s="41" t="s">
        <v>7471</v>
      </c>
      <c r="C573" s="41" t="s">
        <v>1351</v>
      </c>
      <c r="D573" s="41" t="s">
        <v>8191</v>
      </c>
      <c r="E573" s="41">
        <v>58000</v>
      </c>
    </row>
    <row r="574" spans="1:5" x14ac:dyDescent="0.25">
      <c r="A574" s="41" t="s">
        <v>8157</v>
      </c>
      <c r="B574" s="41" t="s">
        <v>7471</v>
      </c>
      <c r="C574" s="41" t="s">
        <v>1351</v>
      </c>
      <c r="D574" s="41" t="s">
        <v>8192</v>
      </c>
      <c r="E574" s="41">
        <v>56800</v>
      </c>
    </row>
    <row r="575" spans="1:5" x14ac:dyDescent="0.25">
      <c r="A575" s="41" t="s">
        <v>8157</v>
      </c>
      <c r="B575" s="41" t="s">
        <v>7471</v>
      </c>
      <c r="C575" s="41" t="s">
        <v>1351</v>
      </c>
      <c r="D575" s="41" t="s">
        <v>8193</v>
      </c>
      <c r="E575" s="41">
        <v>55100</v>
      </c>
    </row>
    <row r="576" spans="1:5" x14ac:dyDescent="0.25">
      <c r="A576" s="41" t="s">
        <v>8157</v>
      </c>
      <c r="B576" s="41" t="s">
        <v>1298</v>
      </c>
      <c r="C576" s="41" t="s">
        <v>1351</v>
      </c>
      <c r="D576" s="41" t="s">
        <v>8194</v>
      </c>
      <c r="E576" s="41">
        <v>64830</v>
      </c>
    </row>
    <row r="577" spans="1:5" x14ac:dyDescent="0.25">
      <c r="A577" s="41" t="s">
        <v>8157</v>
      </c>
      <c r="B577" s="41" t="s">
        <v>1298</v>
      </c>
      <c r="C577" s="41" t="s">
        <v>1351</v>
      </c>
      <c r="D577" s="41" t="s">
        <v>8195</v>
      </c>
      <c r="E577" s="41">
        <v>62880</v>
      </c>
    </row>
    <row r="578" spans="1:5" x14ac:dyDescent="0.25">
      <c r="A578" s="41" t="s">
        <v>8157</v>
      </c>
      <c r="B578" s="41" t="s">
        <v>1298</v>
      </c>
      <c r="C578" s="41" t="s">
        <v>1351</v>
      </c>
      <c r="D578" s="41" t="s">
        <v>8196</v>
      </c>
      <c r="E578" s="41">
        <v>60990</v>
      </c>
    </row>
    <row r="579" spans="1:5" x14ac:dyDescent="0.25">
      <c r="A579" s="41" t="s">
        <v>8157</v>
      </c>
      <c r="B579" s="41" t="s">
        <v>1298</v>
      </c>
      <c r="C579" s="41" t="s">
        <v>1351</v>
      </c>
      <c r="D579" s="41" t="s">
        <v>8197</v>
      </c>
      <c r="E579" s="41">
        <v>59160</v>
      </c>
    </row>
    <row r="580" spans="1:5" x14ac:dyDescent="0.25">
      <c r="A580" s="41" t="s">
        <v>8157</v>
      </c>
      <c r="B580" s="41" t="s">
        <v>1298</v>
      </c>
      <c r="C580" s="41" t="s">
        <v>1351</v>
      </c>
      <c r="D580" s="41" t="s">
        <v>8198</v>
      </c>
      <c r="E580" s="41">
        <v>57970</v>
      </c>
    </row>
    <row r="581" spans="1:5" x14ac:dyDescent="0.25">
      <c r="A581" s="41" t="s">
        <v>8157</v>
      </c>
      <c r="B581" s="41" t="s">
        <v>1298</v>
      </c>
      <c r="C581" s="41" t="s">
        <v>1351</v>
      </c>
      <c r="D581" s="41" t="s">
        <v>8199</v>
      </c>
      <c r="E581" s="41">
        <v>56810</v>
      </c>
    </row>
    <row r="582" spans="1:5" x14ac:dyDescent="0.25">
      <c r="A582" s="41" t="s">
        <v>8157</v>
      </c>
      <c r="B582" s="41" t="s">
        <v>1301</v>
      </c>
      <c r="C582" s="41" t="s">
        <v>1351</v>
      </c>
      <c r="D582" s="41" t="s">
        <v>8163</v>
      </c>
      <c r="E582" s="41">
        <v>66200</v>
      </c>
    </row>
    <row r="583" spans="1:5" x14ac:dyDescent="0.25">
      <c r="A583" s="41" t="s">
        <v>8157</v>
      </c>
      <c r="B583" s="41" t="s">
        <v>1301</v>
      </c>
      <c r="C583" s="41" t="s">
        <v>1351</v>
      </c>
      <c r="D583" s="41" t="s">
        <v>8200</v>
      </c>
      <c r="E583" s="41">
        <v>61500</v>
      </c>
    </row>
    <row r="584" spans="1:5" x14ac:dyDescent="0.25">
      <c r="A584" s="41" t="s">
        <v>8157</v>
      </c>
      <c r="B584" s="41" t="s">
        <v>1301</v>
      </c>
      <c r="C584" s="41" t="s">
        <v>1351</v>
      </c>
      <c r="D584" s="41" t="s">
        <v>8201</v>
      </c>
      <c r="E584" s="41">
        <v>58500</v>
      </c>
    </row>
    <row r="585" spans="1:5" x14ac:dyDescent="0.25">
      <c r="A585" s="41" t="s">
        <v>8157</v>
      </c>
      <c r="B585" s="41" t="s">
        <v>1301</v>
      </c>
      <c r="C585" s="41" t="s">
        <v>1351</v>
      </c>
      <c r="D585" s="41" t="s">
        <v>8202</v>
      </c>
      <c r="E585" s="41">
        <v>54400</v>
      </c>
    </row>
    <row r="586" spans="1:5" x14ac:dyDescent="0.25">
      <c r="A586" s="41" t="s">
        <v>8157</v>
      </c>
      <c r="B586" s="41" t="s">
        <v>1301</v>
      </c>
      <c r="C586" s="41" t="s">
        <v>1351</v>
      </c>
      <c r="D586" s="41" t="s">
        <v>8203</v>
      </c>
      <c r="E586" s="41">
        <v>51600</v>
      </c>
    </row>
    <row r="587" spans="1:5" x14ac:dyDescent="0.25">
      <c r="A587" s="41" t="s">
        <v>8157</v>
      </c>
      <c r="B587" s="41" t="s">
        <v>1301</v>
      </c>
      <c r="C587" s="41" t="s">
        <v>1351</v>
      </c>
      <c r="D587" s="41" t="s">
        <v>8204</v>
      </c>
      <c r="E587" s="41">
        <v>49100</v>
      </c>
    </row>
    <row r="588" spans="1:5" x14ac:dyDescent="0.25">
      <c r="A588" s="41" t="s">
        <v>8157</v>
      </c>
      <c r="B588" s="41" t="s">
        <v>1301</v>
      </c>
      <c r="C588" s="41" t="s">
        <v>1351</v>
      </c>
      <c r="D588" s="41" t="s">
        <v>8205</v>
      </c>
      <c r="E588" s="41">
        <v>46600</v>
      </c>
    </row>
    <row r="589" spans="1:5" x14ac:dyDescent="0.25">
      <c r="A589" s="41" t="s">
        <v>8157</v>
      </c>
      <c r="B589" s="41" t="s">
        <v>1303</v>
      </c>
      <c r="C589" s="41" t="s">
        <v>1351</v>
      </c>
      <c r="D589" s="41" t="s">
        <v>8206</v>
      </c>
      <c r="E589" s="41">
        <v>58600</v>
      </c>
    </row>
    <row r="590" spans="1:5" x14ac:dyDescent="0.25">
      <c r="A590" s="41" t="s">
        <v>8157</v>
      </c>
      <c r="B590" s="41" t="s">
        <v>1303</v>
      </c>
      <c r="C590" s="41" t="s">
        <v>1351</v>
      </c>
      <c r="D590" s="41" t="s">
        <v>8207</v>
      </c>
      <c r="E590" s="41">
        <v>56800</v>
      </c>
    </row>
    <row r="591" spans="1:5" x14ac:dyDescent="0.25">
      <c r="A591" s="41" t="s">
        <v>8157</v>
      </c>
      <c r="B591" s="41" t="s">
        <v>1303</v>
      </c>
      <c r="C591" s="41" t="s">
        <v>1351</v>
      </c>
      <c r="D591" s="41" t="s">
        <v>8208</v>
      </c>
      <c r="E591" s="41">
        <v>52900</v>
      </c>
    </row>
    <row r="592" spans="1:5" x14ac:dyDescent="0.25">
      <c r="A592" s="41" t="s">
        <v>8157</v>
      </c>
      <c r="B592" s="41" t="s">
        <v>1303</v>
      </c>
      <c r="C592" s="41" t="s">
        <v>1351</v>
      </c>
      <c r="D592" s="41" t="s">
        <v>8209</v>
      </c>
      <c r="E592" s="41">
        <v>51300</v>
      </c>
    </row>
    <row r="593" spans="1:5" x14ac:dyDescent="0.25">
      <c r="A593" s="41" t="s">
        <v>8157</v>
      </c>
      <c r="B593" s="41" t="s">
        <v>1303</v>
      </c>
      <c r="C593" s="41" t="s">
        <v>1351</v>
      </c>
      <c r="D593" s="41" t="s">
        <v>8210</v>
      </c>
      <c r="E593" s="41">
        <v>47200</v>
      </c>
    </row>
    <row r="594" spans="1:5" x14ac:dyDescent="0.25">
      <c r="A594" s="41" t="s">
        <v>8157</v>
      </c>
      <c r="B594" s="41" t="s">
        <v>1303</v>
      </c>
      <c r="C594" s="41" t="s">
        <v>1351</v>
      </c>
      <c r="D594" s="41" t="s">
        <v>8211</v>
      </c>
      <c r="E594" s="41">
        <v>45800</v>
      </c>
    </row>
    <row r="595" spans="1:5" x14ac:dyDescent="0.25">
      <c r="A595" s="41" t="s">
        <v>8157</v>
      </c>
      <c r="B595" s="41" t="s">
        <v>1305</v>
      </c>
      <c r="C595" s="41" t="s">
        <v>1351</v>
      </c>
      <c r="D595" s="41" t="s">
        <v>8212</v>
      </c>
      <c r="E595" s="41">
        <v>63500</v>
      </c>
    </row>
    <row r="596" spans="1:5" x14ac:dyDescent="0.25">
      <c r="A596" s="41" t="s">
        <v>8157</v>
      </c>
      <c r="B596" s="41" t="s">
        <v>1305</v>
      </c>
      <c r="C596" s="41" t="s">
        <v>1351</v>
      </c>
      <c r="D596" s="41" t="s">
        <v>8213</v>
      </c>
      <c r="E596" s="41">
        <v>60300</v>
      </c>
    </row>
    <row r="597" spans="1:5" x14ac:dyDescent="0.25">
      <c r="A597" s="41" t="s">
        <v>8157</v>
      </c>
      <c r="B597" s="41" t="s">
        <v>1305</v>
      </c>
      <c r="C597" s="41" t="s">
        <v>1351</v>
      </c>
      <c r="D597" s="41" t="s">
        <v>8214</v>
      </c>
      <c r="E597" s="41">
        <v>58500</v>
      </c>
    </row>
    <row r="598" spans="1:5" x14ac:dyDescent="0.25">
      <c r="A598" s="41" t="s">
        <v>8157</v>
      </c>
      <c r="B598" s="41" t="s">
        <v>1305</v>
      </c>
      <c r="C598" s="41" t="s">
        <v>1351</v>
      </c>
      <c r="D598" s="41" t="s">
        <v>8167</v>
      </c>
      <c r="E598" s="41">
        <v>56700</v>
      </c>
    </row>
    <row r="599" spans="1:5" x14ac:dyDescent="0.25">
      <c r="A599" s="41" t="s">
        <v>8157</v>
      </c>
      <c r="B599" s="41" t="s">
        <v>1305</v>
      </c>
      <c r="C599" s="41" t="s">
        <v>1351</v>
      </c>
      <c r="D599" s="41" t="s">
        <v>8215</v>
      </c>
      <c r="E599" s="41">
        <v>51600</v>
      </c>
    </row>
    <row r="600" spans="1:5" x14ac:dyDescent="0.25">
      <c r="A600" s="41" t="s">
        <v>8157</v>
      </c>
      <c r="B600" s="41" t="s">
        <v>1305</v>
      </c>
      <c r="C600" s="41" t="s">
        <v>1351</v>
      </c>
      <c r="D600" s="41" t="s">
        <v>8216</v>
      </c>
      <c r="E600" s="41">
        <v>45500</v>
      </c>
    </row>
    <row r="601" spans="1:5" x14ac:dyDescent="0.25">
      <c r="A601" s="41" t="s">
        <v>8157</v>
      </c>
      <c r="B601" s="41" t="s">
        <v>1305</v>
      </c>
      <c r="C601" s="41" t="s">
        <v>1351</v>
      </c>
      <c r="D601" s="41" t="s">
        <v>8217</v>
      </c>
      <c r="E601" s="41">
        <v>40000</v>
      </c>
    </row>
    <row r="602" spans="1:5" x14ac:dyDescent="0.25">
      <c r="A602" s="41" t="s">
        <v>8157</v>
      </c>
      <c r="B602" s="41" t="s">
        <v>1307</v>
      </c>
      <c r="C602" s="41" t="s">
        <v>1351</v>
      </c>
      <c r="D602" s="41" t="s">
        <v>8177</v>
      </c>
      <c r="E602" s="41">
        <v>48300</v>
      </c>
    </row>
    <row r="603" spans="1:5" x14ac:dyDescent="0.25">
      <c r="A603" s="41" t="s">
        <v>8157</v>
      </c>
      <c r="B603" s="41" t="s">
        <v>1307</v>
      </c>
      <c r="C603" s="41" t="s">
        <v>1351</v>
      </c>
      <c r="D603" s="41" t="s">
        <v>8178</v>
      </c>
      <c r="E603" s="41">
        <v>46900</v>
      </c>
    </row>
    <row r="604" spans="1:5" x14ac:dyDescent="0.25">
      <c r="A604" s="41" t="s">
        <v>8157</v>
      </c>
      <c r="B604" s="41" t="s">
        <v>1307</v>
      </c>
      <c r="C604" s="41" t="s">
        <v>1351</v>
      </c>
      <c r="D604" s="41" t="s">
        <v>8218</v>
      </c>
      <c r="E604" s="41">
        <v>44500</v>
      </c>
    </row>
    <row r="605" spans="1:5" x14ac:dyDescent="0.25">
      <c r="A605" s="41" t="s">
        <v>8157</v>
      </c>
      <c r="B605" s="41" t="s">
        <v>1307</v>
      </c>
      <c r="C605" s="41" t="s">
        <v>1351</v>
      </c>
      <c r="D605" s="41" t="s">
        <v>8219</v>
      </c>
      <c r="E605" s="41">
        <v>43200</v>
      </c>
    </row>
    <row r="606" spans="1:5" x14ac:dyDescent="0.25">
      <c r="A606" s="41" t="s">
        <v>8157</v>
      </c>
      <c r="B606" s="41" t="s">
        <v>1307</v>
      </c>
      <c r="C606" s="41" t="s">
        <v>1351</v>
      </c>
      <c r="D606" s="41" t="s">
        <v>8220</v>
      </c>
      <c r="E606" s="41">
        <v>41000</v>
      </c>
    </row>
    <row r="607" spans="1:5" x14ac:dyDescent="0.25">
      <c r="A607" s="41" t="s">
        <v>8157</v>
      </c>
      <c r="B607" s="41" t="s">
        <v>1307</v>
      </c>
      <c r="C607" s="41" t="s">
        <v>1351</v>
      </c>
      <c r="D607" s="41" t="s">
        <v>8221</v>
      </c>
      <c r="E607" s="41">
        <v>39800</v>
      </c>
    </row>
    <row r="608" spans="1:5" x14ac:dyDescent="0.25">
      <c r="A608" s="41" t="s">
        <v>8157</v>
      </c>
      <c r="B608" s="41" t="s">
        <v>1307</v>
      </c>
      <c r="C608" s="41" t="s">
        <v>1351</v>
      </c>
      <c r="D608" s="41" t="s">
        <v>8222</v>
      </c>
      <c r="E608" s="41">
        <v>38600</v>
      </c>
    </row>
    <row r="609" spans="1:5" x14ac:dyDescent="0.25">
      <c r="A609" s="41" t="s">
        <v>8157</v>
      </c>
      <c r="B609" s="41" t="s">
        <v>7533</v>
      </c>
      <c r="C609" s="41" t="s">
        <v>1351</v>
      </c>
      <c r="D609" s="41" t="s">
        <v>8223</v>
      </c>
      <c r="E609" s="41">
        <v>28100</v>
      </c>
    </row>
    <row r="610" spans="1:5" x14ac:dyDescent="0.25">
      <c r="A610" s="41" t="s">
        <v>8157</v>
      </c>
      <c r="B610" s="41" t="s">
        <v>7533</v>
      </c>
      <c r="C610" s="41" t="s">
        <v>1351</v>
      </c>
      <c r="D610" s="41" t="s">
        <v>8224</v>
      </c>
      <c r="E610" s="41">
        <v>26700</v>
      </c>
    </row>
    <row r="611" spans="1:5" x14ac:dyDescent="0.25">
      <c r="A611" s="41" t="s">
        <v>8157</v>
      </c>
      <c r="B611" s="41" t="s">
        <v>7533</v>
      </c>
      <c r="C611" s="41" t="s">
        <v>1351</v>
      </c>
      <c r="D611" s="41" t="s">
        <v>8225</v>
      </c>
      <c r="E611" s="41">
        <v>27250</v>
      </c>
    </row>
    <row r="612" spans="1:5" x14ac:dyDescent="0.25">
      <c r="A612" s="41" t="s">
        <v>8157</v>
      </c>
      <c r="B612" s="41" t="s">
        <v>7533</v>
      </c>
      <c r="C612" s="41" t="s">
        <v>1351</v>
      </c>
      <c r="D612" s="41" t="s">
        <v>8226</v>
      </c>
      <c r="E612" s="41">
        <v>26625</v>
      </c>
    </row>
    <row r="613" spans="1:5" x14ac:dyDescent="0.25">
      <c r="A613" s="41" t="s">
        <v>8157</v>
      </c>
      <c r="B613" s="41" t="s">
        <v>7533</v>
      </c>
      <c r="C613" s="41" t="s">
        <v>1351</v>
      </c>
      <c r="D613" s="41" t="s">
        <v>8215</v>
      </c>
      <c r="E613" s="41">
        <v>26500</v>
      </c>
    </row>
    <row r="614" spans="1:5" x14ac:dyDescent="0.25">
      <c r="A614" s="41" t="s">
        <v>8157</v>
      </c>
      <c r="B614" s="41" t="s">
        <v>7533</v>
      </c>
      <c r="C614" s="41" t="s">
        <v>1351</v>
      </c>
      <c r="D614" s="41" t="s">
        <v>8227</v>
      </c>
      <c r="E614" s="41">
        <v>26000</v>
      </c>
    </row>
    <row r="615" spans="1:5" x14ac:dyDescent="0.25">
      <c r="A615" s="41" t="s">
        <v>8157</v>
      </c>
      <c r="B615" s="41" t="s">
        <v>1309</v>
      </c>
      <c r="C615" s="41" t="s">
        <v>1351</v>
      </c>
      <c r="D615" s="41" t="s">
        <v>8228</v>
      </c>
      <c r="E615" s="41">
        <v>57070</v>
      </c>
    </row>
    <row r="616" spans="1:5" x14ac:dyDescent="0.25">
      <c r="A616" s="41" t="s">
        <v>8157</v>
      </c>
      <c r="B616" s="41" t="s">
        <v>1309</v>
      </c>
      <c r="C616" s="41" t="s">
        <v>1351</v>
      </c>
      <c r="D616" s="41" t="s">
        <v>8203</v>
      </c>
      <c r="E616" s="41">
        <v>56510</v>
      </c>
    </row>
    <row r="617" spans="1:5" x14ac:dyDescent="0.25">
      <c r="A617" s="41" t="s">
        <v>8157</v>
      </c>
      <c r="B617" s="41" t="s">
        <v>1309</v>
      </c>
      <c r="C617" s="41" t="s">
        <v>1351</v>
      </c>
      <c r="D617" s="41" t="s">
        <v>8229</v>
      </c>
      <c r="E617" s="41">
        <v>51530</v>
      </c>
    </row>
    <row r="618" spans="1:5" x14ac:dyDescent="0.25">
      <c r="A618" s="41" t="s">
        <v>8157</v>
      </c>
      <c r="B618" s="41" t="s">
        <v>1309</v>
      </c>
      <c r="C618" s="41" t="s">
        <v>1351</v>
      </c>
      <c r="D618" s="41" t="s">
        <v>8210</v>
      </c>
      <c r="E618" s="41">
        <v>42900</v>
      </c>
    </row>
    <row r="619" spans="1:5" x14ac:dyDescent="0.25">
      <c r="A619" s="41" t="s">
        <v>8157</v>
      </c>
      <c r="B619" s="41" t="s">
        <v>1309</v>
      </c>
      <c r="C619" s="41" t="s">
        <v>1351</v>
      </c>
      <c r="D619" s="41" t="s">
        <v>8230</v>
      </c>
      <c r="E619" s="41">
        <v>40790</v>
      </c>
    </row>
    <row r="620" spans="1:5" x14ac:dyDescent="0.25">
      <c r="A620" s="41" t="s">
        <v>8157</v>
      </c>
      <c r="B620" s="41" t="s">
        <v>1309</v>
      </c>
      <c r="C620" s="41" t="s">
        <v>1351</v>
      </c>
      <c r="D620" s="41" t="s">
        <v>8231</v>
      </c>
      <c r="E620" s="41">
        <v>40390</v>
      </c>
    </row>
    <row r="621" spans="1:5" x14ac:dyDescent="0.25">
      <c r="A621" s="41" t="s">
        <v>8157</v>
      </c>
      <c r="B621" s="41" t="s">
        <v>1309</v>
      </c>
      <c r="C621" s="41" t="s">
        <v>1351</v>
      </c>
      <c r="D621" s="41" t="s">
        <v>8232</v>
      </c>
      <c r="E621" s="41">
        <v>39260</v>
      </c>
    </row>
    <row r="622" spans="1:5" x14ac:dyDescent="0.25">
      <c r="A622" s="41" t="s">
        <v>8157</v>
      </c>
      <c r="B622" s="41" t="s">
        <v>7536</v>
      </c>
      <c r="C622" s="41" t="s">
        <v>1351</v>
      </c>
      <c r="D622" s="41" t="s">
        <v>8233</v>
      </c>
      <c r="E622" s="41">
        <v>36890</v>
      </c>
    </row>
    <row r="623" spans="1:5" x14ac:dyDescent="0.25">
      <c r="A623" s="41" t="s">
        <v>8157</v>
      </c>
      <c r="B623" s="41" t="s">
        <v>7536</v>
      </c>
      <c r="C623" s="41" t="s">
        <v>1351</v>
      </c>
      <c r="D623" s="41" t="s">
        <v>8234</v>
      </c>
      <c r="E623" s="41">
        <v>36150</v>
      </c>
    </row>
    <row r="624" spans="1:5" x14ac:dyDescent="0.25">
      <c r="A624" s="41" t="s">
        <v>8157</v>
      </c>
      <c r="B624" s="41" t="s">
        <v>7536</v>
      </c>
      <c r="C624" s="41" t="s">
        <v>1351</v>
      </c>
      <c r="D624" s="41" t="s">
        <v>8178</v>
      </c>
      <c r="E624" s="41">
        <v>35420</v>
      </c>
    </row>
    <row r="625" spans="1:5" x14ac:dyDescent="0.25">
      <c r="A625" s="41" t="s">
        <v>8157</v>
      </c>
      <c r="B625" s="41" t="s">
        <v>7536</v>
      </c>
      <c r="C625" s="41" t="s">
        <v>1351</v>
      </c>
      <c r="D625" s="41" t="s">
        <v>8179</v>
      </c>
      <c r="E625" s="41">
        <v>34720</v>
      </c>
    </row>
    <row r="626" spans="1:5" x14ac:dyDescent="0.25">
      <c r="A626" s="41" t="s">
        <v>8157</v>
      </c>
      <c r="B626" s="41" t="s">
        <v>7536</v>
      </c>
      <c r="C626" s="41" t="s">
        <v>1351</v>
      </c>
      <c r="D626" s="41" t="s">
        <v>8180</v>
      </c>
      <c r="E626" s="41">
        <v>34020</v>
      </c>
    </row>
    <row r="627" spans="1:5" x14ac:dyDescent="0.25">
      <c r="A627" s="41" t="s">
        <v>8157</v>
      </c>
      <c r="B627" s="41" t="s">
        <v>7536</v>
      </c>
      <c r="C627" s="41" t="s">
        <v>1351</v>
      </c>
      <c r="D627" s="41" t="s">
        <v>8235</v>
      </c>
      <c r="E627" s="41">
        <v>33340</v>
      </c>
    </row>
    <row r="628" spans="1:5" x14ac:dyDescent="0.25">
      <c r="A628" s="41" t="s">
        <v>8157</v>
      </c>
      <c r="B628" s="41" t="s">
        <v>7536</v>
      </c>
      <c r="C628" s="41" t="s">
        <v>1351</v>
      </c>
      <c r="D628" s="41" t="s">
        <v>8236</v>
      </c>
      <c r="E628" s="41">
        <v>32670</v>
      </c>
    </row>
    <row r="629" spans="1:5" x14ac:dyDescent="0.25">
      <c r="A629" s="41" t="s">
        <v>8157</v>
      </c>
      <c r="B629" s="41" t="s">
        <v>7536</v>
      </c>
      <c r="C629" s="41" t="s">
        <v>1351</v>
      </c>
      <c r="D629" s="41" t="s">
        <v>8237</v>
      </c>
      <c r="E629" s="41">
        <v>32020</v>
      </c>
    </row>
    <row r="630" spans="1:5" x14ac:dyDescent="0.25">
      <c r="A630" s="41" t="s">
        <v>8157</v>
      </c>
      <c r="B630" s="41" t="s">
        <v>7538</v>
      </c>
      <c r="C630" s="41" t="s">
        <v>1351</v>
      </c>
      <c r="D630" s="41" t="s">
        <v>8158</v>
      </c>
      <c r="E630" s="41">
        <v>43000</v>
      </c>
    </row>
    <row r="631" spans="1:5" x14ac:dyDescent="0.25">
      <c r="A631" s="41" t="s">
        <v>8157</v>
      </c>
      <c r="B631" s="41" t="s">
        <v>7540</v>
      </c>
      <c r="C631" s="41" t="s">
        <v>1351</v>
      </c>
      <c r="D631" s="41" t="s">
        <v>8185</v>
      </c>
      <c r="E631" s="41">
        <v>40400</v>
      </c>
    </row>
    <row r="632" spans="1:5" x14ac:dyDescent="0.25">
      <c r="A632" s="41" t="s">
        <v>8157</v>
      </c>
      <c r="B632" s="41" t="s">
        <v>7540</v>
      </c>
      <c r="C632" s="41" t="s">
        <v>1351</v>
      </c>
      <c r="D632" s="41" t="s">
        <v>8193</v>
      </c>
      <c r="E632" s="41">
        <v>39200</v>
      </c>
    </row>
    <row r="633" spans="1:5" x14ac:dyDescent="0.25">
      <c r="A633" s="41" t="s">
        <v>8157</v>
      </c>
      <c r="B633" s="41" t="s">
        <v>7542</v>
      </c>
      <c r="C633" s="41" t="s">
        <v>1351</v>
      </c>
      <c r="D633" s="41" t="s">
        <v>8238</v>
      </c>
      <c r="E633" s="41">
        <v>62400</v>
      </c>
    </row>
    <row r="634" spans="1:5" x14ac:dyDescent="0.25">
      <c r="A634" s="41" t="s">
        <v>8157</v>
      </c>
      <c r="B634" s="41" t="s">
        <v>7542</v>
      </c>
      <c r="C634" s="41" t="s">
        <v>1351</v>
      </c>
      <c r="D634" s="41" t="s">
        <v>1138</v>
      </c>
      <c r="E634" s="41">
        <v>59700</v>
      </c>
    </row>
    <row r="635" spans="1:5" x14ac:dyDescent="0.25">
      <c r="A635" s="41" t="s">
        <v>8157</v>
      </c>
      <c r="B635" s="41" t="s">
        <v>7542</v>
      </c>
      <c r="C635" s="41" t="s">
        <v>1351</v>
      </c>
      <c r="D635" s="41" t="s">
        <v>821</v>
      </c>
      <c r="E635" s="41">
        <v>58400</v>
      </c>
    </row>
    <row r="636" spans="1:5" x14ac:dyDescent="0.25">
      <c r="A636" s="41" t="s">
        <v>8157</v>
      </c>
      <c r="B636" s="41" t="s">
        <v>7542</v>
      </c>
      <c r="C636" s="41" t="s">
        <v>1351</v>
      </c>
      <c r="D636" s="41" t="s">
        <v>8239</v>
      </c>
      <c r="E636" s="41">
        <v>50200</v>
      </c>
    </row>
    <row r="637" spans="1:5" x14ac:dyDescent="0.25">
      <c r="A637" s="41" t="s">
        <v>8157</v>
      </c>
      <c r="B637" s="41" t="s">
        <v>7542</v>
      </c>
      <c r="C637" s="41" t="s">
        <v>1351</v>
      </c>
      <c r="D637" s="41" t="s">
        <v>8240</v>
      </c>
      <c r="E637" s="41">
        <v>36000</v>
      </c>
    </row>
    <row r="638" spans="1:5" x14ac:dyDescent="0.25">
      <c r="A638" s="41" t="s">
        <v>8157</v>
      </c>
      <c r="B638" s="41" t="s">
        <v>7542</v>
      </c>
      <c r="C638" s="41" t="s">
        <v>1351</v>
      </c>
      <c r="D638" s="41" t="s">
        <v>8241</v>
      </c>
      <c r="E638" s="41">
        <v>42000</v>
      </c>
    </row>
    <row r="639" spans="1:5" x14ac:dyDescent="0.25">
      <c r="A639" s="41" t="s">
        <v>8157</v>
      </c>
      <c r="B639" s="41" t="s">
        <v>7544</v>
      </c>
      <c r="C639" s="41" t="s">
        <v>1351</v>
      </c>
      <c r="D639" s="41" t="s">
        <v>8242</v>
      </c>
      <c r="E639" s="41">
        <v>29510</v>
      </c>
    </row>
    <row r="640" spans="1:5" x14ac:dyDescent="0.25">
      <c r="A640" s="41" t="s">
        <v>8157</v>
      </c>
      <c r="B640" s="41" t="s">
        <v>7544</v>
      </c>
      <c r="C640" s="41" t="s">
        <v>1351</v>
      </c>
      <c r="D640" s="41" t="s">
        <v>8243</v>
      </c>
      <c r="E640" s="41">
        <v>29160</v>
      </c>
    </row>
    <row r="641" spans="1:5" x14ac:dyDescent="0.25">
      <c r="A641" s="41" t="s">
        <v>8157</v>
      </c>
      <c r="B641" s="41" t="s">
        <v>1311</v>
      </c>
      <c r="C641" s="41" t="s">
        <v>1351</v>
      </c>
      <c r="D641" s="41" t="s">
        <v>8244</v>
      </c>
      <c r="E641" s="41">
        <v>49280</v>
      </c>
    </row>
    <row r="642" spans="1:5" x14ac:dyDescent="0.25">
      <c r="A642" s="41" t="s">
        <v>8157</v>
      </c>
      <c r="B642" s="41" t="s">
        <v>1311</v>
      </c>
      <c r="C642" s="41" t="s">
        <v>1351</v>
      </c>
      <c r="D642" s="41" t="s">
        <v>8245</v>
      </c>
      <c r="E642" s="41">
        <v>44800</v>
      </c>
    </row>
    <row r="643" spans="1:5" x14ac:dyDescent="0.25">
      <c r="A643" s="41" t="s">
        <v>8157</v>
      </c>
      <c r="B643" s="41" t="s">
        <v>1313</v>
      </c>
      <c r="C643" s="41" t="s">
        <v>1351</v>
      </c>
      <c r="D643" s="41" t="s">
        <v>8246</v>
      </c>
      <c r="E643" s="41">
        <v>54700</v>
      </c>
    </row>
    <row r="644" spans="1:5" x14ac:dyDescent="0.25">
      <c r="A644" s="41" t="s">
        <v>8157</v>
      </c>
      <c r="B644" s="41" t="s">
        <v>1313</v>
      </c>
      <c r="C644" s="41" t="s">
        <v>1351</v>
      </c>
      <c r="D644" s="41" t="s">
        <v>8247</v>
      </c>
      <c r="E644" s="41">
        <v>53100</v>
      </c>
    </row>
    <row r="645" spans="1:5" x14ac:dyDescent="0.25">
      <c r="A645" s="41" t="s">
        <v>8157</v>
      </c>
      <c r="B645" s="41" t="s">
        <v>1313</v>
      </c>
      <c r="C645" s="41" t="s">
        <v>1351</v>
      </c>
      <c r="D645" s="41" t="s">
        <v>8248</v>
      </c>
      <c r="E645" s="41">
        <v>50400</v>
      </c>
    </row>
    <row r="646" spans="1:5" x14ac:dyDescent="0.25">
      <c r="A646" s="41" t="s">
        <v>8157</v>
      </c>
      <c r="B646" s="41" t="s">
        <v>1313</v>
      </c>
      <c r="C646" s="41" t="s">
        <v>1351</v>
      </c>
      <c r="D646" s="41" t="s">
        <v>8249</v>
      </c>
      <c r="E646" s="41">
        <v>48900</v>
      </c>
    </row>
    <row r="647" spans="1:5" x14ac:dyDescent="0.25">
      <c r="A647" s="41" t="s">
        <v>8157</v>
      </c>
      <c r="B647" s="41" t="s">
        <v>1313</v>
      </c>
      <c r="C647" s="41" t="s">
        <v>1351</v>
      </c>
      <c r="D647" s="41" t="s">
        <v>8250</v>
      </c>
      <c r="E647" s="41">
        <v>45500</v>
      </c>
    </row>
    <row r="648" spans="1:5" x14ac:dyDescent="0.25">
      <c r="A648" s="41" t="s">
        <v>8157</v>
      </c>
      <c r="B648" s="41" t="s">
        <v>1313</v>
      </c>
      <c r="C648" s="41" t="s">
        <v>1351</v>
      </c>
      <c r="D648" s="41" t="s">
        <v>8251</v>
      </c>
      <c r="E648" s="41">
        <v>44100</v>
      </c>
    </row>
    <row r="649" spans="1:5" x14ac:dyDescent="0.25">
      <c r="A649" s="41" t="s">
        <v>8157</v>
      </c>
      <c r="B649" s="41" t="s">
        <v>7468</v>
      </c>
      <c r="C649" s="41" t="s">
        <v>1351</v>
      </c>
      <c r="D649" s="41" t="s">
        <v>8158</v>
      </c>
      <c r="E649" s="41">
        <v>47115</v>
      </c>
    </row>
    <row r="650" spans="1:5" x14ac:dyDescent="0.25">
      <c r="A650" s="41" t="s">
        <v>8157</v>
      </c>
      <c r="B650" s="41" t="s">
        <v>7467</v>
      </c>
      <c r="C650" s="41" t="s">
        <v>1351</v>
      </c>
      <c r="D650" s="41" t="s">
        <v>8172</v>
      </c>
      <c r="E650" s="41">
        <v>67000</v>
      </c>
    </row>
    <row r="651" spans="1:5" x14ac:dyDescent="0.25">
      <c r="A651" s="41" t="s">
        <v>8157</v>
      </c>
      <c r="B651" s="41" t="s">
        <v>7467</v>
      </c>
      <c r="C651" s="41" t="s">
        <v>1351</v>
      </c>
      <c r="D651" s="41" t="s">
        <v>8173</v>
      </c>
      <c r="E651" s="41">
        <v>62300</v>
      </c>
    </row>
    <row r="652" spans="1:5" x14ac:dyDescent="0.25">
      <c r="A652" s="41" t="s">
        <v>8157</v>
      </c>
      <c r="B652" s="41" t="s">
        <v>7467</v>
      </c>
      <c r="C652" s="41" t="s">
        <v>1351</v>
      </c>
      <c r="D652" s="41" t="s">
        <v>8252</v>
      </c>
      <c r="E652" s="41">
        <v>59200</v>
      </c>
    </row>
    <row r="653" spans="1:5" x14ac:dyDescent="0.25">
      <c r="A653" s="41" t="s">
        <v>8157</v>
      </c>
      <c r="B653" s="41" t="s">
        <v>7467</v>
      </c>
      <c r="C653" s="41" t="s">
        <v>1351</v>
      </c>
      <c r="D653" s="41" t="s">
        <v>8243</v>
      </c>
      <c r="E653" s="41">
        <v>56300</v>
      </c>
    </row>
    <row r="654" spans="1:5" x14ac:dyDescent="0.25">
      <c r="A654" s="41" t="s">
        <v>8157</v>
      </c>
      <c r="B654" s="41" t="s">
        <v>7548</v>
      </c>
      <c r="C654" s="41" t="s">
        <v>1351</v>
      </c>
      <c r="D654" s="41" t="s">
        <v>8158</v>
      </c>
      <c r="E654" s="41">
        <v>10875</v>
      </c>
    </row>
    <row r="655" spans="1:5" x14ac:dyDescent="0.25">
      <c r="A655" s="41" t="s">
        <v>8157</v>
      </c>
      <c r="B655" s="41" t="s">
        <v>7550</v>
      </c>
      <c r="C655" s="41" t="s">
        <v>1351</v>
      </c>
      <c r="D655" s="41" t="s">
        <v>8158</v>
      </c>
      <c r="E655" s="41">
        <v>49795</v>
      </c>
    </row>
    <row r="656" spans="1:5" x14ac:dyDescent="0.25">
      <c r="A656" s="41" t="s">
        <v>8157</v>
      </c>
      <c r="B656" s="41" t="s">
        <v>1315</v>
      </c>
      <c r="C656" s="41" t="s">
        <v>1351</v>
      </c>
      <c r="D656" s="41" t="s">
        <v>8253</v>
      </c>
      <c r="E656" s="41">
        <v>48600</v>
      </c>
    </row>
    <row r="657" spans="1:5" x14ac:dyDescent="0.25">
      <c r="A657" s="41" t="s">
        <v>8157</v>
      </c>
      <c r="B657" s="41" t="s">
        <v>1315</v>
      </c>
      <c r="C657" s="41" t="s">
        <v>1351</v>
      </c>
      <c r="D657" s="41" t="s">
        <v>8254</v>
      </c>
      <c r="E657" s="41">
        <v>46100</v>
      </c>
    </row>
    <row r="658" spans="1:5" x14ac:dyDescent="0.25">
      <c r="A658" s="41" t="s">
        <v>8157</v>
      </c>
      <c r="B658" s="41" t="s">
        <v>1315</v>
      </c>
      <c r="C658" s="41" t="s">
        <v>1351</v>
      </c>
      <c r="D658" s="41" t="s">
        <v>8255</v>
      </c>
      <c r="E658" s="41">
        <v>43600</v>
      </c>
    </row>
    <row r="659" spans="1:5" x14ac:dyDescent="0.25">
      <c r="A659" s="41" t="s">
        <v>8157</v>
      </c>
      <c r="B659" s="41" t="s">
        <v>1315</v>
      </c>
      <c r="C659" s="41" t="s">
        <v>1351</v>
      </c>
      <c r="D659" s="41" t="s">
        <v>8256</v>
      </c>
      <c r="E659" s="41">
        <v>42350</v>
      </c>
    </row>
    <row r="660" spans="1:5" x14ac:dyDescent="0.25">
      <c r="A660" s="41" t="s">
        <v>8157</v>
      </c>
      <c r="B660" s="41" t="s">
        <v>1315</v>
      </c>
      <c r="C660" s="41" t="s">
        <v>1351</v>
      </c>
      <c r="D660" s="41" t="s">
        <v>8257</v>
      </c>
      <c r="E660" s="41">
        <v>41640</v>
      </c>
    </row>
    <row r="661" spans="1:5" x14ac:dyDescent="0.25">
      <c r="A661" s="41" t="s">
        <v>8157</v>
      </c>
      <c r="B661" s="41" t="s">
        <v>1315</v>
      </c>
      <c r="C661" s="41" t="s">
        <v>1351</v>
      </c>
      <c r="D661" s="41" t="s">
        <v>8258</v>
      </c>
      <c r="E661" s="41">
        <v>41125</v>
      </c>
    </row>
    <row r="662" spans="1:5" x14ac:dyDescent="0.25">
      <c r="A662" s="41" t="s">
        <v>8157</v>
      </c>
      <c r="B662" s="41" t="s">
        <v>1317</v>
      </c>
      <c r="C662" s="41" t="s">
        <v>1351</v>
      </c>
      <c r="D662" s="41" t="s">
        <v>8233</v>
      </c>
      <c r="E662" s="41">
        <v>59200</v>
      </c>
    </row>
    <row r="663" spans="1:5" x14ac:dyDescent="0.25">
      <c r="A663" s="41" t="s">
        <v>8157</v>
      </c>
      <c r="B663" s="41" t="s">
        <v>1317</v>
      </c>
      <c r="C663" s="41" t="s">
        <v>1351</v>
      </c>
      <c r="D663" s="41" t="s">
        <v>8259</v>
      </c>
      <c r="E663" s="41">
        <v>47700</v>
      </c>
    </row>
    <row r="664" spans="1:5" x14ac:dyDescent="0.25">
      <c r="A664" s="41" t="s">
        <v>8157</v>
      </c>
      <c r="B664" s="41" t="s">
        <v>1317</v>
      </c>
      <c r="C664" s="41" t="s">
        <v>1351</v>
      </c>
      <c r="D664" s="41" t="s">
        <v>8260</v>
      </c>
      <c r="E664" s="41">
        <v>36200</v>
      </c>
    </row>
    <row r="665" spans="1:5" x14ac:dyDescent="0.25">
      <c r="A665" s="41" t="s">
        <v>8157</v>
      </c>
      <c r="B665" s="41" t="s">
        <v>1319</v>
      </c>
      <c r="C665" s="41" t="s">
        <v>1351</v>
      </c>
      <c r="D665" s="41" t="s">
        <v>8261</v>
      </c>
      <c r="E665" s="41">
        <v>60100</v>
      </c>
    </row>
    <row r="666" spans="1:5" x14ac:dyDescent="0.25">
      <c r="A666" s="41" t="s">
        <v>8157</v>
      </c>
      <c r="B666" s="41" t="s">
        <v>1319</v>
      </c>
      <c r="C666" s="41" t="s">
        <v>1351</v>
      </c>
      <c r="D666" s="41" t="s">
        <v>8166</v>
      </c>
      <c r="E666" s="41">
        <v>55700</v>
      </c>
    </row>
    <row r="667" spans="1:5" x14ac:dyDescent="0.25">
      <c r="A667" s="41" t="s">
        <v>8157</v>
      </c>
      <c r="B667" s="41" t="s">
        <v>1319</v>
      </c>
      <c r="C667" s="41" t="s">
        <v>1351</v>
      </c>
      <c r="D667" s="41" t="s">
        <v>8237</v>
      </c>
      <c r="E667" s="41">
        <v>54000</v>
      </c>
    </row>
    <row r="668" spans="1:5" x14ac:dyDescent="0.25">
      <c r="A668" s="41" t="s">
        <v>8157</v>
      </c>
      <c r="B668" s="41" t="s">
        <v>1321</v>
      </c>
      <c r="C668" s="41" t="s">
        <v>1351</v>
      </c>
      <c r="D668" s="41" t="s">
        <v>8262</v>
      </c>
      <c r="E668" s="41">
        <v>50930</v>
      </c>
    </row>
    <row r="669" spans="1:5" x14ac:dyDescent="0.25">
      <c r="A669" s="41" t="s">
        <v>8157</v>
      </c>
      <c r="B669" s="41" t="s">
        <v>1321</v>
      </c>
      <c r="C669" s="41" t="s">
        <v>1351</v>
      </c>
      <c r="D669" s="41" t="s">
        <v>8263</v>
      </c>
      <c r="E669" s="41">
        <v>49720</v>
      </c>
    </row>
    <row r="670" spans="1:5" x14ac:dyDescent="0.25">
      <c r="A670" s="41" t="s">
        <v>8157</v>
      </c>
      <c r="B670" s="41" t="s">
        <v>1321</v>
      </c>
      <c r="C670" s="41" t="s">
        <v>1351</v>
      </c>
      <c r="D670" s="41" t="s">
        <v>8264</v>
      </c>
      <c r="E670" s="41">
        <v>48730</v>
      </c>
    </row>
    <row r="671" spans="1:5" x14ac:dyDescent="0.25">
      <c r="A671" s="41" t="s">
        <v>8157</v>
      </c>
      <c r="B671" s="41" t="s">
        <v>7554</v>
      </c>
      <c r="C671" s="41" t="s">
        <v>1351</v>
      </c>
      <c r="D671" s="41" t="s">
        <v>8233</v>
      </c>
      <c r="E671" s="41">
        <v>50600</v>
      </c>
    </row>
    <row r="672" spans="1:5" x14ac:dyDescent="0.25">
      <c r="A672" s="41" t="s">
        <v>8157</v>
      </c>
      <c r="B672" s="41" t="s">
        <v>7554</v>
      </c>
      <c r="C672" s="41" t="s">
        <v>1351</v>
      </c>
      <c r="D672" s="41" t="s">
        <v>8265</v>
      </c>
      <c r="E672" s="41">
        <v>44990</v>
      </c>
    </row>
    <row r="673" spans="1:5" x14ac:dyDescent="0.25">
      <c r="A673" s="41" t="s">
        <v>8157</v>
      </c>
      <c r="B673" s="41" t="s">
        <v>7554</v>
      </c>
      <c r="C673" s="41" t="s">
        <v>1351</v>
      </c>
      <c r="D673" s="41" t="s">
        <v>8190</v>
      </c>
      <c r="E673" s="41">
        <v>34430</v>
      </c>
    </row>
    <row r="674" spans="1:5" x14ac:dyDescent="0.25">
      <c r="A674" s="41" t="s">
        <v>8157</v>
      </c>
      <c r="B674" s="41" t="s">
        <v>7556</v>
      </c>
      <c r="C674" s="41" t="s">
        <v>1351</v>
      </c>
      <c r="D674" s="41" t="s">
        <v>8158</v>
      </c>
      <c r="E674" s="41">
        <v>43100</v>
      </c>
    </row>
    <row r="675" spans="1:5" x14ac:dyDescent="0.25">
      <c r="A675" s="41" t="s">
        <v>8157</v>
      </c>
      <c r="B675" s="41" t="s">
        <v>7558</v>
      </c>
      <c r="C675" s="41" t="s">
        <v>1351</v>
      </c>
      <c r="D675" s="41" t="s">
        <v>8233</v>
      </c>
      <c r="E675" s="41">
        <v>49910</v>
      </c>
    </row>
    <row r="676" spans="1:5" x14ac:dyDescent="0.25">
      <c r="A676" s="41" t="s">
        <v>8157</v>
      </c>
      <c r="B676" s="41" t="s">
        <v>7558</v>
      </c>
      <c r="C676" s="41" t="s">
        <v>1351</v>
      </c>
      <c r="D676" s="41" t="s">
        <v>8161</v>
      </c>
      <c r="E676" s="41">
        <v>46420</v>
      </c>
    </row>
    <row r="677" spans="1:5" x14ac:dyDescent="0.25">
      <c r="A677" s="41" t="s">
        <v>8157</v>
      </c>
      <c r="B677" s="41" t="s">
        <v>7558</v>
      </c>
      <c r="C677" s="41" t="s">
        <v>1351</v>
      </c>
      <c r="D677" s="41" t="s">
        <v>8165</v>
      </c>
      <c r="E677" s="41">
        <v>43170</v>
      </c>
    </row>
    <row r="678" spans="1:5" x14ac:dyDescent="0.25">
      <c r="A678" s="41" t="s">
        <v>8157</v>
      </c>
      <c r="B678" s="41" t="s">
        <v>7558</v>
      </c>
      <c r="C678" s="41" t="s">
        <v>1351</v>
      </c>
      <c r="D678" s="41" t="s">
        <v>8266</v>
      </c>
      <c r="E678" s="41">
        <v>40150</v>
      </c>
    </row>
    <row r="679" spans="1:5" x14ac:dyDescent="0.25">
      <c r="A679" s="41" t="s">
        <v>8157</v>
      </c>
      <c r="B679" s="41" t="s">
        <v>7560</v>
      </c>
      <c r="C679" s="41" t="s">
        <v>1351</v>
      </c>
      <c r="D679" s="41" t="s">
        <v>8244</v>
      </c>
      <c r="E679" s="41">
        <v>47100</v>
      </c>
    </row>
    <row r="680" spans="1:5" x14ac:dyDescent="0.25">
      <c r="A680" s="41" t="s">
        <v>8157</v>
      </c>
      <c r="B680" s="41" t="s">
        <v>7560</v>
      </c>
      <c r="C680" s="41" t="s">
        <v>1351</v>
      </c>
      <c r="D680" s="41" t="s">
        <v>8267</v>
      </c>
      <c r="E680" s="41">
        <v>43400</v>
      </c>
    </row>
    <row r="681" spans="1:5" x14ac:dyDescent="0.25">
      <c r="A681" s="41" t="s">
        <v>8157</v>
      </c>
      <c r="B681" s="41" t="s">
        <v>7560</v>
      </c>
      <c r="C681" s="41" t="s">
        <v>1351</v>
      </c>
      <c r="D681" s="41" t="s">
        <v>8266</v>
      </c>
      <c r="E681" s="41">
        <v>39700</v>
      </c>
    </row>
    <row r="682" spans="1:5" x14ac:dyDescent="0.25">
      <c r="A682" s="41" t="s">
        <v>8157</v>
      </c>
      <c r="B682" s="41" t="s">
        <v>7562</v>
      </c>
      <c r="C682" s="41" t="s">
        <v>1351</v>
      </c>
      <c r="D682" s="41" t="s">
        <v>8158</v>
      </c>
      <c r="E682" s="41">
        <v>31570</v>
      </c>
    </row>
    <row r="683" spans="1:5" x14ac:dyDescent="0.25">
      <c r="A683" s="41" t="s">
        <v>8157</v>
      </c>
      <c r="B683" s="41" t="s">
        <v>7564</v>
      </c>
      <c r="C683" s="41" t="s">
        <v>1351</v>
      </c>
      <c r="D683" s="41" t="s">
        <v>8158</v>
      </c>
      <c r="E683" s="41">
        <v>32800</v>
      </c>
    </row>
    <row r="684" spans="1:5" x14ac:dyDescent="0.25">
      <c r="A684" s="41" t="s">
        <v>8157</v>
      </c>
      <c r="B684" s="41" t="s">
        <v>7566</v>
      </c>
      <c r="C684" s="41" t="s">
        <v>1351</v>
      </c>
      <c r="D684" s="41" t="s">
        <v>8233</v>
      </c>
      <c r="E684" s="41">
        <v>46000</v>
      </c>
    </row>
    <row r="685" spans="1:5" x14ac:dyDescent="0.25">
      <c r="A685" s="41" t="s">
        <v>8157</v>
      </c>
      <c r="B685" s="41" t="s">
        <v>7566</v>
      </c>
      <c r="C685" s="41" t="s">
        <v>1351</v>
      </c>
      <c r="D685" s="41" t="s">
        <v>8161</v>
      </c>
      <c r="E685" s="41">
        <v>44400</v>
      </c>
    </row>
    <row r="686" spans="1:5" x14ac:dyDescent="0.25">
      <c r="A686" s="41" t="s">
        <v>8157</v>
      </c>
      <c r="B686" s="41" t="s">
        <v>7566</v>
      </c>
      <c r="C686" s="41" t="s">
        <v>1351</v>
      </c>
      <c r="D686" s="41" t="s">
        <v>8162</v>
      </c>
      <c r="E686" s="41">
        <v>42800</v>
      </c>
    </row>
    <row r="687" spans="1:5" x14ac:dyDescent="0.25">
      <c r="A687" s="41" t="s">
        <v>8157</v>
      </c>
      <c r="B687" s="41" t="s">
        <v>7568</v>
      </c>
      <c r="C687" s="41" t="s">
        <v>1351</v>
      </c>
      <c r="D687" s="41" t="s">
        <v>8158</v>
      </c>
      <c r="E687" s="41">
        <v>18900</v>
      </c>
    </row>
    <row r="688" spans="1:5" x14ac:dyDescent="0.25">
      <c r="A688" s="41" t="s">
        <v>8157</v>
      </c>
      <c r="B688" s="41" t="s">
        <v>7570</v>
      </c>
      <c r="C688" s="41" t="s">
        <v>1351</v>
      </c>
      <c r="D688" s="41" t="s">
        <v>8158</v>
      </c>
      <c r="E688" s="41">
        <v>44400</v>
      </c>
    </row>
    <row r="689" spans="1:5" x14ac:dyDescent="0.25">
      <c r="A689" s="41" t="s">
        <v>8157</v>
      </c>
      <c r="B689" s="41" t="s">
        <v>7572</v>
      </c>
      <c r="C689" s="41" t="s">
        <v>1351</v>
      </c>
      <c r="D689" s="41" t="s">
        <v>8158</v>
      </c>
      <c r="E689" s="41">
        <v>34480</v>
      </c>
    </row>
    <row r="690" spans="1:5" x14ac:dyDescent="0.25">
      <c r="A690" s="41" t="s">
        <v>8157</v>
      </c>
      <c r="B690" s="41" t="s">
        <v>7574</v>
      </c>
      <c r="C690" s="41" t="s">
        <v>1351</v>
      </c>
      <c r="D690" s="41" t="s">
        <v>8158</v>
      </c>
      <c r="E690" s="41">
        <v>35520</v>
      </c>
    </row>
    <row r="691" spans="1:5" x14ac:dyDescent="0.25">
      <c r="A691" s="41" t="s">
        <v>8157</v>
      </c>
      <c r="B691" s="41" t="s">
        <v>7576</v>
      </c>
      <c r="C691" s="41" t="s">
        <v>1351</v>
      </c>
      <c r="D691" s="41" t="s">
        <v>8158</v>
      </c>
      <c r="E691" s="41">
        <v>34480</v>
      </c>
    </row>
    <row r="692" spans="1:5" x14ac:dyDescent="0.25">
      <c r="A692" s="41" t="s">
        <v>8157</v>
      </c>
      <c r="B692" s="41" t="s">
        <v>7578</v>
      </c>
      <c r="C692" s="41" t="s">
        <v>1351</v>
      </c>
      <c r="D692" s="41" t="s">
        <v>8158</v>
      </c>
      <c r="E692" s="41">
        <v>9700</v>
      </c>
    </row>
    <row r="693" spans="1:5" x14ac:dyDescent="0.25">
      <c r="A693" s="41" t="s">
        <v>8157</v>
      </c>
      <c r="B693" s="41" t="s">
        <v>1323</v>
      </c>
      <c r="C693" s="41" t="s">
        <v>1351</v>
      </c>
      <c r="D693" s="41" t="s">
        <v>8261</v>
      </c>
      <c r="E693" s="41">
        <v>57500</v>
      </c>
    </row>
    <row r="694" spans="1:5" x14ac:dyDescent="0.25">
      <c r="A694" s="41" t="s">
        <v>8157</v>
      </c>
      <c r="B694" s="41" t="s">
        <v>1323</v>
      </c>
      <c r="C694" s="41" t="s">
        <v>1351</v>
      </c>
      <c r="D694" s="41" t="s">
        <v>8166</v>
      </c>
      <c r="E694" s="41">
        <v>54600</v>
      </c>
    </row>
    <row r="695" spans="1:5" x14ac:dyDescent="0.25">
      <c r="A695" s="41" t="s">
        <v>8157</v>
      </c>
      <c r="B695" s="41" t="s">
        <v>1323</v>
      </c>
      <c r="C695" s="41" t="s">
        <v>1351</v>
      </c>
      <c r="D695" s="41" t="s">
        <v>8268</v>
      </c>
      <c r="E695" s="41">
        <v>50800</v>
      </c>
    </row>
    <row r="696" spans="1:5" x14ac:dyDescent="0.25">
      <c r="A696" s="41" t="s">
        <v>8157</v>
      </c>
      <c r="B696" s="41" t="s">
        <v>1323</v>
      </c>
      <c r="C696" s="41" t="s">
        <v>1351</v>
      </c>
      <c r="D696" s="41" t="s">
        <v>8269</v>
      </c>
      <c r="E696" s="41">
        <v>47200</v>
      </c>
    </row>
    <row r="697" spans="1:5" x14ac:dyDescent="0.25">
      <c r="A697" s="41" t="s">
        <v>8157</v>
      </c>
      <c r="B697" s="41" t="s">
        <v>1323</v>
      </c>
      <c r="C697" s="41" t="s">
        <v>1351</v>
      </c>
      <c r="D697" s="41" t="s">
        <v>8270</v>
      </c>
      <c r="E697" s="41">
        <v>44900</v>
      </c>
    </row>
    <row r="698" spans="1:5" x14ac:dyDescent="0.25">
      <c r="A698" s="41" t="s">
        <v>8157</v>
      </c>
      <c r="B698" s="41" t="s">
        <v>1325</v>
      </c>
      <c r="C698" s="41" t="s">
        <v>1351</v>
      </c>
      <c r="D698" s="41" t="s">
        <v>8271</v>
      </c>
      <c r="E698" s="41">
        <v>73300</v>
      </c>
    </row>
    <row r="699" spans="1:5" x14ac:dyDescent="0.25">
      <c r="A699" s="41" t="s">
        <v>8157</v>
      </c>
      <c r="B699" s="41" t="s">
        <v>1325</v>
      </c>
      <c r="C699" s="41" t="s">
        <v>1351</v>
      </c>
      <c r="D699" s="41" t="s">
        <v>8272</v>
      </c>
      <c r="E699" s="41">
        <v>71100</v>
      </c>
    </row>
    <row r="700" spans="1:5" x14ac:dyDescent="0.25">
      <c r="A700" s="41" t="s">
        <v>8157</v>
      </c>
      <c r="B700" s="41" t="s">
        <v>1325</v>
      </c>
      <c r="C700" s="41" t="s">
        <v>1351</v>
      </c>
      <c r="D700" s="41" t="s">
        <v>8273</v>
      </c>
      <c r="E700" s="41">
        <v>66100</v>
      </c>
    </row>
    <row r="701" spans="1:5" x14ac:dyDescent="0.25">
      <c r="A701" s="41" t="s">
        <v>8157</v>
      </c>
      <c r="B701" s="41" t="s">
        <v>1325</v>
      </c>
      <c r="C701" s="41" t="s">
        <v>1351</v>
      </c>
      <c r="D701" s="41" t="s">
        <v>8274</v>
      </c>
      <c r="E701" s="41">
        <v>62800</v>
      </c>
    </row>
    <row r="702" spans="1:5" x14ac:dyDescent="0.25">
      <c r="A702" s="41" t="s">
        <v>8157</v>
      </c>
      <c r="B702" s="41" t="s">
        <v>1325</v>
      </c>
      <c r="C702" s="41" t="s">
        <v>1351</v>
      </c>
      <c r="D702" s="41" t="s">
        <v>8275</v>
      </c>
      <c r="E702" s="41">
        <v>59700</v>
      </c>
    </row>
    <row r="703" spans="1:5" x14ac:dyDescent="0.25">
      <c r="A703" s="41" t="s">
        <v>8157</v>
      </c>
      <c r="B703" s="41" t="s">
        <v>1325</v>
      </c>
      <c r="C703" s="41" t="s">
        <v>1351</v>
      </c>
      <c r="D703" s="41" t="s">
        <v>8276</v>
      </c>
      <c r="E703" s="41">
        <v>60900</v>
      </c>
    </row>
    <row r="704" spans="1:5" x14ac:dyDescent="0.25">
      <c r="A704" s="41" t="s">
        <v>8157</v>
      </c>
      <c r="B704" s="41" t="s">
        <v>1325</v>
      </c>
      <c r="C704" s="41" t="s">
        <v>1351</v>
      </c>
      <c r="D704" s="41" t="s">
        <v>8277</v>
      </c>
      <c r="E704" s="41">
        <v>57900</v>
      </c>
    </row>
    <row r="705" spans="1:5" x14ac:dyDescent="0.25">
      <c r="A705" s="41" t="s">
        <v>8157</v>
      </c>
      <c r="B705" s="41" t="s">
        <v>1327</v>
      </c>
      <c r="C705" s="41" t="s">
        <v>1351</v>
      </c>
      <c r="D705" s="41" t="s">
        <v>8278</v>
      </c>
      <c r="E705" s="41">
        <v>54700</v>
      </c>
    </row>
    <row r="706" spans="1:5" x14ac:dyDescent="0.25">
      <c r="A706" s="41" t="s">
        <v>8157</v>
      </c>
      <c r="B706" s="41" t="s">
        <v>1327</v>
      </c>
      <c r="C706" s="41" t="s">
        <v>1351</v>
      </c>
      <c r="D706" s="41" t="s">
        <v>8279</v>
      </c>
      <c r="E706" s="41">
        <v>52100</v>
      </c>
    </row>
    <row r="707" spans="1:5" x14ac:dyDescent="0.25">
      <c r="A707" s="41" t="s">
        <v>8157</v>
      </c>
      <c r="B707" s="41" t="s">
        <v>1327</v>
      </c>
      <c r="C707" s="41" t="s">
        <v>1351</v>
      </c>
      <c r="D707" s="41" t="s">
        <v>8280</v>
      </c>
      <c r="E707" s="41">
        <v>48700</v>
      </c>
    </row>
    <row r="708" spans="1:5" x14ac:dyDescent="0.25">
      <c r="A708" s="41" t="s">
        <v>8157</v>
      </c>
      <c r="B708" s="41" t="s">
        <v>1327</v>
      </c>
      <c r="C708" s="41" t="s">
        <v>1351</v>
      </c>
      <c r="D708" s="41" t="s">
        <v>8281</v>
      </c>
      <c r="E708" s="41">
        <v>45500</v>
      </c>
    </row>
    <row r="709" spans="1:5" x14ac:dyDescent="0.25">
      <c r="A709" s="41" t="s">
        <v>8157</v>
      </c>
      <c r="B709" s="41" t="s">
        <v>1327</v>
      </c>
      <c r="C709" s="41" t="s">
        <v>1351</v>
      </c>
      <c r="D709" s="41" t="s">
        <v>8282</v>
      </c>
      <c r="E709" s="41">
        <v>43200</v>
      </c>
    </row>
    <row r="710" spans="1:5" x14ac:dyDescent="0.25">
      <c r="A710" s="41" t="s">
        <v>8157</v>
      </c>
      <c r="B710" s="41" t="s">
        <v>1327</v>
      </c>
      <c r="C710" s="41" t="s">
        <v>1351</v>
      </c>
      <c r="D710" s="41" t="s">
        <v>8283</v>
      </c>
      <c r="E710" s="41">
        <v>42300</v>
      </c>
    </row>
    <row r="711" spans="1:5" x14ac:dyDescent="0.25">
      <c r="A711" s="41" t="s">
        <v>8157</v>
      </c>
      <c r="B711" s="41" t="s">
        <v>1327</v>
      </c>
      <c r="C711" s="41" t="s">
        <v>1351</v>
      </c>
      <c r="D711" s="41" t="s">
        <v>8168</v>
      </c>
      <c r="E711" s="41">
        <v>41100</v>
      </c>
    </row>
    <row r="712" spans="1:5" x14ac:dyDescent="0.25">
      <c r="A712" s="41" t="s">
        <v>8157</v>
      </c>
      <c r="B712" s="41" t="s">
        <v>1329</v>
      </c>
      <c r="C712" s="41" t="s">
        <v>1351</v>
      </c>
      <c r="D712" s="41" t="s">
        <v>8284</v>
      </c>
      <c r="E712" s="41">
        <v>51400</v>
      </c>
    </row>
    <row r="713" spans="1:5" x14ac:dyDescent="0.25">
      <c r="A713" s="41" t="s">
        <v>8157</v>
      </c>
      <c r="B713" s="41" t="s">
        <v>1329</v>
      </c>
      <c r="C713" s="41" t="s">
        <v>1351</v>
      </c>
      <c r="D713" s="41" t="s">
        <v>8285</v>
      </c>
      <c r="E713" s="41">
        <v>48800</v>
      </c>
    </row>
    <row r="714" spans="1:5" x14ac:dyDescent="0.25">
      <c r="A714" s="41" t="s">
        <v>8157</v>
      </c>
      <c r="B714" s="41" t="s">
        <v>1329</v>
      </c>
      <c r="C714" s="41" t="s">
        <v>1351</v>
      </c>
      <c r="D714" s="41" t="s">
        <v>8286</v>
      </c>
      <c r="E714" s="41">
        <v>46400</v>
      </c>
    </row>
    <row r="715" spans="1:5" x14ac:dyDescent="0.25">
      <c r="A715" s="41" t="s">
        <v>8157</v>
      </c>
      <c r="B715" s="41" t="s">
        <v>1329</v>
      </c>
      <c r="C715" s="41" t="s">
        <v>1351</v>
      </c>
      <c r="D715" s="41" t="s">
        <v>8260</v>
      </c>
      <c r="E715" s="41">
        <v>43200</v>
      </c>
    </row>
    <row r="716" spans="1:5" x14ac:dyDescent="0.25">
      <c r="A716" s="41" t="s">
        <v>8157</v>
      </c>
      <c r="B716" s="41" t="s">
        <v>7441</v>
      </c>
      <c r="C716" s="41" t="s">
        <v>1351</v>
      </c>
      <c r="D716" s="41" t="s">
        <v>8287</v>
      </c>
      <c r="E716" s="41">
        <v>47400</v>
      </c>
    </row>
    <row r="717" spans="1:5" x14ac:dyDescent="0.25">
      <c r="A717" s="41" t="s">
        <v>8157</v>
      </c>
      <c r="B717" s="41" t="s">
        <v>7441</v>
      </c>
      <c r="C717" s="41" t="s">
        <v>1351</v>
      </c>
      <c r="D717" s="41" t="s">
        <v>8288</v>
      </c>
      <c r="E717" s="41">
        <v>45000</v>
      </c>
    </row>
    <row r="718" spans="1:5" x14ac:dyDescent="0.25">
      <c r="A718" s="41" t="s">
        <v>8157</v>
      </c>
      <c r="B718" s="41" t="s">
        <v>7441</v>
      </c>
      <c r="C718" s="41" t="s">
        <v>1351</v>
      </c>
      <c r="D718" s="41" t="s">
        <v>8265</v>
      </c>
      <c r="E718" s="41">
        <v>41900</v>
      </c>
    </row>
    <row r="719" spans="1:5" x14ac:dyDescent="0.25">
      <c r="A719" s="41" t="s">
        <v>8157</v>
      </c>
      <c r="B719" s="41" t="s">
        <v>7441</v>
      </c>
      <c r="C719" s="41" t="s">
        <v>1351</v>
      </c>
      <c r="D719" s="41" t="s">
        <v>8289</v>
      </c>
      <c r="E719" s="41">
        <v>39800</v>
      </c>
    </row>
    <row r="720" spans="1:5" x14ac:dyDescent="0.25">
      <c r="A720" s="41" t="s">
        <v>8157</v>
      </c>
      <c r="B720" s="41" t="s">
        <v>7441</v>
      </c>
      <c r="C720" s="41" t="s">
        <v>1351</v>
      </c>
      <c r="D720" s="41" t="s">
        <v>8290</v>
      </c>
      <c r="E720" s="41">
        <v>37000</v>
      </c>
    </row>
    <row r="721" spans="1:5" x14ac:dyDescent="0.25">
      <c r="A721" s="41" t="s">
        <v>8157</v>
      </c>
      <c r="B721" s="41" t="s">
        <v>7441</v>
      </c>
      <c r="C721" s="41" t="s">
        <v>1351</v>
      </c>
      <c r="D721" s="41" t="s">
        <v>8258</v>
      </c>
      <c r="E721" s="41">
        <v>35200</v>
      </c>
    </row>
    <row r="722" spans="1:5" x14ac:dyDescent="0.25">
      <c r="A722" s="41" t="s">
        <v>8157</v>
      </c>
      <c r="B722" s="41" t="s">
        <v>7429</v>
      </c>
      <c r="C722" s="41" t="s">
        <v>1351</v>
      </c>
      <c r="D722" s="41" t="s">
        <v>8233</v>
      </c>
      <c r="E722" s="41">
        <v>50900</v>
      </c>
    </row>
    <row r="723" spans="1:5" x14ac:dyDescent="0.25">
      <c r="A723" s="41" t="s">
        <v>8157</v>
      </c>
      <c r="B723" s="41" t="s">
        <v>7429</v>
      </c>
      <c r="C723" s="41" t="s">
        <v>1351</v>
      </c>
      <c r="D723" s="41" t="s">
        <v>8265</v>
      </c>
      <c r="E723" s="41">
        <v>47300</v>
      </c>
    </row>
    <row r="724" spans="1:5" x14ac:dyDescent="0.25">
      <c r="A724" s="41" t="s">
        <v>8157</v>
      </c>
      <c r="B724" s="41" t="s">
        <v>7429</v>
      </c>
      <c r="C724" s="41" t="s">
        <v>1351</v>
      </c>
      <c r="D724" s="41" t="s">
        <v>8291</v>
      </c>
      <c r="E724" s="41">
        <v>44000</v>
      </c>
    </row>
    <row r="725" spans="1:5" x14ac:dyDescent="0.25">
      <c r="A725" s="41" t="s">
        <v>8157</v>
      </c>
      <c r="B725" s="41" t="s">
        <v>7429</v>
      </c>
      <c r="C725" s="41" t="s">
        <v>1351</v>
      </c>
      <c r="D725" s="41" t="s">
        <v>8292</v>
      </c>
      <c r="E725" s="41">
        <v>40900</v>
      </c>
    </row>
    <row r="726" spans="1:5" x14ac:dyDescent="0.25">
      <c r="A726" s="41" t="s">
        <v>8157</v>
      </c>
      <c r="B726" s="41" t="s">
        <v>7429</v>
      </c>
      <c r="C726" s="41" t="s">
        <v>1351</v>
      </c>
      <c r="D726" s="41" t="s">
        <v>8229</v>
      </c>
      <c r="E726" s="41">
        <v>38100</v>
      </c>
    </row>
    <row r="727" spans="1:5" x14ac:dyDescent="0.25">
      <c r="A727" s="41" t="s">
        <v>8157</v>
      </c>
      <c r="B727" s="41" t="s">
        <v>7429</v>
      </c>
      <c r="C727" s="41" t="s">
        <v>1351</v>
      </c>
      <c r="D727" s="41" t="s">
        <v>8168</v>
      </c>
      <c r="E727" s="41">
        <v>35400</v>
      </c>
    </row>
    <row r="728" spans="1:5" x14ac:dyDescent="0.25">
      <c r="A728" s="41" t="s">
        <v>8157</v>
      </c>
      <c r="B728" s="41" t="s">
        <v>7584</v>
      </c>
      <c r="C728" s="41" t="s">
        <v>1351</v>
      </c>
      <c r="D728" s="41" t="s">
        <v>8287</v>
      </c>
      <c r="E728" s="41">
        <v>30200</v>
      </c>
    </row>
    <row r="729" spans="1:5" x14ac:dyDescent="0.25">
      <c r="A729" s="41" t="s">
        <v>8157</v>
      </c>
      <c r="B729" s="41" t="s">
        <v>7584</v>
      </c>
      <c r="C729" s="41" t="s">
        <v>1351</v>
      </c>
      <c r="D729" s="41" t="s">
        <v>8293</v>
      </c>
      <c r="E729" s="41">
        <v>28100</v>
      </c>
    </row>
    <row r="730" spans="1:5" x14ac:dyDescent="0.25">
      <c r="A730" s="41" t="s">
        <v>8157</v>
      </c>
      <c r="B730" s="41" t="s">
        <v>7584</v>
      </c>
      <c r="C730" s="41" t="s">
        <v>1351</v>
      </c>
      <c r="D730" s="41" t="s">
        <v>8294</v>
      </c>
      <c r="E730" s="41">
        <v>26100</v>
      </c>
    </row>
    <row r="731" spans="1:5" x14ac:dyDescent="0.25">
      <c r="A731" s="41" t="s">
        <v>8157</v>
      </c>
      <c r="B731" s="41" t="s">
        <v>7584</v>
      </c>
      <c r="C731" s="41" t="s">
        <v>1351</v>
      </c>
      <c r="D731" s="41" t="s">
        <v>8266</v>
      </c>
      <c r="E731" s="41">
        <v>24300</v>
      </c>
    </row>
    <row r="732" spans="1:5" x14ac:dyDescent="0.25">
      <c r="A732" s="41" t="s">
        <v>8157</v>
      </c>
      <c r="B732" s="41" t="s">
        <v>7586</v>
      </c>
      <c r="C732" s="41" t="s">
        <v>1351</v>
      </c>
      <c r="D732" s="41" t="s">
        <v>8295</v>
      </c>
      <c r="E732" s="41">
        <v>45630</v>
      </c>
    </row>
    <row r="733" spans="1:5" x14ac:dyDescent="0.25">
      <c r="A733" s="41" t="s">
        <v>8157</v>
      </c>
      <c r="B733" s="41" t="s">
        <v>7586</v>
      </c>
      <c r="C733" s="41" t="s">
        <v>1351</v>
      </c>
      <c r="D733" s="41" t="s">
        <v>8296</v>
      </c>
      <c r="E733" s="41">
        <v>44460</v>
      </c>
    </row>
    <row r="734" spans="1:5" x14ac:dyDescent="0.25">
      <c r="A734" s="41" t="s">
        <v>8157</v>
      </c>
      <c r="B734" s="41" t="s">
        <v>7586</v>
      </c>
      <c r="C734" s="41" t="s">
        <v>1351</v>
      </c>
      <c r="D734" s="41" t="s">
        <v>8260</v>
      </c>
      <c r="E734" s="41">
        <v>43550</v>
      </c>
    </row>
    <row r="735" spans="1:5" x14ac:dyDescent="0.25">
      <c r="A735" s="41" t="s">
        <v>8157</v>
      </c>
      <c r="B735" s="41" t="s">
        <v>7475</v>
      </c>
      <c r="C735" s="41" t="s">
        <v>1351</v>
      </c>
      <c r="D735" s="41" t="s">
        <v>8172</v>
      </c>
      <c r="E735" s="41">
        <v>31800</v>
      </c>
    </row>
    <row r="736" spans="1:5" x14ac:dyDescent="0.25">
      <c r="A736" s="41" t="s">
        <v>8157</v>
      </c>
      <c r="B736" s="41" t="s">
        <v>7475</v>
      </c>
      <c r="C736" s="41" t="s">
        <v>1351</v>
      </c>
      <c r="D736" s="41" t="s">
        <v>8173</v>
      </c>
      <c r="E736" s="41">
        <v>29600</v>
      </c>
    </row>
    <row r="737" spans="1:5" x14ac:dyDescent="0.25">
      <c r="A737" s="41" t="s">
        <v>8157</v>
      </c>
      <c r="B737" s="41" t="s">
        <v>7475</v>
      </c>
      <c r="C737" s="41" t="s">
        <v>1351</v>
      </c>
      <c r="D737" s="41" t="s">
        <v>8297</v>
      </c>
      <c r="E737" s="41">
        <v>27500</v>
      </c>
    </row>
    <row r="738" spans="1:5" x14ac:dyDescent="0.25">
      <c r="A738" s="41" t="s">
        <v>8157</v>
      </c>
      <c r="B738" s="41" t="s">
        <v>7589</v>
      </c>
      <c r="C738" s="41" t="s">
        <v>1351</v>
      </c>
      <c r="D738" s="41" t="s">
        <v>8158</v>
      </c>
      <c r="E738" s="41">
        <v>41760</v>
      </c>
    </row>
    <row r="739" spans="1:5" x14ac:dyDescent="0.25">
      <c r="A739" s="41" t="s">
        <v>8157</v>
      </c>
      <c r="B739" s="41" t="s">
        <v>7591</v>
      </c>
      <c r="C739" s="41" t="s">
        <v>1351</v>
      </c>
      <c r="D739" s="41" t="s">
        <v>8298</v>
      </c>
      <c r="E739" s="41">
        <v>44370</v>
      </c>
    </row>
    <row r="740" spans="1:5" x14ac:dyDescent="0.25">
      <c r="A740" s="41" t="s">
        <v>8157</v>
      </c>
      <c r="B740" s="41" t="s">
        <v>7591</v>
      </c>
      <c r="C740" s="41" t="s">
        <v>1351</v>
      </c>
      <c r="D740" s="41" t="s">
        <v>8299</v>
      </c>
      <c r="E740" s="41">
        <v>42195</v>
      </c>
    </row>
    <row r="741" spans="1:5" x14ac:dyDescent="0.25">
      <c r="A741" s="41" t="s">
        <v>8157</v>
      </c>
      <c r="B741" s="41" t="s">
        <v>7591</v>
      </c>
      <c r="C741" s="41" t="s">
        <v>1351</v>
      </c>
      <c r="D741" s="41" t="s">
        <v>8243</v>
      </c>
      <c r="E741" s="41">
        <v>39875</v>
      </c>
    </row>
    <row r="742" spans="1:5" x14ac:dyDescent="0.25">
      <c r="A742" s="41" t="s">
        <v>8157</v>
      </c>
      <c r="B742" s="41" t="s">
        <v>7594</v>
      </c>
      <c r="C742" s="41" t="s">
        <v>1351</v>
      </c>
      <c r="D742" s="41" t="s">
        <v>8300</v>
      </c>
      <c r="E742" s="41">
        <v>34000</v>
      </c>
    </row>
    <row r="743" spans="1:5" x14ac:dyDescent="0.25">
      <c r="A743" s="41" t="s">
        <v>8157</v>
      </c>
      <c r="B743" s="41" t="s">
        <v>7594</v>
      </c>
      <c r="C743" s="41" t="s">
        <v>1351</v>
      </c>
      <c r="D743" s="41" t="s">
        <v>8301</v>
      </c>
      <c r="E743" s="41">
        <v>31600</v>
      </c>
    </row>
    <row r="744" spans="1:5" x14ac:dyDescent="0.25">
      <c r="A744" s="41" t="s">
        <v>8157</v>
      </c>
      <c r="B744" s="41" t="s">
        <v>7594</v>
      </c>
      <c r="C744" s="41" t="s">
        <v>1351</v>
      </c>
      <c r="D744" s="41" t="s">
        <v>8302</v>
      </c>
      <c r="E744" s="41">
        <v>30700</v>
      </c>
    </row>
    <row r="745" spans="1:5" x14ac:dyDescent="0.25">
      <c r="A745" s="41" t="s">
        <v>8157</v>
      </c>
      <c r="B745" s="41" t="s">
        <v>7597</v>
      </c>
      <c r="C745" s="41" t="s">
        <v>1351</v>
      </c>
      <c r="D745" s="41" t="s">
        <v>8303</v>
      </c>
      <c r="E745" s="41">
        <v>25800</v>
      </c>
    </row>
    <row r="746" spans="1:5" x14ac:dyDescent="0.25">
      <c r="A746" s="41" t="s">
        <v>8157</v>
      </c>
      <c r="B746" s="41" t="s">
        <v>7597</v>
      </c>
      <c r="C746" s="41" t="s">
        <v>1351</v>
      </c>
      <c r="D746" s="41" t="s">
        <v>1133</v>
      </c>
      <c r="E746" s="41">
        <v>21000</v>
      </c>
    </row>
    <row r="747" spans="1:5" x14ac:dyDescent="0.25">
      <c r="A747" s="41" t="s">
        <v>8157</v>
      </c>
      <c r="B747" s="41" t="s">
        <v>7597</v>
      </c>
      <c r="C747" s="41" t="s">
        <v>1351</v>
      </c>
      <c r="D747" s="41" t="s">
        <v>8304</v>
      </c>
      <c r="E747" s="41">
        <v>18600</v>
      </c>
    </row>
    <row r="748" spans="1:5" x14ac:dyDescent="0.25">
      <c r="A748" s="41" t="s">
        <v>8157</v>
      </c>
      <c r="B748" s="41" t="s">
        <v>7597</v>
      </c>
      <c r="C748" s="41" t="s">
        <v>1351</v>
      </c>
      <c r="D748" s="41" t="s">
        <v>8305</v>
      </c>
      <c r="E748" s="41">
        <v>16200</v>
      </c>
    </row>
    <row r="749" spans="1:5" x14ac:dyDescent="0.25">
      <c r="A749" s="41" t="s">
        <v>8157</v>
      </c>
      <c r="B749" s="41" t="s">
        <v>7474</v>
      </c>
      <c r="C749" s="41" t="s">
        <v>1351</v>
      </c>
      <c r="D749" s="41" t="s">
        <v>8306</v>
      </c>
      <c r="E749" s="41">
        <v>22600</v>
      </c>
    </row>
    <row r="750" spans="1:5" x14ac:dyDescent="0.25">
      <c r="A750" s="41" t="s">
        <v>8157</v>
      </c>
      <c r="B750" s="41" t="s">
        <v>7474</v>
      </c>
      <c r="C750" s="41" t="s">
        <v>1351</v>
      </c>
      <c r="D750" s="41" t="s">
        <v>8307</v>
      </c>
      <c r="E750" s="41">
        <v>19400</v>
      </c>
    </row>
    <row r="751" spans="1:5" x14ac:dyDescent="0.25">
      <c r="A751" s="41" t="s">
        <v>8157</v>
      </c>
      <c r="B751" s="41" t="s">
        <v>7474</v>
      </c>
      <c r="C751" s="41" t="s">
        <v>1351</v>
      </c>
      <c r="D751" s="41" t="s">
        <v>8308</v>
      </c>
      <c r="E751" s="41">
        <v>16200</v>
      </c>
    </row>
    <row r="752" spans="1:5" x14ac:dyDescent="0.25">
      <c r="A752" s="41" t="s">
        <v>8157</v>
      </c>
      <c r="B752" s="41" t="s">
        <v>7600</v>
      </c>
      <c r="C752" s="41" t="s">
        <v>1351</v>
      </c>
      <c r="D752" s="41" t="s">
        <v>8309</v>
      </c>
      <c r="E752" s="41">
        <v>29500</v>
      </c>
    </row>
    <row r="753" spans="1:5" x14ac:dyDescent="0.25">
      <c r="A753" s="41" t="s">
        <v>8157</v>
      </c>
      <c r="B753" s="41" t="s">
        <v>7600</v>
      </c>
      <c r="C753" s="41" t="s">
        <v>1351</v>
      </c>
      <c r="D753" s="41" t="s">
        <v>8310</v>
      </c>
      <c r="E753" s="41">
        <v>27400</v>
      </c>
    </row>
    <row r="754" spans="1:5" x14ac:dyDescent="0.25">
      <c r="A754" s="41" t="s">
        <v>8157</v>
      </c>
      <c r="B754" s="41" t="s">
        <v>7600</v>
      </c>
      <c r="C754" s="41" t="s">
        <v>1351</v>
      </c>
      <c r="D754" s="41" t="s">
        <v>8311</v>
      </c>
      <c r="E754" s="41">
        <v>25500</v>
      </c>
    </row>
    <row r="755" spans="1:5" x14ac:dyDescent="0.25">
      <c r="A755" s="41" t="s">
        <v>8157</v>
      </c>
      <c r="B755" s="41" t="s">
        <v>7600</v>
      </c>
      <c r="C755" s="41" t="s">
        <v>1351</v>
      </c>
      <c r="D755" s="41" t="s">
        <v>8312</v>
      </c>
      <c r="E755" s="41">
        <v>24200</v>
      </c>
    </row>
    <row r="756" spans="1:5" x14ac:dyDescent="0.25">
      <c r="A756" s="41" t="s">
        <v>8157</v>
      </c>
      <c r="B756" s="41" t="s">
        <v>7600</v>
      </c>
      <c r="C756" s="41" t="s">
        <v>1351</v>
      </c>
      <c r="D756" s="41" t="s">
        <v>8313</v>
      </c>
      <c r="E756" s="41">
        <v>23000</v>
      </c>
    </row>
    <row r="757" spans="1:5" x14ac:dyDescent="0.25">
      <c r="A757" s="41" t="s">
        <v>8157</v>
      </c>
      <c r="B757" s="41" t="s">
        <v>7600</v>
      </c>
      <c r="C757" s="41" t="s">
        <v>1351</v>
      </c>
      <c r="D757" s="41" t="s">
        <v>8245</v>
      </c>
      <c r="E757" s="41">
        <v>21900</v>
      </c>
    </row>
    <row r="758" spans="1:5" x14ac:dyDescent="0.25">
      <c r="A758" s="41" t="s">
        <v>8157</v>
      </c>
      <c r="B758" s="41" t="s">
        <v>7602</v>
      </c>
      <c r="C758" s="41" t="s">
        <v>1351</v>
      </c>
      <c r="D758" s="41" t="s">
        <v>8228</v>
      </c>
      <c r="E758" s="41">
        <v>20300</v>
      </c>
    </row>
    <row r="759" spans="1:5" x14ac:dyDescent="0.25">
      <c r="A759" s="41" t="s">
        <v>8157</v>
      </c>
      <c r="B759" s="41" t="s">
        <v>7602</v>
      </c>
      <c r="C759" s="41" t="s">
        <v>1351</v>
      </c>
      <c r="D759" s="41" t="s">
        <v>8176</v>
      </c>
      <c r="E759" s="41">
        <v>19300</v>
      </c>
    </row>
    <row r="760" spans="1:5" x14ac:dyDescent="0.25">
      <c r="A760" s="41" t="s">
        <v>8157</v>
      </c>
      <c r="B760" s="41" t="s">
        <v>7604</v>
      </c>
      <c r="C760" s="41" t="s">
        <v>1351</v>
      </c>
      <c r="D760" s="41" t="s">
        <v>8314</v>
      </c>
      <c r="E760" s="41">
        <v>18300</v>
      </c>
    </row>
    <row r="761" spans="1:5" x14ac:dyDescent="0.25">
      <c r="A761" s="41" t="s">
        <v>8157</v>
      </c>
      <c r="B761" s="41" t="s">
        <v>7604</v>
      </c>
      <c r="C761" s="41" t="s">
        <v>1351</v>
      </c>
      <c r="D761" s="41" t="s">
        <v>8315</v>
      </c>
      <c r="E761" s="41">
        <v>17400</v>
      </c>
    </row>
    <row r="762" spans="1:5" x14ac:dyDescent="0.25">
      <c r="A762" s="41" t="s">
        <v>8157</v>
      </c>
      <c r="B762" s="41" t="s">
        <v>7604</v>
      </c>
      <c r="C762" s="41" t="s">
        <v>1351</v>
      </c>
      <c r="D762" s="41" t="s">
        <v>8316</v>
      </c>
      <c r="E762" s="41">
        <v>16600</v>
      </c>
    </row>
    <row r="763" spans="1:5" x14ac:dyDescent="0.25">
      <c r="A763" s="41" t="s">
        <v>8157</v>
      </c>
      <c r="B763" s="41" t="s">
        <v>7604</v>
      </c>
      <c r="C763" s="41" t="s">
        <v>1351</v>
      </c>
      <c r="D763" s="41" t="s">
        <v>8229</v>
      </c>
      <c r="E763" s="41">
        <v>15400</v>
      </c>
    </row>
    <row r="764" spans="1:5" x14ac:dyDescent="0.25">
      <c r="A764" s="41" t="s">
        <v>8157</v>
      </c>
      <c r="B764" s="41" t="s">
        <v>7604</v>
      </c>
      <c r="C764" s="41" t="s">
        <v>1351</v>
      </c>
      <c r="D764" s="41" t="s">
        <v>8317</v>
      </c>
      <c r="E764" s="41">
        <v>14300</v>
      </c>
    </row>
    <row r="765" spans="1:5" x14ac:dyDescent="0.25">
      <c r="A765" s="41" t="s">
        <v>8157</v>
      </c>
      <c r="B765" s="41" t="s">
        <v>7604</v>
      </c>
      <c r="C765" s="41" t="s">
        <v>1351</v>
      </c>
      <c r="D765" s="41" t="s">
        <v>8318</v>
      </c>
      <c r="E765" s="41">
        <v>13600</v>
      </c>
    </row>
    <row r="766" spans="1:5" x14ac:dyDescent="0.25">
      <c r="A766" s="41" t="s">
        <v>8157</v>
      </c>
      <c r="B766" s="41" t="s">
        <v>7604</v>
      </c>
      <c r="C766" s="41" t="s">
        <v>1351</v>
      </c>
      <c r="D766" s="41" t="s">
        <v>8319</v>
      </c>
      <c r="E766" s="41">
        <v>12900</v>
      </c>
    </row>
    <row r="767" spans="1:5" x14ac:dyDescent="0.25">
      <c r="A767" s="41" t="s">
        <v>8157</v>
      </c>
      <c r="B767" s="41" t="s">
        <v>7604</v>
      </c>
      <c r="C767" s="41" t="s">
        <v>1351</v>
      </c>
      <c r="D767" s="41" t="s">
        <v>8320</v>
      </c>
      <c r="E767" s="41">
        <v>12300</v>
      </c>
    </row>
    <row r="768" spans="1:5" x14ac:dyDescent="0.25">
      <c r="A768" s="41" t="s">
        <v>8157</v>
      </c>
      <c r="B768" s="41" t="s">
        <v>7604</v>
      </c>
      <c r="C768" s="41" t="s">
        <v>1351</v>
      </c>
      <c r="D768" s="41" t="s">
        <v>8321</v>
      </c>
      <c r="E768" s="41">
        <v>11700</v>
      </c>
    </row>
    <row r="769" spans="1:5" x14ac:dyDescent="0.25">
      <c r="A769" s="41" t="s">
        <v>8157</v>
      </c>
      <c r="B769" s="41" t="s">
        <v>7604</v>
      </c>
      <c r="C769" s="41" t="s">
        <v>1351</v>
      </c>
      <c r="D769" s="41" t="s">
        <v>8322</v>
      </c>
      <c r="E769" s="41">
        <v>11100</v>
      </c>
    </row>
    <row r="770" spans="1:5" x14ac:dyDescent="0.25">
      <c r="A770" s="41" t="s">
        <v>8157</v>
      </c>
      <c r="B770" s="41" t="s">
        <v>7778</v>
      </c>
      <c r="C770" s="41" t="s">
        <v>1351</v>
      </c>
      <c r="D770" s="41" t="s">
        <v>8158</v>
      </c>
      <c r="E770" s="41">
        <v>37100</v>
      </c>
    </row>
    <row r="771" spans="1:5" x14ac:dyDescent="0.25">
      <c r="A771" s="41" t="s">
        <v>8157</v>
      </c>
      <c r="B771" s="41" t="s">
        <v>7780</v>
      </c>
      <c r="C771" s="41" t="s">
        <v>1351</v>
      </c>
      <c r="D771" s="41" t="s">
        <v>8158</v>
      </c>
      <c r="E771" s="41">
        <v>29400</v>
      </c>
    </row>
    <row r="772" spans="1:5" x14ac:dyDescent="0.25">
      <c r="A772" s="41" t="s">
        <v>8157</v>
      </c>
      <c r="B772" s="41" t="s">
        <v>7782</v>
      </c>
      <c r="C772" s="41" t="s">
        <v>1351</v>
      </c>
      <c r="D772" s="41" t="s">
        <v>8158</v>
      </c>
      <c r="E772" s="41">
        <v>74000</v>
      </c>
    </row>
    <row r="773" spans="1:5" x14ac:dyDescent="0.25">
      <c r="A773" s="41" t="s">
        <v>8157</v>
      </c>
      <c r="B773" s="41" t="s">
        <v>7784</v>
      </c>
      <c r="C773" s="41" t="s">
        <v>1351</v>
      </c>
      <c r="D773" s="41" t="s">
        <v>8158</v>
      </c>
      <c r="E773" s="41">
        <v>70200</v>
      </c>
    </row>
    <row r="774" spans="1:5" x14ac:dyDescent="0.25">
      <c r="A774" s="41" t="s">
        <v>8157</v>
      </c>
      <c r="B774" s="41" t="s">
        <v>1331</v>
      </c>
      <c r="C774" s="41" t="s">
        <v>1351</v>
      </c>
      <c r="D774" s="41" t="s">
        <v>8158</v>
      </c>
      <c r="E774" s="41">
        <v>59500</v>
      </c>
    </row>
    <row r="775" spans="1:5" x14ac:dyDescent="0.25">
      <c r="A775" s="41" t="s">
        <v>8157</v>
      </c>
      <c r="B775" s="41" t="s">
        <v>1333</v>
      </c>
      <c r="C775" s="41" t="s">
        <v>1351</v>
      </c>
      <c r="D775" s="41" t="s">
        <v>8158</v>
      </c>
      <c r="E775" s="41">
        <v>94700</v>
      </c>
    </row>
    <row r="776" spans="1:5" x14ac:dyDescent="0.25">
      <c r="A776" s="41" t="s">
        <v>8157</v>
      </c>
      <c r="B776" s="41" t="s">
        <v>7604</v>
      </c>
      <c r="C776" s="41" t="s">
        <v>1351</v>
      </c>
      <c r="D776" s="41" t="s">
        <v>8323</v>
      </c>
      <c r="E776" s="41">
        <v>10500</v>
      </c>
    </row>
    <row r="777" spans="1:5" x14ac:dyDescent="0.25">
      <c r="A777" s="41" t="s">
        <v>8157</v>
      </c>
      <c r="B777" s="41" t="s">
        <v>7606</v>
      </c>
      <c r="C777" s="41" t="s">
        <v>1351</v>
      </c>
      <c r="D777" s="41" t="s">
        <v>8158</v>
      </c>
      <c r="E777" s="41">
        <v>27000</v>
      </c>
    </row>
    <row r="778" spans="1:5" x14ac:dyDescent="0.25">
      <c r="A778" s="41" t="s">
        <v>8157</v>
      </c>
      <c r="B778" s="41" t="s">
        <v>7455</v>
      </c>
      <c r="C778" s="41" t="s">
        <v>1351</v>
      </c>
      <c r="D778" s="41" t="s">
        <v>8287</v>
      </c>
      <c r="E778" s="41">
        <v>16900</v>
      </c>
    </row>
    <row r="779" spans="1:5" x14ac:dyDescent="0.25">
      <c r="A779" s="41" t="s">
        <v>8157</v>
      </c>
      <c r="B779" s="41" t="s">
        <v>7455</v>
      </c>
      <c r="C779" s="41" t="s">
        <v>1351</v>
      </c>
      <c r="D779" s="41" t="s">
        <v>8324</v>
      </c>
      <c r="E779" s="41">
        <v>16380</v>
      </c>
    </row>
    <row r="780" spans="1:5" x14ac:dyDescent="0.25">
      <c r="A780" s="41" t="s">
        <v>8157</v>
      </c>
      <c r="B780" s="41" t="s">
        <v>7455</v>
      </c>
      <c r="C780" s="41" t="s">
        <v>1351</v>
      </c>
      <c r="D780" s="41" t="s">
        <v>8325</v>
      </c>
      <c r="E780" s="41">
        <v>15125</v>
      </c>
    </row>
    <row r="781" spans="1:5" x14ac:dyDescent="0.25">
      <c r="A781" s="41" t="s">
        <v>8157</v>
      </c>
      <c r="B781" s="41" t="s">
        <v>7455</v>
      </c>
      <c r="C781" s="41" t="s">
        <v>1351</v>
      </c>
      <c r="D781" s="41" t="s">
        <v>8326</v>
      </c>
      <c r="E781" s="41">
        <v>14000</v>
      </c>
    </row>
    <row r="782" spans="1:5" x14ac:dyDescent="0.25">
      <c r="A782" s="41" t="s">
        <v>8157</v>
      </c>
      <c r="B782" s="41" t="s">
        <v>7455</v>
      </c>
      <c r="C782" s="41" t="s">
        <v>1351</v>
      </c>
      <c r="D782" s="41" t="s">
        <v>8313</v>
      </c>
      <c r="E782" s="41">
        <v>12875</v>
      </c>
    </row>
    <row r="783" spans="1:5" x14ac:dyDescent="0.25">
      <c r="A783" s="41" t="s">
        <v>8157</v>
      </c>
      <c r="B783" s="41" t="s">
        <v>7790</v>
      </c>
      <c r="C783" s="41" t="s">
        <v>1351</v>
      </c>
      <c r="D783" s="41" t="s">
        <v>8287</v>
      </c>
      <c r="E783" s="41">
        <v>41700</v>
      </c>
    </row>
    <row r="784" spans="1:5" x14ac:dyDescent="0.25">
      <c r="A784" s="41" t="s">
        <v>8157</v>
      </c>
      <c r="B784" s="41" t="s">
        <v>7790</v>
      </c>
      <c r="C784" s="41" t="s">
        <v>1351</v>
      </c>
      <c r="D784" s="41" t="s">
        <v>8437</v>
      </c>
      <c r="E784" s="41">
        <v>40700</v>
      </c>
    </row>
    <row r="785" spans="1:5" x14ac:dyDescent="0.25">
      <c r="A785" s="41" t="s">
        <v>8157</v>
      </c>
      <c r="B785" s="41" t="s">
        <v>7790</v>
      </c>
      <c r="C785" s="41" t="s">
        <v>1351</v>
      </c>
      <c r="D785" s="41" t="s">
        <v>8438</v>
      </c>
      <c r="E785" s="41">
        <v>39800</v>
      </c>
    </row>
    <row r="786" spans="1:5" x14ac:dyDescent="0.25">
      <c r="A786" s="41" t="s">
        <v>8157</v>
      </c>
      <c r="B786" s="41" t="s">
        <v>7455</v>
      </c>
      <c r="C786" s="41" t="s">
        <v>1351</v>
      </c>
      <c r="D786" s="41" t="s">
        <v>8245</v>
      </c>
      <c r="E786" s="41">
        <v>11625</v>
      </c>
    </row>
    <row r="787" spans="1:5" x14ac:dyDescent="0.25">
      <c r="A787" s="41" t="s">
        <v>8157</v>
      </c>
      <c r="B787" s="41" t="s">
        <v>7424</v>
      </c>
      <c r="C787" s="41" t="s">
        <v>1351</v>
      </c>
      <c r="D787" s="41" t="s">
        <v>8242</v>
      </c>
      <c r="E787" s="41">
        <v>10700</v>
      </c>
    </row>
    <row r="788" spans="1:5" x14ac:dyDescent="0.25">
      <c r="A788" s="41" t="s">
        <v>8157</v>
      </c>
      <c r="B788" s="41" t="s">
        <v>7424</v>
      </c>
      <c r="C788" s="41" t="s">
        <v>1351</v>
      </c>
      <c r="D788" s="41" t="s">
        <v>8327</v>
      </c>
      <c r="E788" s="41">
        <v>9800</v>
      </c>
    </row>
    <row r="789" spans="1:5" x14ac:dyDescent="0.25">
      <c r="A789" s="41" t="s">
        <v>8157</v>
      </c>
      <c r="B789" s="41" t="s">
        <v>7424</v>
      </c>
      <c r="C789" s="41" t="s">
        <v>1351</v>
      </c>
      <c r="D789" s="41" t="s">
        <v>8328</v>
      </c>
      <c r="E789" s="41">
        <v>8900</v>
      </c>
    </row>
    <row r="790" spans="1:5" x14ac:dyDescent="0.25">
      <c r="A790" s="41" t="s">
        <v>8157</v>
      </c>
      <c r="B790" s="41" t="s">
        <v>7437</v>
      </c>
      <c r="C790" s="41" t="s">
        <v>1351</v>
      </c>
      <c r="D790" s="41" t="s">
        <v>8287</v>
      </c>
      <c r="E790" s="41">
        <v>11160</v>
      </c>
    </row>
    <row r="791" spans="1:5" x14ac:dyDescent="0.25">
      <c r="A791" s="41" t="s">
        <v>8157</v>
      </c>
      <c r="B791" s="41" t="s">
        <v>7437</v>
      </c>
      <c r="C791" s="41" t="s">
        <v>1351</v>
      </c>
      <c r="D791" s="41" t="s">
        <v>8329</v>
      </c>
      <c r="E791" s="41">
        <v>10320</v>
      </c>
    </row>
    <row r="792" spans="1:5" x14ac:dyDescent="0.25">
      <c r="A792" s="41" t="s">
        <v>8157</v>
      </c>
      <c r="B792" s="41" t="s">
        <v>7437</v>
      </c>
      <c r="C792" s="41" t="s">
        <v>1351</v>
      </c>
      <c r="D792" s="41" t="s">
        <v>8330</v>
      </c>
      <c r="E792" s="41">
        <v>9840</v>
      </c>
    </row>
    <row r="793" spans="1:5" x14ac:dyDescent="0.25">
      <c r="A793" s="41" t="s">
        <v>8157</v>
      </c>
      <c r="B793" s="41" t="s">
        <v>7437</v>
      </c>
      <c r="C793" s="41" t="s">
        <v>1351</v>
      </c>
      <c r="D793" s="41" t="s">
        <v>8331</v>
      </c>
      <c r="E793" s="41">
        <v>9360</v>
      </c>
    </row>
    <row r="794" spans="1:5" x14ac:dyDescent="0.25">
      <c r="A794" s="41" t="s">
        <v>8157</v>
      </c>
      <c r="B794" s="41" t="s">
        <v>7445</v>
      </c>
      <c r="C794" s="41" t="s">
        <v>1351</v>
      </c>
      <c r="D794" s="41" t="s">
        <v>8332</v>
      </c>
      <c r="E794" s="41">
        <v>17900</v>
      </c>
    </row>
    <row r="795" spans="1:5" x14ac:dyDescent="0.25">
      <c r="A795" s="41" t="s">
        <v>8157</v>
      </c>
      <c r="B795" s="41" t="s">
        <v>7445</v>
      </c>
      <c r="C795" s="41" t="s">
        <v>1351</v>
      </c>
      <c r="D795" s="41" t="s">
        <v>8333</v>
      </c>
      <c r="E795" s="41">
        <v>17100</v>
      </c>
    </row>
    <row r="796" spans="1:5" x14ac:dyDescent="0.25">
      <c r="A796" s="41" t="s">
        <v>8157</v>
      </c>
      <c r="B796" s="41" t="s">
        <v>7445</v>
      </c>
      <c r="C796" s="41" t="s">
        <v>1351</v>
      </c>
      <c r="D796" s="41" t="s">
        <v>8193</v>
      </c>
      <c r="E796" s="41">
        <v>15900</v>
      </c>
    </row>
    <row r="797" spans="1:5" x14ac:dyDescent="0.25">
      <c r="A797" s="41" t="s">
        <v>8157</v>
      </c>
      <c r="B797" s="41" t="s">
        <v>7612</v>
      </c>
      <c r="C797" s="41" t="s">
        <v>1351</v>
      </c>
      <c r="D797" s="41" t="s">
        <v>8158</v>
      </c>
      <c r="E797" s="41">
        <v>14900</v>
      </c>
    </row>
    <row r="798" spans="1:5" x14ac:dyDescent="0.25">
      <c r="A798" s="41" t="s">
        <v>8157</v>
      </c>
      <c r="B798" s="41" t="s">
        <v>7614</v>
      </c>
      <c r="C798" s="41" t="s">
        <v>1351</v>
      </c>
      <c r="D798" s="41" t="s">
        <v>8158</v>
      </c>
      <c r="E798" s="41">
        <v>39000</v>
      </c>
    </row>
    <row r="799" spans="1:5" x14ac:dyDescent="0.25">
      <c r="A799" s="41" t="s">
        <v>8157</v>
      </c>
      <c r="B799" s="41" t="s">
        <v>7616</v>
      </c>
      <c r="C799" s="41" t="s">
        <v>1351</v>
      </c>
      <c r="D799" s="41" t="s">
        <v>8158</v>
      </c>
      <c r="E799" s="41">
        <v>15700</v>
      </c>
    </row>
    <row r="800" spans="1:5" x14ac:dyDescent="0.25">
      <c r="A800" s="41" t="s">
        <v>8157</v>
      </c>
      <c r="B800" s="41" t="s">
        <v>7435</v>
      </c>
      <c r="C800" s="41" t="s">
        <v>1351</v>
      </c>
      <c r="D800" s="41" t="s">
        <v>8287</v>
      </c>
      <c r="E800" s="41">
        <v>16100</v>
      </c>
    </row>
    <row r="801" spans="1:5" x14ac:dyDescent="0.25">
      <c r="A801" s="41" t="s">
        <v>8157</v>
      </c>
      <c r="B801" s="41" t="s">
        <v>7435</v>
      </c>
      <c r="C801" s="41" t="s">
        <v>1351</v>
      </c>
      <c r="D801" s="41" t="s">
        <v>8249</v>
      </c>
      <c r="E801" s="41">
        <v>15300</v>
      </c>
    </row>
    <row r="802" spans="1:5" x14ac:dyDescent="0.25">
      <c r="A802" s="41" t="s">
        <v>8157</v>
      </c>
      <c r="B802" s="41" t="s">
        <v>7435</v>
      </c>
      <c r="C802" s="41" t="s">
        <v>1351</v>
      </c>
      <c r="D802" s="41" t="s">
        <v>8336</v>
      </c>
      <c r="E802" s="41">
        <v>14500</v>
      </c>
    </row>
    <row r="803" spans="1:5" x14ac:dyDescent="0.25">
      <c r="A803" s="41" t="s">
        <v>8157</v>
      </c>
      <c r="B803" s="41" t="s">
        <v>7435</v>
      </c>
      <c r="C803" s="41" t="s">
        <v>1351</v>
      </c>
      <c r="D803" s="41" t="s">
        <v>8337</v>
      </c>
      <c r="E803" s="41">
        <v>13800</v>
      </c>
    </row>
    <row r="804" spans="1:5" x14ac:dyDescent="0.25">
      <c r="A804" s="41" t="s">
        <v>8157</v>
      </c>
      <c r="B804" s="41" t="s">
        <v>7619</v>
      </c>
      <c r="C804" s="41" t="s">
        <v>1351</v>
      </c>
      <c r="D804" s="41" t="s">
        <v>8158</v>
      </c>
      <c r="E804" s="41">
        <v>20600</v>
      </c>
    </row>
    <row r="805" spans="1:5" x14ac:dyDescent="0.25">
      <c r="A805" s="41" t="s">
        <v>8157</v>
      </c>
      <c r="B805" s="41" t="s">
        <v>7621</v>
      </c>
      <c r="C805" s="41" t="s">
        <v>1351</v>
      </c>
      <c r="D805" s="41" t="s">
        <v>8158</v>
      </c>
      <c r="E805" s="41">
        <v>15700</v>
      </c>
    </row>
    <row r="806" spans="1:5" x14ac:dyDescent="0.25">
      <c r="A806" s="41" t="s">
        <v>8157</v>
      </c>
      <c r="B806" s="41" t="s">
        <v>7623</v>
      </c>
      <c r="C806" s="41" t="s">
        <v>1351</v>
      </c>
      <c r="D806" s="41" t="s">
        <v>8338</v>
      </c>
      <c r="E806" s="41">
        <v>17100</v>
      </c>
    </row>
    <row r="807" spans="1:5" x14ac:dyDescent="0.25">
      <c r="A807" s="41" t="s">
        <v>8157</v>
      </c>
      <c r="B807" s="41" t="s">
        <v>7623</v>
      </c>
      <c r="C807" s="41" t="s">
        <v>1351</v>
      </c>
      <c r="D807" s="41" t="s">
        <v>8339</v>
      </c>
      <c r="E807" s="41">
        <v>15200</v>
      </c>
    </row>
    <row r="808" spans="1:5" x14ac:dyDescent="0.25">
      <c r="A808" s="41" t="s">
        <v>8157</v>
      </c>
      <c r="B808" s="41" t="s">
        <v>7623</v>
      </c>
      <c r="C808" s="41" t="s">
        <v>1351</v>
      </c>
      <c r="D808" s="41" t="s">
        <v>8340</v>
      </c>
      <c r="E808" s="41">
        <v>13800</v>
      </c>
    </row>
    <row r="809" spans="1:5" x14ac:dyDescent="0.25">
      <c r="A809" s="41" t="s">
        <v>8157</v>
      </c>
      <c r="B809" s="41" t="s">
        <v>7625</v>
      </c>
      <c r="C809" s="41" t="s">
        <v>1351</v>
      </c>
      <c r="D809" s="41" t="s">
        <v>8341</v>
      </c>
      <c r="E809" s="41">
        <v>13500</v>
      </c>
    </row>
    <row r="810" spans="1:5" x14ac:dyDescent="0.25">
      <c r="A810" s="41" t="s">
        <v>8157</v>
      </c>
      <c r="B810" s="41" t="s">
        <v>7625</v>
      </c>
      <c r="C810" s="41" t="s">
        <v>1351</v>
      </c>
      <c r="D810" s="41" t="s">
        <v>8342</v>
      </c>
      <c r="E810" s="41">
        <v>13200</v>
      </c>
    </row>
    <row r="811" spans="1:5" x14ac:dyDescent="0.25">
      <c r="A811" s="41" t="s">
        <v>8157</v>
      </c>
      <c r="B811" s="41" t="s">
        <v>7625</v>
      </c>
      <c r="C811" s="41" t="s">
        <v>1351</v>
      </c>
      <c r="D811" s="41" t="s">
        <v>8343</v>
      </c>
      <c r="E811" s="41">
        <v>12400</v>
      </c>
    </row>
    <row r="812" spans="1:5" x14ac:dyDescent="0.25">
      <c r="A812" s="41" t="s">
        <v>8157</v>
      </c>
      <c r="B812" s="41" t="s">
        <v>7625</v>
      </c>
      <c r="C812" s="41" t="s">
        <v>1351</v>
      </c>
      <c r="D812" s="41" t="s">
        <v>8344</v>
      </c>
      <c r="E812" s="41">
        <v>11900</v>
      </c>
    </row>
    <row r="813" spans="1:5" x14ac:dyDescent="0.25">
      <c r="A813" s="41" t="s">
        <v>8157</v>
      </c>
      <c r="B813" s="41" t="s">
        <v>7439</v>
      </c>
      <c r="C813" s="41" t="s">
        <v>1351</v>
      </c>
      <c r="D813" s="41" t="s">
        <v>8345</v>
      </c>
      <c r="E813" s="41">
        <v>16300</v>
      </c>
    </row>
    <row r="814" spans="1:5" x14ac:dyDescent="0.25">
      <c r="A814" s="41" t="s">
        <v>8157</v>
      </c>
      <c r="B814" s="41" t="s">
        <v>7439</v>
      </c>
      <c r="C814" s="41" t="s">
        <v>1351</v>
      </c>
      <c r="D814" s="41" t="s">
        <v>8346</v>
      </c>
      <c r="E814" s="41">
        <v>15700</v>
      </c>
    </row>
    <row r="815" spans="1:5" x14ac:dyDescent="0.25">
      <c r="A815" s="41" t="s">
        <v>8157</v>
      </c>
      <c r="B815" s="41" t="s">
        <v>7439</v>
      </c>
      <c r="C815" s="41" t="s">
        <v>1351</v>
      </c>
      <c r="D815" s="41" t="s">
        <v>8288</v>
      </c>
      <c r="E815" s="41">
        <v>15100</v>
      </c>
    </row>
    <row r="816" spans="1:5" x14ac:dyDescent="0.25">
      <c r="A816" s="41" t="s">
        <v>8157</v>
      </c>
      <c r="B816" s="41" t="s">
        <v>7439</v>
      </c>
      <c r="C816" s="41" t="s">
        <v>1351</v>
      </c>
      <c r="D816" s="41" t="s">
        <v>8347</v>
      </c>
      <c r="E816" s="41">
        <v>14300</v>
      </c>
    </row>
    <row r="817" spans="1:5" x14ac:dyDescent="0.25">
      <c r="A817" s="41" t="s">
        <v>8157</v>
      </c>
      <c r="B817" s="41" t="s">
        <v>7628</v>
      </c>
      <c r="C817" s="41" t="s">
        <v>1351</v>
      </c>
      <c r="D817" s="41" t="s">
        <v>8158</v>
      </c>
      <c r="E817" s="41">
        <v>16000</v>
      </c>
    </row>
    <row r="818" spans="1:5" x14ac:dyDescent="0.25">
      <c r="A818" s="41" t="s">
        <v>8157</v>
      </c>
      <c r="B818" s="41" t="s">
        <v>7630</v>
      </c>
      <c r="C818" s="41" t="s">
        <v>1351</v>
      </c>
      <c r="D818" s="41" t="s">
        <v>8158</v>
      </c>
      <c r="E818" s="41">
        <v>16900</v>
      </c>
    </row>
    <row r="819" spans="1:5" x14ac:dyDescent="0.25">
      <c r="A819" s="41" t="s">
        <v>8157</v>
      </c>
      <c r="B819" s="41" t="s">
        <v>7632</v>
      </c>
      <c r="C819" s="41" t="s">
        <v>1351</v>
      </c>
      <c r="D819" s="41" t="s">
        <v>8158</v>
      </c>
      <c r="E819" s="41">
        <v>18300</v>
      </c>
    </row>
    <row r="820" spans="1:5" x14ac:dyDescent="0.25">
      <c r="A820" s="41" t="s">
        <v>8157</v>
      </c>
      <c r="B820" s="41" t="s">
        <v>7634</v>
      </c>
      <c r="C820" s="41" t="s">
        <v>1351</v>
      </c>
      <c r="D820" s="41" t="s">
        <v>8348</v>
      </c>
      <c r="E820" s="41">
        <v>14300</v>
      </c>
    </row>
    <row r="821" spans="1:5" x14ac:dyDescent="0.25">
      <c r="A821" s="41" t="s">
        <v>8157</v>
      </c>
      <c r="B821" s="41" t="s">
        <v>7634</v>
      </c>
      <c r="C821" s="41" t="s">
        <v>1351</v>
      </c>
      <c r="D821" s="41" t="s">
        <v>8349</v>
      </c>
      <c r="E821" s="41">
        <v>11200</v>
      </c>
    </row>
    <row r="822" spans="1:5" x14ac:dyDescent="0.25">
      <c r="A822" s="41" t="s">
        <v>8157</v>
      </c>
      <c r="B822" s="41" t="s">
        <v>7636</v>
      </c>
      <c r="C822" s="41" t="s">
        <v>1351</v>
      </c>
      <c r="D822" s="41" t="s">
        <v>8158</v>
      </c>
      <c r="E822" s="41">
        <v>14100</v>
      </c>
    </row>
    <row r="823" spans="1:5" x14ac:dyDescent="0.25">
      <c r="A823" s="41" t="s">
        <v>8157</v>
      </c>
      <c r="B823" s="41" t="s">
        <v>7638</v>
      </c>
      <c r="C823" s="41" t="s">
        <v>1351</v>
      </c>
      <c r="D823" s="41" t="s">
        <v>8212</v>
      </c>
      <c r="E823" s="41">
        <v>13700</v>
      </c>
    </row>
    <row r="824" spans="1:5" x14ac:dyDescent="0.25">
      <c r="A824" s="41" t="s">
        <v>8157</v>
      </c>
      <c r="B824" s="41" t="s">
        <v>7638</v>
      </c>
      <c r="C824" s="41" t="s">
        <v>1351</v>
      </c>
      <c r="D824" s="41" t="s">
        <v>8350</v>
      </c>
      <c r="E824" s="41">
        <v>13100</v>
      </c>
    </row>
    <row r="825" spans="1:5" x14ac:dyDescent="0.25">
      <c r="A825" s="41" t="s">
        <v>8157</v>
      </c>
      <c r="B825" s="41" t="s">
        <v>7450</v>
      </c>
      <c r="C825" s="41" t="s">
        <v>1351</v>
      </c>
      <c r="D825" s="41" t="s">
        <v>8233</v>
      </c>
      <c r="E825" s="41">
        <v>26000</v>
      </c>
    </row>
    <row r="826" spans="1:5" x14ac:dyDescent="0.25">
      <c r="A826" s="41" t="s">
        <v>8157</v>
      </c>
      <c r="B826" s="41" t="s">
        <v>7450</v>
      </c>
      <c r="C826" s="41" t="s">
        <v>1351</v>
      </c>
      <c r="D826" s="41" t="s">
        <v>8351</v>
      </c>
      <c r="E826" s="41">
        <v>25000</v>
      </c>
    </row>
    <row r="827" spans="1:5" x14ac:dyDescent="0.25">
      <c r="A827" s="41" t="s">
        <v>8157</v>
      </c>
      <c r="B827" s="41" t="s">
        <v>7450</v>
      </c>
      <c r="C827" s="41" t="s">
        <v>1351</v>
      </c>
      <c r="D827" s="41" t="s">
        <v>8352</v>
      </c>
      <c r="E827" s="41">
        <v>24000</v>
      </c>
    </row>
    <row r="828" spans="1:5" x14ac:dyDescent="0.25">
      <c r="A828" s="41" t="s">
        <v>8157</v>
      </c>
      <c r="B828" s="41" t="s">
        <v>7450</v>
      </c>
      <c r="C828" s="41" t="s">
        <v>1351</v>
      </c>
      <c r="D828" s="41" t="s">
        <v>8178</v>
      </c>
      <c r="E828" s="41">
        <v>22000</v>
      </c>
    </row>
    <row r="829" spans="1:5" x14ac:dyDescent="0.25">
      <c r="A829" s="41" t="s">
        <v>8157</v>
      </c>
      <c r="B829" s="41" t="s">
        <v>7450</v>
      </c>
      <c r="C829" s="41" t="s">
        <v>1351</v>
      </c>
      <c r="D829" s="41" t="s">
        <v>8165</v>
      </c>
      <c r="E829" s="41">
        <v>19900</v>
      </c>
    </row>
    <row r="830" spans="1:5" x14ac:dyDescent="0.25">
      <c r="A830" s="41" t="s">
        <v>8157</v>
      </c>
      <c r="B830" s="41" t="s">
        <v>7450</v>
      </c>
      <c r="C830" s="41" t="s">
        <v>1351</v>
      </c>
      <c r="D830" s="41" t="s">
        <v>8266</v>
      </c>
      <c r="E830" s="41">
        <v>17900</v>
      </c>
    </row>
    <row r="831" spans="1:5" x14ac:dyDescent="0.25">
      <c r="A831" s="41" t="s">
        <v>8157</v>
      </c>
      <c r="B831" s="41" t="s">
        <v>7641</v>
      </c>
      <c r="C831" s="41" t="s">
        <v>1351</v>
      </c>
      <c r="D831" s="41" t="s">
        <v>8353</v>
      </c>
      <c r="E831" s="41">
        <v>37200</v>
      </c>
    </row>
    <row r="832" spans="1:5" x14ac:dyDescent="0.25">
      <c r="A832" s="41" t="s">
        <v>8157</v>
      </c>
      <c r="B832" s="41" t="s">
        <v>7641</v>
      </c>
      <c r="C832" s="41" t="s">
        <v>1351</v>
      </c>
      <c r="D832" s="41" t="s">
        <v>8354</v>
      </c>
      <c r="E832" s="41">
        <v>34600</v>
      </c>
    </row>
    <row r="833" spans="1:5" x14ac:dyDescent="0.25">
      <c r="A833" s="41" t="s">
        <v>8157</v>
      </c>
      <c r="B833" s="41" t="s">
        <v>7641</v>
      </c>
      <c r="C833" s="41" t="s">
        <v>1351</v>
      </c>
      <c r="D833" s="41" t="s">
        <v>8355</v>
      </c>
      <c r="E833" s="41">
        <v>32100</v>
      </c>
    </row>
    <row r="834" spans="1:5" x14ac:dyDescent="0.25">
      <c r="A834" s="41" t="s">
        <v>8157</v>
      </c>
      <c r="B834" s="41" t="s">
        <v>7641</v>
      </c>
      <c r="C834" s="41" t="s">
        <v>1351</v>
      </c>
      <c r="D834" s="41" t="s">
        <v>8178</v>
      </c>
      <c r="E834" s="41">
        <v>30600</v>
      </c>
    </row>
    <row r="835" spans="1:5" x14ac:dyDescent="0.25">
      <c r="A835" s="41" t="s">
        <v>8157</v>
      </c>
      <c r="B835" s="41" t="s">
        <v>7641</v>
      </c>
      <c r="C835" s="41" t="s">
        <v>1351</v>
      </c>
      <c r="D835" s="41" t="s">
        <v>8179</v>
      </c>
      <c r="E835" s="41">
        <v>29000</v>
      </c>
    </row>
    <row r="836" spans="1:5" x14ac:dyDescent="0.25">
      <c r="A836" s="41" t="s">
        <v>8157</v>
      </c>
      <c r="B836" s="41" t="s">
        <v>7641</v>
      </c>
      <c r="C836" s="41" t="s">
        <v>1351</v>
      </c>
      <c r="D836" s="41" t="s">
        <v>8337</v>
      </c>
      <c r="E836" s="41">
        <v>27500</v>
      </c>
    </row>
    <row r="837" spans="1:5" x14ac:dyDescent="0.25">
      <c r="A837" s="41" t="s">
        <v>8157</v>
      </c>
      <c r="B837" s="41" t="s">
        <v>7643</v>
      </c>
      <c r="C837" s="41" t="s">
        <v>1351</v>
      </c>
      <c r="D837" s="41" t="s">
        <v>8228</v>
      </c>
      <c r="E837" s="41">
        <v>23920</v>
      </c>
    </row>
    <row r="838" spans="1:5" x14ac:dyDescent="0.25">
      <c r="A838" s="41" t="s">
        <v>8157</v>
      </c>
      <c r="B838" s="41" t="s">
        <v>7643</v>
      </c>
      <c r="C838" s="41" t="s">
        <v>1351</v>
      </c>
      <c r="D838" s="41" t="s">
        <v>8176</v>
      </c>
      <c r="E838" s="41">
        <v>22320</v>
      </c>
    </row>
    <row r="839" spans="1:5" x14ac:dyDescent="0.25">
      <c r="A839" s="41" t="s">
        <v>8157</v>
      </c>
      <c r="B839" s="41" t="s">
        <v>7645</v>
      </c>
      <c r="C839" s="41" t="s">
        <v>1351</v>
      </c>
      <c r="D839" s="41" t="s">
        <v>8356</v>
      </c>
      <c r="E839" s="41">
        <v>21390</v>
      </c>
    </row>
    <row r="840" spans="1:5" x14ac:dyDescent="0.25">
      <c r="A840" s="41" t="s">
        <v>8157</v>
      </c>
      <c r="B840" s="41" t="s">
        <v>7645</v>
      </c>
      <c r="C840" s="41" t="s">
        <v>1351</v>
      </c>
      <c r="D840" s="41" t="s">
        <v>8357</v>
      </c>
      <c r="E840" s="41">
        <v>20886</v>
      </c>
    </row>
    <row r="841" spans="1:5" x14ac:dyDescent="0.25">
      <c r="A841" s="41" t="s">
        <v>8157</v>
      </c>
      <c r="B841" s="41" t="s">
        <v>7645</v>
      </c>
      <c r="C841" s="41" t="s">
        <v>1351</v>
      </c>
      <c r="D841" s="41" t="s">
        <v>8358</v>
      </c>
      <c r="E841" s="41">
        <v>19942</v>
      </c>
    </row>
    <row r="842" spans="1:5" x14ac:dyDescent="0.25">
      <c r="A842" s="41" t="s">
        <v>8157</v>
      </c>
      <c r="B842" s="41" t="s">
        <v>7645</v>
      </c>
      <c r="C842" s="41" t="s">
        <v>1351</v>
      </c>
      <c r="D842" s="41" t="s">
        <v>8168</v>
      </c>
      <c r="E842" s="41">
        <v>18860</v>
      </c>
    </row>
    <row r="843" spans="1:5" x14ac:dyDescent="0.25">
      <c r="A843" s="41" t="s">
        <v>8157</v>
      </c>
      <c r="B843" s="41" t="s">
        <v>7647</v>
      </c>
      <c r="C843" s="41" t="s">
        <v>1351</v>
      </c>
      <c r="D843" s="41" t="s">
        <v>8356</v>
      </c>
      <c r="E843" s="41">
        <v>28600</v>
      </c>
    </row>
    <row r="844" spans="1:5" x14ac:dyDescent="0.25">
      <c r="A844" s="41" t="s">
        <v>8157</v>
      </c>
      <c r="B844" s="41" t="s">
        <v>7647</v>
      </c>
      <c r="C844" s="41" t="s">
        <v>1351</v>
      </c>
      <c r="D844" s="41" t="s">
        <v>8359</v>
      </c>
      <c r="E844" s="41">
        <v>27100</v>
      </c>
    </row>
    <row r="845" spans="1:5" x14ac:dyDescent="0.25">
      <c r="A845" s="41" t="s">
        <v>8157</v>
      </c>
      <c r="B845" s="41" t="s">
        <v>7647</v>
      </c>
      <c r="C845" s="41" t="s">
        <v>1351</v>
      </c>
      <c r="D845" s="41" t="s">
        <v>8211</v>
      </c>
      <c r="E845" s="41">
        <v>25800</v>
      </c>
    </row>
    <row r="846" spans="1:5" x14ac:dyDescent="0.25">
      <c r="A846" s="41" t="s">
        <v>8157</v>
      </c>
      <c r="B846" s="41" t="s">
        <v>7649</v>
      </c>
      <c r="C846" s="41" t="s">
        <v>1351</v>
      </c>
      <c r="D846" s="41" t="s">
        <v>8158</v>
      </c>
      <c r="E846" s="41">
        <v>13700</v>
      </c>
    </row>
    <row r="847" spans="1:5" x14ac:dyDescent="0.25">
      <c r="A847" s="41" t="s">
        <v>8157</v>
      </c>
      <c r="B847" s="41" t="s">
        <v>7651</v>
      </c>
      <c r="C847" s="41" t="s">
        <v>1351</v>
      </c>
      <c r="D847" s="41" t="s">
        <v>8158</v>
      </c>
      <c r="E847" s="41">
        <v>10900</v>
      </c>
    </row>
    <row r="848" spans="1:5" x14ac:dyDescent="0.25">
      <c r="A848" s="41" t="s">
        <v>8157</v>
      </c>
      <c r="B848" s="41" t="s">
        <v>7653</v>
      </c>
      <c r="C848" s="41" t="s">
        <v>1351</v>
      </c>
      <c r="D848" s="41" t="s">
        <v>8158</v>
      </c>
      <c r="E848" s="41">
        <v>11800</v>
      </c>
    </row>
    <row r="849" spans="1:5" x14ac:dyDescent="0.25">
      <c r="A849" s="41" t="s">
        <v>8157</v>
      </c>
      <c r="B849" s="41" t="s">
        <v>7431</v>
      </c>
      <c r="C849" s="41" t="s">
        <v>1351</v>
      </c>
      <c r="D849" s="41" t="s">
        <v>8158</v>
      </c>
      <c r="E849" s="41">
        <v>8000</v>
      </c>
    </row>
    <row r="850" spans="1:5" x14ac:dyDescent="0.25">
      <c r="A850" s="41" t="s">
        <v>8157</v>
      </c>
      <c r="B850" s="41" t="s">
        <v>7656</v>
      </c>
      <c r="C850" s="41" t="s">
        <v>1351</v>
      </c>
      <c r="D850" s="41" t="s">
        <v>8360</v>
      </c>
      <c r="E850" s="41">
        <v>30250</v>
      </c>
    </row>
    <row r="851" spans="1:5" x14ac:dyDescent="0.25">
      <c r="A851" s="41" t="s">
        <v>8157</v>
      </c>
      <c r="B851" s="41" t="s">
        <v>7656</v>
      </c>
      <c r="C851" s="41" t="s">
        <v>1351</v>
      </c>
      <c r="D851" s="41" t="s">
        <v>8165</v>
      </c>
      <c r="E851" s="41">
        <v>28050</v>
      </c>
    </row>
    <row r="852" spans="1:5" x14ac:dyDescent="0.25">
      <c r="A852" s="41" t="s">
        <v>8157</v>
      </c>
      <c r="B852" s="41" t="s">
        <v>7656</v>
      </c>
      <c r="C852" s="41" t="s">
        <v>1351</v>
      </c>
      <c r="D852" s="41" t="s">
        <v>8266</v>
      </c>
      <c r="E852" s="41">
        <v>25740</v>
      </c>
    </row>
    <row r="853" spans="1:5" x14ac:dyDescent="0.25">
      <c r="A853" s="41" t="s">
        <v>8157</v>
      </c>
      <c r="B853" s="41" t="s">
        <v>7658</v>
      </c>
      <c r="C853" s="41" t="s">
        <v>1351</v>
      </c>
      <c r="D853" s="41" t="s">
        <v>8158</v>
      </c>
      <c r="E853" s="41">
        <v>11400</v>
      </c>
    </row>
    <row r="854" spans="1:5" x14ac:dyDescent="0.25">
      <c r="A854" s="41" t="s">
        <v>8157</v>
      </c>
      <c r="B854" s="41" t="s">
        <v>7660</v>
      </c>
      <c r="C854" s="41" t="s">
        <v>1351</v>
      </c>
      <c r="D854" s="41" t="s">
        <v>8158</v>
      </c>
      <c r="E854" s="41">
        <v>26000</v>
      </c>
    </row>
    <row r="855" spans="1:5" x14ac:dyDescent="0.25">
      <c r="A855" s="41" t="s">
        <v>8157</v>
      </c>
      <c r="B855" s="41" t="s">
        <v>7662</v>
      </c>
      <c r="C855" s="41" t="s">
        <v>1351</v>
      </c>
      <c r="D855" s="41" t="s">
        <v>8233</v>
      </c>
      <c r="E855" s="41">
        <v>47900</v>
      </c>
    </row>
    <row r="856" spans="1:5" x14ac:dyDescent="0.25">
      <c r="A856" s="41" t="s">
        <v>8157</v>
      </c>
      <c r="B856" s="41" t="s">
        <v>7662</v>
      </c>
      <c r="C856" s="41" t="s">
        <v>1351</v>
      </c>
      <c r="D856" s="41" t="s">
        <v>8361</v>
      </c>
      <c r="E856" s="41">
        <v>39900</v>
      </c>
    </row>
    <row r="857" spans="1:5" x14ac:dyDescent="0.25">
      <c r="A857" s="41" t="s">
        <v>8157</v>
      </c>
      <c r="B857" s="41" t="s">
        <v>7662</v>
      </c>
      <c r="C857" s="41" t="s">
        <v>1351</v>
      </c>
      <c r="D857" s="41" t="s">
        <v>8362</v>
      </c>
      <c r="E857" s="41">
        <v>38700</v>
      </c>
    </row>
    <row r="858" spans="1:5" x14ac:dyDescent="0.25">
      <c r="A858" s="41" t="s">
        <v>8157</v>
      </c>
      <c r="B858" s="41" t="s">
        <v>7662</v>
      </c>
      <c r="C858" s="41" t="s">
        <v>1351</v>
      </c>
      <c r="D858" s="41" t="s">
        <v>8166</v>
      </c>
      <c r="E858" s="41">
        <v>37200</v>
      </c>
    </row>
    <row r="859" spans="1:5" x14ac:dyDescent="0.25">
      <c r="A859" s="41" t="s">
        <v>8157</v>
      </c>
      <c r="B859" s="41" t="s">
        <v>7662</v>
      </c>
      <c r="C859" s="41" t="s">
        <v>1351</v>
      </c>
      <c r="D859" s="41" t="s">
        <v>8237</v>
      </c>
      <c r="E859" s="41">
        <v>35900</v>
      </c>
    </row>
    <row r="860" spans="1:5" x14ac:dyDescent="0.25">
      <c r="A860" s="41" t="s">
        <v>8157</v>
      </c>
      <c r="B860" s="41" t="s">
        <v>7664</v>
      </c>
      <c r="C860" s="41" t="s">
        <v>1351</v>
      </c>
      <c r="D860" s="41" t="s">
        <v>8158</v>
      </c>
      <c r="E860" s="41">
        <v>30200</v>
      </c>
    </row>
    <row r="861" spans="1:5" x14ac:dyDescent="0.25">
      <c r="A861" s="41" t="s">
        <v>8157</v>
      </c>
      <c r="B861" s="41" t="s">
        <v>7666</v>
      </c>
      <c r="C861" s="41" t="s">
        <v>1351</v>
      </c>
      <c r="D861" s="41" t="s">
        <v>8158</v>
      </c>
      <c r="E861" s="41">
        <v>25500</v>
      </c>
    </row>
    <row r="862" spans="1:5" x14ac:dyDescent="0.25">
      <c r="A862" s="41" t="s">
        <v>8157</v>
      </c>
      <c r="B862" s="41" t="s">
        <v>7668</v>
      </c>
      <c r="C862" s="41" t="s">
        <v>1351</v>
      </c>
      <c r="D862" s="41" t="s">
        <v>8158</v>
      </c>
      <c r="E862" s="41">
        <v>19500</v>
      </c>
    </row>
    <row r="863" spans="1:5" x14ac:dyDescent="0.25">
      <c r="A863" s="41" t="s">
        <v>8157</v>
      </c>
      <c r="B863" s="41" t="s">
        <v>7670</v>
      </c>
      <c r="C863" s="41" t="s">
        <v>1351</v>
      </c>
      <c r="D863" s="41" t="s">
        <v>8246</v>
      </c>
      <c r="E863" s="41">
        <v>22900</v>
      </c>
    </row>
    <row r="864" spans="1:5" x14ac:dyDescent="0.25">
      <c r="A864" s="41" t="s">
        <v>8157</v>
      </c>
      <c r="B864" s="41" t="s">
        <v>7670</v>
      </c>
      <c r="C864" s="41" t="s">
        <v>1351</v>
      </c>
      <c r="D864" s="41" t="s">
        <v>8363</v>
      </c>
      <c r="E864" s="41">
        <v>22700</v>
      </c>
    </row>
    <row r="865" spans="1:5" x14ac:dyDescent="0.25">
      <c r="A865" s="41" t="s">
        <v>8157</v>
      </c>
      <c r="B865" s="41" t="s">
        <v>7670</v>
      </c>
      <c r="C865" s="41" t="s">
        <v>1351</v>
      </c>
      <c r="D865" s="41" t="s">
        <v>8364</v>
      </c>
      <c r="E865" s="41">
        <v>21800</v>
      </c>
    </row>
    <row r="866" spans="1:5" x14ac:dyDescent="0.25">
      <c r="A866" s="41" t="s">
        <v>8157</v>
      </c>
      <c r="B866" s="41" t="s">
        <v>7670</v>
      </c>
      <c r="C866" s="41" t="s">
        <v>1351</v>
      </c>
      <c r="D866" s="41" t="s">
        <v>8188</v>
      </c>
      <c r="E866" s="41">
        <v>18200</v>
      </c>
    </row>
    <row r="867" spans="1:5" x14ac:dyDescent="0.25">
      <c r="A867" s="41" t="s">
        <v>8157</v>
      </c>
      <c r="B867" s="41" t="s">
        <v>7670</v>
      </c>
      <c r="C867" s="41" t="s">
        <v>1351</v>
      </c>
      <c r="D867" s="41" t="s">
        <v>8365</v>
      </c>
      <c r="E867" s="41">
        <v>13700</v>
      </c>
    </row>
    <row r="868" spans="1:5" x14ac:dyDescent="0.25">
      <c r="A868" s="41" t="s">
        <v>8157</v>
      </c>
      <c r="B868" s="41" t="s">
        <v>7670</v>
      </c>
      <c r="C868" s="41" t="s">
        <v>1351</v>
      </c>
      <c r="D868" s="41" t="s">
        <v>8234</v>
      </c>
      <c r="E868" s="41">
        <v>13600</v>
      </c>
    </row>
    <row r="869" spans="1:5" x14ac:dyDescent="0.25">
      <c r="A869" s="41" t="s">
        <v>8157</v>
      </c>
      <c r="B869" s="41" t="s">
        <v>7670</v>
      </c>
      <c r="C869" s="41" t="s">
        <v>1351</v>
      </c>
      <c r="D869" s="41" t="s">
        <v>8331</v>
      </c>
      <c r="E869" s="41">
        <v>11900</v>
      </c>
    </row>
    <row r="870" spans="1:5" x14ac:dyDescent="0.25">
      <c r="A870" s="41" t="s">
        <v>8157</v>
      </c>
      <c r="B870" s="41" t="s">
        <v>7673</v>
      </c>
      <c r="C870" s="41" t="s">
        <v>1351</v>
      </c>
      <c r="D870" s="41" t="s">
        <v>8298</v>
      </c>
      <c r="E870" s="41">
        <v>22900</v>
      </c>
    </row>
    <row r="871" spans="1:5" x14ac:dyDescent="0.25">
      <c r="A871" s="41" t="s">
        <v>8157</v>
      </c>
      <c r="B871" s="41" t="s">
        <v>7673</v>
      </c>
      <c r="C871" s="41" t="s">
        <v>1351</v>
      </c>
      <c r="D871" s="41" t="s">
        <v>8299</v>
      </c>
      <c r="E871" s="41">
        <v>22200</v>
      </c>
    </row>
    <row r="872" spans="1:5" x14ac:dyDescent="0.25">
      <c r="A872" s="41" t="s">
        <v>8157</v>
      </c>
      <c r="B872" s="41" t="s">
        <v>7673</v>
      </c>
      <c r="C872" s="41" t="s">
        <v>1351</v>
      </c>
      <c r="D872" s="41" t="s">
        <v>8327</v>
      </c>
      <c r="E872" s="41">
        <v>21700</v>
      </c>
    </row>
    <row r="873" spans="1:5" x14ac:dyDescent="0.25">
      <c r="A873" s="41" t="s">
        <v>8157</v>
      </c>
      <c r="B873" s="41" t="s">
        <v>7673</v>
      </c>
      <c r="C873" s="41" t="s">
        <v>1351</v>
      </c>
      <c r="D873" s="41" t="s">
        <v>8328</v>
      </c>
      <c r="E873" s="41">
        <v>20900</v>
      </c>
    </row>
    <row r="874" spans="1:5" x14ac:dyDescent="0.25">
      <c r="A874" s="41" t="s">
        <v>8157</v>
      </c>
      <c r="B874" s="41" t="s">
        <v>7676</v>
      </c>
      <c r="C874" s="41" t="s">
        <v>1351</v>
      </c>
      <c r="D874" s="41" t="s">
        <v>8366</v>
      </c>
      <c r="E874" s="41">
        <v>20800</v>
      </c>
    </row>
    <row r="875" spans="1:5" x14ac:dyDescent="0.25">
      <c r="A875" s="41" t="s">
        <v>8157</v>
      </c>
      <c r="B875" s="41" t="s">
        <v>7676</v>
      </c>
      <c r="C875" s="41" t="s">
        <v>1351</v>
      </c>
      <c r="D875" s="41" t="s">
        <v>8367</v>
      </c>
      <c r="E875" s="41">
        <v>20100</v>
      </c>
    </row>
    <row r="876" spans="1:5" x14ac:dyDescent="0.25">
      <c r="A876" s="41" t="s">
        <v>8157</v>
      </c>
      <c r="B876" s="41" t="s">
        <v>7676</v>
      </c>
      <c r="C876" s="41" t="s">
        <v>1351</v>
      </c>
      <c r="D876" s="41" t="s">
        <v>8368</v>
      </c>
      <c r="E876" s="41">
        <v>19300</v>
      </c>
    </row>
    <row r="877" spans="1:5" x14ac:dyDescent="0.25">
      <c r="A877" s="41" t="s">
        <v>8157</v>
      </c>
      <c r="B877" s="41" t="s">
        <v>7678</v>
      </c>
      <c r="C877" s="41" t="s">
        <v>1351</v>
      </c>
      <c r="D877" s="41" t="s">
        <v>8158</v>
      </c>
      <c r="E877" s="41">
        <v>11100</v>
      </c>
    </row>
    <row r="878" spans="1:5" x14ac:dyDescent="0.25">
      <c r="A878" s="41" t="s">
        <v>8157</v>
      </c>
      <c r="B878" s="41" t="s">
        <v>7680</v>
      </c>
      <c r="C878" s="41" t="s">
        <v>1351</v>
      </c>
      <c r="D878" s="41" t="s">
        <v>8360</v>
      </c>
      <c r="E878" s="41">
        <v>56400</v>
      </c>
    </row>
    <row r="879" spans="1:5" x14ac:dyDescent="0.25">
      <c r="A879" s="41" t="s">
        <v>8157</v>
      </c>
      <c r="B879" s="41" t="s">
        <v>7680</v>
      </c>
      <c r="C879" s="41" t="s">
        <v>1351</v>
      </c>
      <c r="D879" s="41" t="s">
        <v>8175</v>
      </c>
      <c r="E879" s="41">
        <v>49100</v>
      </c>
    </row>
    <row r="880" spans="1:5" x14ac:dyDescent="0.25">
      <c r="A880" s="41" t="s">
        <v>8157</v>
      </c>
      <c r="B880" s="41" t="s">
        <v>7680</v>
      </c>
      <c r="C880" s="41" t="s">
        <v>1351</v>
      </c>
      <c r="D880" s="41" t="s">
        <v>8176</v>
      </c>
      <c r="E880" s="41">
        <v>41900</v>
      </c>
    </row>
    <row r="881" spans="1:5" x14ac:dyDescent="0.25">
      <c r="A881" s="41" t="s">
        <v>8157</v>
      </c>
      <c r="B881" s="41" t="s">
        <v>7682</v>
      </c>
      <c r="C881" s="41" t="s">
        <v>1351</v>
      </c>
      <c r="D881" s="41" t="s">
        <v>8158</v>
      </c>
      <c r="E881" s="41">
        <v>73900</v>
      </c>
    </row>
    <row r="882" spans="1:5" x14ac:dyDescent="0.25">
      <c r="A882" s="41" t="s">
        <v>8157</v>
      </c>
      <c r="B882" s="41" t="s">
        <v>7684</v>
      </c>
      <c r="C882" s="41" t="s">
        <v>1351</v>
      </c>
      <c r="D882" s="41" t="s">
        <v>8158</v>
      </c>
      <c r="E882" s="41">
        <v>49300</v>
      </c>
    </row>
    <row r="883" spans="1:5" x14ac:dyDescent="0.25">
      <c r="A883" s="41" t="s">
        <v>8157</v>
      </c>
      <c r="B883" s="41" t="s">
        <v>7426</v>
      </c>
      <c r="C883" s="41" t="s">
        <v>1351</v>
      </c>
      <c r="D883" s="41" t="s">
        <v>8158</v>
      </c>
      <c r="E883" s="41">
        <v>2500</v>
      </c>
    </row>
    <row r="884" spans="1:5" x14ac:dyDescent="0.25">
      <c r="A884" s="41" t="s">
        <v>8157</v>
      </c>
      <c r="B884" s="41" t="s">
        <v>7687</v>
      </c>
      <c r="C884" s="41" t="s">
        <v>1351</v>
      </c>
      <c r="D884" s="41" t="s">
        <v>8348</v>
      </c>
      <c r="E884" s="41">
        <v>24200</v>
      </c>
    </row>
    <row r="885" spans="1:5" x14ac:dyDescent="0.25">
      <c r="A885" s="41" t="s">
        <v>8157</v>
      </c>
      <c r="B885" s="41" t="s">
        <v>7687</v>
      </c>
      <c r="C885" s="41" t="s">
        <v>1351</v>
      </c>
      <c r="D885" s="41" t="s">
        <v>8349</v>
      </c>
      <c r="E885" s="41">
        <v>23500</v>
      </c>
    </row>
    <row r="886" spans="1:5" x14ac:dyDescent="0.25">
      <c r="A886" s="41" t="s">
        <v>8157</v>
      </c>
      <c r="B886" s="41" t="s">
        <v>7689</v>
      </c>
      <c r="C886" s="41" t="s">
        <v>1351</v>
      </c>
      <c r="D886" s="41" t="s">
        <v>8158</v>
      </c>
      <c r="E886" s="41">
        <v>36900</v>
      </c>
    </row>
    <row r="887" spans="1:5" x14ac:dyDescent="0.25">
      <c r="A887" s="41" t="s">
        <v>8157</v>
      </c>
      <c r="B887" s="41" t="s">
        <v>7691</v>
      </c>
      <c r="C887" s="41" t="s">
        <v>1351</v>
      </c>
      <c r="D887" s="41" t="s">
        <v>8369</v>
      </c>
      <c r="E887" s="41">
        <v>231000</v>
      </c>
    </row>
    <row r="888" spans="1:5" x14ac:dyDescent="0.25">
      <c r="A888" s="41" t="s">
        <v>8157</v>
      </c>
      <c r="B888" s="41" t="s">
        <v>7691</v>
      </c>
      <c r="C888" s="41" t="s">
        <v>1351</v>
      </c>
      <c r="D888" s="41" t="s">
        <v>8370</v>
      </c>
      <c r="E888" s="41">
        <v>154300</v>
      </c>
    </row>
    <row r="889" spans="1:5" x14ac:dyDescent="0.25">
      <c r="A889" s="41" t="s">
        <v>8157</v>
      </c>
      <c r="B889" s="41" t="s">
        <v>7691</v>
      </c>
      <c r="C889" s="41" t="s">
        <v>1351</v>
      </c>
      <c r="D889" s="41" t="s">
        <v>8371</v>
      </c>
      <c r="E889" s="41">
        <v>81200</v>
      </c>
    </row>
    <row r="890" spans="1:5" x14ac:dyDescent="0.25">
      <c r="A890" s="41" t="s">
        <v>8157</v>
      </c>
      <c r="B890" s="41" t="s">
        <v>7691</v>
      </c>
      <c r="C890" s="41" t="s">
        <v>1351</v>
      </c>
      <c r="D890" s="41" t="s">
        <v>8372</v>
      </c>
      <c r="E890" s="41">
        <v>42800</v>
      </c>
    </row>
    <row r="891" spans="1:5" x14ac:dyDescent="0.25">
      <c r="A891" s="41" t="s">
        <v>8157</v>
      </c>
      <c r="B891" s="41" t="s">
        <v>7691</v>
      </c>
      <c r="C891" s="41" t="s">
        <v>1351</v>
      </c>
      <c r="D891" s="41" t="s">
        <v>8373</v>
      </c>
      <c r="E891" s="41">
        <v>37600</v>
      </c>
    </row>
    <row r="892" spans="1:5" x14ac:dyDescent="0.25">
      <c r="A892" s="41" t="s">
        <v>8157</v>
      </c>
      <c r="B892" s="41" t="s">
        <v>7693</v>
      </c>
      <c r="C892" s="41" t="s">
        <v>1351</v>
      </c>
      <c r="D892" s="41" t="s">
        <v>8374</v>
      </c>
      <c r="E892" s="41">
        <v>42900</v>
      </c>
    </row>
    <row r="893" spans="1:5" x14ac:dyDescent="0.25">
      <c r="A893" s="41" t="s">
        <v>8157</v>
      </c>
      <c r="B893" s="41" t="s">
        <v>7693</v>
      </c>
      <c r="C893" s="41" t="s">
        <v>1351</v>
      </c>
      <c r="D893" s="41" t="s">
        <v>8257</v>
      </c>
      <c r="E893" s="41">
        <v>36400</v>
      </c>
    </row>
    <row r="894" spans="1:5" x14ac:dyDescent="0.25">
      <c r="A894" s="41" t="s">
        <v>8157</v>
      </c>
      <c r="B894" s="41" t="s">
        <v>7693</v>
      </c>
      <c r="C894" s="41" t="s">
        <v>1351</v>
      </c>
      <c r="D894" s="41" t="s">
        <v>8375</v>
      </c>
      <c r="E894" s="41">
        <v>33000</v>
      </c>
    </row>
    <row r="895" spans="1:5" x14ac:dyDescent="0.25">
      <c r="A895" s="41" t="s">
        <v>8157</v>
      </c>
      <c r="B895" s="41" t="s">
        <v>7693</v>
      </c>
      <c r="C895" s="41" t="s">
        <v>1351</v>
      </c>
      <c r="D895" s="41" t="s">
        <v>8376</v>
      </c>
      <c r="E895" s="41">
        <v>30800</v>
      </c>
    </row>
    <row r="896" spans="1:5" x14ac:dyDescent="0.25">
      <c r="A896" s="41" t="s">
        <v>8157</v>
      </c>
      <c r="B896" s="41" t="s">
        <v>7693</v>
      </c>
      <c r="C896" s="41" t="s">
        <v>1351</v>
      </c>
      <c r="D896" s="41" t="s">
        <v>8377</v>
      </c>
      <c r="E896" s="41">
        <v>26900</v>
      </c>
    </row>
    <row r="897" spans="1:5" x14ac:dyDescent="0.25">
      <c r="A897" s="41" t="s">
        <v>8157</v>
      </c>
      <c r="B897" s="41" t="s">
        <v>7693</v>
      </c>
      <c r="C897" s="41" t="s">
        <v>1351</v>
      </c>
      <c r="D897" s="41" t="s">
        <v>8378</v>
      </c>
      <c r="E897" s="41">
        <v>26000</v>
      </c>
    </row>
    <row r="898" spans="1:5" x14ac:dyDescent="0.25">
      <c r="A898" s="41" t="s">
        <v>8157</v>
      </c>
      <c r="B898" s="41" t="s">
        <v>7693</v>
      </c>
      <c r="C898" s="41" t="s">
        <v>1351</v>
      </c>
      <c r="D898" s="41" t="s">
        <v>8379</v>
      </c>
      <c r="E898" s="41">
        <v>25000</v>
      </c>
    </row>
    <row r="899" spans="1:5" x14ac:dyDescent="0.25">
      <c r="A899" s="41" t="s">
        <v>8157</v>
      </c>
      <c r="B899" s="41" t="s">
        <v>7693</v>
      </c>
      <c r="C899" s="41" t="s">
        <v>1351</v>
      </c>
      <c r="D899" s="41" t="s">
        <v>8380</v>
      </c>
      <c r="E899" s="41">
        <v>23900</v>
      </c>
    </row>
    <row r="900" spans="1:5" x14ac:dyDescent="0.25">
      <c r="A900" s="41" t="s">
        <v>8157</v>
      </c>
      <c r="B900" s="41" t="s">
        <v>7693</v>
      </c>
      <c r="C900" s="41" t="s">
        <v>1351</v>
      </c>
      <c r="D900" s="41" t="s">
        <v>8381</v>
      </c>
      <c r="E900" s="41">
        <v>21700</v>
      </c>
    </row>
    <row r="901" spans="1:5" x14ac:dyDescent="0.25">
      <c r="A901" s="41" t="s">
        <v>8157</v>
      </c>
      <c r="B901" s="41" t="s">
        <v>7695</v>
      </c>
      <c r="C901" s="41" t="s">
        <v>1351</v>
      </c>
      <c r="D901" s="41" t="s">
        <v>8244</v>
      </c>
      <c r="E901" s="41">
        <v>31500</v>
      </c>
    </row>
    <row r="902" spans="1:5" x14ac:dyDescent="0.25">
      <c r="A902" s="41" t="s">
        <v>8157</v>
      </c>
      <c r="B902" s="41" t="s">
        <v>7695</v>
      </c>
      <c r="C902" s="41" t="s">
        <v>1351</v>
      </c>
      <c r="D902" s="41" t="s">
        <v>8382</v>
      </c>
      <c r="E902" s="41">
        <v>30400</v>
      </c>
    </row>
    <row r="903" spans="1:5" x14ac:dyDescent="0.25">
      <c r="A903" s="41" t="s">
        <v>8157</v>
      </c>
      <c r="B903" s="41" t="s">
        <v>7695</v>
      </c>
      <c r="C903" s="41" t="s">
        <v>1351</v>
      </c>
      <c r="D903" s="41" t="s">
        <v>8383</v>
      </c>
      <c r="E903" s="41">
        <v>29200</v>
      </c>
    </row>
    <row r="904" spans="1:5" x14ac:dyDescent="0.25">
      <c r="A904" s="41" t="s">
        <v>8157</v>
      </c>
      <c r="B904" s="41" t="s">
        <v>7697</v>
      </c>
      <c r="C904" s="41" t="s">
        <v>1351</v>
      </c>
      <c r="D904" s="41" t="s">
        <v>8384</v>
      </c>
      <c r="E904" s="41">
        <v>10700</v>
      </c>
    </row>
    <row r="905" spans="1:5" x14ac:dyDescent="0.25">
      <c r="A905" s="41" t="s">
        <v>8157</v>
      </c>
      <c r="B905" s="41" t="s">
        <v>7697</v>
      </c>
      <c r="C905" s="41" t="s">
        <v>1351</v>
      </c>
      <c r="D905" s="41" t="s">
        <v>8385</v>
      </c>
      <c r="E905" s="41">
        <v>14100</v>
      </c>
    </row>
    <row r="906" spans="1:5" x14ac:dyDescent="0.25">
      <c r="A906" s="41" t="s">
        <v>8157</v>
      </c>
      <c r="B906" s="41" t="s">
        <v>7697</v>
      </c>
      <c r="C906" s="41" t="s">
        <v>1351</v>
      </c>
      <c r="D906" s="41" t="s">
        <v>8386</v>
      </c>
      <c r="E906" s="41">
        <v>25500</v>
      </c>
    </row>
    <row r="907" spans="1:5" x14ac:dyDescent="0.25">
      <c r="A907" s="41" t="s">
        <v>8157</v>
      </c>
      <c r="B907" s="41" t="s">
        <v>7697</v>
      </c>
      <c r="C907" s="41" t="s">
        <v>1351</v>
      </c>
      <c r="D907" s="41" t="s">
        <v>8387</v>
      </c>
      <c r="E907" s="41">
        <v>19300</v>
      </c>
    </row>
    <row r="908" spans="1:5" x14ac:dyDescent="0.25">
      <c r="A908" s="41" t="s">
        <v>8157</v>
      </c>
      <c r="B908" s="41" t="s">
        <v>7699</v>
      </c>
      <c r="C908" s="41" t="s">
        <v>1351</v>
      </c>
      <c r="D908" s="41" t="s">
        <v>8158</v>
      </c>
      <c r="E908" s="41">
        <v>11900</v>
      </c>
    </row>
    <row r="909" spans="1:5" x14ac:dyDescent="0.25">
      <c r="A909" s="41" t="s">
        <v>8157</v>
      </c>
      <c r="B909" s="41" t="s">
        <v>7701</v>
      </c>
      <c r="C909" s="41" t="s">
        <v>1351</v>
      </c>
      <c r="D909" s="41" t="s">
        <v>8233</v>
      </c>
      <c r="E909" s="41">
        <v>13100</v>
      </c>
    </row>
    <row r="910" spans="1:5" x14ac:dyDescent="0.25">
      <c r="A910" s="41" t="s">
        <v>8157</v>
      </c>
      <c r="B910" s="41" t="s">
        <v>7701</v>
      </c>
      <c r="C910" s="41" t="s">
        <v>1351</v>
      </c>
      <c r="D910" s="41" t="s">
        <v>8347</v>
      </c>
      <c r="E910" s="41">
        <v>11300</v>
      </c>
    </row>
    <row r="911" spans="1:5" x14ac:dyDescent="0.25">
      <c r="A911" s="41" t="s">
        <v>8157</v>
      </c>
      <c r="B911" s="41" t="s">
        <v>7703</v>
      </c>
      <c r="C911" s="41" t="s">
        <v>1351</v>
      </c>
      <c r="D911" s="41" t="s">
        <v>8163</v>
      </c>
      <c r="E911" s="41">
        <v>57400</v>
      </c>
    </row>
    <row r="912" spans="1:5" x14ac:dyDescent="0.25">
      <c r="A912" s="41" t="s">
        <v>8157</v>
      </c>
      <c r="B912" s="41" t="s">
        <v>7703</v>
      </c>
      <c r="C912" s="41" t="s">
        <v>1351</v>
      </c>
      <c r="D912" s="41" t="s">
        <v>8388</v>
      </c>
      <c r="E912" s="41">
        <v>53400</v>
      </c>
    </row>
    <row r="913" spans="1:5" x14ac:dyDescent="0.25">
      <c r="A913" s="41" t="s">
        <v>8157</v>
      </c>
      <c r="B913" s="41" t="s">
        <v>7703</v>
      </c>
      <c r="C913" s="41" t="s">
        <v>1351</v>
      </c>
      <c r="D913" s="41" t="s">
        <v>8389</v>
      </c>
      <c r="E913" s="41">
        <v>49700</v>
      </c>
    </row>
    <row r="914" spans="1:5" x14ac:dyDescent="0.25">
      <c r="A914" s="41" t="s">
        <v>8157</v>
      </c>
      <c r="B914" s="41" t="s">
        <v>7703</v>
      </c>
      <c r="C914" s="41" t="s">
        <v>1351</v>
      </c>
      <c r="D914" s="41" t="s">
        <v>8199</v>
      </c>
      <c r="E914" s="41">
        <v>46300</v>
      </c>
    </row>
    <row r="915" spans="1:5" x14ac:dyDescent="0.25">
      <c r="A915" s="41" t="s">
        <v>8157</v>
      </c>
      <c r="B915" s="41" t="s">
        <v>7705</v>
      </c>
      <c r="C915" s="41" t="s">
        <v>1351</v>
      </c>
      <c r="D915" s="41" t="s">
        <v>8360</v>
      </c>
      <c r="E915" s="41">
        <v>43100</v>
      </c>
    </row>
    <row r="916" spans="1:5" x14ac:dyDescent="0.25">
      <c r="A916" s="41" t="s">
        <v>8157</v>
      </c>
      <c r="B916" s="41" t="s">
        <v>7705</v>
      </c>
      <c r="C916" s="41" t="s">
        <v>1351</v>
      </c>
      <c r="D916" s="41" t="s">
        <v>8218</v>
      </c>
      <c r="E916" s="41">
        <v>43300</v>
      </c>
    </row>
    <row r="917" spans="1:5" x14ac:dyDescent="0.25">
      <c r="A917" s="41" t="s">
        <v>8157</v>
      </c>
      <c r="B917" s="41" t="s">
        <v>7705</v>
      </c>
      <c r="C917" s="41" t="s">
        <v>1351</v>
      </c>
      <c r="D917" s="41" t="s">
        <v>8260</v>
      </c>
      <c r="E917" s="41">
        <v>46700</v>
      </c>
    </row>
    <row r="918" spans="1:5" x14ac:dyDescent="0.25">
      <c r="A918" s="41" t="s">
        <v>8157</v>
      </c>
      <c r="B918" s="41" t="s">
        <v>7707</v>
      </c>
      <c r="C918" s="41" t="s">
        <v>1351</v>
      </c>
      <c r="D918" s="41" t="s">
        <v>8360</v>
      </c>
      <c r="E918" s="41">
        <v>58500</v>
      </c>
    </row>
    <row r="919" spans="1:5" x14ac:dyDescent="0.25">
      <c r="A919" s="41" t="s">
        <v>8157</v>
      </c>
      <c r="B919" s="41" t="s">
        <v>7707</v>
      </c>
      <c r="C919" s="41" t="s">
        <v>1351</v>
      </c>
      <c r="D919" s="41" t="s">
        <v>8390</v>
      </c>
      <c r="E919" s="41">
        <v>56600</v>
      </c>
    </row>
    <row r="920" spans="1:5" x14ac:dyDescent="0.25">
      <c r="A920" s="41" t="s">
        <v>8157</v>
      </c>
      <c r="B920" s="41" t="s">
        <v>7707</v>
      </c>
      <c r="C920" s="41" t="s">
        <v>1351</v>
      </c>
      <c r="D920" s="41" t="s">
        <v>8391</v>
      </c>
      <c r="E920" s="41">
        <v>52400</v>
      </c>
    </row>
    <row r="921" spans="1:5" x14ac:dyDescent="0.25">
      <c r="A921" s="41" t="s">
        <v>8157</v>
      </c>
      <c r="B921" s="41" t="s">
        <v>7707</v>
      </c>
      <c r="C921" s="41" t="s">
        <v>1351</v>
      </c>
      <c r="D921" s="41" t="s">
        <v>8392</v>
      </c>
      <c r="E921" s="41">
        <v>51800</v>
      </c>
    </row>
    <row r="922" spans="1:5" x14ac:dyDescent="0.25">
      <c r="A922" s="41" t="s">
        <v>8157</v>
      </c>
      <c r="B922" s="41" t="s">
        <v>7707</v>
      </c>
      <c r="C922" s="41" t="s">
        <v>1351</v>
      </c>
      <c r="D922" s="41" t="s">
        <v>8393</v>
      </c>
      <c r="E922" s="41">
        <v>40900</v>
      </c>
    </row>
    <row r="923" spans="1:5" x14ac:dyDescent="0.25">
      <c r="A923" s="41" t="s">
        <v>8157</v>
      </c>
      <c r="B923" s="41" t="s">
        <v>7707</v>
      </c>
      <c r="C923" s="41" t="s">
        <v>1351</v>
      </c>
      <c r="D923" s="41" t="s">
        <v>8205</v>
      </c>
      <c r="E923" s="41">
        <v>38900</v>
      </c>
    </row>
    <row r="924" spans="1:5" x14ac:dyDescent="0.25">
      <c r="A924" s="41" t="s">
        <v>8157</v>
      </c>
      <c r="B924" s="41" t="s">
        <v>7709</v>
      </c>
      <c r="C924" s="41" t="s">
        <v>1351</v>
      </c>
      <c r="D924" s="41" t="s">
        <v>8158</v>
      </c>
      <c r="E924" s="41">
        <v>51700</v>
      </c>
    </row>
    <row r="925" spans="1:5" x14ac:dyDescent="0.25">
      <c r="A925" s="41" t="s">
        <v>8157</v>
      </c>
      <c r="B925" s="41" t="s">
        <v>7711</v>
      </c>
      <c r="C925" s="41" t="s">
        <v>1351</v>
      </c>
      <c r="D925" s="41" t="s">
        <v>8394</v>
      </c>
      <c r="E925" s="41">
        <v>36160</v>
      </c>
    </row>
    <row r="926" spans="1:5" x14ac:dyDescent="0.25">
      <c r="A926" s="41" t="s">
        <v>8157</v>
      </c>
      <c r="B926" s="41" t="s">
        <v>7711</v>
      </c>
      <c r="C926" s="41" t="s">
        <v>1351</v>
      </c>
      <c r="D926" s="41" t="s">
        <v>8395</v>
      </c>
      <c r="E926" s="41">
        <v>38480</v>
      </c>
    </row>
    <row r="927" spans="1:5" x14ac:dyDescent="0.25">
      <c r="A927" s="41" t="s">
        <v>8157</v>
      </c>
      <c r="B927" s="41" t="s">
        <v>7711</v>
      </c>
      <c r="C927" s="41" t="s">
        <v>1351</v>
      </c>
      <c r="D927" s="41" t="s">
        <v>8396</v>
      </c>
      <c r="E927" s="41">
        <v>39840</v>
      </c>
    </row>
    <row r="928" spans="1:5" x14ac:dyDescent="0.25">
      <c r="A928" s="41" t="s">
        <v>8157</v>
      </c>
      <c r="B928" s="41" t="s">
        <v>7713</v>
      </c>
      <c r="C928" s="41" t="s">
        <v>1351</v>
      </c>
      <c r="D928" s="41" t="s">
        <v>8158</v>
      </c>
      <c r="E928" s="41">
        <v>63100</v>
      </c>
    </row>
    <row r="929" spans="1:5" x14ac:dyDescent="0.25">
      <c r="A929" s="41" t="s">
        <v>8157</v>
      </c>
      <c r="B929" s="41" t="s">
        <v>7715</v>
      </c>
      <c r="C929" s="41" t="s">
        <v>1351</v>
      </c>
      <c r="D929" s="41" t="s">
        <v>8158</v>
      </c>
      <c r="E929" s="41">
        <v>60500</v>
      </c>
    </row>
    <row r="930" spans="1:5" x14ac:dyDescent="0.25">
      <c r="A930" s="41" t="s">
        <v>8157</v>
      </c>
      <c r="B930" s="41" t="s">
        <v>7717</v>
      </c>
      <c r="C930" s="41" t="s">
        <v>1351</v>
      </c>
      <c r="D930" s="41" t="s">
        <v>8158</v>
      </c>
      <c r="E930" s="41">
        <v>108100</v>
      </c>
    </row>
    <row r="931" spans="1:5" x14ac:dyDescent="0.25">
      <c r="A931" s="41" t="s">
        <v>8157</v>
      </c>
      <c r="B931" s="41" t="s">
        <v>7719</v>
      </c>
      <c r="C931" s="41" t="s">
        <v>1351</v>
      </c>
      <c r="D931" s="41" t="s">
        <v>8158</v>
      </c>
      <c r="E931" s="41">
        <v>55000</v>
      </c>
    </row>
    <row r="932" spans="1:5" x14ac:dyDescent="0.25">
      <c r="A932" s="41" t="s">
        <v>8157</v>
      </c>
      <c r="B932" s="41" t="s">
        <v>7721</v>
      </c>
      <c r="C932" s="41" t="s">
        <v>1351</v>
      </c>
      <c r="D932" s="41" t="s">
        <v>8158</v>
      </c>
      <c r="E932" s="41">
        <v>65000</v>
      </c>
    </row>
    <row r="933" spans="1:5" x14ac:dyDescent="0.25">
      <c r="A933" s="41" t="s">
        <v>8157</v>
      </c>
      <c r="B933" s="41" t="s">
        <v>7723</v>
      </c>
      <c r="C933" s="41" t="s">
        <v>1351</v>
      </c>
      <c r="D933" s="41" t="s">
        <v>8158</v>
      </c>
      <c r="E933" s="41">
        <v>33600</v>
      </c>
    </row>
    <row r="934" spans="1:5" x14ac:dyDescent="0.25">
      <c r="A934" s="41" t="s">
        <v>8157</v>
      </c>
      <c r="B934" s="41" t="s">
        <v>7725</v>
      </c>
      <c r="C934" s="41" t="s">
        <v>1351</v>
      </c>
      <c r="D934" s="41" t="s">
        <v>8158</v>
      </c>
      <c r="E934" s="41">
        <v>34200</v>
      </c>
    </row>
    <row r="935" spans="1:5" x14ac:dyDescent="0.25">
      <c r="A935" s="41" t="s">
        <v>8157</v>
      </c>
      <c r="B935" s="41" t="s">
        <v>7727</v>
      </c>
      <c r="C935" s="41" t="s">
        <v>1351</v>
      </c>
      <c r="D935" s="41" t="s">
        <v>8177</v>
      </c>
      <c r="E935" s="41">
        <v>30400</v>
      </c>
    </row>
    <row r="936" spans="1:5" x14ac:dyDescent="0.25">
      <c r="A936" s="41" t="s">
        <v>8157</v>
      </c>
      <c r="B936" s="41" t="s">
        <v>7727</v>
      </c>
      <c r="C936" s="41" t="s">
        <v>1351</v>
      </c>
      <c r="D936" s="41" t="s">
        <v>8336</v>
      </c>
      <c r="E936" s="41">
        <v>28300</v>
      </c>
    </row>
    <row r="937" spans="1:5" x14ac:dyDescent="0.25">
      <c r="A937" s="41" t="s">
        <v>8157</v>
      </c>
      <c r="B937" s="41" t="s">
        <v>7727</v>
      </c>
      <c r="C937" s="41" t="s">
        <v>1351</v>
      </c>
      <c r="D937" s="41" t="s">
        <v>8397</v>
      </c>
      <c r="E937" s="41">
        <v>26300</v>
      </c>
    </row>
    <row r="938" spans="1:5" x14ac:dyDescent="0.25">
      <c r="A938" s="41" t="s">
        <v>8157</v>
      </c>
      <c r="B938" s="41" t="s">
        <v>7727</v>
      </c>
      <c r="C938" s="41" t="s">
        <v>1351</v>
      </c>
      <c r="D938" s="41" t="s">
        <v>8398</v>
      </c>
      <c r="E938" s="41">
        <v>24500</v>
      </c>
    </row>
    <row r="939" spans="1:5" x14ac:dyDescent="0.25">
      <c r="A939" s="41" t="s">
        <v>8157</v>
      </c>
      <c r="B939" s="41" t="s">
        <v>7731</v>
      </c>
      <c r="C939" s="41" t="s">
        <v>1351</v>
      </c>
      <c r="D939" s="41" t="s">
        <v>8158</v>
      </c>
      <c r="E939" s="41">
        <v>35500</v>
      </c>
    </row>
    <row r="940" spans="1:5" x14ac:dyDescent="0.25">
      <c r="A940" s="41" t="s">
        <v>8157</v>
      </c>
      <c r="B940" s="41" t="s">
        <v>7733</v>
      </c>
      <c r="C940" s="41" t="s">
        <v>1351</v>
      </c>
      <c r="D940" s="41" t="s">
        <v>8158</v>
      </c>
      <c r="E940" s="41">
        <v>34500</v>
      </c>
    </row>
    <row r="941" spans="1:5" x14ac:dyDescent="0.25">
      <c r="A941" s="41" t="s">
        <v>8157</v>
      </c>
      <c r="B941" s="41" t="s">
        <v>7729</v>
      </c>
      <c r="C941" s="41" t="s">
        <v>1351</v>
      </c>
      <c r="D941" s="41" t="s">
        <v>8399</v>
      </c>
      <c r="E941" s="41">
        <v>38520</v>
      </c>
    </row>
    <row r="942" spans="1:5" x14ac:dyDescent="0.25">
      <c r="A942" s="41" t="s">
        <v>8157</v>
      </c>
      <c r="B942" s="41" t="s">
        <v>7729</v>
      </c>
      <c r="C942" s="41" t="s">
        <v>1351</v>
      </c>
      <c r="D942" s="41" t="s">
        <v>8400</v>
      </c>
      <c r="E942" s="41">
        <v>33120</v>
      </c>
    </row>
    <row r="943" spans="1:5" x14ac:dyDescent="0.25">
      <c r="A943" s="41" t="s">
        <v>8157</v>
      </c>
      <c r="B943" s="41" t="s">
        <v>7729</v>
      </c>
      <c r="C943" s="41" t="s">
        <v>1351</v>
      </c>
      <c r="D943" s="41" t="s">
        <v>8401</v>
      </c>
      <c r="E943" s="41">
        <v>32760</v>
      </c>
    </row>
    <row r="944" spans="1:5" x14ac:dyDescent="0.25">
      <c r="A944" s="41" t="s">
        <v>8157</v>
      </c>
      <c r="B944" s="41" t="s">
        <v>7729</v>
      </c>
      <c r="C944" s="41" t="s">
        <v>1351</v>
      </c>
      <c r="D944" s="41" t="s">
        <v>8402</v>
      </c>
      <c r="E944" s="41">
        <v>31200</v>
      </c>
    </row>
    <row r="945" spans="1:5" x14ac:dyDescent="0.25">
      <c r="A945" s="41" t="s">
        <v>8157</v>
      </c>
      <c r="B945" s="41" t="s">
        <v>7729</v>
      </c>
      <c r="C945" s="41" t="s">
        <v>1351</v>
      </c>
      <c r="D945" s="41" t="s">
        <v>8403</v>
      </c>
      <c r="E945" s="41">
        <v>29760</v>
      </c>
    </row>
    <row r="946" spans="1:5" x14ac:dyDescent="0.25">
      <c r="A946" s="41" t="s">
        <v>8157</v>
      </c>
      <c r="B946" s="41" t="s">
        <v>7447</v>
      </c>
      <c r="C946" s="41" t="s">
        <v>1351</v>
      </c>
      <c r="D946" s="41" t="s">
        <v>8404</v>
      </c>
      <c r="E946" s="41">
        <v>45600</v>
      </c>
    </row>
    <row r="947" spans="1:5" x14ac:dyDescent="0.25">
      <c r="A947" s="41" t="s">
        <v>8157</v>
      </c>
      <c r="B947" s="41" t="s">
        <v>7447</v>
      </c>
      <c r="C947" s="41" t="s">
        <v>1351</v>
      </c>
      <c r="D947" s="41" t="s">
        <v>8405</v>
      </c>
      <c r="E947" s="41">
        <v>42400</v>
      </c>
    </row>
    <row r="948" spans="1:5" x14ac:dyDescent="0.25">
      <c r="A948" s="41" t="s">
        <v>8157</v>
      </c>
      <c r="B948" s="41" t="s">
        <v>7447</v>
      </c>
      <c r="C948" s="41" t="s">
        <v>1351</v>
      </c>
      <c r="D948" s="41" t="s">
        <v>8406</v>
      </c>
      <c r="E948" s="41">
        <v>39400</v>
      </c>
    </row>
    <row r="949" spans="1:5" x14ac:dyDescent="0.25">
      <c r="A949" s="41" t="s">
        <v>8157</v>
      </c>
      <c r="B949" s="41" t="s">
        <v>7447</v>
      </c>
      <c r="C949" s="41" t="s">
        <v>1351</v>
      </c>
      <c r="D949" s="41" t="s">
        <v>8407</v>
      </c>
      <c r="E949" s="41">
        <v>36600</v>
      </c>
    </row>
    <row r="950" spans="1:5" x14ac:dyDescent="0.25">
      <c r="A950" s="41" t="s">
        <v>8157</v>
      </c>
      <c r="B950" s="41" t="s">
        <v>7447</v>
      </c>
      <c r="C950" s="41" t="s">
        <v>1351</v>
      </c>
      <c r="D950" s="41" t="s">
        <v>8408</v>
      </c>
      <c r="E950" s="41">
        <v>34000</v>
      </c>
    </row>
    <row r="951" spans="1:5" x14ac:dyDescent="0.25">
      <c r="A951" s="41" t="s">
        <v>8157</v>
      </c>
      <c r="B951" s="41" t="s">
        <v>7736</v>
      </c>
      <c r="C951" s="41" t="s">
        <v>1351</v>
      </c>
      <c r="D951" s="41" t="s">
        <v>8360</v>
      </c>
      <c r="E951" s="41">
        <v>43300</v>
      </c>
    </row>
    <row r="952" spans="1:5" x14ac:dyDescent="0.25">
      <c r="A952" s="41" t="s">
        <v>8157</v>
      </c>
      <c r="B952" s="41" t="s">
        <v>7736</v>
      </c>
      <c r="C952" s="41" t="s">
        <v>1351</v>
      </c>
      <c r="D952" s="41" t="s">
        <v>8162</v>
      </c>
      <c r="E952" s="41">
        <v>33900</v>
      </c>
    </row>
    <row r="953" spans="1:5" x14ac:dyDescent="0.25">
      <c r="A953" s="41" t="s">
        <v>8157</v>
      </c>
      <c r="B953" s="41" t="s">
        <v>7738</v>
      </c>
      <c r="C953" s="41" t="s">
        <v>1351</v>
      </c>
      <c r="D953" s="41" t="s">
        <v>8172</v>
      </c>
      <c r="E953" s="41">
        <v>42800</v>
      </c>
    </row>
    <row r="954" spans="1:5" x14ac:dyDescent="0.25">
      <c r="A954" s="41" t="s">
        <v>8157</v>
      </c>
      <c r="B954" s="41" t="s">
        <v>7738</v>
      </c>
      <c r="C954" s="41" t="s">
        <v>1351</v>
      </c>
      <c r="D954" s="41" t="s">
        <v>8173</v>
      </c>
      <c r="E954" s="41">
        <v>39800</v>
      </c>
    </row>
    <row r="955" spans="1:5" x14ac:dyDescent="0.25">
      <c r="A955" s="41" t="s">
        <v>8157</v>
      </c>
      <c r="B955" s="41" t="s">
        <v>7738</v>
      </c>
      <c r="C955" s="41" t="s">
        <v>1351</v>
      </c>
      <c r="D955" s="41" t="s">
        <v>8409</v>
      </c>
      <c r="E955" s="41">
        <v>37000</v>
      </c>
    </row>
    <row r="956" spans="1:5" x14ac:dyDescent="0.25">
      <c r="A956" s="41" t="s">
        <v>8157</v>
      </c>
      <c r="B956" s="41" t="s">
        <v>7738</v>
      </c>
      <c r="C956" s="41" t="s">
        <v>1351</v>
      </c>
      <c r="D956" s="41" t="s">
        <v>8410</v>
      </c>
      <c r="E956" s="41">
        <v>34400</v>
      </c>
    </row>
    <row r="957" spans="1:5" x14ac:dyDescent="0.25">
      <c r="A957" s="41" t="s">
        <v>8157</v>
      </c>
      <c r="B957" s="41" t="s">
        <v>7738</v>
      </c>
      <c r="C957" s="41" t="s">
        <v>1351</v>
      </c>
      <c r="D957" s="41" t="s">
        <v>8411</v>
      </c>
      <c r="E957" s="41">
        <v>32000</v>
      </c>
    </row>
    <row r="958" spans="1:5" x14ac:dyDescent="0.25">
      <c r="A958" s="41" t="s">
        <v>8157</v>
      </c>
      <c r="B958" s="41" t="s">
        <v>7738</v>
      </c>
      <c r="C958" s="41" t="s">
        <v>1351</v>
      </c>
      <c r="D958" s="41" t="s">
        <v>8260</v>
      </c>
      <c r="E958" s="41">
        <v>28800</v>
      </c>
    </row>
    <row r="959" spans="1:5" x14ac:dyDescent="0.25">
      <c r="A959" s="41" t="s">
        <v>8157</v>
      </c>
      <c r="B959" s="41" t="s">
        <v>7740</v>
      </c>
      <c r="C959" s="41" t="s">
        <v>1351</v>
      </c>
      <c r="D959" s="41" t="s">
        <v>8158</v>
      </c>
      <c r="E959" s="41">
        <v>36600</v>
      </c>
    </row>
    <row r="960" spans="1:5" x14ac:dyDescent="0.25">
      <c r="A960" s="41" t="s">
        <v>8157</v>
      </c>
      <c r="B960" s="41" t="s">
        <v>7742</v>
      </c>
      <c r="C960" s="41" t="s">
        <v>1351</v>
      </c>
      <c r="D960" s="41" t="s">
        <v>8158</v>
      </c>
      <c r="E960" s="41">
        <v>32100</v>
      </c>
    </row>
    <row r="961" spans="1:5" x14ac:dyDescent="0.25">
      <c r="A961" s="41" t="s">
        <v>8157</v>
      </c>
      <c r="B961" s="41" t="s">
        <v>7744</v>
      </c>
      <c r="C961" s="41" t="s">
        <v>1351</v>
      </c>
      <c r="D961" s="41" t="s">
        <v>8177</v>
      </c>
      <c r="E961" s="41">
        <v>38200</v>
      </c>
    </row>
    <row r="962" spans="1:5" x14ac:dyDescent="0.25">
      <c r="A962" s="41" t="s">
        <v>8157</v>
      </c>
      <c r="B962" s="41" t="s">
        <v>7744</v>
      </c>
      <c r="C962" s="41" t="s">
        <v>1351</v>
      </c>
      <c r="D962" s="41" t="s">
        <v>8178</v>
      </c>
      <c r="E962" s="41">
        <v>36300</v>
      </c>
    </row>
    <row r="963" spans="1:5" x14ac:dyDescent="0.25">
      <c r="A963" s="41" t="s">
        <v>8157</v>
      </c>
      <c r="B963" s="41" t="s">
        <v>7744</v>
      </c>
      <c r="C963" s="41" t="s">
        <v>1351</v>
      </c>
      <c r="D963" s="41" t="s">
        <v>8218</v>
      </c>
      <c r="E963" s="41">
        <v>33800</v>
      </c>
    </row>
    <row r="964" spans="1:5" x14ac:dyDescent="0.25">
      <c r="A964" s="41" t="s">
        <v>8157</v>
      </c>
      <c r="B964" s="41" t="s">
        <v>7744</v>
      </c>
      <c r="C964" s="41" t="s">
        <v>1351</v>
      </c>
      <c r="D964" s="41" t="s">
        <v>8412</v>
      </c>
      <c r="E964" s="41">
        <v>31400</v>
      </c>
    </row>
    <row r="965" spans="1:5" x14ac:dyDescent="0.25">
      <c r="A965" s="41" t="s">
        <v>8157</v>
      </c>
      <c r="B965" s="41" t="s">
        <v>7744</v>
      </c>
      <c r="C965" s="41" t="s">
        <v>1351</v>
      </c>
      <c r="D965" s="41" t="s">
        <v>8383</v>
      </c>
      <c r="E965" s="41">
        <v>29200</v>
      </c>
    </row>
    <row r="966" spans="1:5" x14ac:dyDescent="0.25">
      <c r="A966" s="41" t="s">
        <v>8157</v>
      </c>
      <c r="B966" s="41" t="s">
        <v>7746</v>
      </c>
      <c r="C966" s="41" t="s">
        <v>1351</v>
      </c>
      <c r="D966" s="41" t="s">
        <v>8360</v>
      </c>
      <c r="E966" s="41">
        <v>46100</v>
      </c>
    </row>
    <row r="967" spans="1:5" x14ac:dyDescent="0.25">
      <c r="A967" s="41" t="s">
        <v>8157</v>
      </c>
      <c r="B967" s="41" t="s">
        <v>7746</v>
      </c>
      <c r="C967" s="41" t="s">
        <v>1351</v>
      </c>
      <c r="D967" s="41" t="s">
        <v>8413</v>
      </c>
      <c r="E967" s="41">
        <v>42900</v>
      </c>
    </row>
    <row r="968" spans="1:5" x14ac:dyDescent="0.25">
      <c r="A968" s="41" t="s">
        <v>8157</v>
      </c>
      <c r="B968" s="41" t="s">
        <v>7746</v>
      </c>
      <c r="C968" s="41" t="s">
        <v>1351</v>
      </c>
      <c r="D968" s="41" t="s">
        <v>8257</v>
      </c>
      <c r="E968" s="41">
        <v>39900</v>
      </c>
    </row>
    <row r="969" spans="1:5" x14ac:dyDescent="0.25">
      <c r="A969" s="41" t="s">
        <v>8157</v>
      </c>
      <c r="B969" s="41" t="s">
        <v>7746</v>
      </c>
      <c r="C969" s="41" t="s">
        <v>1351</v>
      </c>
      <c r="D969" s="41" t="s">
        <v>8414</v>
      </c>
      <c r="E969" s="41">
        <v>37100</v>
      </c>
    </row>
    <row r="970" spans="1:5" x14ac:dyDescent="0.25">
      <c r="A970" s="41" t="s">
        <v>8157</v>
      </c>
      <c r="B970" s="41" t="s">
        <v>7746</v>
      </c>
      <c r="C970" s="41" t="s">
        <v>1351</v>
      </c>
      <c r="D970" s="41" t="s">
        <v>8403</v>
      </c>
      <c r="E970" s="41">
        <v>29210</v>
      </c>
    </row>
    <row r="971" spans="1:5" x14ac:dyDescent="0.25">
      <c r="A971" s="41" t="s">
        <v>8157</v>
      </c>
      <c r="B971" s="41" t="s">
        <v>7748</v>
      </c>
      <c r="C971" s="41" t="s">
        <v>1351</v>
      </c>
      <c r="D971" s="41" t="s">
        <v>8261</v>
      </c>
      <c r="E971" s="41">
        <v>42800</v>
      </c>
    </row>
    <row r="972" spans="1:5" x14ac:dyDescent="0.25">
      <c r="A972" s="41" t="s">
        <v>8157</v>
      </c>
      <c r="B972" s="41" t="s">
        <v>7748</v>
      </c>
      <c r="C972" s="41" t="s">
        <v>1351</v>
      </c>
      <c r="D972" s="41" t="s">
        <v>8181</v>
      </c>
      <c r="E972" s="41">
        <v>39800</v>
      </c>
    </row>
    <row r="973" spans="1:5" x14ac:dyDescent="0.25">
      <c r="A973" s="41" t="s">
        <v>8157</v>
      </c>
      <c r="B973" s="41" t="s">
        <v>7748</v>
      </c>
      <c r="C973" s="41" t="s">
        <v>1351</v>
      </c>
      <c r="D973" s="41" t="s">
        <v>8208</v>
      </c>
      <c r="E973" s="41">
        <v>37000</v>
      </c>
    </row>
    <row r="974" spans="1:5" x14ac:dyDescent="0.25">
      <c r="A974" s="41" t="s">
        <v>8157</v>
      </c>
      <c r="B974" s="41" t="s">
        <v>7748</v>
      </c>
      <c r="C974" s="41" t="s">
        <v>1351</v>
      </c>
      <c r="D974" s="41" t="s">
        <v>8415</v>
      </c>
      <c r="E974" s="41">
        <v>34400</v>
      </c>
    </row>
    <row r="975" spans="1:5" x14ac:dyDescent="0.25">
      <c r="A975" s="41" t="s">
        <v>8157</v>
      </c>
      <c r="B975" s="41" t="s">
        <v>7748</v>
      </c>
      <c r="C975" s="41" t="s">
        <v>1351</v>
      </c>
      <c r="D975" s="41" t="s">
        <v>8416</v>
      </c>
      <c r="E975" s="41">
        <v>32000</v>
      </c>
    </row>
    <row r="976" spans="1:5" x14ac:dyDescent="0.25">
      <c r="A976" s="41" t="s">
        <v>8157</v>
      </c>
      <c r="B976" s="41" t="s">
        <v>7748</v>
      </c>
      <c r="C976" s="41" t="s">
        <v>1351</v>
      </c>
      <c r="D976" s="41" t="s">
        <v>8417</v>
      </c>
      <c r="E976" s="41">
        <v>29800</v>
      </c>
    </row>
    <row r="977" spans="1:5" x14ac:dyDescent="0.25">
      <c r="A977" s="41" t="s">
        <v>8157</v>
      </c>
      <c r="B977" s="41" t="s">
        <v>7748</v>
      </c>
      <c r="C977" s="41" t="s">
        <v>1351</v>
      </c>
      <c r="D977" s="41" t="s">
        <v>8418</v>
      </c>
      <c r="E977" s="41">
        <v>27700</v>
      </c>
    </row>
    <row r="978" spans="1:5" x14ac:dyDescent="0.25">
      <c r="A978" s="41" t="s">
        <v>8157</v>
      </c>
      <c r="B978" s="41" t="s">
        <v>7750</v>
      </c>
      <c r="C978" s="41" t="s">
        <v>1351</v>
      </c>
      <c r="D978" s="41" t="s">
        <v>8177</v>
      </c>
      <c r="E978" s="41">
        <v>38000</v>
      </c>
    </row>
    <row r="979" spans="1:5" x14ac:dyDescent="0.25">
      <c r="A979" s="41" t="s">
        <v>8157</v>
      </c>
      <c r="B979" s="41" t="s">
        <v>7750</v>
      </c>
      <c r="C979" s="41" t="s">
        <v>1351</v>
      </c>
      <c r="D979" s="41" t="s">
        <v>8178</v>
      </c>
      <c r="E979" s="41">
        <v>34500</v>
      </c>
    </row>
    <row r="980" spans="1:5" x14ac:dyDescent="0.25">
      <c r="A980" s="41" t="s">
        <v>8157</v>
      </c>
      <c r="B980" s="41" t="s">
        <v>7750</v>
      </c>
      <c r="C980" s="41" t="s">
        <v>1351</v>
      </c>
      <c r="D980" s="41" t="s">
        <v>8419</v>
      </c>
      <c r="E980" s="41">
        <v>33600</v>
      </c>
    </row>
    <row r="981" spans="1:5" x14ac:dyDescent="0.25">
      <c r="A981" s="41" t="s">
        <v>8157</v>
      </c>
      <c r="B981" s="41" t="s">
        <v>7750</v>
      </c>
      <c r="C981" s="41" t="s">
        <v>1351</v>
      </c>
      <c r="D981" s="41" t="s">
        <v>8420</v>
      </c>
      <c r="E981" s="41">
        <v>32800</v>
      </c>
    </row>
    <row r="982" spans="1:5" x14ac:dyDescent="0.25">
      <c r="A982" s="41" t="s">
        <v>8157</v>
      </c>
      <c r="B982" s="41" t="s">
        <v>7750</v>
      </c>
      <c r="C982" s="41" t="s">
        <v>1351</v>
      </c>
      <c r="D982" s="41" t="s">
        <v>8199</v>
      </c>
      <c r="E982" s="41">
        <v>31000</v>
      </c>
    </row>
    <row r="983" spans="1:5" x14ac:dyDescent="0.25">
      <c r="A983" s="41" t="s">
        <v>8157</v>
      </c>
      <c r="B983" s="41" t="s">
        <v>7752</v>
      </c>
      <c r="C983" s="41" t="s">
        <v>1351</v>
      </c>
      <c r="D983" s="41" t="s">
        <v>8300</v>
      </c>
      <c r="E983" s="41">
        <v>38000</v>
      </c>
    </row>
    <row r="984" spans="1:5" x14ac:dyDescent="0.25">
      <c r="A984" s="41" t="s">
        <v>8157</v>
      </c>
      <c r="B984" s="41" t="s">
        <v>7752</v>
      </c>
      <c r="C984" s="41" t="s">
        <v>1351</v>
      </c>
      <c r="D984" s="41" t="s">
        <v>8421</v>
      </c>
      <c r="E984" s="41">
        <v>37100</v>
      </c>
    </row>
    <row r="985" spans="1:5" x14ac:dyDescent="0.25">
      <c r="A985" s="41" t="s">
        <v>8157</v>
      </c>
      <c r="B985" s="41" t="s">
        <v>7752</v>
      </c>
      <c r="C985" s="41" t="s">
        <v>1351</v>
      </c>
      <c r="D985" s="41" t="s">
        <v>8422</v>
      </c>
      <c r="E985" s="41">
        <v>36200</v>
      </c>
    </row>
    <row r="986" spans="1:5" x14ac:dyDescent="0.25">
      <c r="A986" s="41" t="s">
        <v>8157</v>
      </c>
      <c r="B986" s="41" t="s">
        <v>7752</v>
      </c>
      <c r="C986" s="41" t="s">
        <v>1351</v>
      </c>
      <c r="D986" s="41" t="s">
        <v>8248</v>
      </c>
      <c r="E986" s="41">
        <v>34500</v>
      </c>
    </row>
    <row r="987" spans="1:5" x14ac:dyDescent="0.25">
      <c r="A987" s="41" t="s">
        <v>8157</v>
      </c>
      <c r="B987" s="41" t="s">
        <v>7752</v>
      </c>
      <c r="C987" s="41" t="s">
        <v>1351</v>
      </c>
      <c r="D987" s="41" t="s">
        <v>8288</v>
      </c>
      <c r="E987" s="41">
        <v>32800</v>
      </c>
    </row>
    <row r="988" spans="1:5" x14ac:dyDescent="0.25">
      <c r="A988" s="41" t="s">
        <v>8157</v>
      </c>
      <c r="B988" s="41" t="s">
        <v>7752</v>
      </c>
      <c r="C988" s="41" t="s">
        <v>1351</v>
      </c>
      <c r="D988" s="41" t="s">
        <v>8234</v>
      </c>
      <c r="E988" s="41">
        <v>31900</v>
      </c>
    </row>
    <row r="989" spans="1:5" x14ac:dyDescent="0.25">
      <c r="A989" s="41" t="s">
        <v>8157</v>
      </c>
      <c r="B989" s="41" t="s">
        <v>7752</v>
      </c>
      <c r="C989" s="41" t="s">
        <v>1351</v>
      </c>
      <c r="D989" s="41" t="s">
        <v>8331</v>
      </c>
      <c r="E989" s="41">
        <v>31000</v>
      </c>
    </row>
    <row r="990" spans="1:5" x14ac:dyDescent="0.25">
      <c r="A990" s="41" t="s">
        <v>8157</v>
      </c>
      <c r="B990" s="41" t="s">
        <v>7754</v>
      </c>
      <c r="C990" s="41" t="s">
        <v>1351</v>
      </c>
      <c r="D990" s="41" t="s">
        <v>8242</v>
      </c>
      <c r="E990" s="41">
        <v>47880</v>
      </c>
    </row>
    <row r="991" spans="1:5" x14ac:dyDescent="0.25">
      <c r="A991" s="41" t="s">
        <v>8157</v>
      </c>
      <c r="B991" s="41" t="s">
        <v>7754</v>
      </c>
      <c r="C991" s="41" t="s">
        <v>1351</v>
      </c>
      <c r="D991" s="41" t="s">
        <v>8423</v>
      </c>
      <c r="E991" s="41">
        <v>43400</v>
      </c>
    </row>
    <row r="992" spans="1:5" x14ac:dyDescent="0.25">
      <c r="A992" s="41" t="s">
        <v>8157</v>
      </c>
      <c r="B992" s="41" t="s">
        <v>7754</v>
      </c>
      <c r="C992" s="41" t="s">
        <v>1351</v>
      </c>
      <c r="D992" s="41" t="s">
        <v>8424</v>
      </c>
      <c r="E992" s="41">
        <v>40455</v>
      </c>
    </row>
    <row r="993" spans="1:5" x14ac:dyDescent="0.25">
      <c r="A993" s="41" t="s">
        <v>8157</v>
      </c>
      <c r="B993" s="41" t="s">
        <v>7756</v>
      </c>
      <c r="C993" s="41" t="s">
        <v>1351</v>
      </c>
      <c r="D993" s="41" t="s">
        <v>8374</v>
      </c>
      <c r="E993" s="41">
        <v>65600</v>
      </c>
    </row>
    <row r="994" spans="1:5" x14ac:dyDescent="0.25">
      <c r="A994" s="41" t="s">
        <v>8157</v>
      </c>
      <c r="B994" s="41" t="s">
        <v>7756</v>
      </c>
      <c r="C994" s="41" t="s">
        <v>1351</v>
      </c>
      <c r="D994" s="41" t="s">
        <v>8425</v>
      </c>
      <c r="E994" s="41">
        <v>61400</v>
      </c>
    </row>
    <row r="995" spans="1:5" x14ac:dyDescent="0.25">
      <c r="A995" s="41" t="s">
        <v>8157</v>
      </c>
      <c r="B995" s="41" t="s">
        <v>7756</v>
      </c>
      <c r="C995" s="41" t="s">
        <v>1351</v>
      </c>
      <c r="D995" s="41" t="s">
        <v>8203</v>
      </c>
      <c r="E995" s="41">
        <v>57200</v>
      </c>
    </row>
    <row r="996" spans="1:5" x14ac:dyDescent="0.25">
      <c r="A996" s="41" t="s">
        <v>8157</v>
      </c>
      <c r="B996" s="41" t="s">
        <v>7756</v>
      </c>
      <c r="C996" s="41" t="s">
        <v>1351</v>
      </c>
      <c r="D996" s="41" t="s">
        <v>8229</v>
      </c>
      <c r="E996" s="41">
        <v>53000</v>
      </c>
    </row>
    <row r="997" spans="1:5" x14ac:dyDescent="0.25">
      <c r="A997" s="41" t="s">
        <v>8157</v>
      </c>
      <c r="B997" s="41" t="s">
        <v>7756</v>
      </c>
      <c r="C997" s="41" t="s">
        <v>1351</v>
      </c>
      <c r="D997" s="41" t="s">
        <v>8168</v>
      </c>
      <c r="E997" s="41">
        <v>48800</v>
      </c>
    </row>
    <row r="998" spans="1:5" x14ac:dyDescent="0.25">
      <c r="A998" s="41" t="s">
        <v>8157</v>
      </c>
      <c r="B998" s="41" t="s">
        <v>7758</v>
      </c>
      <c r="C998" s="41" t="s">
        <v>1351</v>
      </c>
      <c r="D998" s="41" t="s">
        <v>8158</v>
      </c>
      <c r="E998" s="41">
        <v>43700</v>
      </c>
    </row>
    <row r="999" spans="1:5" x14ac:dyDescent="0.25">
      <c r="A999" s="41" t="s">
        <v>8157</v>
      </c>
      <c r="B999" s="41" t="s">
        <v>7760</v>
      </c>
      <c r="C999" s="41" t="s">
        <v>1351</v>
      </c>
      <c r="D999" s="41" t="s">
        <v>8158</v>
      </c>
      <c r="E999" s="41">
        <v>23200</v>
      </c>
    </row>
    <row r="1000" spans="1:5" x14ac:dyDescent="0.25">
      <c r="A1000" s="41" t="s">
        <v>8157</v>
      </c>
      <c r="B1000" s="41" t="s">
        <v>7762</v>
      </c>
      <c r="C1000" s="41" t="s">
        <v>1351</v>
      </c>
      <c r="D1000" s="41" t="s">
        <v>8228</v>
      </c>
      <c r="E1000" s="41">
        <v>57540</v>
      </c>
    </row>
    <row r="1001" spans="1:5" x14ac:dyDescent="0.25">
      <c r="A1001" s="41" t="s">
        <v>8157</v>
      </c>
      <c r="B1001" s="41" t="s">
        <v>7762</v>
      </c>
      <c r="C1001" s="41" t="s">
        <v>1351</v>
      </c>
      <c r="D1001" s="41" t="s">
        <v>8426</v>
      </c>
      <c r="E1001" s="41">
        <v>57400</v>
      </c>
    </row>
    <row r="1002" spans="1:5" x14ac:dyDescent="0.25">
      <c r="A1002" s="41" t="s">
        <v>8157</v>
      </c>
      <c r="B1002" s="41" t="s">
        <v>7762</v>
      </c>
      <c r="C1002" s="41" t="s">
        <v>1351</v>
      </c>
      <c r="D1002" s="41" t="s">
        <v>8392</v>
      </c>
      <c r="E1002" s="41">
        <v>58240</v>
      </c>
    </row>
    <row r="1003" spans="1:5" x14ac:dyDescent="0.25">
      <c r="A1003" s="41" t="s">
        <v>8157</v>
      </c>
      <c r="B1003" s="41" t="s">
        <v>7762</v>
      </c>
      <c r="C1003" s="41" t="s">
        <v>1351</v>
      </c>
      <c r="D1003" s="41" t="s">
        <v>8393</v>
      </c>
      <c r="E1003" s="41">
        <v>44800</v>
      </c>
    </row>
    <row r="1004" spans="1:5" x14ac:dyDescent="0.25">
      <c r="A1004" s="41" t="s">
        <v>8157</v>
      </c>
      <c r="B1004" s="41" t="s">
        <v>7762</v>
      </c>
      <c r="C1004" s="41" t="s">
        <v>1351</v>
      </c>
      <c r="D1004" s="41" t="s">
        <v>8205</v>
      </c>
      <c r="E1004" s="41">
        <v>51520</v>
      </c>
    </row>
    <row r="1005" spans="1:5" x14ac:dyDescent="0.25">
      <c r="A1005" s="41" t="s">
        <v>8157</v>
      </c>
      <c r="B1005" s="41" t="s">
        <v>7764</v>
      </c>
      <c r="C1005" s="41" t="s">
        <v>1351</v>
      </c>
      <c r="D1005" s="41" t="s">
        <v>8287</v>
      </c>
      <c r="E1005" s="41">
        <v>34100</v>
      </c>
    </row>
    <row r="1006" spans="1:5" x14ac:dyDescent="0.25">
      <c r="A1006" s="41" t="s">
        <v>8157</v>
      </c>
      <c r="B1006" s="41" t="s">
        <v>7764</v>
      </c>
      <c r="C1006" s="41" t="s">
        <v>1351</v>
      </c>
      <c r="D1006" s="41" t="s">
        <v>8329</v>
      </c>
      <c r="E1006" s="41">
        <v>32600</v>
      </c>
    </row>
    <row r="1007" spans="1:5" x14ac:dyDescent="0.25">
      <c r="A1007" s="41" t="s">
        <v>8157</v>
      </c>
      <c r="B1007" s="41" t="s">
        <v>7764</v>
      </c>
      <c r="C1007" s="41" t="s">
        <v>1351</v>
      </c>
      <c r="D1007" s="41" t="s">
        <v>8328</v>
      </c>
      <c r="E1007" s="41">
        <v>31000</v>
      </c>
    </row>
    <row r="1008" spans="1:5" x14ac:dyDescent="0.25">
      <c r="A1008" s="41" t="s">
        <v>8157</v>
      </c>
      <c r="B1008" s="41" t="s">
        <v>7766</v>
      </c>
      <c r="C1008" s="41" t="s">
        <v>1351</v>
      </c>
      <c r="D1008" s="41" t="s">
        <v>8172</v>
      </c>
      <c r="E1008" s="41">
        <v>37700</v>
      </c>
    </row>
    <row r="1009" spans="1:5" x14ac:dyDescent="0.25">
      <c r="A1009" s="41" t="s">
        <v>8157</v>
      </c>
      <c r="B1009" s="41" t="s">
        <v>7766</v>
      </c>
      <c r="C1009" s="41" t="s">
        <v>1351</v>
      </c>
      <c r="D1009" s="41" t="s">
        <v>8427</v>
      </c>
      <c r="E1009" s="41">
        <v>35100</v>
      </c>
    </row>
    <row r="1010" spans="1:5" x14ac:dyDescent="0.25">
      <c r="A1010" s="41" t="s">
        <v>8157</v>
      </c>
      <c r="B1010" s="41" t="s">
        <v>7766</v>
      </c>
      <c r="C1010" s="41" t="s">
        <v>1351</v>
      </c>
      <c r="D1010" s="41" t="s">
        <v>8428</v>
      </c>
      <c r="E1010" s="41">
        <v>35500</v>
      </c>
    </row>
    <row r="1011" spans="1:5" x14ac:dyDescent="0.25">
      <c r="A1011" s="41" t="s">
        <v>8157</v>
      </c>
      <c r="B1011" s="41" t="s">
        <v>7766</v>
      </c>
      <c r="C1011" s="41" t="s">
        <v>1351</v>
      </c>
      <c r="D1011" s="41" t="s">
        <v>8243</v>
      </c>
      <c r="E1011" s="41">
        <v>34400</v>
      </c>
    </row>
    <row r="1012" spans="1:5" x14ac:dyDescent="0.25">
      <c r="A1012" s="41" t="s">
        <v>8157</v>
      </c>
      <c r="B1012" s="41" t="s">
        <v>7768</v>
      </c>
      <c r="C1012" s="41" t="s">
        <v>1351</v>
      </c>
      <c r="D1012" s="41" t="s">
        <v>8233</v>
      </c>
      <c r="E1012" s="41">
        <v>44400</v>
      </c>
    </row>
    <row r="1013" spans="1:5" x14ac:dyDescent="0.25">
      <c r="A1013" s="41" t="s">
        <v>8157</v>
      </c>
      <c r="B1013" s="41" t="s">
        <v>7768</v>
      </c>
      <c r="C1013" s="41" t="s">
        <v>1351</v>
      </c>
      <c r="D1013" s="41" t="s">
        <v>8234</v>
      </c>
      <c r="E1013" s="41">
        <v>42200</v>
      </c>
    </row>
    <row r="1014" spans="1:5" x14ac:dyDescent="0.25">
      <c r="A1014" s="41" t="s">
        <v>8157</v>
      </c>
      <c r="B1014" s="41" t="s">
        <v>7768</v>
      </c>
      <c r="C1014" s="41" t="s">
        <v>1351</v>
      </c>
      <c r="D1014" s="41" t="s">
        <v>8429</v>
      </c>
      <c r="E1014" s="41">
        <v>40200</v>
      </c>
    </row>
    <row r="1015" spans="1:5" x14ac:dyDescent="0.25">
      <c r="A1015" s="41" t="s">
        <v>8157</v>
      </c>
      <c r="B1015" s="41" t="s">
        <v>7768</v>
      </c>
      <c r="C1015" s="41" t="s">
        <v>1351</v>
      </c>
      <c r="D1015" s="41" t="s">
        <v>8245</v>
      </c>
      <c r="E1015" s="41">
        <v>38300</v>
      </c>
    </row>
    <row r="1016" spans="1:5" x14ac:dyDescent="0.25">
      <c r="A1016" s="41" t="s">
        <v>8157</v>
      </c>
      <c r="B1016" s="41" t="s">
        <v>7770</v>
      </c>
      <c r="C1016" s="41" t="s">
        <v>1351</v>
      </c>
      <c r="D1016" s="41" t="s">
        <v>8332</v>
      </c>
      <c r="E1016" s="41">
        <v>39400</v>
      </c>
    </row>
    <row r="1017" spans="1:5" x14ac:dyDescent="0.25">
      <c r="A1017" s="41" t="s">
        <v>8157</v>
      </c>
      <c r="B1017" s="41" t="s">
        <v>7770</v>
      </c>
      <c r="C1017" s="41" t="s">
        <v>1351</v>
      </c>
      <c r="D1017" s="41" t="s">
        <v>8430</v>
      </c>
      <c r="E1017" s="41">
        <v>33500</v>
      </c>
    </row>
    <row r="1018" spans="1:5" x14ac:dyDescent="0.25">
      <c r="A1018" s="41" t="s">
        <v>8157</v>
      </c>
      <c r="B1018" s="41" t="s">
        <v>7770</v>
      </c>
      <c r="C1018" s="41" t="s">
        <v>1351</v>
      </c>
      <c r="D1018" s="41" t="s">
        <v>8431</v>
      </c>
      <c r="E1018" s="41">
        <v>30600</v>
      </c>
    </row>
    <row r="1019" spans="1:5" x14ac:dyDescent="0.25">
      <c r="A1019" s="41" t="s">
        <v>8157</v>
      </c>
      <c r="B1019" s="41" t="s">
        <v>7770</v>
      </c>
      <c r="C1019" s="41" t="s">
        <v>1351</v>
      </c>
      <c r="D1019" s="41" t="s">
        <v>8432</v>
      </c>
      <c r="E1019" s="41">
        <v>27600</v>
      </c>
    </row>
    <row r="1020" spans="1:5" x14ac:dyDescent="0.25">
      <c r="A1020" s="41" t="s">
        <v>8157</v>
      </c>
      <c r="B1020" s="41" t="s">
        <v>7772</v>
      </c>
      <c r="C1020" s="41" t="s">
        <v>1351</v>
      </c>
      <c r="D1020" s="41" t="s">
        <v>8185</v>
      </c>
      <c r="E1020" s="41">
        <v>35500</v>
      </c>
    </row>
    <row r="1021" spans="1:5" x14ac:dyDescent="0.25">
      <c r="A1021" s="41" t="s">
        <v>8157</v>
      </c>
      <c r="B1021" s="41" t="s">
        <v>7772</v>
      </c>
      <c r="C1021" s="41" t="s">
        <v>1351</v>
      </c>
      <c r="D1021" s="41" t="s">
        <v>8433</v>
      </c>
      <c r="E1021" s="41">
        <v>34500</v>
      </c>
    </row>
    <row r="1022" spans="1:5" x14ac:dyDescent="0.25">
      <c r="A1022" s="41" t="s">
        <v>8157</v>
      </c>
      <c r="B1022" s="41" t="s">
        <v>7772</v>
      </c>
      <c r="C1022" s="41" t="s">
        <v>1351</v>
      </c>
      <c r="D1022" s="41" t="s">
        <v>8434</v>
      </c>
      <c r="E1022" s="41">
        <v>33500</v>
      </c>
    </row>
    <row r="1023" spans="1:5" x14ac:dyDescent="0.25">
      <c r="A1023" s="41" t="s">
        <v>8157</v>
      </c>
      <c r="B1023" s="41" t="s">
        <v>7772</v>
      </c>
      <c r="C1023" s="41" t="s">
        <v>1351</v>
      </c>
      <c r="D1023" s="41" t="s">
        <v>8347</v>
      </c>
      <c r="E1023" s="41">
        <v>31500</v>
      </c>
    </row>
    <row r="1024" spans="1:5" x14ac:dyDescent="0.25">
      <c r="A1024" s="41" t="s">
        <v>8157</v>
      </c>
      <c r="B1024" s="41" t="s">
        <v>7774</v>
      </c>
      <c r="C1024" s="41" t="s">
        <v>1351</v>
      </c>
      <c r="D1024" s="41" t="s">
        <v>8158</v>
      </c>
      <c r="E1024" s="41">
        <v>44200</v>
      </c>
    </row>
    <row r="1025" spans="1:5" x14ac:dyDescent="0.25">
      <c r="A1025" s="41" t="s">
        <v>8157</v>
      </c>
      <c r="B1025" s="41" t="s">
        <v>7776</v>
      </c>
      <c r="C1025" s="41" t="s">
        <v>1351</v>
      </c>
      <c r="D1025" s="41" t="s">
        <v>8158</v>
      </c>
      <c r="E1025" s="41">
        <v>29200</v>
      </c>
    </row>
    <row r="1026" spans="1:5" x14ac:dyDescent="0.25">
      <c r="A1026" s="41" t="s">
        <v>8157</v>
      </c>
      <c r="B1026" s="41" t="s">
        <v>1335</v>
      </c>
      <c r="C1026" s="41" t="s">
        <v>1351</v>
      </c>
      <c r="D1026" s="41" t="s">
        <v>8262</v>
      </c>
      <c r="E1026" s="41">
        <v>43200</v>
      </c>
    </row>
    <row r="1027" spans="1:5" x14ac:dyDescent="0.25">
      <c r="A1027" s="41" t="s">
        <v>8157</v>
      </c>
      <c r="B1027" s="41" t="s">
        <v>1335</v>
      </c>
      <c r="C1027" s="41" t="s">
        <v>1351</v>
      </c>
      <c r="D1027" s="41" t="s">
        <v>8256</v>
      </c>
      <c r="E1027" s="41">
        <v>39300</v>
      </c>
    </row>
    <row r="1028" spans="1:5" x14ac:dyDescent="0.25">
      <c r="A1028" s="41" t="s">
        <v>8157</v>
      </c>
      <c r="B1028" s="41" t="s">
        <v>1335</v>
      </c>
      <c r="C1028" s="41" t="s">
        <v>1351</v>
      </c>
      <c r="D1028" s="41" t="s">
        <v>8435</v>
      </c>
      <c r="E1028" s="41">
        <v>39300</v>
      </c>
    </row>
    <row r="1029" spans="1:5" x14ac:dyDescent="0.25">
      <c r="A1029" s="41" t="s">
        <v>8157</v>
      </c>
      <c r="B1029" s="41" t="s">
        <v>1335</v>
      </c>
      <c r="C1029" s="41" t="s">
        <v>1351</v>
      </c>
      <c r="D1029" s="41" t="s">
        <v>8436</v>
      </c>
      <c r="E1029" s="41">
        <v>39300</v>
      </c>
    </row>
    <row r="1030" spans="1:5" x14ac:dyDescent="0.25">
      <c r="A1030" s="41" t="s">
        <v>8157</v>
      </c>
      <c r="B1030" s="41" t="s">
        <v>7786</v>
      </c>
      <c r="C1030" s="41" t="s">
        <v>1351</v>
      </c>
      <c r="D1030" s="41" t="s">
        <v>8360</v>
      </c>
      <c r="E1030" s="41">
        <v>49100</v>
      </c>
    </row>
    <row r="1031" spans="1:5" x14ac:dyDescent="0.25">
      <c r="A1031" s="41" t="s">
        <v>8157</v>
      </c>
      <c r="B1031" s="41" t="s">
        <v>7786</v>
      </c>
      <c r="C1031" s="41" t="s">
        <v>1351</v>
      </c>
      <c r="D1031" s="41" t="s">
        <v>8162</v>
      </c>
      <c r="E1031" s="41">
        <v>45700</v>
      </c>
    </row>
    <row r="1032" spans="1:5" x14ac:dyDescent="0.25">
      <c r="A1032" s="41" t="s">
        <v>8157</v>
      </c>
      <c r="B1032" s="41" t="s">
        <v>7788</v>
      </c>
      <c r="C1032" s="41" t="s">
        <v>1351</v>
      </c>
      <c r="D1032" s="41" t="s">
        <v>8158</v>
      </c>
      <c r="E1032" s="41">
        <v>32300</v>
      </c>
    </row>
    <row r="1033" spans="1:5" x14ac:dyDescent="0.25">
      <c r="A1033" s="41" t="s">
        <v>8157</v>
      </c>
      <c r="B1033" s="41" t="s">
        <v>7792</v>
      </c>
      <c r="C1033" s="41" t="s">
        <v>1351</v>
      </c>
      <c r="D1033" s="41" t="s">
        <v>8158</v>
      </c>
      <c r="E1033" s="41">
        <v>58800</v>
      </c>
    </row>
    <row r="1034" spans="1:5" x14ac:dyDescent="0.25">
      <c r="A1034" s="41" t="s">
        <v>8157</v>
      </c>
      <c r="B1034" s="41" t="s">
        <v>8439</v>
      </c>
      <c r="C1034" s="41" t="s">
        <v>1351</v>
      </c>
      <c r="D1034" s="41" t="s">
        <v>8158</v>
      </c>
      <c r="E1034" s="41">
        <v>54300</v>
      </c>
    </row>
    <row r="1035" spans="1:5" x14ac:dyDescent="0.25">
      <c r="A1035" s="41" t="s">
        <v>8157</v>
      </c>
      <c r="B1035" s="41" t="s">
        <v>8440</v>
      </c>
      <c r="C1035" s="41" t="s">
        <v>1351</v>
      </c>
      <c r="D1035" s="41" t="s">
        <v>8158</v>
      </c>
      <c r="E1035" s="41">
        <v>58800</v>
      </c>
    </row>
    <row r="1036" spans="1:5" x14ac:dyDescent="0.25">
      <c r="A1036" s="41" t="s">
        <v>8157</v>
      </c>
      <c r="B1036" s="41" t="s">
        <v>7794</v>
      </c>
      <c r="C1036" s="41" t="s">
        <v>1351</v>
      </c>
      <c r="D1036" s="41" t="s">
        <v>8233</v>
      </c>
      <c r="E1036" s="41">
        <v>60800</v>
      </c>
    </row>
    <row r="1037" spans="1:5" x14ac:dyDescent="0.25">
      <c r="A1037" s="41" t="s">
        <v>8157</v>
      </c>
      <c r="B1037" s="41" t="s">
        <v>7794</v>
      </c>
      <c r="C1037" s="41" t="s">
        <v>1351</v>
      </c>
      <c r="D1037" s="41" t="s">
        <v>8161</v>
      </c>
      <c r="E1037" s="41">
        <v>57800</v>
      </c>
    </row>
    <row r="1038" spans="1:5" x14ac:dyDescent="0.25">
      <c r="A1038" s="41" t="s">
        <v>8157</v>
      </c>
      <c r="B1038" s="41" t="s">
        <v>7794</v>
      </c>
      <c r="C1038" s="41" t="s">
        <v>1351</v>
      </c>
      <c r="D1038" s="41" t="s">
        <v>8162</v>
      </c>
      <c r="E1038" s="41">
        <v>48200</v>
      </c>
    </row>
    <row r="1039" spans="1:5" x14ac:dyDescent="0.25">
      <c r="A1039" s="41" t="s">
        <v>8157</v>
      </c>
      <c r="B1039" s="41" t="s">
        <v>7796</v>
      </c>
      <c r="C1039" s="41" t="s">
        <v>1351</v>
      </c>
      <c r="D1039" s="41" t="s">
        <v>8334</v>
      </c>
      <c r="E1039" s="41">
        <v>84600</v>
      </c>
    </row>
    <row r="1040" spans="1:5" x14ac:dyDescent="0.25">
      <c r="A1040" s="41" t="s">
        <v>8157</v>
      </c>
      <c r="B1040" s="41" t="s">
        <v>7796</v>
      </c>
      <c r="C1040" s="41" t="s">
        <v>1351</v>
      </c>
      <c r="D1040" s="41" t="s">
        <v>8335</v>
      </c>
      <c r="E1040" s="41">
        <v>77700</v>
      </c>
    </row>
    <row r="1041" spans="1:5" x14ac:dyDescent="0.25">
      <c r="A1041" s="41" t="s">
        <v>8157</v>
      </c>
      <c r="B1041" s="41" t="s">
        <v>7796</v>
      </c>
      <c r="C1041" s="41" t="s">
        <v>1351</v>
      </c>
      <c r="D1041" s="41" t="s">
        <v>8249</v>
      </c>
      <c r="E1041" s="41">
        <v>74000</v>
      </c>
    </row>
    <row r="1042" spans="1:5" x14ac:dyDescent="0.25">
      <c r="A1042" s="41" t="s">
        <v>8157</v>
      </c>
      <c r="B1042" s="41" t="s">
        <v>7796</v>
      </c>
      <c r="C1042" s="41" t="s">
        <v>1351</v>
      </c>
      <c r="D1042" s="41" t="s">
        <v>8331</v>
      </c>
      <c r="E1042" s="41">
        <v>61600</v>
      </c>
    </row>
    <row r="1043" spans="1:5" x14ac:dyDescent="0.25">
      <c r="A1043" s="41" t="s">
        <v>8157</v>
      </c>
      <c r="B1043" s="41" t="s">
        <v>7798</v>
      </c>
      <c r="C1043" s="41" t="s">
        <v>1351</v>
      </c>
      <c r="D1043" s="41" t="s">
        <v>8158</v>
      </c>
      <c r="E1043" s="41">
        <v>58700</v>
      </c>
    </row>
    <row r="1044" spans="1:5" x14ac:dyDescent="0.25">
      <c r="A1044" s="41" t="s">
        <v>8157</v>
      </c>
      <c r="B1044" s="41" t="s">
        <v>7800</v>
      </c>
      <c r="C1044" s="41" t="s">
        <v>1351</v>
      </c>
      <c r="D1044" s="41" t="s">
        <v>8158</v>
      </c>
      <c r="E1044" s="41">
        <v>573000</v>
      </c>
    </row>
    <row r="1045" spans="1:5" x14ac:dyDescent="0.25">
      <c r="A1045" s="41" t="s">
        <v>8157</v>
      </c>
      <c r="B1045" s="41" t="s">
        <v>7802</v>
      </c>
      <c r="C1045" s="41" t="s">
        <v>1351</v>
      </c>
      <c r="D1045" s="41" t="s">
        <v>8158</v>
      </c>
      <c r="E1045" s="41">
        <v>352400</v>
      </c>
    </row>
    <row r="1046" spans="1:5" x14ac:dyDescent="0.25">
      <c r="A1046" s="41" t="s">
        <v>8157</v>
      </c>
      <c r="B1046" s="41" t="s">
        <v>7804</v>
      </c>
      <c r="C1046" s="41" t="s">
        <v>1351</v>
      </c>
      <c r="D1046" s="41" t="s">
        <v>8287</v>
      </c>
      <c r="E1046" s="41">
        <v>68800</v>
      </c>
    </row>
    <row r="1047" spans="1:5" x14ac:dyDescent="0.25">
      <c r="A1047" s="41" t="s">
        <v>8157</v>
      </c>
      <c r="B1047" s="41" t="s">
        <v>7804</v>
      </c>
      <c r="C1047" s="41" t="s">
        <v>1351</v>
      </c>
      <c r="D1047" s="41" t="s">
        <v>8174</v>
      </c>
      <c r="E1047" s="41">
        <v>65600</v>
      </c>
    </row>
    <row r="1048" spans="1:5" x14ac:dyDescent="0.25">
      <c r="A1048" s="41" t="s">
        <v>8157</v>
      </c>
      <c r="B1048" s="41" t="s">
        <v>7804</v>
      </c>
      <c r="C1048" s="41" t="s">
        <v>1351</v>
      </c>
      <c r="D1048" s="41" t="s">
        <v>8162</v>
      </c>
      <c r="E1048" s="41">
        <v>54600</v>
      </c>
    </row>
    <row r="1049" spans="1:5" x14ac:dyDescent="0.25">
      <c r="A1049" s="41" t="s">
        <v>8157</v>
      </c>
      <c r="B1049" s="41" t="s">
        <v>7806</v>
      </c>
      <c r="C1049" s="41" t="s">
        <v>1351</v>
      </c>
      <c r="D1049" s="41" t="s">
        <v>8298</v>
      </c>
      <c r="E1049" s="41">
        <v>21100</v>
      </c>
    </row>
    <row r="1050" spans="1:5" x14ac:dyDescent="0.25">
      <c r="A1050" s="41" t="s">
        <v>8157</v>
      </c>
      <c r="B1050" s="41" t="s">
        <v>7806</v>
      </c>
      <c r="C1050" s="41" t="s">
        <v>1351</v>
      </c>
      <c r="D1050" s="41" t="s">
        <v>8299</v>
      </c>
      <c r="E1050" s="41">
        <v>14200</v>
      </c>
    </row>
    <row r="1051" spans="1:5" x14ac:dyDescent="0.25">
      <c r="A1051" s="41" t="s">
        <v>8157</v>
      </c>
      <c r="B1051" s="41" t="s">
        <v>7806</v>
      </c>
      <c r="C1051" s="41" t="s">
        <v>1351</v>
      </c>
      <c r="D1051" s="41" t="s">
        <v>8243</v>
      </c>
      <c r="E1051" s="41">
        <v>17200</v>
      </c>
    </row>
    <row r="1052" spans="1:5" x14ac:dyDescent="0.25">
      <c r="A1052" s="41" t="s">
        <v>8157</v>
      </c>
      <c r="B1052" s="41" t="s">
        <v>7808</v>
      </c>
      <c r="C1052" s="41" t="s">
        <v>1351</v>
      </c>
      <c r="D1052" s="41" t="s">
        <v>8158</v>
      </c>
      <c r="E1052" s="41">
        <v>11500</v>
      </c>
    </row>
    <row r="1053" spans="1:5" x14ac:dyDescent="0.25">
      <c r="A1053" s="41" t="s">
        <v>8157</v>
      </c>
      <c r="B1053" s="41" t="s">
        <v>7810</v>
      </c>
      <c r="C1053" s="41" t="s">
        <v>1351</v>
      </c>
      <c r="D1053" s="41" t="s">
        <v>8158</v>
      </c>
      <c r="E1053" s="41">
        <v>32400</v>
      </c>
    </row>
    <row r="1054" spans="1:5" x14ac:dyDescent="0.25">
      <c r="A1054" s="41" t="s">
        <v>8157</v>
      </c>
      <c r="B1054" s="41" t="s">
        <v>7812</v>
      </c>
      <c r="C1054" s="41" t="s">
        <v>1351</v>
      </c>
      <c r="D1054" s="41" t="s">
        <v>8158</v>
      </c>
      <c r="E1054" s="41">
        <v>25100</v>
      </c>
    </row>
    <row r="1055" spans="1:5" x14ac:dyDescent="0.25">
      <c r="A1055" s="41" t="s">
        <v>8157</v>
      </c>
      <c r="B1055" s="41" t="s">
        <v>7815</v>
      </c>
      <c r="C1055" s="41" t="s">
        <v>1351</v>
      </c>
      <c r="D1055" s="41" t="s">
        <v>8158</v>
      </c>
      <c r="E1055" s="41">
        <v>40900</v>
      </c>
    </row>
    <row r="1056" spans="1:5" x14ac:dyDescent="0.25">
      <c r="A1056" s="41" t="s">
        <v>8157</v>
      </c>
      <c r="B1056" s="41" t="s">
        <v>7818</v>
      </c>
      <c r="C1056" s="41" t="s">
        <v>1351</v>
      </c>
      <c r="D1056" s="41" t="s">
        <v>8158</v>
      </c>
      <c r="E1056" s="41">
        <v>10200</v>
      </c>
    </row>
    <row r="1057" spans="1:5" x14ac:dyDescent="0.25">
      <c r="A1057" s="41" t="s">
        <v>8157</v>
      </c>
      <c r="B1057" s="41" t="s">
        <v>7433</v>
      </c>
      <c r="C1057" s="41" t="s">
        <v>1351</v>
      </c>
      <c r="D1057" s="41" t="s">
        <v>8287</v>
      </c>
      <c r="E1057" s="41">
        <v>5500</v>
      </c>
    </row>
    <row r="1058" spans="1:5" x14ac:dyDescent="0.25">
      <c r="A1058" s="41" t="s">
        <v>8157</v>
      </c>
      <c r="B1058" s="41" t="s">
        <v>7433</v>
      </c>
      <c r="C1058" s="41" t="s">
        <v>1351</v>
      </c>
      <c r="D1058" s="41" t="s">
        <v>8297</v>
      </c>
      <c r="E1058" s="41">
        <v>5100</v>
      </c>
    </row>
    <row r="1059" spans="1:5" x14ac:dyDescent="0.25">
      <c r="A1059" s="41" t="s">
        <v>8157</v>
      </c>
      <c r="B1059" s="41" t="s">
        <v>7821</v>
      </c>
      <c r="C1059" s="41" t="s">
        <v>1351</v>
      </c>
      <c r="D1059" s="41" t="s">
        <v>8158</v>
      </c>
      <c r="E1059" s="41">
        <v>16900</v>
      </c>
    </row>
    <row r="1060" spans="1:5" x14ac:dyDescent="0.25">
      <c r="A1060" s="41" t="s">
        <v>8157</v>
      </c>
      <c r="B1060" s="41" t="s">
        <v>7823</v>
      </c>
      <c r="C1060" s="41" t="s">
        <v>1351</v>
      </c>
      <c r="D1060" s="41" t="s">
        <v>8158</v>
      </c>
      <c r="E1060" s="41">
        <v>24800</v>
      </c>
    </row>
    <row r="1061" spans="1:5" x14ac:dyDescent="0.25">
      <c r="A1061" s="41" t="s">
        <v>8157</v>
      </c>
      <c r="B1061" s="41" t="s">
        <v>7825</v>
      </c>
      <c r="C1061" s="41" t="s">
        <v>1351</v>
      </c>
      <c r="D1061" s="41" t="s">
        <v>8287</v>
      </c>
      <c r="E1061" s="41">
        <v>47400</v>
      </c>
    </row>
    <row r="1062" spans="1:5" x14ac:dyDescent="0.25">
      <c r="A1062" s="41" t="s">
        <v>8157</v>
      </c>
      <c r="B1062" s="41" t="s">
        <v>7825</v>
      </c>
      <c r="C1062" s="41" t="s">
        <v>1351</v>
      </c>
      <c r="D1062" s="41" t="s">
        <v>8288</v>
      </c>
      <c r="E1062" s="41">
        <v>45000</v>
      </c>
    </row>
    <row r="1063" spans="1:5" x14ac:dyDescent="0.25">
      <c r="A1063" s="41" t="s">
        <v>8157</v>
      </c>
      <c r="B1063" s="41" t="s">
        <v>7825</v>
      </c>
      <c r="C1063" s="41" t="s">
        <v>1351</v>
      </c>
      <c r="D1063" s="41" t="s">
        <v>8265</v>
      </c>
      <c r="E1063" s="41">
        <v>41900</v>
      </c>
    </row>
    <row r="1064" spans="1:5" x14ac:dyDescent="0.25">
      <c r="A1064" s="41" t="s">
        <v>8157</v>
      </c>
      <c r="B1064" s="41" t="s">
        <v>7825</v>
      </c>
      <c r="C1064" s="41" t="s">
        <v>1351</v>
      </c>
      <c r="D1064" s="41" t="s">
        <v>8289</v>
      </c>
      <c r="E1064" s="41">
        <v>39800</v>
      </c>
    </row>
    <row r="1065" spans="1:5" x14ac:dyDescent="0.25">
      <c r="A1065" s="41" t="s">
        <v>8157</v>
      </c>
      <c r="B1065" s="41" t="s">
        <v>7825</v>
      </c>
      <c r="C1065" s="41" t="s">
        <v>1351</v>
      </c>
      <c r="D1065" s="41" t="s">
        <v>8290</v>
      </c>
      <c r="E1065" s="41">
        <v>37000</v>
      </c>
    </row>
    <row r="1066" spans="1:5" x14ac:dyDescent="0.25">
      <c r="A1066" s="41" t="s">
        <v>8157</v>
      </c>
      <c r="B1066" s="41" t="s">
        <v>7825</v>
      </c>
      <c r="C1066" s="41" t="s">
        <v>1351</v>
      </c>
      <c r="D1066" s="41" t="s">
        <v>8258</v>
      </c>
      <c r="E1066" s="41">
        <v>35200</v>
      </c>
    </row>
    <row r="1067" spans="1:5" x14ac:dyDescent="0.25">
      <c r="A1067" s="41" t="s">
        <v>8157</v>
      </c>
      <c r="B1067" s="41" t="s">
        <v>7443</v>
      </c>
      <c r="C1067" s="41" t="s">
        <v>1351</v>
      </c>
      <c r="D1067" s="41" t="s">
        <v>8158</v>
      </c>
      <c r="E1067" s="41">
        <v>17700</v>
      </c>
    </row>
    <row r="1068" spans="1:5" x14ac:dyDescent="0.25">
      <c r="A1068" s="41" t="s">
        <v>8157</v>
      </c>
      <c r="B1068" s="41" t="s">
        <v>7509</v>
      </c>
      <c r="C1068" s="41" t="s">
        <v>68</v>
      </c>
      <c r="D1068" s="41" t="s">
        <v>8158</v>
      </c>
      <c r="E1068" s="41">
        <v>5900</v>
      </c>
    </row>
    <row r="1069" spans="1:5" x14ac:dyDescent="0.25">
      <c r="A1069" s="41" t="s">
        <v>8157</v>
      </c>
      <c r="B1069" s="41" t="s">
        <v>7414</v>
      </c>
      <c r="C1069" s="41" t="s">
        <v>68</v>
      </c>
      <c r="D1069" s="41" t="s">
        <v>8158</v>
      </c>
      <c r="E1069" s="41">
        <v>26150</v>
      </c>
    </row>
    <row r="1070" spans="1:5" x14ac:dyDescent="0.25">
      <c r="A1070" s="41" t="s">
        <v>8157</v>
      </c>
      <c r="B1070" s="41" t="s">
        <v>67</v>
      </c>
      <c r="C1070" s="41" t="s">
        <v>68</v>
      </c>
      <c r="D1070" s="41" t="s">
        <v>8159</v>
      </c>
      <c r="E1070" s="41">
        <v>24610</v>
      </c>
    </row>
    <row r="1071" spans="1:5" x14ac:dyDescent="0.25">
      <c r="A1071" s="41" t="s">
        <v>8157</v>
      </c>
      <c r="B1071" s="41" t="s">
        <v>67</v>
      </c>
      <c r="C1071" s="41" t="s">
        <v>68</v>
      </c>
      <c r="D1071" s="41" t="s">
        <v>8160</v>
      </c>
      <c r="E1071" s="41">
        <v>22900</v>
      </c>
    </row>
    <row r="1072" spans="1:5" x14ac:dyDescent="0.25">
      <c r="A1072" s="41" t="s">
        <v>8157</v>
      </c>
      <c r="B1072" s="41" t="s">
        <v>67</v>
      </c>
      <c r="C1072" s="41" t="s">
        <v>68</v>
      </c>
      <c r="D1072" s="41" t="s">
        <v>8161</v>
      </c>
      <c r="E1072" s="41">
        <v>20640</v>
      </c>
    </row>
    <row r="1073" spans="1:5" x14ac:dyDescent="0.25">
      <c r="A1073" s="41" t="s">
        <v>8157</v>
      </c>
      <c r="B1073" s="41" t="s">
        <v>67</v>
      </c>
      <c r="C1073" s="41" t="s">
        <v>68</v>
      </c>
      <c r="D1073" s="41" t="s">
        <v>8162</v>
      </c>
      <c r="E1073" s="41">
        <v>18570</v>
      </c>
    </row>
    <row r="1074" spans="1:5" x14ac:dyDescent="0.25">
      <c r="A1074" s="41" t="s">
        <v>8157</v>
      </c>
      <c r="B1074" s="41" t="s">
        <v>7408</v>
      </c>
      <c r="C1074" s="41" t="s">
        <v>68</v>
      </c>
      <c r="D1074" s="41" t="s">
        <v>8163</v>
      </c>
      <c r="E1074" s="41">
        <v>30500</v>
      </c>
    </row>
    <row r="1075" spans="1:5" x14ac:dyDescent="0.25">
      <c r="A1075" s="41" t="s">
        <v>8157</v>
      </c>
      <c r="B1075" s="41" t="s">
        <v>7408</v>
      </c>
      <c r="C1075" s="41" t="s">
        <v>68</v>
      </c>
      <c r="D1075" s="41" t="s">
        <v>8164</v>
      </c>
      <c r="E1075" s="41">
        <v>29200</v>
      </c>
    </row>
    <row r="1076" spans="1:5" x14ac:dyDescent="0.25">
      <c r="A1076" s="41" t="s">
        <v>8157</v>
      </c>
      <c r="B1076" s="41" t="s">
        <v>7408</v>
      </c>
      <c r="C1076" s="41" t="s">
        <v>68</v>
      </c>
      <c r="D1076" s="41" t="s">
        <v>8165</v>
      </c>
      <c r="E1076" s="41">
        <v>27200</v>
      </c>
    </row>
    <row r="1077" spans="1:5" x14ac:dyDescent="0.25">
      <c r="A1077" s="41" t="s">
        <v>8157</v>
      </c>
      <c r="B1077" s="41" t="s">
        <v>7408</v>
      </c>
      <c r="C1077" s="41" t="s">
        <v>68</v>
      </c>
      <c r="D1077" s="41" t="s">
        <v>8166</v>
      </c>
      <c r="E1077" s="41">
        <v>25400</v>
      </c>
    </row>
    <row r="1078" spans="1:5" x14ac:dyDescent="0.25">
      <c r="A1078" s="41" t="s">
        <v>8157</v>
      </c>
      <c r="B1078" s="41" t="s">
        <v>7408</v>
      </c>
      <c r="C1078" s="41" t="s">
        <v>68</v>
      </c>
      <c r="D1078" s="41" t="s">
        <v>8167</v>
      </c>
      <c r="E1078" s="41">
        <v>23700</v>
      </c>
    </row>
    <row r="1079" spans="1:5" x14ac:dyDescent="0.25">
      <c r="A1079" s="41" t="s">
        <v>8157</v>
      </c>
      <c r="B1079" s="41" t="s">
        <v>7408</v>
      </c>
      <c r="C1079" s="41" t="s">
        <v>68</v>
      </c>
      <c r="D1079" s="41" t="s">
        <v>8168</v>
      </c>
      <c r="E1079" s="41">
        <v>22100</v>
      </c>
    </row>
    <row r="1080" spans="1:5" x14ac:dyDescent="0.25">
      <c r="A1080" s="41" t="s">
        <v>8157</v>
      </c>
      <c r="B1080" s="41" t="s">
        <v>7409</v>
      </c>
      <c r="C1080" s="41" t="s">
        <v>68</v>
      </c>
      <c r="D1080" s="41" t="s">
        <v>8169</v>
      </c>
      <c r="E1080" s="41">
        <v>31800</v>
      </c>
    </row>
    <row r="1081" spans="1:5" x14ac:dyDescent="0.25">
      <c r="A1081" s="41" t="s">
        <v>8157</v>
      </c>
      <c r="B1081" s="41" t="s">
        <v>7409</v>
      </c>
      <c r="C1081" s="41" t="s">
        <v>68</v>
      </c>
      <c r="D1081" s="41" t="s">
        <v>8170</v>
      </c>
      <c r="E1081" s="41">
        <v>29500</v>
      </c>
    </row>
    <row r="1082" spans="1:5" x14ac:dyDescent="0.25">
      <c r="A1082" s="41" t="s">
        <v>8157</v>
      </c>
      <c r="B1082" s="41" t="s">
        <v>7409</v>
      </c>
      <c r="C1082" s="41" t="s">
        <v>68</v>
      </c>
      <c r="D1082" s="41" t="s">
        <v>8171</v>
      </c>
      <c r="E1082" s="41">
        <v>26600</v>
      </c>
    </row>
    <row r="1083" spans="1:5" x14ac:dyDescent="0.25">
      <c r="A1083" s="41" t="s">
        <v>8157</v>
      </c>
      <c r="B1083" s="41" t="s">
        <v>7483</v>
      </c>
      <c r="C1083" s="41" t="s">
        <v>68</v>
      </c>
      <c r="D1083" s="41" t="s">
        <v>8172</v>
      </c>
      <c r="E1083" s="41">
        <v>21500</v>
      </c>
    </row>
    <row r="1084" spans="1:5" x14ac:dyDescent="0.25">
      <c r="A1084" s="41" t="s">
        <v>8157</v>
      </c>
      <c r="B1084" s="41" t="s">
        <v>7483</v>
      </c>
      <c r="C1084" s="41" t="s">
        <v>68</v>
      </c>
      <c r="D1084" s="41" t="s">
        <v>8173</v>
      </c>
      <c r="E1084" s="41">
        <v>20100</v>
      </c>
    </row>
    <row r="1085" spans="1:5" x14ac:dyDescent="0.25">
      <c r="A1085" s="41" t="s">
        <v>8157</v>
      </c>
      <c r="B1085" s="41" t="s">
        <v>7483</v>
      </c>
      <c r="C1085" s="41" t="s">
        <v>68</v>
      </c>
      <c r="D1085" s="41" t="s">
        <v>8174</v>
      </c>
      <c r="E1085" s="41">
        <v>18600</v>
      </c>
    </row>
    <row r="1086" spans="1:5" x14ac:dyDescent="0.25">
      <c r="A1086" s="41" t="s">
        <v>8157</v>
      </c>
      <c r="B1086" s="41" t="s">
        <v>7483</v>
      </c>
      <c r="C1086" s="41" t="s">
        <v>68</v>
      </c>
      <c r="D1086" s="41" t="s">
        <v>8175</v>
      </c>
      <c r="E1086" s="41">
        <v>17300</v>
      </c>
    </row>
    <row r="1087" spans="1:5" x14ac:dyDescent="0.25">
      <c r="A1087" s="41" t="s">
        <v>8157</v>
      </c>
      <c r="B1087" s="41" t="s">
        <v>7483</v>
      </c>
      <c r="C1087" s="41" t="s">
        <v>68</v>
      </c>
      <c r="D1087" s="41" t="s">
        <v>8176</v>
      </c>
      <c r="E1087" s="41">
        <v>16100</v>
      </c>
    </row>
    <row r="1088" spans="1:5" x14ac:dyDescent="0.25">
      <c r="A1088" s="41" t="s">
        <v>8157</v>
      </c>
      <c r="B1088" s="41" t="s">
        <v>7410</v>
      </c>
      <c r="C1088" s="41" t="s">
        <v>68</v>
      </c>
      <c r="D1088" s="41" t="s">
        <v>8177</v>
      </c>
      <c r="E1088" s="41">
        <v>20400</v>
      </c>
    </row>
    <row r="1089" spans="1:5" x14ac:dyDescent="0.25">
      <c r="A1089" s="41" t="s">
        <v>8157</v>
      </c>
      <c r="B1089" s="41" t="s">
        <v>7410</v>
      </c>
      <c r="C1089" s="41" t="s">
        <v>68</v>
      </c>
      <c r="D1089" s="41" t="s">
        <v>8178</v>
      </c>
      <c r="E1089" s="41">
        <v>19000</v>
      </c>
    </row>
    <row r="1090" spans="1:5" x14ac:dyDescent="0.25">
      <c r="A1090" s="41" t="s">
        <v>8157</v>
      </c>
      <c r="B1090" s="41" t="s">
        <v>7410</v>
      </c>
      <c r="C1090" s="41" t="s">
        <v>68</v>
      </c>
      <c r="D1090" s="41" t="s">
        <v>8179</v>
      </c>
      <c r="E1090" s="41">
        <v>18000</v>
      </c>
    </row>
    <row r="1091" spans="1:5" x14ac:dyDescent="0.25">
      <c r="A1091" s="41" t="s">
        <v>8157</v>
      </c>
      <c r="B1091" s="41" t="s">
        <v>7410</v>
      </c>
      <c r="C1091" s="41" t="s">
        <v>68</v>
      </c>
      <c r="D1091" s="41" t="s">
        <v>8180</v>
      </c>
      <c r="E1091" s="41">
        <v>17100</v>
      </c>
    </row>
    <row r="1092" spans="1:5" x14ac:dyDescent="0.25">
      <c r="A1092" s="41" t="s">
        <v>8157</v>
      </c>
      <c r="B1092" s="41" t="s">
        <v>7410</v>
      </c>
      <c r="C1092" s="41" t="s">
        <v>68</v>
      </c>
      <c r="D1092" s="41" t="s">
        <v>8181</v>
      </c>
      <c r="E1092" s="41">
        <v>15900</v>
      </c>
    </row>
    <row r="1093" spans="1:5" x14ac:dyDescent="0.25">
      <c r="A1093" s="41" t="s">
        <v>8157</v>
      </c>
      <c r="B1093" s="41" t="s">
        <v>7410</v>
      </c>
      <c r="C1093" s="41" t="s">
        <v>68</v>
      </c>
      <c r="D1093" s="41" t="s">
        <v>8182</v>
      </c>
      <c r="E1093" s="41">
        <v>15200</v>
      </c>
    </row>
    <row r="1094" spans="1:5" x14ac:dyDescent="0.25">
      <c r="A1094" s="41" t="s">
        <v>8157</v>
      </c>
      <c r="B1094" s="41" t="s">
        <v>7410</v>
      </c>
      <c r="C1094" s="41" t="s">
        <v>68</v>
      </c>
      <c r="D1094" s="41" t="s">
        <v>8183</v>
      </c>
      <c r="E1094" s="41">
        <v>14100</v>
      </c>
    </row>
    <row r="1095" spans="1:5" x14ac:dyDescent="0.25">
      <c r="A1095" s="41" t="s">
        <v>8157</v>
      </c>
      <c r="B1095" s="41" t="s">
        <v>7410</v>
      </c>
      <c r="C1095" s="41" t="s">
        <v>68</v>
      </c>
      <c r="D1095" s="41" t="s">
        <v>8184</v>
      </c>
      <c r="E1095" s="41">
        <v>13100</v>
      </c>
    </row>
    <row r="1096" spans="1:5" x14ac:dyDescent="0.25">
      <c r="A1096" s="41" t="s">
        <v>8157</v>
      </c>
      <c r="B1096" s="41" t="s">
        <v>7407</v>
      </c>
      <c r="C1096" s="41" t="s">
        <v>68</v>
      </c>
      <c r="D1096" s="41" t="s">
        <v>8185</v>
      </c>
      <c r="E1096" s="41">
        <v>24300</v>
      </c>
    </row>
    <row r="1097" spans="1:5" x14ac:dyDescent="0.25">
      <c r="A1097" s="41" t="s">
        <v>8157</v>
      </c>
      <c r="B1097" s="41" t="s">
        <v>7407</v>
      </c>
      <c r="C1097" s="41" t="s">
        <v>68</v>
      </c>
      <c r="D1097" s="41" t="s">
        <v>8186</v>
      </c>
      <c r="E1097" s="41">
        <v>22500</v>
      </c>
    </row>
    <row r="1098" spans="1:5" x14ac:dyDescent="0.25">
      <c r="A1098" s="41" t="s">
        <v>8157</v>
      </c>
      <c r="B1098" s="41" t="s">
        <v>7407</v>
      </c>
      <c r="C1098" s="41" t="s">
        <v>68</v>
      </c>
      <c r="D1098" s="41" t="s">
        <v>8187</v>
      </c>
      <c r="E1098" s="41">
        <v>21000</v>
      </c>
    </row>
    <row r="1099" spans="1:5" x14ac:dyDescent="0.25">
      <c r="A1099" s="41" t="s">
        <v>8157</v>
      </c>
      <c r="B1099" s="41" t="s">
        <v>7407</v>
      </c>
      <c r="C1099" s="41" t="s">
        <v>68</v>
      </c>
      <c r="D1099" s="41" t="s">
        <v>8188</v>
      </c>
      <c r="E1099" s="41">
        <v>19600</v>
      </c>
    </row>
    <row r="1100" spans="1:5" x14ac:dyDescent="0.25">
      <c r="A1100" s="41" t="s">
        <v>8157</v>
      </c>
      <c r="B1100" s="41" t="s">
        <v>7407</v>
      </c>
      <c r="C1100" s="41" t="s">
        <v>68</v>
      </c>
      <c r="D1100" s="41" t="s">
        <v>8189</v>
      </c>
      <c r="E1100" s="41">
        <v>18200</v>
      </c>
    </row>
    <row r="1101" spans="1:5" x14ac:dyDescent="0.25">
      <c r="A1101" s="41" t="s">
        <v>8157</v>
      </c>
      <c r="B1101" s="41" t="s">
        <v>7407</v>
      </c>
      <c r="C1101" s="41" t="s">
        <v>68</v>
      </c>
      <c r="D1101" s="41" t="s">
        <v>8190</v>
      </c>
      <c r="E1101" s="41">
        <v>16900</v>
      </c>
    </row>
    <row r="1102" spans="1:5" x14ac:dyDescent="0.25">
      <c r="A1102" s="41" t="s">
        <v>8157</v>
      </c>
      <c r="B1102" s="41" t="s">
        <v>7521</v>
      </c>
      <c r="C1102" s="41" t="s">
        <v>68</v>
      </c>
      <c r="D1102" s="41" t="s">
        <v>8158</v>
      </c>
      <c r="E1102" s="41">
        <v>14800</v>
      </c>
    </row>
    <row r="1103" spans="1:5" x14ac:dyDescent="0.25">
      <c r="A1103" s="41" t="s">
        <v>8157</v>
      </c>
      <c r="B1103" s="41" t="s">
        <v>7523</v>
      </c>
      <c r="C1103" s="41" t="s">
        <v>68</v>
      </c>
      <c r="D1103" s="41" t="s">
        <v>8158</v>
      </c>
      <c r="E1103" s="41">
        <v>8800</v>
      </c>
    </row>
    <row r="1104" spans="1:5" x14ac:dyDescent="0.25">
      <c r="A1104" s="41" t="s">
        <v>8157</v>
      </c>
      <c r="B1104" s="41" t="s">
        <v>7484</v>
      </c>
      <c r="C1104" s="41" t="s">
        <v>68</v>
      </c>
      <c r="D1104" s="41" t="s">
        <v>8158</v>
      </c>
      <c r="E1104" s="41">
        <v>17200</v>
      </c>
    </row>
    <row r="1105" spans="1:5" x14ac:dyDescent="0.25">
      <c r="A1105" s="41" t="s">
        <v>8157</v>
      </c>
      <c r="B1105" s="41" t="s">
        <v>7526</v>
      </c>
      <c r="C1105" s="41" t="s">
        <v>68</v>
      </c>
      <c r="D1105" s="41" t="s">
        <v>8158</v>
      </c>
      <c r="E1105" s="41">
        <v>7500</v>
      </c>
    </row>
    <row r="1106" spans="1:5" x14ac:dyDescent="0.25">
      <c r="A1106" s="41" t="s">
        <v>8157</v>
      </c>
      <c r="B1106" s="41" t="s">
        <v>7471</v>
      </c>
      <c r="C1106" s="41" t="s">
        <v>68</v>
      </c>
      <c r="D1106" s="41" t="s">
        <v>8191</v>
      </c>
      <c r="E1106" s="41">
        <v>53900</v>
      </c>
    </row>
    <row r="1107" spans="1:5" x14ac:dyDescent="0.25">
      <c r="A1107" s="41" t="s">
        <v>8157</v>
      </c>
      <c r="B1107" s="41" t="s">
        <v>7471</v>
      </c>
      <c r="C1107" s="41" t="s">
        <v>68</v>
      </c>
      <c r="D1107" s="41" t="s">
        <v>8192</v>
      </c>
      <c r="E1107" s="41">
        <v>52800</v>
      </c>
    </row>
    <row r="1108" spans="1:5" x14ac:dyDescent="0.25">
      <c r="A1108" s="41" t="s">
        <v>8157</v>
      </c>
      <c r="B1108" s="41" t="s">
        <v>7471</v>
      </c>
      <c r="C1108" s="41" t="s">
        <v>68</v>
      </c>
      <c r="D1108" s="41" t="s">
        <v>8193</v>
      </c>
      <c r="E1108" s="41">
        <v>51200</v>
      </c>
    </row>
    <row r="1109" spans="1:5" x14ac:dyDescent="0.25">
      <c r="A1109" s="41" t="s">
        <v>8157</v>
      </c>
      <c r="B1109" s="41" t="s">
        <v>1298</v>
      </c>
      <c r="C1109" s="41" t="s">
        <v>68</v>
      </c>
      <c r="D1109" s="41" t="s">
        <v>8194</v>
      </c>
      <c r="E1109" s="41">
        <v>60290</v>
      </c>
    </row>
    <row r="1110" spans="1:5" x14ac:dyDescent="0.25">
      <c r="A1110" s="41" t="s">
        <v>8157</v>
      </c>
      <c r="B1110" s="41" t="s">
        <v>1298</v>
      </c>
      <c r="C1110" s="41" t="s">
        <v>68</v>
      </c>
      <c r="D1110" s="41" t="s">
        <v>8195</v>
      </c>
      <c r="E1110" s="41">
        <v>58480</v>
      </c>
    </row>
    <row r="1111" spans="1:5" x14ac:dyDescent="0.25">
      <c r="A1111" s="41" t="s">
        <v>8157</v>
      </c>
      <c r="B1111" s="41" t="s">
        <v>1298</v>
      </c>
      <c r="C1111" s="41" t="s">
        <v>68</v>
      </c>
      <c r="D1111" s="41" t="s">
        <v>8196</v>
      </c>
      <c r="E1111" s="41">
        <v>56720</v>
      </c>
    </row>
    <row r="1112" spans="1:5" x14ac:dyDescent="0.25">
      <c r="A1112" s="41" t="s">
        <v>8157</v>
      </c>
      <c r="B1112" s="41" t="s">
        <v>1298</v>
      </c>
      <c r="C1112" s="41" t="s">
        <v>68</v>
      </c>
      <c r="D1112" s="41" t="s">
        <v>8197</v>
      </c>
      <c r="E1112" s="41">
        <v>55020</v>
      </c>
    </row>
    <row r="1113" spans="1:5" x14ac:dyDescent="0.25">
      <c r="A1113" s="41" t="s">
        <v>8157</v>
      </c>
      <c r="B1113" s="41" t="s">
        <v>1298</v>
      </c>
      <c r="C1113" s="41" t="s">
        <v>68</v>
      </c>
      <c r="D1113" s="41" t="s">
        <v>8198</v>
      </c>
      <c r="E1113" s="41">
        <v>53910</v>
      </c>
    </row>
    <row r="1114" spans="1:5" x14ac:dyDescent="0.25">
      <c r="A1114" s="41" t="s">
        <v>8157</v>
      </c>
      <c r="B1114" s="41" t="s">
        <v>1298</v>
      </c>
      <c r="C1114" s="41" t="s">
        <v>68</v>
      </c>
      <c r="D1114" s="41" t="s">
        <v>8199</v>
      </c>
      <c r="E1114" s="41">
        <v>52830</v>
      </c>
    </row>
    <row r="1115" spans="1:5" x14ac:dyDescent="0.25">
      <c r="A1115" s="41" t="s">
        <v>8157</v>
      </c>
      <c r="B1115" s="41" t="s">
        <v>1301</v>
      </c>
      <c r="C1115" s="41" t="s">
        <v>68</v>
      </c>
      <c r="D1115" s="41" t="s">
        <v>8163</v>
      </c>
      <c r="E1115" s="41">
        <v>60900</v>
      </c>
    </row>
    <row r="1116" spans="1:5" x14ac:dyDescent="0.25">
      <c r="A1116" s="41" t="s">
        <v>8157</v>
      </c>
      <c r="B1116" s="41" t="s">
        <v>1301</v>
      </c>
      <c r="C1116" s="41" t="s">
        <v>68</v>
      </c>
      <c r="D1116" s="41" t="s">
        <v>8200</v>
      </c>
      <c r="E1116" s="41">
        <v>56600</v>
      </c>
    </row>
    <row r="1117" spans="1:5" x14ac:dyDescent="0.25">
      <c r="A1117" s="41" t="s">
        <v>8157</v>
      </c>
      <c r="B1117" s="41" t="s">
        <v>1301</v>
      </c>
      <c r="C1117" s="41" t="s">
        <v>68</v>
      </c>
      <c r="D1117" s="41" t="s">
        <v>8201</v>
      </c>
      <c r="E1117" s="41">
        <v>53800</v>
      </c>
    </row>
    <row r="1118" spans="1:5" x14ac:dyDescent="0.25">
      <c r="A1118" s="41" t="s">
        <v>8157</v>
      </c>
      <c r="B1118" s="41" t="s">
        <v>1301</v>
      </c>
      <c r="C1118" s="41" t="s">
        <v>68</v>
      </c>
      <c r="D1118" s="41" t="s">
        <v>8202</v>
      </c>
      <c r="E1118" s="41">
        <v>50000</v>
      </c>
    </row>
    <row r="1119" spans="1:5" x14ac:dyDescent="0.25">
      <c r="A1119" s="41" t="s">
        <v>8157</v>
      </c>
      <c r="B1119" s="41" t="s">
        <v>1301</v>
      </c>
      <c r="C1119" s="41" t="s">
        <v>68</v>
      </c>
      <c r="D1119" s="41" t="s">
        <v>8203</v>
      </c>
      <c r="E1119" s="41">
        <v>47500</v>
      </c>
    </row>
    <row r="1120" spans="1:5" x14ac:dyDescent="0.25">
      <c r="A1120" s="41" t="s">
        <v>8157</v>
      </c>
      <c r="B1120" s="41" t="s">
        <v>1301</v>
      </c>
      <c r="C1120" s="41" t="s">
        <v>68</v>
      </c>
      <c r="D1120" s="41" t="s">
        <v>8204</v>
      </c>
      <c r="E1120" s="41">
        <v>45200</v>
      </c>
    </row>
    <row r="1121" spans="1:5" x14ac:dyDescent="0.25">
      <c r="A1121" s="41" t="s">
        <v>8157</v>
      </c>
      <c r="B1121" s="41" t="s">
        <v>1301</v>
      </c>
      <c r="C1121" s="41" t="s">
        <v>68</v>
      </c>
      <c r="D1121" s="41" t="s">
        <v>8205</v>
      </c>
      <c r="E1121" s="41">
        <v>42900</v>
      </c>
    </row>
    <row r="1122" spans="1:5" x14ac:dyDescent="0.25">
      <c r="A1122" s="41" t="s">
        <v>8157</v>
      </c>
      <c r="B1122" s="41" t="s">
        <v>1303</v>
      </c>
      <c r="C1122" s="41" t="s">
        <v>68</v>
      </c>
      <c r="D1122" s="41" t="s">
        <v>8206</v>
      </c>
      <c r="E1122" s="41">
        <v>54500</v>
      </c>
    </row>
    <row r="1123" spans="1:5" x14ac:dyDescent="0.25">
      <c r="A1123" s="41" t="s">
        <v>8157</v>
      </c>
      <c r="B1123" s="41" t="s">
        <v>1303</v>
      </c>
      <c r="C1123" s="41" t="s">
        <v>68</v>
      </c>
      <c r="D1123" s="41" t="s">
        <v>8207</v>
      </c>
      <c r="E1123" s="41">
        <v>52800</v>
      </c>
    </row>
    <row r="1124" spans="1:5" x14ac:dyDescent="0.25">
      <c r="A1124" s="41" t="s">
        <v>8157</v>
      </c>
      <c r="B1124" s="41" t="s">
        <v>1303</v>
      </c>
      <c r="C1124" s="41" t="s">
        <v>68</v>
      </c>
      <c r="D1124" s="41" t="s">
        <v>8208</v>
      </c>
      <c r="E1124" s="41">
        <v>49200</v>
      </c>
    </row>
    <row r="1125" spans="1:5" x14ac:dyDescent="0.25">
      <c r="A1125" s="41" t="s">
        <v>8157</v>
      </c>
      <c r="B1125" s="41" t="s">
        <v>1303</v>
      </c>
      <c r="C1125" s="41" t="s">
        <v>68</v>
      </c>
      <c r="D1125" s="41" t="s">
        <v>8209</v>
      </c>
      <c r="E1125" s="41">
        <v>47700</v>
      </c>
    </row>
    <row r="1126" spans="1:5" x14ac:dyDescent="0.25">
      <c r="A1126" s="41" t="s">
        <v>8157</v>
      </c>
      <c r="B1126" s="41" t="s">
        <v>1303</v>
      </c>
      <c r="C1126" s="41" t="s">
        <v>68</v>
      </c>
      <c r="D1126" s="41" t="s">
        <v>8210</v>
      </c>
      <c r="E1126" s="41">
        <v>43900</v>
      </c>
    </row>
    <row r="1127" spans="1:5" x14ac:dyDescent="0.25">
      <c r="A1127" s="41" t="s">
        <v>8157</v>
      </c>
      <c r="B1127" s="41" t="s">
        <v>1303</v>
      </c>
      <c r="C1127" s="41" t="s">
        <v>68</v>
      </c>
      <c r="D1127" s="41" t="s">
        <v>8211</v>
      </c>
      <c r="E1127" s="41">
        <v>42600</v>
      </c>
    </row>
    <row r="1128" spans="1:5" x14ac:dyDescent="0.25">
      <c r="A1128" s="41" t="s">
        <v>8157</v>
      </c>
      <c r="B1128" s="41" t="s">
        <v>1305</v>
      </c>
      <c r="C1128" s="41" t="s">
        <v>68</v>
      </c>
      <c r="D1128" s="41" t="s">
        <v>8212</v>
      </c>
      <c r="E1128" s="41">
        <v>61600</v>
      </c>
    </row>
    <row r="1129" spans="1:5" x14ac:dyDescent="0.25">
      <c r="A1129" s="41" t="s">
        <v>8157</v>
      </c>
      <c r="B1129" s="41" t="s">
        <v>1305</v>
      </c>
      <c r="C1129" s="41" t="s">
        <v>68</v>
      </c>
      <c r="D1129" s="41" t="s">
        <v>8213</v>
      </c>
      <c r="E1129" s="41">
        <v>58500</v>
      </c>
    </row>
    <row r="1130" spans="1:5" x14ac:dyDescent="0.25">
      <c r="A1130" s="41" t="s">
        <v>8157</v>
      </c>
      <c r="B1130" s="41" t="s">
        <v>1305</v>
      </c>
      <c r="C1130" s="41" t="s">
        <v>68</v>
      </c>
      <c r="D1130" s="41" t="s">
        <v>8214</v>
      </c>
      <c r="E1130" s="41">
        <v>56700</v>
      </c>
    </row>
    <row r="1131" spans="1:5" x14ac:dyDescent="0.25">
      <c r="A1131" s="41" t="s">
        <v>8157</v>
      </c>
      <c r="B1131" s="41" t="s">
        <v>1305</v>
      </c>
      <c r="C1131" s="41" t="s">
        <v>68</v>
      </c>
      <c r="D1131" s="41" t="s">
        <v>8167</v>
      </c>
      <c r="E1131" s="41">
        <v>55000</v>
      </c>
    </row>
    <row r="1132" spans="1:5" x14ac:dyDescent="0.25">
      <c r="A1132" s="41" t="s">
        <v>8157</v>
      </c>
      <c r="B1132" s="41" t="s">
        <v>1305</v>
      </c>
      <c r="C1132" s="41" t="s">
        <v>68</v>
      </c>
      <c r="D1132" s="41" t="s">
        <v>8215</v>
      </c>
      <c r="E1132" s="41">
        <v>50100</v>
      </c>
    </row>
    <row r="1133" spans="1:5" x14ac:dyDescent="0.25">
      <c r="A1133" s="41" t="s">
        <v>8157</v>
      </c>
      <c r="B1133" s="41" t="s">
        <v>1305</v>
      </c>
      <c r="C1133" s="41" t="s">
        <v>68</v>
      </c>
      <c r="D1133" s="41" t="s">
        <v>8216</v>
      </c>
      <c r="E1133" s="41">
        <v>44100</v>
      </c>
    </row>
    <row r="1134" spans="1:5" x14ac:dyDescent="0.25">
      <c r="A1134" s="41" t="s">
        <v>8157</v>
      </c>
      <c r="B1134" s="41" t="s">
        <v>1305</v>
      </c>
      <c r="C1134" s="41" t="s">
        <v>68</v>
      </c>
      <c r="D1134" s="41" t="s">
        <v>8217</v>
      </c>
      <c r="E1134" s="41">
        <v>38800</v>
      </c>
    </row>
    <row r="1135" spans="1:5" x14ac:dyDescent="0.25">
      <c r="A1135" s="41" t="s">
        <v>8157</v>
      </c>
      <c r="B1135" s="41" t="s">
        <v>1307</v>
      </c>
      <c r="C1135" s="41" t="s">
        <v>68</v>
      </c>
      <c r="D1135" s="41" t="s">
        <v>8177</v>
      </c>
      <c r="E1135" s="41">
        <v>45900</v>
      </c>
    </row>
    <row r="1136" spans="1:5" x14ac:dyDescent="0.25">
      <c r="A1136" s="41" t="s">
        <v>8157</v>
      </c>
      <c r="B1136" s="41" t="s">
        <v>1307</v>
      </c>
      <c r="C1136" s="41" t="s">
        <v>68</v>
      </c>
      <c r="D1136" s="41" t="s">
        <v>8178</v>
      </c>
      <c r="E1136" s="41">
        <v>44600</v>
      </c>
    </row>
    <row r="1137" spans="1:5" x14ac:dyDescent="0.25">
      <c r="A1137" s="41" t="s">
        <v>8157</v>
      </c>
      <c r="B1137" s="41" t="s">
        <v>1307</v>
      </c>
      <c r="C1137" s="41" t="s">
        <v>68</v>
      </c>
      <c r="D1137" s="41" t="s">
        <v>8218</v>
      </c>
      <c r="E1137" s="41">
        <v>42300</v>
      </c>
    </row>
    <row r="1138" spans="1:5" x14ac:dyDescent="0.25">
      <c r="A1138" s="41" t="s">
        <v>8157</v>
      </c>
      <c r="B1138" s="41" t="s">
        <v>1307</v>
      </c>
      <c r="C1138" s="41" t="s">
        <v>68</v>
      </c>
      <c r="D1138" s="41" t="s">
        <v>8219</v>
      </c>
      <c r="E1138" s="41">
        <v>41000</v>
      </c>
    </row>
    <row r="1139" spans="1:5" x14ac:dyDescent="0.25">
      <c r="A1139" s="41" t="s">
        <v>8157</v>
      </c>
      <c r="B1139" s="41" t="s">
        <v>1307</v>
      </c>
      <c r="C1139" s="41" t="s">
        <v>68</v>
      </c>
      <c r="D1139" s="41" t="s">
        <v>8220</v>
      </c>
      <c r="E1139" s="41">
        <v>39000</v>
      </c>
    </row>
    <row r="1140" spans="1:5" x14ac:dyDescent="0.25">
      <c r="A1140" s="41" t="s">
        <v>8157</v>
      </c>
      <c r="B1140" s="41" t="s">
        <v>1307</v>
      </c>
      <c r="C1140" s="41" t="s">
        <v>68</v>
      </c>
      <c r="D1140" s="41" t="s">
        <v>8221</v>
      </c>
      <c r="E1140" s="41">
        <v>37800</v>
      </c>
    </row>
    <row r="1141" spans="1:5" x14ac:dyDescent="0.25">
      <c r="A1141" s="41" t="s">
        <v>8157</v>
      </c>
      <c r="B1141" s="41" t="s">
        <v>1307</v>
      </c>
      <c r="C1141" s="41" t="s">
        <v>68</v>
      </c>
      <c r="D1141" s="41" t="s">
        <v>8222</v>
      </c>
      <c r="E1141" s="41">
        <v>36700</v>
      </c>
    </row>
    <row r="1142" spans="1:5" x14ac:dyDescent="0.25">
      <c r="A1142" s="41" t="s">
        <v>8157</v>
      </c>
      <c r="B1142" s="41" t="s">
        <v>7533</v>
      </c>
      <c r="C1142" s="41" t="s">
        <v>68</v>
      </c>
      <c r="D1142" s="41" t="s">
        <v>8223</v>
      </c>
      <c r="E1142" s="41">
        <v>26700</v>
      </c>
    </row>
    <row r="1143" spans="1:5" x14ac:dyDescent="0.25">
      <c r="A1143" s="41" t="s">
        <v>8157</v>
      </c>
      <c r="B1143" s="41" t="s">
        <v>7533</v>
      </c>
      <c r="C1143" s="41" t="s">
        <v>68</v>
      </c>
      <c r="D1143" s="41" t="s">
        <v>8224</v>
      </c>
      <c r="E1143" s="41">
        <v>25400</v>
      </c>
    </row>
    <row r="1144" spans="1:5" x14ac:dyDescent="0.25">
      <c r="A1144" s="41" t="s">
        <v>8157</v>
      </c>
      <c r="B1144" s="41" t="s">
        <v>7533</v>
      </c>
      <c r="C1144" s="41" t="s">
        <v>68</v>
      </c>
      <c r="D1144" s="41" t="s">
        <v>8225</v>
      </c>
      <c r="E1144" s="41">
        <v>25000</v>
      </c>
    </row>
    <row r="1145" spans="1:5" x14ac:dyDescent="0.25">
      <c r="A1145" s="41" t="s">
        <v>8157</v>
      </c>
      <c r="B1145" s="41" t="s">
        <v>7533</v>
      </c>
      <c r="C1145" s="41" t="s">
        <v>68</v>
      </c>
      <c r="D1145" s="41" t="s">
        <v>8226</v>
      </c>
      <c r="E1145" s="41">
        <v>24375</v>
      </c>
    </row>
    <row r="1146" spans="1:5" x14ac:dyDescent="0.25">
      <c r="A1146" s="41" t="s">
        <v>8157</v>
      </c>
      <c r="B1146" s="41" t="s">
        <v>7533</v>
      </c>
      <c r="C1146" s="41" t="s">
        <v>68</v>
      </c>
      <c r="D1146" s="41" t="s">
        <v>8215</v>
      </c>
      <c r="E1146" s="41">
        <v>24250</v>
      </c>
    </row>
    <row r="1147" spans="1:5" x14ac:dyDescent="0.25">
      <c r="A1147" s="41" t="s">
        <v>8157</v>
      </c>
      <c r="B1147" s="41" t="s">
        <v>7533</v>
      </c>
      <c r="C1147" s="41" t="s">
        <v>68</v>
      </c>
      <c r="D1147" s="41" t="s">
        <v>8227</v>
      </c>
      <c r="E1147" s="41">
        <v>23750</v>
      </c>
    </row>
    <row r="1148" spans="1:5" x14ac:dyDescent="0.25">
      <c r="A1148" s="41" t="s">
        <v>8157</v>
      </c>
      <c r="B1148" s="41" t="s">
        <v>1309</v>
      </c>
      <c r="C1148" s="41" t="s">
        <v>68</v>
      </c>
      <c r="D1148" s="41" t="s">
        <v>8228</v>
      </c>
      <c r="E1148" s="41">
        <v>51360</v>
      </c>
    </row>
    <row r="1149" spans="1:5" x14ac:dyDescent="0.25">
      <c r="A1149" s="41" t="s">
        <v>8157</v>
      </c>
      <c r="B1149" s="41" t="s">
        <v>1309</v>
      </c>
      <c r="C1149" s="41" t="s">
        <v>68</v>
      </c>
      <c r="D1149" s="41" t="s">
        <v>8203</v>
      </c>
      <c r="E1149" s="41">
        <v>50860</v>
      </c>
    </row>
    <row r="1150" spans="1:5" x14ac:dyDescent="0.25">
      <c r="A1150" s="41" t="s">
        <v>8157</v>
      </c>
      <c r="B1150" s="41" t="s">
        <v>1309</v>
      </c>
      <c r="C1150" s="41" t="s">
        <v>68</v>
      </c>
      <c r="D1150" s="41" t="s">
        <v>8229</v>
      </c>
      <c r="E1150" s="41">
        <v>46380</v>
      </c>
    </row>
    <row r="1151" spans="1:5" x14ac:dyDescent="0.25">
      <c r="A1151" s="41" t="s">
        <v>8157</v>
      </c>
      <c r="B1151" s="41" t="s">
        <v>1309</v>
      </c>
      <c r="C1151" s="41" t="s">
        <v>68</v>
      </c>
      <c r="D1151" s="41" t="s">
        <v>8210</v>
      </c>
      <c r="E1151" s="41">
        <v>38610</v>
      </c>
    </row>
    <row r="1152" spans="1:5" x14ac:dyDescent="0.25">
      <c r="A1152" s="41" t="s">
        <v>8157</v>
      </c>
      <c r="B1152" s="41" t="s">
        <v>1309</v>
      </c>
      <c r="C1152" s="41" t="s">
        <v>68</v>
      </c>
      <c r="D1152" s="41" t="s">
        <v>8230</v>
      </c>
      <c r="E1152" s="41">
        <v>36710</v>
      </c>
    </row>
    <row r="1153" spans="1:5" x14ac:dyDescent="0.25">
      <c r="A1153" s="41" t="s">
        <v>8157</v>
      </c>
      <c r="B1153" s="41" t="s">
        <v>1309</v>
      </c>
      <c r="C1153" s="41" t="s">
        <v>68</v>
      </c>
      <c r="D1153" s="41" t="s">
        <v>8231</v>
      </c>
      <c r="E1153" s="41">
        <v>36350</v>
      </c>
    </row>
    <row r="1154" spans="1:5" x14ac:dyDescent="0.25">
      <c r="A1154" s="41" t="s">
        <v>8157</v>
      </c>
      <c r="B1154" s="41" t="s">
        <v>1309</v>
      </c>
      <c r="C1154" s="41" t="s">
        <v>68</v>
      </c>
      <c r="D1154" s="41" t="s">
        <v>8232</v>
      </c>
      <c r="E1154" s="41">
        <v>35330</v>
      </c>
    </row>
    <row r="1155" spans="1:5" x14ac:dyDescent="0.25">
      <c r="A1155" s="41" t="s">
        <v>8157</v>
      </c>
      <c r="B1155" s="41" t="s">
        <v>7536</v>
      </c>
      <c r="C1155" s="41" t="s">
        <v>68</v>
      </c>
      <c r="D1155" s="41" t="s">
        <v>8233</v>
      </c>
      <c r="E1155" s="41">
        <v>28080</v>
      </c>
    </row>
    <row r="1156" spans="1:5" x14ac:dyDescent="0.25">
      <c r="A1156" s="41" t="s">
        <v>8157</v>
      </c>
      <c r="B1156" s="41" t="s">
        <v>7536</v>
      </c>
      <c r="C1156" s="41" t="s">
        <v>68</v>
      </c>
      <c r="D1156" s="41" t="s">
        <v>8234</v>
      </c>
      <c r="E1156" s="41">
        <v>27950</v>
      </c>
    </row>
    <row r="1157" spans="1:5" x14ac:dyDescent="0.25">
      <c r="A1157" s="41" t="s">
        <v>8157</v>
      </c>
      <c r="B1157" s="41" t="s">
        <v>7536</v>
      </c>
      <c r="C1157" s="41" t="s">
        <v>68</v>
      </c>
      <c r="D1157" s="41" t="s">
        <v>8178</v>
      </c>
      <c r="E1157" s="41">
        <v>27690</v>
      </c>
    </row>
    <row r="1158" spans="1:5" x14ac:dyDescent="0.25">
      <c r="A1158" s="41" t="s">
        <v>8157</v>
      </c>
      <c r="B1158" s="41" t="s">
        <v>7536</v>
      </c>
      <c r="C1158" s="41" t="s">
        <v>68</v>
      </c>
      <c r="D1158" s="41" t="s">
        <v>8179</v>
      </c>
      <c r="E1158" s="41">
        <v>27170</v>
      </c>
    </row>
    <row r="1159" spans="1:5" x14ac:dyDescent="0.25">
      <c r="A1159" s="41" t="s">
        <v>8157</v>
      </c>
      <c r="B1159" s="41" t="s">
        <v>7536</v>
      </c>
      <c r="C1159" s="41" t="s">
        <v>68</v>
      </c>
      <c r="D1159" s="41" t="s">
        <v>8180</v>
      </c>
      <c r="E1159" s="41">
        <v>26390</v>
      </c>
    </row>
    <row r="1160" spans="1:5" x14ac:dyDescent="0.25">
      <c r="A1160" s="41" t="s">
        <v>8157</v>
      </c>
      <c r="B1160" s="41" t="s">
        <v>7536</v>
      </c>
      <c r="C1160" s="41" t="s">
        <v>68</v>
      </c>
      <c r="D1160" s="41" t="s">
        <v>8235</v>
      </c>
      <c r="E1160" s="41">
        <v>26130</v>
      </c>
    </row>
    <row r="1161" spans="1:5" x14ac:dyDescent="0.25">
      <c r="A1161" s="41" t="s">
        <v>8157</v>
      </c>
      <c r="B1161" s="41" t="s">
        <v>7536</v>
      </c>
      <c r="C1161" s="41" t="s">
        <v>68</v>
      </c>
      <c r="D1161" s="41" t="s">
        <v>8236</v>
      </c>
      <c r="E1161" s="41">
        <v>25090</v>
      </c>
    </row>
    <row r="1162" spans="1:5" x14ac:dyDescent="0.25">
      <c r="A1162" s="41" t="s">
        <v>8157</v>
      </c>
      <c r="B1162" s="41" t="s">
        <v>7536</v>
      </c>
      <c r="C1162" s="41" t="s">
        <v>68</v>
      </c>
      <c r="D1162" s="41" t="s">
        <v>8237</v>
      </c>
      <c r="E1162" s="41">
        <v>25090</v>
      </c>
    </row>
    <row r="1163" spans="1:5" x14ac:dyDescent="0.25">
      <c r="A1163" s="41" t="s">
        <v>8157</v>
      </c>
      <c r="B1163" s="41" t="s">
        <v>7538</v>
      </c>
      <c r="C1163" s="41" t="s">
        <v>68</v>
      </c>
      <c r="D1163" s="41" t="s">
        <v>8158</v>
      </c>
      <c r="E1163" s="41">
        <v>39600</v>
      </c>
    </row>
    <row r="1164" spans="1:5" x14ac:dyDescent="0.25">
      <c r="A1164" s="41" t="s">
        <v>8157</v>
      </c>
      <c r="B1164" s="41" t="s">
        <v>7540</v>
      </c>
      <c r="C1164" s="41" t="s">
        <v>68</v>
      </c>
      <c r="D1164" s="41" t="s">
        <v>8185</v>
      </c>
      <c r="E1164" s="41">
        <v>34700</v>
      </c>
    </row>
    <row r="1165" spans="1:5" x14ac:dyDescent="0.25">
      <c r="A1165" s="41" t="s">
        <v>8157</v>
      </c>
      <c r="B1165" s="41" t="s">
        <v>7540</v>
      </c>
      <c r="C1165" s="41" t="s">
        <v>68</v>
      </c>
      <c r="D1165" s="41" t="s">
        <v>8193</v>
      </c>
      <c r="E1165" s="41">
        <v>33700</v>
      </c>
    </row>
    <row r="1166" spans="1:5" x14ac:dyDescent="0.25">
      <c r="A1166" s="41" t="s">
        <v>8157</v>
      </c>
      <c r="B1166" s="41" t="s">
        <v>7542</v>
      </c>
      <c r="C1166" s="41" t="s">
        <v>68</v>
      </c>
      <c r="D1166" s="41" t="s">
        <v>8238</v>
      </c>
      <c r="E1166" s="41">
        <v>58600</v>
      </c>
    </row>
    <row r="1167" spans="1:5" x14ac:dyDescent="0.25">
      <c r="A1167" s="41" t="s">
        <v>8157</v>
      </c>
      <c r="B1167" s="41" t="s">
        <v>7542</v>
      </c>
      <c r="C1167" s="41" t="s">
        <v>68</v>
      </c>
      <c r="D1167" s="41" t="s">
        <v>1138</v>
      </c>
      <c r="E1167" s="41">
        <v>55400</v>
      </c>
    </row>
    <row r="1168" spans="1:5" x14ac:dyDescent="0.25">
      <c r="A1168" s="41" t="s">
        <v>8157</v>
      </c>
      <c r="B1168" s="41" t="s">
        <v>7542</v>
      </c>
      <c r="C1168" s="41" t="s">
        <v>68</v>
      </c>
      <c r="D1168" s="41" t="s">
        <v>821</v>
      </c>
      <c r="E1168" s="41">
        <v>54200</v>
      </c>
    </row>
    <row r="1169" spans="1:5" x14ac:dyDescent="0.25">
      <c r="A1169" s="41" t="s">
        <v>8157</v>
      </c>
      <c r="B1169" s="41" t="s">
        <v>7542</v>
      </c>
      <c r="C1169" s="41" t="s">
        <v>68</v>
      </c>
      <c r="D1169" s="41" t="s">
        <v>8239</v>
      </c>
      <c r="E1169" s="41">
        <v>46000</v>
      </c>
    </row>
    <row r="1170" spans="1:5" x14ac:dyDescent="0.25">
      <c r="A1170" s="41" t="s">
        <v>8157</v>
      </c>
      <c r="B1170" s="41" t="s">
        <v>7542</v>
      </c>
      <c r="C1170" s="41" t="s">
        <v>68</v>
      </c>
      <c r="D1170" s="41" t="s">
        <v>8240</v>
      </c>
      <c r="E1170" s="41">
        <v>32400</v>
      </c>
    </row>
    <row r="1171" spans="1:5" x14ac:dyDescent="0.25">
      <c r="A1171" s="41" t="s">
        <v>8157</v>
      </c>
      <c r="B1171" s="41" t="s">
        <v>7542</v>
      </c>
      <c r="C1171" s="41" t="s">
        <v>68</v>
      </c>
      <c r="D1171" s="41" t="s">
        <v>8241</v>
      </c>
      <c r="E1171" s="41">
        <v>38100</v>
      </c>
    </row>
    <row r="1172" spans="1:5" x14ac:dyDescent="0.25">
      <c r="A1172" s="41" t="s">
        <v>8157</v>
      </c>
      <c r="B1172" s="41" t="s">
        <v>7544</v>
      </c>
      <c r="C1172" s="41" t="s">
        <v>68</v>
      </c>
      <c r="D1172" s="41" t="s">
        <v>8242</v>
      </c>
      <c r="E1172" s="41">
        <v>27690</v>
      </c>
    </row>
    <row r="1173" spans="1:5" x14ac:dyDescent="0.25">
      <c r="A1173" s="41" t="s">
        <v>8157</v>
      </c>
      <c r="B1173" s="41" t="s">
        <v>7544</v>
      </c>
      <c r="C1173" s="41" t="s">
        <v>68</v>
      </c>
      <c r="D1173" s="41" t="s">
        <v>8243</v>
      </c>
      <c r="E1173" s="41">
        <v>27405</v>
      </c>
    </row>
    <row r="1174" spans="1:5" x14ac:dyDescent="0.25">
      <c r="A1174" s="41" t="s">
        <v>8157</v>
      </c>
      <c r="B1174" s="41" t="s">
        <v>1311</v>
      </c>
      <c r="C1174" s="41" t="s">
        <v>68</v>
      </c>
      <c r="D1174" s="41" t="s">
        <v>8244</v>
      </c>
      <c r="E1174" s="41">
        <v>48720</v>
      </c>
    </row>
    <row r="1175" spans="1:5" x14ac:dyDescent="0.25">
      <c r="A1175" s="41" t="s">
        <v>8157</v>
      </c>
      <c r="B1175" s="41" t="s">
        <v>1311</v>
      </c>
      <c r="C1175" s="41" t="s">
        <v>68</v>
      </c>
      <c r="D1175" s="41" t="s">
        <v>8245</v>
      </c>
      <c r="E1175" s="41">
        <v>44240</v>
      </c>
    </row>
    <row r="1176" spans="1:5" x14ac:dyDescent="0.25">
      <c r="A1176" s="41" t="s">
        <v>8157</v>
      </c>
      <c r="B1176" s="41" t="s">
        <v>1313</v>
      </c>
      <c r="C1176" s="41" t="s">
        <v>68</v>
      </c>
      <c r="D1176" s="41" t="s">
        <v>8246</v>
      </c>
      <c r="E1176" s="41">
        <v>47000</v>
      </c>
    </row>
    <row r="1177" spans="1:5" x14ac:dyDescent="0.25">
      <c r="A1177" s="41" t="s">
        <v>8157</v>
      </c>
      <c r="B1177" s="41" t="s">
        <v>1313</v>
      </c>
      <c r="C1177" s="41" t="s">
        <v>68</v>
      </c>
      <c r="D1177" s="41" t="s">
        <v>8247</v>
      </c>
      <c r="E1177" s="41">
        <v>45700</v>
      </c>
    </row>
    <row r="1178" spans="1:5" x14ac:dyDescent="0.25">
      <c r="A1178" s="41" t="s">
        <v>8157</v>
      </c>
      <c r="B1178" s="41" t="s">
        <v>1313</v>
      </c>
      <c r="C1178" s="41" t="s">
        <v>68</v>
      </c>
      <c r="D1178" s="41" t="s">
        <v>8248</v>
      </c>
      <c r="E1178" s="41">
        <v>43300</v>
      </c>
    </row>
    <row r="1179" spans="1:5" x14ac:dyDescent="0.25">
      <c r="A1179" s="41" t="s">
        <v>8157</v>
      </c>
      <c r="B1179" s="41" t="s">
        <v>1313</v>
      </c>
      <c r="C1179" s="41" t="s">
        <v>68</v>
      </c>
      <c r="D1179" s="41" t="s">
        <v>8249</v>
      </c>
      <c r="E1179" s="41">
        <v>45500</v>
      </c>
    </row>
    <row r="1180" spans="1:5" x14ac:dyDescent="0.25">
      <c r="A1180" s="41" t="s">
        <v>8157</v>
      </c>
      <c r="B1180" s="41" t="s">
        <v>1313</v>
      </c>
      <c r="C1180" s="41" t="s">
        <v>68</v>
      </c>
      <c r="D1180" s="41" t="s">
        <v>8250</v>
      </c>
      <c r="E1180" s="41">
        <v>42300</v>
      </c>
    </row>
    <row r="1181" spans="1:5" x14ac:dyDescent="0.25">
      <c r="A1181" s="41" t="s">
        <v>8157</v>
      </c>
      <c r="B1181" s="41" t="s">
        <v>1313</v>
      </c>
      <c r="C1181" s="41" t="s">
        <v>68</v>
      </c>
      <c r="D1181" s="41" t="s">
        <v>8251</v>
      </c>
      <c r="E1181" s="41">
        <v>41000</v>
      </c>
    </row>
    <row r="1182" spans="1:5" x14ac:dyDescent="0.25">
      <c r="A1182" s="41" t="s">
        <v>8157</v>
      </c>
      <c r="B1182" s="41" t="s">
        <v>7468</v>
      </c>
      <c r="C1182" s="41" t="s">
        <v>68</v>
      </c>
      <c r="D1182" s="41" t="s">
        <v>8158</v>
      </c>
      <c r="E1182" s="41">
        <v>44685</v>
      </c>
    </row>
    <row r="1183" spans="1:5" x14ac:dyDescent="0.25">
      <c r="A1183" s="41" t="s">
        <v>8157</v>
      </c>
      <c r="B1183" s="41" t="s">
        <v>7467</v>
      </c>
      <c r="C1183" s="41" t="s">
        <v>68</v>
      </c>
      <c r="D1183" s="41" t="s">
        <v>8172</v>
      </c>
      <c r="E1183" s="41">
        <v>57600</v>
      </c>
    </row>
    <row r="1184" spans="1:5" x14ac:dyDescent="0.25">
      <c r="A1184" s="41" t="s">
        <v>8157</v>
      </c>
      <c r="B1184" s="41" t="s">
        <v>7467</v>
      </c>
      <c r="C1184" s="41" t="s">
        <v>68</v>
      </c>
      <c r="D1184" s="41" t="s">
        <v>8173</v>
      </c>
      <c r="E1184" s="41">
        <v>53600</v>
      </c>
    </row>
    <row r="1185" spans="1:5" x14ac:dyDescent="0.25">
      <c r="A1185" s="41" t="s">
        <v>8157</v>
      </c>
      <c r="B1185" s="41" t="s">
        <v>7467</v>
      </c>
      <c r="C1185" s="41" t="s">
        <v>68</v>
      </c>
      <c r="D1185" s="41" t="s">
        <v>8252</v>
      </c>
      <c r="E1185" s="41">
        <v>50900</v>
      </c>
    </row>
    <row r="1186" spans="1:5" x14ac:dyDescent="0.25">
      <c r="A1186" s="41" t="s">
        <v>8157</v>
      </c>
      <c r="B1186" s="41" t="s">
        <v>7467</v>
      </c>
      <c r="C1186" s="41" t="s">
        <v>68</v>
      </c>
      <c r="D1186" s="41" t="s">
        <v>8243</v>
      </c>
      <c r="E1186" s="41">
        <v>48400</v>
      </c>
    </row>
    <row r="1187" spans="1:5" x14ac:dyDescent="0.25">
      <c r="A1187" s="41" t="s">
        <v>8157</v>
      </c>
      <c r="B1187" s="41" t="s">
        <v>7548</v>
      </c>
      <c r="C1187" s="41" t="s">
        <v>68</v>
      </c>
      <c r="D1187" s="41" t="s">
        <v>8158</v>
      </c>
      <c r="E1187" s="41">
        <v>10875</v>
      </c>
    </row>
    <row r="1188" spans="1:5" x14ac:dyDescent="0.25">
      <c r="A1188" s="41" t="s">
        <v>8157</v>
      </c>
      <c r="B1188" s="41" t="s">
        <v>7550</v>
      </c>
      <c r="C1188" s="41" t="s">
        <v>68</v>
      </c>
      <c r="D1188" s="41" t="s">
        <v>8158</v>
      </c>
      <c r="E1188" s="41">
        <v>46690</v>
      </c>
    </row>
    <row r="1189" spans="1:5" x14ac:dyDescent="0.25">
      <c r="A1189" s="41" t="s">
        <v>8157</v>
      </c>
      <c r="B1189" s="41" t="s">
        <v>1315</v>
      </c>
      <c r="C1189" s="41" t="s">
        <v>68</v>
      </c>
      <c r="D1189" s="41" t="s">
        <v>8253</v>
      </c>
      <c r="E1189" s="41">
        <v>45500</v>
      </c>
    </row>
    <row r="1190" spans="1:5" x14ac:dyDescent="0.25">
      <c r="A1190" s="41" t="s">
        <v>8157</v>
      </c>
      <c r="B1190" s="41" t="s">
        <v>1315</v>
      </c>
      <c r="C1190" s="41" t="s">
        <v>68</v>
      </c>
      <c r="D1190" s="41" t="s">
        <v>8254</v>
      </c>
      <c r="E1190" s="41">
        <v>43500</v>
      </c>
    </row>
    <row r="1191" spans="1:5" x14ac:dyDescent="0.25">
      <c r="A1191" s="41" t="s">
        <v>8157</v>
      </c>
      <c r="B1191" s="41" t="s">
        <v>1315</v>
      </c>
      <c r="C1191" s="41" t="s">
        <v>68</v>
      </c>
      <c r="D1191" s="41" t="s">
        <v>8255</v>
      </c>
      <c r="E1191" s="41">
        <v>41500</v>
      </c>
    </row>
    <row r="1192" spans="1:5" x14ac:dyDescent="0.25">
      <c r="A1192" s="41" t="s">
        <v>8157</v>
      </c>
      <c r="B1192" s="41" t="s">
        <v>1315</v>
      </c>
      <c r="C1192" s="41" t="s">
        <v>68</v>
      </c>
      <c r="D1192" s="41" t="s">
        <v>8256</v>
      </c>
      <c r="E1192" s="41">
        <v>39930</v>
      </c>
    </row>
    <row r="1193" spans="1:5" x14ac:dyDescent="0.25">
      <c r="A1193" s="41" t="s">
        <v>8157</v>
      </c>
      <c r="B1193" s="41" t="s">
        <v>1315</v>
      </c>
      <c r="C1193" s="41" t="s">
        <v>68</v>
      </c>
      <c r="D1193" s="41" t="s">
        <v>8257</v>
      </c>
      <c r="E1193" s="41">
        <v>39000</v>
      </c>
    </row>
    <row r="1194" spans="1:5" x14ac:dyDescent="0.25">
      <c r="A1194" s="41" t="s">
        <v>8157</v>
      </c>
      <c r="B1194" s="41" t="s">
        <v>1315</v>
      </c>
      <c r="C1194" s="41" t="s">
        <v>68</v>
      </c>
      <c r="D1194" s="41" t="s">
        <v>8258</v>
      </c>
      <c r="E1194" s="41">
        <v>40375</v>
      </c>
    </row>
    <row r="1195" spans="1:5" x14ac:dyDescent="0.25">
      <c r="A1195" s="41" t="s">
        <v>8157</v>
      </c>
      <c r="B1195" s="41" t="s">
        <v>1317</v>
      </c>
      <c r="C1195" s="41" t="s">
        <v>68</v>
      </c>
      <c r="D1195" s="41" t="s">
        <v>8233</v>
      </c>
      <c r="E1195" s="41">
        <v>53900</v>
      </c>
    </row>
    <row r="1196" spans="1:5" x14ac:dyDescent="0.25">
      <c r="A1196" s="41" t="s">
        <v>8157</v>
      </c>
      <c r="B1196" s="41" t="s">
        <v>1317</v>
      </c>
      <c r="C1196" s="41" t="s">
        <v>68</v>
      </c>
      <c r="D1196" s="41" t="s">
        <v>8259</v>
      </c>
      <c r="E1196" s="41">
        <v>43400</v>
      </c>
    </row>
    <row r="1197" spans="1:5" x14ac:dyDescent="0.25">
      <c r="A1197" s="41" t="s">
        <v>8157</v>
      </c>
      <c r="B1197" s="41" t="s">
        <v>1317</v>
      </c>
      <c r="C1197" s="41" t="s">
        <v>68</v>
      </c>
      <c r="D1197" s="41" t="s">
        <v>8260</v>
      </c>
      <c r="E1197" s="41">
        <v>32900</v>
      </c>
    </row>
    <row r="1198" spans="1:5" x14ac:dyDescent="0.25">
      <c r="A1198" s="41" t="s">
        <v>8157</v>
      </c>
      <c r="B1198" s="41" t="s">
        <v>1319</v>
      </c>
      <c r="C1198" s="41" t="s">
        <v>68</v>
      </c>
      <c r="D1198" s="41" t="s">
        <v>8261</v>
      </c>
      <c r="E1198" s="41">
        <v>56800</v>
      </c>
    </row>
    <row r="1199" spans="1:5" x14ac:dyDescent="0.25">
      <c r="A1199" s="41" t="s">
        <v>8157</v>
      </c>
      <c r="B1199" s="41" t="s">
        <v>1319</v>
      </c>
      <c r="C1199" s="41" t="s">
        <v>68</v>
      </c>
      <c r="D1199" s="41" t="s">
        <v>8166</v>
      </c>
      <c r="E1199" s="41">
        <v>47900</v>
      </c>
    </row>
    <row r="1200" spans="1:5" x14ac:dyDescent="0.25">
      <c r="A1200" s="41" t="s">
        <v>8157</v>
      </c>
      <c r="B1200" s="41" t="s">
        <v>1319</v>
      </c>
      <c r="C1200" s="41" t="s">
        <v>68</v>
      </c>
      <c r="D1200" s="41" t="s">
        <v>8237</v>
      </c>
      <c r="E1200" s="41">
        <v>45600</v>
      </c>
    </row>
    <row r="1201" spans="1:5" x14ac:dyDescent="0.25">
      <c r="A1201" s="41" t="s">
        <v>8157</v>
      </c>
      <c r="B1201" s="41" t="s">
        <v>1321</v>
      </c>
      <c r="C1201" s="41" t="s">
        <v>68</v>
      </c>
      <c r="D1201" s="41" t="s">
        <v>8262</v>
      </c>
      <c r="E1201" s="41">
        <v>47740</v>
      </c>
    </row>
    <row r="1202" spans="1:5" x14ac:dyDescent="0.25">
      <c r="A1202" s="41" t="s">
        <v>8157</v>
      </c>
      <c r="B1202" s="41" t="s">
        <v>1321</v>
      </c>
      <c r="C1202" s="41" t="s">
        <v>68</v>
      </c>
      <c r="D1202" s="41" t="s">
        <v>8263</v>
      </c>
      <c r="E1202" s="41">
        <v>46420</v>
      </c>
    </row>
    <row r="1203" spans="1:5" x14ac:dyDescent="0.25">
      <c r="A1203" s="41" t="s">
        <v>8157</v>
      </c>
      <c r="B1203" s="41" t="s">
        <v>1321</v>
      </c>
      <c r="C1203" s="41" t="s">
        <v>68</v>
      </c>
      <c r="D1203" s="41" t="s">
        <v>8264</v>
      </c>
      <c r="E1203" s="41">
        <v>45540</v>
      </c>
    </row>
    <row r="1204" spans="1:5" x14ac:dyDescent="0.25">
      <c r="A1204" s="41" t="s">
        <v>8157</v>
      </c>
      <c r="B1204" s="41" t="s">
        <v>7554</v>
      </c>
      <c r="C1204" s="41" t="s">
        <v>68</v>
      </c>
      <c r="D1204" s="41" t="s">
        <v>8233</v>
      </c>
      <c r="E1204" s="41">
        <v>48800</v>
      </c>
    </row>
    <row r="1205" spans="1:5" x14ac:dyDescent="0.25">
      <c r="A1205" s="41" t="s">
        <v>8157</v>
      </c>
      <c r="B1205" s="41" t="s">
        <v>7554</v>
      </c>
      <c r="C1205" s="41" t="s">
        <v>68</v>
      </c>
      <c r="D1205" s="41" t="s">
        <v>8265</v>
      </c>
      <c r="E1205" s="41">
        <v>42570</v>
      </c>
    </row>
    <row r="1206" spans="1:5" x14ac:dyDescent="0.25">
      <c r="A1206" s="41" t="s">
        <v>8157</v>
      </c>
      <c r="B1206" s="41" t="s">
        <v>7554</v>
      </c>
      <c r="C1206" s="41" t="s">
        <v>68</v>
      </c>
      <c r="D1206" s="41" t="s">
        <v>8190</v>
      </c>
      <c r="E1206" s="41">
        <v>31460</v>
      </c>
    </row>
    <row r="1207" spans="1:5" x14ac:dyDescent="0.25">
      <c r="A1207" s="41" t="s">
        <v>8157</v>
      </c>
      <c r="B1207" s="41" t="s">
        <v>7556</v>
      </c>
      <c r="C1207" s="41" t="s">
        <v>68</v>
      </c>
      <c r="D1207" s="41" t="s">
        <v>8158</v>
      </c>
      <c r="E1207" s="41">
        <v>36900</v>
      </c>
    </row>
    <row r="1208" spans="1:5" x14ac:dyDescent="0.25">
      <c r="A1208" s="41" t="s">
        <v>8157</v>
      </c>
      <c r="B1208" s="41" t="s">
        <v>7558</v>
      </c>
      <c r="C1208" s="41" t="s">
        <v>68</v>
      </c>
      <c r="D1208" s="41" t="s">
        <v>8233</v>
      </c>
      <c r="E1208" s="41">
        <v>44920</v>
      </c>
    </row>
    <row r="1209" spans="1:5" x14ac:dyDescent="0.25">
      <c r="A1209" s="41" t="s">
        <v>8157</v>
      </c>
      <c r="B1209" s="41" t="s">
        <v>7558</v>
      </c>
      <c r="C1209" s="41" t="s">
        <v>68</v>
      </c>
      <c r="D1209" s="41" t="s">
        <v>8161</v>
      </c>
      <c r="E1209" s="41">
        <v>41780</v>
      </c>
    </row>
    <row r="1210" spans="1:5" x14ac:dyDescent="0.25">
      <c r="A1210" s="41" t="s">
        <v>8157</v>
      </c>
      <c r="B1210" s="41" t="s">
        <v>7558</v>
      </c>
      <c r="C1210" s="41" t="s">
        <v>68</v>
      </c>
      <c r="D1210" s="41" t="s">
        <v>8165</v>
      </c>
      <c r="E1210" s="41">
        <v>38850</v>
      </c>
    </row>
    <row r="1211" spans="1:5" x14ac:dyDescent="0.25">
      <c r="A1211" s="41" t="s">
        <v>8157</v>
      </c>
      <c r="B1211" s="41" t="s">
        <v>7558</v>
      </c>
      <c r="C1211" s="41" t="s">
        <v>68</v>
      </c>
      <c r="D1211" s="41" t="s">
        <v>8266</v>
      </c>
      <c r="E1211" s="41">
        <v>36140</v>
      </c>
    </row>
    <row r="1212" spans="1:5" x14ac:dyDescent="0.25">
      <c r="A1212" s="41" t="s">
        <v>8157</v>
      </c>
      <c r="B1212" s="41" t="s">
        <v>7560</v>
      </c>
      <c r="C1212" s="41" t="s">
        <v>68</v>
      </c>
      <c r="D1212" s="41" t="s">
        <v>8244</v>
      </c>
      <c r="E1212" s="41">
        <v>45000</v>
      </c>
    </row>
    <row r="1213" spans="1:5" x14ac:dyDescent="0.25">
      <c r="A1213" s="41" t="s">
        <v>8157</v>
      </c>
      <c r="B1213" s="41" t="s">
        <v>7560</v>
      </c>
      <c r="C1213" s="41" t="s">
        <v>68</v>
      </c>
      <c r="D1213" s="41" t="s">
        <v>8267</v>
      </c>
      <c r="E1213" s="41">
        <v>42100</v>
      </c>
    </row>
    <row r="1214" spans="1:5" x14ac:dyDescent="0.25">
      <c r="A1214" s="41" t="s">
        <v>8157</v>
      </c>
      <c r="B1214" s="41" t="s">
        <v>7560</v>
      </c>
      <c r="C1214" s="41" t="s">
        <v>68</v>
      </c>
      <c r="D1214" s="41" t="s">
        <v>8266</v>
      </c>
      <c r="E1214" s="41">
        <v>38300</v>
      </c>
    </row>
    <row r="1215" spans="1:5" x14ac:dyDescent="0.25">
      <c r="A1215" s="41" t="s">
        <v>8157</v>
      </c>
      <c r="B1215" s="41" t="s">
        <v>7562</v>
      </c>
      <c r="C1215" s="41" t="s">
        <v>68</v>
      </c>
      <c r="D1215" s="41" t="s">
        <v>8158</v>
      </c>
      <c r="E1215" s="41">
        <v>28700</v>
      </c>
    </row>
    <row r="1216" spans="1:5" x14ac:dyDescent="0.25">
      <c r="A1216" s="41" t="s">
        <v>8157</v>
      </c>
      <c r="B1216" s="41" t="s">
        <v>7564</v>
      </c>
      <c r="C1216" s="41" t="s">
        <v>68</v>
      </c>
      <c r="D1216" s="41" t="s">
        <v>8158</v>
      </c>
      <c r="E1216" s="41">
        <v>28700</v>
      </c>
    </row>
    <row r="1217" spans="1:5" x14ac:dyDescent="0.25">
      <c r="A1217" s="41" t="s">
        <v>8157</v>
      </c>
      <c r="B1217" s="41" t="s">
        <v>7566</v>
      </c>
      <c r="C1217" s="41" t="s">
        <v>68</v>
      </c>
      <c r="D1217" s="41" t="s">
        <v>8233</v>
      </c>
      <c r="E1217" s="41">
        <v>42800</v>
      </c>
    </row>
    <row r="1218" spans="1:5" x14ac:dyDescent="0.25">
      <c r="A1218" s="41" t="s">
        <v>8157</v>
      </c>
      <c r="B1218" s="41" t="s">
        <v>7566</v>
      </c>
      <c r="C1218" s="41" t="s">
        <v>68</v>
      </c>
      <c r="D1218" s="41" t="s">
        <v>8161</v>
      </c>
      <c r="E1218" s="41">
        <v>42200</v>
      </c>
    </row>
    <row r="1219" spans="1:5" x14ac:dyDescent="0.25">
      <c r="A1219" s="41" t="s">
        <v>8157</v>
      </c>
      <c r="B1219" s="41" t="s">
        <v>7566</v>
      </c>
      <c r="C1219" s="41" t="s">
        <v>68</v>
      </c>
      <c r="D1219" s="41" t="s">
        <v>8162</v>
      </c>
      <c r="E1219" s="41">
        <v>41500</v>
      </c>
    </row>
    <row r="1220" spans="1:5" x14ac:dyDescent="0.25">
      <c r="A1220" s="41" t="s">
        <v>8157</v>
      </c>
      <c r="B1220" s="41" t="s">
        <v>7568</v>
      </c>
      <c r="C1220" s="41" t="s">
        <v>68</v>
      </c>
      <c r="D1220" s="41" t="s">
        <v>8158</v>
      </c>
      <c r="E1220" s="41">
        <v>18900</v>
      </c>
    </row>
    <row r="1221" spans="1:5" x14ac:dyDescent="0.25">
      <c r="A1221" s="41" t="s">
        <v>8157</v>
      </c>
      <c r="B1221" s="41" t="s">
        <v>7570</v>
      </c>
      <c r="C1221" s="41" t="s">
        <v>68</v>
      </c>
      <c r="D1221" s="41" t="s">
        <v>8158</v>
      </c>
      <c r="E1221" s="41">
        <v>41200</v>
      </c>
    </row>
    <row r="1222" spans="1:5" x14ac:dyDescent="0.25">
      <c r="A1222" s="41" t="s">
        <v>8157</v>
      </c>
      <c r="B1222" s="41" t="s">
        <v>7572</v>
      </c>
      <c r="C1222" s="41" t="s">
        <v>68</v>
      </c>
      <c r="D1222" s="41" t="s">
        <v>8158</v>
      </c>
      <c r="E1222" s="41">
        <v>31920</v>
      </c>
    </row>
    <row r="1223" spans="1:5" x14ac:dyDescent="0.25">
      <c r="A1223" s="41" t="s">
        <v>8157</v>
      </c>
      <c r="B1223" s="41" t="s">
        <v>7574</v>
      </c>
      <c r="C1223" s="41" t="s">
        <v>68</v>
      </c>
      <c r="D1223" s="41" t="s">
        <v>8158</v>
      </c>
      <c r="E1223" s="41">
        <v>32960</v>
      </c>
    </row>
    <row r="1224" spans="1:5" x14ac:dyDescent="0.25">
      <c r="A1224" s="41" t="s">
        <v>8157</v>
      </c>
      <c r="B1224" s="41" t="s">
        <v>7576</v>
      </c>
      <c r="C1224" s="41" t="s">
        <v>68</v>
      </c>
      <c r="D1224" s="41" t="s">
        <v>8158</v>
      </c>
      <c r="E1224" s="41">
        <v>31920</v>
      </c>
    </row>
    <row r="1225" spans="1:5" x14ac:dyDescent="0.25">
      <c r="A1225" s="41" t="s">
        <v>8157</v>
      </c>
      <c r="B1225" s="41" t="s">
        <v>7578</v>
      </c>
      <c r="C1225" s="41" t="s">
        <v>68</v>
      </c>
      <c r="D1225" s="41" t="s">
        <v>8158</v>
      </c>
      <c r="E1225" s="41">
        <v>9700</v>
      </c>
    </row>
    <row r="1226" spans="1:5" x14ac:dyDescent="0.25">
      <c r="A1226" s="41" t="s">
        <v>8157</v>
      </c>
      <c r="B1226" s="41" t="s">
        <v>1323</v>
      </c>
      <c r="C1226" s="41" t="s">
        <v>68</v>
      </c>
      <c r="D1226" s="41" t="s">
        <v>8261</v>
      </c>
      <c r="E1226" s="41">
        <v>49500</v>
      </c>
    </row>
    <row r="1227" spans="1:5" x14ac:dyDescent="0.25">
      <c r="A1227" s="41" t="s">
        <v>8157</v>
      </c>
      <c r="B1227" s="41" t="s">
        <v>1323</v>
      </c>
      <c r="C1227" s="41" t="s">
        <v>68</v>
      </c>
      <c r="D1227" s="41" t="s">
        <v>8166</v>
      </c>
      <c r="E1227" s="41">
        <v>47000</v>
      </c>
    </row>
    <row r="1228" spans="1:5" x14ac:dyDescent="0.25">
      <c r="A1228" s="41" t="s">
        <v>8157</v>
      </c>
      <c r="B1228" s="41" t="s">
        <v>1323</v>
      </c>
      <c r="C1228" s="41" t="s">
        <v>68</v>
      </c>
      <c r="D1228" s="41" t="s">
        <v>8268</v>
      </c>
      <c r="E1228" s="41">
        <v>43700</v>
      </c>
    </row>
    <row r="1229" spans="1:5" x14ac:dyDescent="0.25">
      <c r="A1229" s="41" t="s">
        <v>8157</v>
      </c>
      <c r="B1229" s="41" t="s">
        <v>1323</v>
      </c>
      <c r="C1229" s="41" t="s">
        <v>68</v>
      </c>
      <c r="D1229" s="41" t="s">
        <v>8269</v>
      </c>
      <c r="E1229" s="41">
        <v>40600</v>
      </c>
    </row>
    <row r="1230" spans="1:5" x14ac:dyDescent="0.25">
      <c r="A1230" s="41" t="s">
        <v>8157</v>
      </c>
      <c r="B1230" s="41" t="s">
        <v>1323</v>
      </c>
      <c r="C1230" s="41" t="s">
        <v>68</v>
      </c>
      <c r="D1230" s="41" t="s">
        <v>8270</v>
      </c>
      <c r="E1230" s="41">
        <v>38600</v>
      </c>
    </row>
    <row r="1231" spans="1:5" x14ac:dyDescent="0.25">
      <c r="A1231" s="41" t="s">
        <v>8157</v>
      </c>
      <c r="B1231" s="41" t="s">
        <v>1325</v>
      </c>
      <c r="C1231" s="41" t="s">
        <v>68</v>
      </c>
      <c r="D1231" s="41" t="s">
        <v>8271</v>
      </c>
      <c r="E1231" s="41">
        <v>63000</v>
      </c>
    </row>
    <row r="1232" spans="1:5" x14ac:dyDescent="0.25">
      <c r="A1232" s="41" t="s">
        <v>8157</v>
      </c>
      <c r="B1232" s="41" t="s">
        <v>1325</v>
      </c>
      <c r="C1232" s="41" t="s">
        <v>68</v>
      </c>
      <c r="D1232" s="41" t="s">
        <v>8272</v>
      </c>
      <c r="E1232" s="41">
        <v>61100</v>
      </c>
    </row>
    <row r="1233" spans="1:5" x14ac:dyDescent="0.25">
      <c r="A1233" s="41" t="s">
        <v>8157</v>
      </c>
      <c r="B1233" s="41" t="s">
        <v>1325</v>
      </c>
      <c r="C1233" s="41" t="s">
        <v>68</v>
      </c>
      <c r="D1233" s="41" t="s">
        <v>8273</v>
      </c>
      <c r="E1233" s="41">
        <v>56800</v>
      </c>
    </row>
    <row r="1234" spans="1:5" x14ac:dyDescent="0.25">
      <c r="A1234" s="41" t="s">
        <v>8157</v>
      </c>
      <c r="B1234" s="41" t="s">
        <v>1325</v>
      </c>
      <c r="C1234" s="41" t="s">
        <v>68</v>
      </c>
      <c r="D1234" s="41" t="s">
        <v>8274</v>
      </c>
      <c r="E1234" s="41">
        <v>54000</v>
      </c>
    </row>
    <row r="1235" spans="1:5" x14ac:dyDescent="0.25">
      <c r="A1235" s="41" t="s">
        <v>8157</v>
      </c>
      <c r="B1235" s="41" t="s">
        <v>1325</v>
      </c>
      <c r="C1235" s="41" t="s">
        <v>68</v>
      </c>
      <c r="D1235" s="41" t="s">
        <v>8275</v>
      </c>
      <c r="E1235" s="41">
        <v>51300</v>
      </c>
    </row>
    <row r="1236" spans="1:5" x14ac:dyDescent="0.25">
      <c r="A1236" s="41" t="s">
        <v>8157</v>
      </c>
      <c r="B1236" s="41" t="s">
        <v>1325</v>
      </c>
      <c r="C1236" s="41" t="s">
        <v>68</v>
      </c>
      <c r="D1236" s="41" t="s">
        <v>8276</v>
      </c>
      <c r="E1236" s="41">
        <v>52400</v>
      </c>
    </row>
    <row r="1237" spans="1:5" x14ac:dyDescent="0.25">
      <c r="A1237" s="41" t="s">
        <v>8157</v>
      </c>
      <c r="B1237" s="41" t="s">
        <v>1325</v>
      </c>
      <c r="C1237" s="41" t="s">
        <v>68</v>
      </c>
      <c r="D1237" s="41" t="s">
        <v>8277</v>
      </c>
      <c r="E1237" s="41">
        <v>49800</v>
      </c>
    </row>
    <row r="1238" spans="1:5" x14ac:dyDescent="0.25">
      <c r="A1238" s="41" t="s">
        <v>8157</v>
      </c>
      <c r="B1238" s="41" t="s">
        <v>1327</v>
      </c>
      <c r="C1238" s="41" t="s">
        <v>68</v>
      </c>
      <c r="D1238" s="41" t="s">
        <v>8278</v>
      </c>
      <c r="E1238" s="41">
        <v>47000</v>
      </c>
    </row>
    <row r="1239" spans="1:5" x14ac:dyDescent="0.25">
      <c r="A1239" s="41" t="s">
        <v>8157</v>
      </c>
      <c r="B1239" s="41" t="s">
        <v>1327</v>
      </c>
      <c r="C1239" s="41" t="s">
        <v>68</v>
      </c>
      <c r="D1239" s="41" t="s">
        <v>8279</v>
      </c>
      <c r="E1239" s="41">
        <v>44800</v>
      </c>
    </row>
    <row r="1240" spans="1:5" x14ac:dyDescent="0.25">
      <c r="A1240" s="41" t="s">
        <v>8157</v>
      </c>
      <c r="B1240" s="41" t="s">
        <v>1327</v>
      </c>
      <c r="C1240" s="41" t="s">
        <v>68</v>
      </c>
      <c r="D1240" s="41" t="s">
        <v>8280</v>
      </c>
      <c r="E1240" s="41">
        <v>41900</v>
      </c>
    </row>
    <row r="1241" spans="1:5" x14ac:dyDescent="0.25">
      <c r="A1241" s="41" t="s">
        <v>8157</v>
      </c>
      <c r="B1241" s="41" t="s">
        <v>1327</v>
      </c>
      <c r="C1241" s="41" t="s">
        <v>68</v>
      </c>
      <c r="D1241" s="41" t="s">
        <v>8281</v>
      </c>
      <c r="E1241" s="41">
        <v>39100</v>
      </c>
    </row>
    <row r="1242" spans="1:5" x14ac:dyDescent="0.25">
      <c r="A1242" s="41" t="s">
        <v>8157</v>
      </c>
      <c r="B1242" s="41" t="s">
        <v>1327</v>
      </c>
      <c r="C1242" s="41" t="s">
        <v>68</v>
      </c>
      <c r="D1242" s="41" t="s">
        <v>8282</v>
      </c>
      <c r="E1242" s="41">
        <v>37200</v>
      </c>
    </row>
    <row r="1243" spans="1:5" x14ac:dyDescent="0.25">
      <c r="A1243" s="41" t="s">
        <v>8157</v>
      </c>
      <c r="B1243" s="41" t="s">
        <v>1327</v>
      </c>
      <c r="C1243" s="41" t="s">
        <v>68</v>
      </c>
      <c r="D1243" s="41" t="s">
        <v>8283</v>
      </c>
      <c r="E1243" s="41">
        <v>36400</v>
      </c>
    </row>
    <row r="1244" spans="1:5" x14ac:dyDescent="0.25">
      <c r="A1244" s="41" t="s">
        <v>8157</v>
      </c>
      <c r="B1244" s="41" t="s">
        <v>1327</v>
      </c>
      <c r="C1244" s="41" t="s">
        <v>68</v>
      </c>
      <c r="D1244" s="41" t="s">
        <v>8168</v>
      </c>
      <c r="E1244" s="41">
        <v>35300</v>
      </c>
    </row>
    <row r="1245" spans="1:5" x14ac:dyDescent="0.25">
      <c r="A1245" s="41" t="s">
        <v>8157</v>
      </c>
      <c r="B1245" s="41" t="s">
        <v>1329</v>
      </c>
      <c r="C1245" s="41" t="s">
        <v>68</v>
      </c>
      <c r="D1245" s="41" t="s">
        <v>8284</v>
      </c>
      <c r="E1245" s="41">
        <v>44200</v>
      </c>
    </row>
    <row r="1246" spans="1:5" x14ac:dyDescent="0.25">
      <c r="A1246" s="41" t="s">
        <v>8157</v>
      </c>
      <c r="B1246" s="41" t="s">
        <v>1329</v>
      </c>
      <c r="C1246" s="41" t="s">
        <v>68</v>
      </c>
      <c r="D1246" s="41" t="s">
        <v>8285</v>
      </c>
      <c r="E1246" s="41">
        <v>42000</v>
      </c>
    </row>
    <row r="1247" spans="1:5" x14ac:dyDescent="0.25">
      <c r="A1247" s="41" t="s">
        <v>8157</v>
      </c>
      <c r="B1247" s="41" t="s">
        <v>1329</v>
      </c>
      <c r="C1247" s="41" t="s">
        <v>68</v>
      </c>
      <c r="D1247" s="41" t="s">
        <v>8286</v>
      </c>
      <c r="E1247" s="41">
        <v>39900</v>
      </c>
    </row>
    <row r="1248" spans="1:5" x14ac:dyDescent="0.25">
      <c r="A1248" s="41" t="s">
        <v>8157</v>
      </c>
      <c r="B1248" s="41" t="s">
        <v>1329</v>
      </c>
      <c r="C1248" s="41" t="s">
        <v>68</v>
      </c>
      <c r="D1248" s="41" t="s">
        <v>8260</v>
      </c>
      <c r="E1248" s="41">
        <v>37200</v>
      </c>
    </row>
    <row r="1249" spans="1:5" x14ac:dyDescent="0.25">
      <c r="A1249" s="41" t="s">
        <v>8157</v>
      </c>
      <c r="B1249" s="41" t="s">
        <v>7441</v>
      </c>
      <c r="C1249" s="41" t="s">
        <v>68</v>
      </c>
      <c r="D1249" s="41" t="s">
        <v>8287</v>
      </c>
      <c r="E1249" s="41">
        <v>40800</v>
      </c>
    </row>
    <row r="1250" spans="1:5" x14ac:dyDescent="0.25">
      <c r="A1250" s="41" t="s">
        <v>8157</v>
      </c>
      <c r="B1250" s="41" t="s">
        <v>7441</v>
      </c>
      <c r="C1250" s="41" t="s">
        <v>68</v>
      </c>
      <c r="D1250" s="41" t="s">
        <v>8288</v>
      </c>
      <c r="E1250" s="41">
        <v>38700</v>
      </c>
    </row>
    <row r="1251" spans="1:5" x14ac:dyDescent="0.25">
      <c r="A1251" s="41" t="s">
        <v>8157</v>
      </c>
      <c r="B1251" s="41" t="s">
        <v>7441</v>
      </c>
      <c r="C1251" s="41" t="s">
        <v>68</v>
      </c>
      <c r="D1251" s="41" t="s">
        <v>8265</v>
      </c>
      <c r="E1251" s="41">
        <v>36000</v>
      </c>
    </row>
    <row r="1252" spans="1:5" x14ac:dyDescent="0.25">
      <c r="A1252" s="41" t="s">
        <v>8157</v>
      </c>
      <c r="B1252" s="41" t="s">
        <v>7441</v>
      </c>
      <c r="C1252" s="41" t="s">
        <v>68</v>
      </c>
      <c r="D1252" s="41" t="s">
        <v>8289</v>
      </c>
      <c r="E1252" s="41">
        <v>34200</v>
      </c>
    </row>
    <row r="1253" spans="1:5" x14ac:dyDescent="0.25">
      <c r="A1253" s="41" t="s">
        <v>8157</v>
      </c>
      <c r="B1253" s="41" t="s">
        <v>7441</v>
      </c>
      <c r="C1253" s="41" t="s">
        <v>68</v>
      </c>
      <c r="D1253" s="41" t="s">
        <v>8290</v>
      </c>
      <c r="E1253" s="41">
        <v>31800</v>
      </c>
    </row>
    <row r="1254" spans="1:5" x14ac:dyDescent="0.25">
      <c r="A1254" s="41" t="s">
        <v>8157</v>
      </c>
      <c r="B1254" s="41" t="s">
        <v>7441</v>
      </c>
      <c r="C1254" s="41" t="s">
        <v>68</v>
      </c>
      <c r="D1254" s="41" t="s">
        <v>8258</v>
      </c>
      <c r="E1254" s="41">
        <v>30300</v>
      </c>
    </row>
    <row r="1255" spans="1:5" x14ac:dyDescent="0.25">
      <c r="A1255" s="41" t="s">
        <v>8157</v>
      </c>
      <c r="B1255" s="41" t="s">
        <v>7429</v>
      </c>
      <c r="C1255" s="41" t="s">
        <v>68</v>
      </c>
      <c r="D1255" s="41" t="s">
        <v>8233</v>
      </c>
      <c r="E1255" s="41">
        <v>45800</v>
      </c>
    </row>
    <row r="1256" spans="1:5" x14ac:dyDescent="0.25">
      <c r="A1256" s="41" t="s">
        <v>8157</v>
      </c>
      <c r="B1256" s="41" t="s">
        <v>7429</v>
      </c>
      <c r="C1256" s="41" t="s">
        <v>68</v>
      </c>
      <c r="D1256" s="41" t="s">
        <v>8265</v>
      </c>
      <c r="E1256" s="41">
        <v>42600</v>
      </c>
    </row>
    <row r="1257" spans="1:5" x14ac:dyDescent="0.25">
      <c r="A1257" s="41" t="s">
        <v>8157</v>
      </c>
      <c r="B1257" s="41" t="s">
        <v>7429</v>
      </c>
      <c r="C1257" s="41" t="s">
        <v>68</v>
      </c>
      <c r="D1257" s="41" t="s">
        <v>8291</v>
      </c>
      <c r="E1257" s="41">
        <v>39600</v>
      </c>
    </row>
    <row r="1258" spans="1:5" x14ac:dyDescent="0.25">
      <c r="A1258" s="41" t="s">
        <v>8157</v>
      </c>
      <c r="B1258" s="41" t="s">
        <v>7429</v>
      </c>
      <c r="C1258" s="41" t="s">
        <v>68</v>
      </c>
      <c r="D1258" s="41" t="s">
        <v>8292</v>
      </c>
      <c r="E1258" s="41">
        <v>36800</v>
      </c>
    </row>
    <row r="1259" spans="1:5" x14ac:dyDescent="0.25">
      <c r="A1259" s="41" t="s">
        <v>8157</v>
      </c>
      <c r="B1259" s="41" t="s">
        <v>7429</v>
      </c>
      <c r="C1259" s="41" t="s">
        <v>68</v>
      </c>
      <c r="D1259" s="41" t="s">
        <v>8229</v>
      </c>
      <c r="E1259" s="41">
        <v>34300</v>
      </c>
    </row>
    <row r="1260" spans="1:5" x14ac:dyDescent="0.25">
      <c r="A1260" s="41" t="s">
        <v>8157</v>
      </c>
      <c r="B1260" s="41" t="s">
        <v>7429</v>
      </c>
      <c r="C1260" s="41" t="s">
        <v>68</v>
      </c>
      <c r="D1260" s="41" t="s">
        <v>8168</v>
      </c>
      <c r="E1260" s="41">
        <v>31900</v>
      </c>
    </row>
    <row r="1261" spans="1:5" x14ac:dyDescent="0.25">
      <c r="A1261" s="41" t="s">
        <v>8157</v>
      </c>
      <c r="B1261" s="41" t="s">
        <v>7584</v>
      </c>
      <c r="C1261" s="41" t="s">
        <v>68</v>
      </c>
      <c r="D1261" s="41" t="s">
        <v>8287</v>
      </c>
      <c r="E1261" s="41">
        <v>26000</v>
      </c>
    </row>
    <row r="1262" spans="1:5" x14ac:dyDescent="0.25">
      <c r="A1262" s="41" t="s">
        <v>8157</v>
      </c>
      <c r="B1262" s="41" t="s">
        <v>7584</v>
      </c>
      <c r="C1262" s="41" t="s">
        <v>68</v>
      </c>
      <c r="D1262" s="41" t="s">
        <v>8293</v>
      </c>
      <c r="E1262" s="41">
        <v>24200</v>
      </c>
    </row>
    <row r="1263" spans="1:5" x14ac:dyDescent="0.25">
      <c r="A1263" s="41" t="s">
        <v>8157</v>
      </c>
      <c r="B1263" s="41" t="s">
        <v>7584</v>
      </c>
      <c r="C1263" s="41" t="s">
        <v>68</v>
      </c>
      <c r="D1263" s="41" t="s">
        <v>8294</v>
      </c>
      <c r="E1263" s="41">
        <v>22400</v>
      </c>
    </row>
    <row r="1264" spans="1:5" x14ac:dyDescent="0.25">
      <c r="A1264" s="41" t="s">
        <v>8157</v>
      </c>
      <c r="B1264" s="41" t="s">
        <v>7584</v>
      </c>
      <c r="C1264" s="41" t="s">
        <v>68</v>
      </c>
      <c r="D1264" s="41" t="s">
        <v>8266</v>
      </c>
      <c r="E1264" s="41">
        <v>20900</v>
      </c>
    </row>
    <row r="1265" spans="1:5" x14ac:dyDescent="0.25">
      <c r="A1265" s="41" t="s">
        <v>8157</v>
      </c>
      <c r="B1265" s="41" t="s">
        <v>7586</v>
      </c>
      <c r="C1265" s="41" t="s">
        <v>68</v>
      </c>
      <c r="D1265" s="41" t="s">
        <v>8295</v>
      </c>
      <c r="E1265" s="41">
        <v>43030</v>
      </c>
    </row>
    <row r="1266" spans="1:5" x14ac:dyDescent="0.25">
      <c r="A1266" s="41" t="s">
        <v>8157</v>
      </c>
      <c r="B1266" s="41" t="s">
        <v>7586</v>
      </c>
      <c r="C1266" s="41" t="s">
        <v>68</v>
      </c>
      <c r="D1266" s="41" t="s">
        <v>8296</v>
      </c>
      <c r="E1266" s="41">
        <v>41860</v>
      </c>
    </row>
    <row r="1267" spans="1:5" x14ac:dyDescent="0.25">
      <c r="A1267" s="41" t="s">
        <v>8157</v>
      </c>
      <c r="B1267" s="41" t="s">
        <v>7586</v>
      </c>
      <c r="C1267" s="41" t="s">
        <v>68</v>
      </c>
      <c r="D1267" s="41" t="s">
        <v>8260</v>
      </c>
      <c r="E1267" s="41">
        <v>40950</v>
      </c>
    </row>
    <row r="1268" spans="1:5" x14ac:dyDescent="0.25">
      <c r="A1268" s="41" t="s">
        <v>8157</v>
      </c>
      <c r="B1268" s="41" t="s">
        <v>7475</v>
      </c>
      <c r="C1268" s="41" t="s">
        <v>68</v>
      </c>
      <c r="D1268" s="41" t="s">
        <v>8172</v>
      </c>
      <c r="E1268" s="41">
        <v>27300</v>
      </c>
    </row>
    <row r="1269" spans="1:5" x14ac:dyDescent="0.25">
      <c r="A1269" s="41" t="s">
        <v>8157</v>
      </c>
      <c r="B1269" s="41" t="s">
        <v>7475</v>
      </c>
      <c r="C1269" s="41" t="s">
        <v>68</v>
      </c>
      <c r="D1269" s="41" t="s">
        <v>8173</v>
      </c>
      <c r="E1269" s="41">
        <v>25500</v>
      </c>
    </row>
    <row r="1270" spans="1:5" x14ac:dyDescent="0.25">
      <c r="A1270" s="41" t="s">
        <v>8157</v>
      </c>
      <c r="B1270" s="41" t="s">
        <v>7475</v>
      </c>
      <c r="C1270" s="41" t="s">
        <v>68</v>
      </c>
      <c r="D1270" s="41" t="s">
        <v>8297</v>
      </c>
      <c r="E1270" s="41">
        <v>23700</v>
      </c>
    </row>
    <row r="1271" spans="1:5" x14ac:dyDescent="0.25">
      <c r="A1271" s="41" t="s">
        <v>8157</v>
      </c>
      <c r="B1271" s="41" t="s">
        <v>7589</v>
      </c>
      <c r="C1271" s="41" t="s">
        <v>68</v>
      </c>
      <c r="D1271" s="41" t="s">
        <v>8158</v>
      </c>
      <c r="E1271" s="41">
        <v>39585</v>
      </c>
    </row>
    <row r="1272" spans="1:5" x14ac:dyDescent="0.25">
      <c r="A1272" s="41" t="s">
        <v>8157</v>
      </c>
      <c r="B1272" s="41" t="s">
        <v>7591</v>
      </c>
      <c r="C1272" s="41" t="s">
        <v>68</v>
      </c>
      <c r="D1272" s="41" t="s">
        <v>8298</v>
      </c>
      <c r="E1272" s="41">
        <v>40310</v>
      </c>
    </row>
    <row r="1273" spans="1:5" x14ac:dyDescent="0.25">
      <c r="A1273" s="41" t="s">
        <v>8157</v>
      </c>
      <c r="B1273" s="41" t="s">
        <v>7591</v>
      </c>
      <c r="C1273" s="41" t="s">
        <v>68</v>
      </c>
      <c r="D1273" s="41" t="s">
        <v>8299</v>
      </c>
      <c r="E1273" s="41">
        <v>38280</v>
      </c>
    </row>
    <row r="1274" spans="1:5" x14ac:dyDescent="0.25">
      <c r="A1274" s="41" t="s">
        <v>8157</v>
      </c>
      <c r="B1274" s="41" t="s">
        <v>7591</v>
      </c>
      <c r="C1274" s="41" t="s">
        <v>68</v>
      </c>
      <c r="D1274" s="41" t="s">
        <v>8243</v>
      </c>
      <c r="E1274" s="41">
        <v>36250</v>
      </c>
    </row>
    <row r="1275" spans="1:5" x14ac:dyDescent="0.25">
      <c r="A1275" s="41" t="s">
        <v>8157</v>
      </c>
      <c r="B1275" s="41" t="s">
        <v>7594</v>
      </c>
      <c r="C1275" s="41" t="s">
        <v>68</v>
      </c>
      <c r="D1275" s="41" t="s">
        <v>8300</v>
      </c>
      <c r="E1275" s="41">
        <v>30600</v>
      </c>
    </row>
    <row r="1276" spans="1:5" x14ac:dyDescent="0.25">
      <c r="A1276" s="41" t="s">
        <v>8157</v>
      </c>
      <c r="B1276" s="41" t="s">
        <v>7594</v>
      </c>
      <c r="C1276" s="41" t="s">
        <v>68</v>
      </c>
      <c r="D1276" s="41" t="s">
        <v>8301</v>
      </c>
      <c r="E1276" s="41">
        <v>28400</v>
      </c>
    </row>
    <row r="1277" spans="1:5" x14ac:dyDescent="0.25">
      <c r="A1277" s="41" t="s">
        <v>8157</v>
      </c>
      <c r="B1277" s="41" t="s">
        <v>7594</v>
      </c>
      <c r="C1277" s="41" t="s">
        <v>68</v>
      </c>
      <c r="D1277" s="41" t="s">
        <v>8302</v>
      </c>
      <c r="E1277" s="41">
        <v>27600</v>
      </c>
    </row>
    <row r="1278" spans="1:5" x14ac:dyDescent="0.25">
      <c r="A1278" s="41" t="s">
        <v>8157</v>
      </c>
      <c r="B1278" s="41" t="s">
        <v>7597</v>
      </c>
      <c r="C1278" s="41" t="s">
        <v>68</v>
      </c>
      <c r="D1278" s="41" t="s">
        <v>8303</v>
      </c>
      <c r="E1278" s="41">
        <v>23500</v>
      </c>
    </row>
    <row r="1279" spans="1:5" x14ac:dyDescent="0.25">
      <c r="A1279" s="41" t="s">
        <v>8157</v>
      </c>
      <c r="B1279" s="41" t="s">
        <v>7597</v>
      </c>
      <c r="C1279" s="41" t="s">
        <v>68</v>
      </c>
      <c r="D1279" s="41" t="s">
        <v>1133</v>
      </c>
      <c r="E1279" s="41">
        <v>19100</v>
      </c>
    </row>
    <row r="1280" spans="1:5" x14ac:dyDescent="0.25">
      <c r="A1280" s="41" t="s">
        <v>8157</v>
      </c>
      <c r="B1280" s="41" t="s">
        <v>7597</v>
      </c>
      <c r="C1280" s="41" t="s">
        <v>68</v>
      </c>
      <c r="D1280" s="41" t="s">
        <v>8304</v>
      </c>
      <c r="E1280" s="41">
        <v>16900</v>
      </c>
    </row>
    <row r="1281" spans="1:5" x14ac:dyDescent="0.25">
      <c r="A1281" s="41" t="s">
        <v>8157</v>
      </c>
      <c r="B1281" s="41" t="s">
        <v>7597</v>
      </c>
      <c r="C1281" s="41" t="s">
        <v>68</v>
      </c>
      <c r="D1281" s="41" t="s">
        <v>8305</v>
      </c>
      <c r="E1281" s="41">
        <v>14700</v>
      </c>
    </row>
    <row r="1282" spans="1:5" x14ac:dyDescent="0.25">
      <c r="A1282" s="41" t="s">
        <v>8157</v>
      </c>
      <c r="B1282" s="41" t="s">
        <v>7764</v>
      </c>
      <c r="C1282" s="41" t="s">
        <v>68</v>
      </c>
      <c r="D1282" s="41" t="s">
        <v>8287</v>
      </c>
      <c r="E1282" s="41">
        <v>32500</v>
      </c>
    </row>
    <row r="1283" spans="1:5" x14ac:dyDescent="0.25">
      <c r="A1283" s="41" t="s">
        <v>8157</v>
      </c>
      <c r="B1283" s="41" t="s">
        <v>7764</v>
      </c>
      <c r="C1283" s="41" t="s">
        <v>68</v>
      </c>
      <c r="D1283" s="41" t="s">
        <v>8329</v>
      </c>
      <c r="E1283" s="41">
        <v>31000</v>
      </c>
    </row>
    <row r="1284" spans="1:5" x14ac:dyDescent="0.25">
      <c r="A1284" s="41" t="s">
        <v>8157</v>
      </c>
      <c r="B1284" s="41" t="s">
        <v>7764</v>
      </c>
      <c r="C1284" s="41" t="s">
        <v>68</v>
      </c>
      <c r="D1284" s="41" t="s">
        <v>8328</v>
      </c>
      <c r="E1284" s="41">
        <v>29500</v>
      </c>
    </row>
    <row r="1285" spans="1:5" x14ac:dyDescent="0.25">
      <c r="A1285" s="41" t="s">
        <v>8157</v>
      </c>
      <c r="B1285" s="41" t="s">
        <v>7766</v>
      </c>
      <c r="C1285" s="41" t="s">
        <v>68</v>
      </c>
      <c r="D1285" s="41" t="s">
        <v>8172</v>
      </c>
      <c r="E1285" s="41">
        <v>32400</v>
      </c>
    </row>
    <row r="1286" spans="1:5" x14ac:dyDescent="0.25">
      <c r="A1286" s="41" t="s">
        <v>8157</v>
      </c>
      <c r="B1286" s="41" t="s">
        <v>7766</v>
      </c>
      <c r="C1286" s="41" t="s">
        <v>68</v>
      </c>
      <c r="D1286" s="41" t="s">
        <v>8427</v>
      </c>
      <c r="E1286" s="41">
        <v>30200</v>
      </c>
    </row>
    <row r="1287" spans="1:5" x14ac:dyDescent="0.25">
      <c r="A1287" s="41" t="s">
        <v>8157</v>
      </c>
      <c r="B1287" s="41" t="s">
        <v>7766</v>
      </c>
      <c r="C1287" s="41" t="s">
        <v>68</v>
      </c>
      <c r="D1287" s="41" t="s">
        <v>8428</v>
      </c>
      <c r="E1287" s="41">
        <v>33800</v>
      </c>
    </row>
    <row r="1288" spans="1:5" x14ac:dyDescent="0.25">
      <c r="A1288" s="41" t="s">
        <v>8157</v>
      </c>
      <c r="B1288" s="41" t="s">
        <v>7474</v>
      </c>
      <c r="C1288" s="41" t="s">
        <v>68</v>
      </c>
      <c r="D1288" s="41" t="s">
        <v>8306</v>
      </c>
      <c r="E1288" s="41">
        <v>20500</v>
      </c>
    </row>
    <row r="1289" spans="1:5" x14ac:dyDescent="0.25">
      <c r="A1289" s="41" t="s">
        <v>8157</v>
      </c>
      <c r="B1289" s="41" t="s">
        <v>7474</v>
      </c>
      <c r="C1289" s="41" t="s">
        <v>68</v>
      </c>
      <c r="D1289" s="41" t="s">
        <v>8307</v>
      </c>
      <c r="E1289" s="41">
        <v>17600</v>
      </c>
    </row>
    <row r="1290" spans="1:5" x14ac:dyDescent="0.25">
      <c r="A1290" s="41" t="s">
        <v>8157</v>
      </c>
      <c r="B1290" s="41" t="s">
        <v>7474</v>
      </c>
      <c r="C1290" s="41" t="s">
        <v>68</v>
      </c>
      <c r="D1290" s="41" t="s">
        <v>8308</v>
      </c>
      <c r="E1290" s="41">
        <v>14700</v>
      </c>
    </row>
    <row r="1291" spans="1:5" x14ac:dyDescent="0.25">
      <c r="A1291" s="41" t="s">
        <v>8157</v>
      </c>
      <c r="B1291" s="41" t="s">
        <v>7600</v>
      </c>
      <c r="C1291" s="41" t="s">
        <v>68</v>
      </c>
      <c r="D1291" s="41" t="s">
        <v>8309</v>
      </c>
      <c r="E1291" s="41">
        <v>27100</v>
      </c>
    </row>
    <row r="1292" spans="1:5" x14ac:dyDescent="0.25">
      <c r="A1292" s="41" t="s">
        <v>8157</v>
      </c>
      <c r="B1292" s="41" t="s">
        <v>7600</v>
      </c>
      <c r="C1292" s="41" t="s">
        <v>68</v>
      </c>
      <c r="D1292" s="41" t="s">
        <v>8310</v>
      </c>
      <c r="E1292" s="41">
        <v>25200</v>
      </c>
    </row>
    <row r="1293" spans="1:5" x14ac:dyDescent="0.25">
      <c r="A1293" s="41" t="s">
        <v>8157</v>
      </c>
      <c r="B1293" s="41" t="s">
        <v>7600</v>
      </c>
      <c r="C1293" s="41" t="s">
        <v>68</v>
      </c>
      <c r="D1293" s="41" t="s">
        <v>8311</v>
      </c>
      <c r="E1293" s="41">
        <v>23500</v>
      </c>
    </row>
    <row r="1294" spans="1:5" x14ac:dyDescent="0.25">
      <c r="A1294" s="41" t="s">
        <v>8157</v>
      </c>
      <c r="B1294" s="41" t="s">
        <v>7600</v>
      </c>
      <c r="C1294" s="41" t="s">
        <v>68</v>
      </c>
      <c r="D1294" s="41" t="s">
        <v>8312</v>
      </c>
      <c r="E1294" s="41">
        <v>22300</v>
      </c>
    </row>
    <row r="1295" spans="1:5" x14ac:dyDescent="0.25">
      <c r="A1295" s="41" t="s">
        <v>8157</v>
      </c>
      <c r="B1295" s="41" t="s">
        <v>7600</v>
      </c>
      <c r="C1295" s="41" t="s">
        <v>68</v>
      </c>
      <c r="D1295" s="41" t="s">
        <v>8313</v>
      </c>
      <c r="E1295" s="41">
        <v>21200</v>
      </c>
    </row>
    <row r="1296" spans="1:5" x14ac:dyDescent="0.25">
      <c r="A1296" s="41" t="s">
        <v>8157</v>
      </c>
      <c r="B1296" s="41" t="s">
        <v>7600</v>
      </c>
      <c r="C1296" s="41" t="s">
        <v>68</v>
      </c>
      <c r="D1296" s="41" t="s">
        <v>8245</v>
      </c>
      <c r="E1296" s="41">
        <v>20100</v>
      </c>
    </row>
    <row r="1297" spans="1:5" x14ac:dyDescent="0.25">
      <c r="A1297" s="41" t="s">
        <v>8157</v>
      </c>
      <c r="B1297" s="41" t="s">
        <v>7602</v>
      </c>
      <c r="C1297" s="41" t="s">
        <v>68</v>
      </c>
      <c r="D1297" s="41" t="s">
        <v>8228</v>
      </c>
      <c r="E1297" s="41">
        <v>18700</v>
      </c>
    </row>
    <row r="1298" spans="1:5" x14ac:dyDescent="0.25">
      <c r="A1298" s="41" t="s">
        <v>8157</v>
      </c>
      <c r="B1298" s="41" t="s">
        <v>7602</v>
      </c>
      <c r="C1298" s="41" t="s">
        <v>68</v>
      </c>
      <c r="D1298" s="41" t="s">
        <v>8176</v>
      </c>
      <c r="E1298" s="41">
        <v>17800</v>
      </c>
    </row>
    <row r="1299" spans="1:5" x14ac:dyDescent="0.25">
      <c r="A1299" s="41" t="s">
        <v>8157</v>
      </c>
      <c r="B1299" s="41" t="s">
        <v>7604</v>
      </c>
      <c r="C1299" s="41" t="s">
        <v>68</v>
      </c>
      <c r="D1299" s="41" t="s">
        <v>8314</v>
      </c>
      <c r="E1299" s="41">
        <v>16800</v>
      </c>
    </row>
    <row r="1300" spans="1:5" x14ac:dyDescent="0.25">
      <c r="A1300" s="41" t="s">
        <v>8157</v>
      </c>
      <c r="B1300" s="41" t="s">
        <v>7604</v>
      </c>
      <c r="C1300" s="41" t="s">
        <v>68</v>
      </c>
      <c r="D1300" s="41" t="s">
        <v>8315</v>
      </c>
      <c r="E1300" s="41">
        <v>16000</v>
      </c>
    </row>
    <row r="1301" spans="1:5" x14ac:dyDescent="0.25">
      <c r="A1301" s="41" t="s">
        <v>8157</v>
      </c>
      <c r="B1301" s="41" t="s">
        <v>7604</v>
      </c>
      <c r="C1301" s="41" t="s">
        <v>68</v>
      </c>
      <c r="D1301" s="41" t="s">
        <v>8316</v>
      </c>
      <c r="E1301" s="41">
        <v>15300</v>
      </c>
    </row>
    <row r="1302" spans="1:5" x14ac:dyDescent="0.25">
      <c r="A1302" s="41" t="s">
        <v>8157</v>
      </c>
      <c r="B1302" s="41" t="s">
        <v>7776</v>
      </c>
      <c r="C1302" s="41" t="s">
        <v>68</v>
      </c>
      <c r="D1302" s="41" t="s">
        <v>8158</v>
      </c>
      <c r="E1302" s="41">
        <v>27500</v>
      </c>
    </row>
    <row r="1303" spans="1:5" x14ac:dyDescent="0.25">
      <c r="A1303" s="41" t="s">
        <v>8157</v>
      </c>
      <c r="B1303" s="41" t="s">
        <v>7778</v>
      </c>
      <c r="C1303" s="41" t="s">
        <v>68</v>
      </c>
      <c r="D1303" s="41" t="s">
        <v>8158</v>
      </c>
      <c r="E1303" s="41">
        <v>34800</v>
      </c>
    </row>
    <row r="1304" spans="1:5" x14ac:dyDescent="0.25">
      <c r="A1304" s="41" t="s">
        <v>8157</v>
      </c>
      <c r="B1304" s="41" t="s">
        <v>7780</v>
      </c>
      <c r="C1304" s="41" t="s">
        <v>68</v>
      </c>
      <c r="D1304" s="41" t="s">
        <v>8158</v>
      </c>
      <c r="E1304" s="41">
        <v>28900</v>
      </c>
    </row>
    <row r="1305" spans="1:5" x14ac:dyDescent="0.25">
      <c r="A1305" s="41" t="s">
        <v>8157</v>
      </c>
      <c r="B1305" s="41" t="s">
        <v>7604</v>
      </c>
      <c r="C1305" s="41" t="s">
        <v>68</v>
      </c>
      <c r="D1305" s="41" t="s">
        <v>8229</v>
      </c>
      <c r="E1305" s="41">
        <v>14200</v>
      </c>
    </row>
    <row r="1306" spans="1:5" x14ac:dyDescent="0.25">
      <c r="A1306" s="41" t="s">
        <v>8157</v>
      </c>
      <c r="B1306" s="41" t="s">
        <v>7604</v>
      </c>
      <c r="C1306" s="41" t="s">
        <v>68</v>
      </c>
      <c r="D1306" s="41" t="s">
        <v>8317</v>
      </c>
      <c r="E1306" s="41">
        <v>13200</v>
      </c>
    </row>
    <row r="1307" spans="1:5" x14ac:dyDescent="0.25">
      <c r="A1307" s="41" t="s">
        <v>8157</v>
      </c>
      <c r="B1307" s="41" t="s">
        <v>7604</v>
      </c>
      <c r="C1307" s="41" t="s">
        <v>68</v>
      </c>
      <c r="D1307" s="41" t="s">
        <v>8318</v>
      </c>
      <c r="E1307" s="41">
        <v>12500</v>
      </c>
    </row>
    <row r="1308" spans="1:5" x14ac:dyDescent="0.25">
      <c r="A1308" s="41" t="s">
        <v>8157</v>
      </c>
      <c r="B1308" s="41" t="s">
        <v>7604</v>
      </c>
      <c r="C1308" s="41" t="s">
        <v>68</v>
      </c>
      <c r="D1308" s="41" t="s">
        <v>8319</v>
      </c>
      <c r="E1308" s="41">
        <v>11900</v>
      </c>
    </row>
    <row r="1309" spans="1:5" x14ac:dyDescent="0.25">
      <c r="A1309" s="41" t="s">
        <v>8157</v>
      </c>
      <c r="B1309" s="41" t="s">
        <v>7604</v>
      </c>
      <c r="C1309" s="41" t="s">
        <v>68</v>
      </c>
      <c r="D1309" s="41" t="s">
        <v>8320</v>
      </c>
      <c r="E1309" s="41">
        <v>11300</v>
      </c>
    </row>
    <row r="1310" spans="1:5" x14ac:dyDescent="0.25">
      <c r="A1310" s="41" t="s">
        <v>8157</v>
      </c>
      <c r="B1310" s="41" t="s">
        <v>7604</v>
      </c>
      <c r="C1310" s="41" t="s">
        <v>68</v>
      </c>
      <c r="D1310" s="41" t="s">
        <v>8321</v>
      </c>
      <c r="E1310" s="41">
        <v>10800</v>
      </c>
    </row>
    <row r="1311" spans="1:5" x14ac:dyDescent="0.25">
      <c r="A1311" s="41" t="s">
        <v>8157</v>
      </c>
      <c r="B1311" s="41" t="s">
        <v>7604</v>
      </c>
      <c r="C1311" s="41" t="s">
        <v>68</v>
      </c>
      <c r="D1311" s="41" t="s">
        <v>8322</v>
      </c>
      <c r="E1311" s="41">
        <v>10200</v>
      </c>
    </row>
    <row r="1312" spans="1:5" x14ac:dyDescent="0.25">
      <c r="A1312" s="41" t="s">
        <v>8157</v>
      </c>
      <c r="B1312" s="41" t="s">
        <v>7604</v>
      </c>
      <c r="C1312" s="41" t="s">
        <v>68</v>
      </c>
      <c r="D1312" s="41" t="s">
        <v>8323</v>
      </c>
      <c r="E1312" s="41">
        <v>9700</v>
      </c>
    </row>
    <row r="1313" spans="1:5" x14ac:dyDescent="0.25">
      <c r="A1313" s="41" t="s">
        <v>8157</v>
      </c>
      <c r="B1313" s="41" t="s">
        <v>7606</v>
      </c>
      <c r="C1313" s="41" t="s">
        <v>68</v>
      </c>
      <c r="D1313" s="41" t="s">
        <v>8158</v>
      </c>
      <c r="E1313" s="41">
        <v>24800</v>
      </c>
    </row>
    <row r="1314" spans="1:5" x14ac:dyDescent="0.25">
      <c r="A1314" s="41" t="s">
        <v>8157</v>
      </c>
      <c r="B1314" s="41" t="s">
        <v>7455</v>
      </c>
      <c r="C1314" s="41" t="s">
        <v>68</v>
      </c>
      <c r="D1314" s="41" t="s">
        <v>8287</v>
      </c>
      <c r="E1314" s="41">
        <v>16120</v>
      </c>
    </row>
    <row r="1315" spans="1:5" x14ac:dyDescent="0.25">
      <c r="A1315" s="41" t="s">
        <v>8157</v>
      </c>
      <c r="B1315" s="41" t="s">
        <v>7455</v>
      </c>
      <c r="C1315" s="41" t="s">
        <v>68</v>
      </c>
      <c r="D1315" s="41" t="s">
        <v>8324</v>
      </c>
      <c r="E1315" s="41">
        <v>15470</v>
      </c>
    </row>
    <row r="1316" spans="1:5" x14ac:dyDescent="0.25">
      <c r="A1316" s="41" t="s">
        <v>8157</v>
      </c>
      <c r="B1316" s="41" t="s">
        <v>7455</v>
      </c>
      <c r="C1316" s="41" t="s">
        <v>68</v>
      </c>
      <c r="D1316" s="41" t="s">
        <v>8325</v>
      </c>
      <c r="E1316" s="41">
        <v>14500</v>
      </c>
    </row>
    <row r="1317" spans="1:5" x14ac:dyDescent="0.25">
      <c r="A1317" s="41" t="s">
        <v>8157</v>
      </c>
      <c r="B1317" s="41" t="s">
        <v>7455</v>
      </c>
      <c r="C1317" s="41" t="s">
        <v>68</v>
      </c>
      <c r="D1317" s="41" t="s">
        <v>8326</v>
      </c>
      <c r="E1317" s="41">
        <v>13375</v>
      </c>
    </row>
    <row r="1318" spans="1:5" x14ac:dyDescent="0.25">
      <c r="A1318" s="41" t="s">
        <v>8157</v>
      </c>
      <c r="B1318" s="41" t="s">
        <v>7455</v>
      </c>
      <c r="C1318" s="41" t="s">
        <v>68</v>
      </c>
      <c r="D1318" s="41" t="s">
        <v>8313</v>
      </c>
      <c r="E1318" s="41">
        <v>12250</v>
      </c>
    </row>
    <row r="1319" spans="1:5" x14ac:dyDescent="0.25">
      <c r="A1319" s="41" t="s">
        <v>8157</v>
      </c>
      <c r="B1319" s="41" t="s">
        <v>7455</v>
      </c>
      <c r="C1319" s="41" t="s">
        <v>68</v>
      </c>
      <c r="D1319" s="41" t="s">
        <v>8245</v>
      </c>
      <c r="E1319" s="41">
        <v>11125</v>
      </c>
    </row>
    <row r="1320" spans="1:5" x14ac:dyDescent="0.25">
      <c r="A1320" s="41" t="s">
        <v>8157</v>
      </c>
      <c r="B1320" s="41" t="s">
        <v>7424</v>
      </c>
      <c r="C1320" s="41" t="s">
        <v>68</v>
      </c>
      <c r="D1320" s="41" t="s">
        <v>8242</v>
      </c>
      <c r="E1320" s="41">
        <v>10700</v>
      </c>
    </row>
    <row r="1321" spans="1:5" x14ac:dyDescent="0.25">
      <c r="A1321" s="41" t="s">
        <v>8157</v>
      </c>
      <c r="B1321" s="41" t="s">
        <v>7424</v>
      </c>
      <c r="C1321" s="41" t="s">
        <v>68</v>
      </c>
      <c r="D1321" s="41" t="s">
        <v>8327</v>
      </c>
      <c r="E1321" s="41">
        <v>9800</v>
      </c>
    </row>
    <row r="1322" spans="1:5" x14ac:dyDescent="0.25">
      <c r="A1322" s="41" t="s">
        <v>8157</v>
      </c>
      <c r="B1322" s="41" t="s">
        <v>7424</v>
      </c>
      <c r="C1322" s="41" t="s">
        <v>68</v>
      </c>
      <c r="D1322" s="41" t="s">
        <v>8328</v>
      </c>
      <c r="E1322" s="41">
        <v>8900</v>
      </c>
    </row>
    <row r="1323" spans="1:5" x14ac:dyDescent="0.25">
      <c r="A1323" s="41" t="s">
        <v>8157</v>
      </c>
      <c r="B1323" s="41" t="s">
        <v>7437</v>
      </c>
      <c r="C1323" s="41" t="s">
        <v>68</v>
      </c>
      <c r="D1323" s="41" t="s">
        <v>8287</v>
      </c>
      <c r="E1323" s="41">
        <v>10680</v>
      </c>
    </row>
    <row r="1324" spans="1:5" x14ac:dyDescent="0.25">
      <c r="A1324" s="41" t="s">
        <v>8157</v>
      </c>
      <c r="B1324" s="41" t="s">
        <v>7437</v>
      </c>
      <c r="C1324" s="41" t="s">
        <v>68</v>
      </c>
      <c r="D1324" s="41" t="s">
        <v>8329</v>
      </c>
      <c r="E1324" s="41">
        <v>9840</v>
      </c>
    </row>
    <row r="1325" spans="1:5" x14ac:dyDescent="0.25">
      <c r="A1325" s="41" t="s">
        <v>8157</v>
      </c>
      <c r="B1325" s="41" t="s">
        <v>7437</v>
      </c>
      <c r="C1325" s="41" t="s">
        <v>68</v>
      </c>
      <c r="D1325" s="41" t="s">
        <v>8330</v>
      </c>
      <c r="E1325" s="41">
        <v>9360</v>
      </c>
    </row>
    <row r="1326" spans="1:5" x14ac:dyDescent="0.25">
      <c r="A1326" s="41" t="s">
        <v>8157</v>
      </c>
      <c r="B1326" s="41" t="s">
        <v>7437</v>
      </c>
      <c r="C1326" s="41" t="s">
        <v>68</v>
      </c>
      <c r="D1326" s="41" t="s">
        <v>8331</v>
      </c>
      <c r="E1326" s="41">
        <v>9000</v>
      </c>
    </row>
    <row r="1327" spans="1:5" x14ac:dyDescent="0.25">
      <c r="A1327" s="41" t="s">
        <v>8157</v>
      </c>
      <c r="B1327" s="41" t="s">
        <v>7445</v>
      </c>
      <c r="C1327" s="41" t="s">
        <v>68</v>
      </c>
      <c r="D1327" s="41" t="s">
        <v>8332</v>
      </c>
      <c r="E1327" s="41">
        <v>16500</v>
      </c>
    </row>
    <row r="1328" spans="1:5" x14ac:dyDescent="0.25">
      <c r="A1328" s="41" t="s">
        <v>8157</v>
      </c>
      <c r="B1328" s="41" t="s">
        <v>7445</v>
      </c>
      <c r="C1328" s="41" t="s">
        <v>68</v>
      </c>
      <c r="D1328" s="41" t="s">
        <v>8333</v>
      </c>
      <c r="E1328" s="41">
        <v>15700</v>
      </c>
    </row>
    <row r="1329" spans="1:5" x14ac:dyDescent="0.25">
      <c r="A1329" s="41" t="s">
        <v>8157</v>
      </c>
      <c r="B1329" s="41" t="s">
        <v>7445</v>
      </c>
      <c r="C1329" s="41" t="s">
        <v>68</v>
      </c>
      <c r="D1329" s="41" t="s">
        <v>8193</v>
      </c>
      <c r="E1329" s="41">
        <v>14600</v>
      </c>
    </row>
    <row r="1330" spans="1:5" x14ac:dyDescent="0.25">
      <c r="A1330" s="41" t="s">
        <v>8157</v>
      </c>
      <c r="B1330" s="41" t="s">
        <v>7612</v>
      </c>
      <c r="C1330" s="41" t="s">
        <v>68</v>
      </c>
      <c r="D1330" s="41" t="s">
        <v>8158</v>
      </c>
      <c r="E1330" s="41">
        <v>13600</v>
      </c>
    </row>
    <row r="1331" spans="1:5" x14ac:dyDescent="0.25">
      <c r="A1331" s="41" t="s">
        <v>8157</v>
      </c>
      <c r="B1331" s="41" t="s">
        <v>7614</v>
      </c>
      <c r="C1331" s="41" t="s">
        <v>68</v>
      </c>
      <c r="D1331" s="41" t="s">
        <v>8158</v>
      </c>
      <c r="E1331" s="41">
        <v>36600</v>
      </c>
    </row>
    <row r="1332" spans="1:5" x14ac:dyDescent="0.25">
      <c r="A1332" s="41" t="s">
        <v>8157</v>
      </c>
      <c r="B1332" s="41" t="s">
        <v>7616</v>
      </c>
      <c r="C1332" s="41" t="s">
        <v>68</v>
      </c>
      <c r="D1332" s="41" t="s">
        <v>8158</v>
      </c>
      <c r="E1332" s="41">
        <v>14800</v>
      </c>
    </row>
    <row r="1333" spans="1:5" x14ac:dyDescent="0.25">
      <c r="A1333" s="41" t="s">
        <v>8157</v>
      </c>
      <c r="B1333" s="41" t="s">
        <v>7435</v>
      </c>
      <c r="C1333" s="41" t="s">
        <v>68</v>
      </c>
      <c r="D1333" s="41" t="s">
        <v>8287</v>
      </c>
      <c r="E1333" s="41">
        <v>14800</v>
      </c>
    </row>
    <row r="1334" spans="1:5" x14ac:dyDescent="0.25">
      <c r="A1334" s="41" t="s">
        <v>8157</v>
      </c>
      <c r="B1334" s="41" t="s">
        <v>7435</v>
      </c>
      <c r="C1334" s="41" t="s">
        <v>68</v>
      </c>
      <c r="D1334" s="41" t="s">
        <v>8249</v>
      </c>
      <c r="E1334" s="41">
        <v>14100</v>
      </c>
    </row>
    <row r="1335" spans="1:5" x14ac:dyDescent="0.25">
      <c r="A1335" s="41" t="s">
        <v>8157</v>
      </c>
      <c r="B1335" s="41" t="s">
        <v>7435</v>
      </c>
      <c r="C1335" s="41" t="s">
        <v>68</v>
      </c>
      <c r="D1335" s="41" t="s">
        <v>8336</v>
      </c>
      <c r="E1335" s="41">
        <v>13300</v>
      </c>
    </row>
    <row r="1336" spans="1:5" x14ac:dyDescent="0.25">
      <c r="A1336" s="41" t="s">
        <v>8157</v>
      </c>
      <c r="B1336" s="41" t="s">
        <v>7435</v>
      </c>
      <c r="C1336" s="41" t="s">
        <v>68</v>
      </c>
      <c r="D1336" s="41" t="s">
        <v>8337</v>
      </c>
      <c r="E1336" s="41">
        <v>12700</v>
      </c>
    </row>
    <row r="1337" spans="1:5" x14ac:dyDescent="0.25">
      <c r="A1337" s="41" t="s">
        <v>8157</v>
      </c>
      <c r="B1337" s="41" t="s">
        <v>7619</v>
      </c>
      <c r="C1337" s="41" t="s">
        <v>68</v>
      </c>
      <c r="D1337" s="41" t="s">
        <v>8158</v>
      </c>
      <c r="E1337" s="41">
        <v>19000</v>
      </c>
    </row>
    <row r="1338" spans="1:5" x14ac:dyDescent="0.25">
      <c r="A1338" s="41" t="s">
        <v>8157</v>
      </c>
      <c r="B1338" s="41" t="s">
        <v>7621</v>
      </c>
      <c r="C1338" s="41" t="s">
        <v>68</v>
      </c>
      <c r="D1338" s="41" t="s">
        <v>8158</v>
      </c>
      <c r="E1338" s="41">
        <v>15000</v>
      </c>
    </row>
    <row r="1339" spans="1:5" x14ac:dyDescent="0.25">
      <c r="A1339" s="41" t="s">
        <v>8157</v>
      </c>
      <c r="B1339" s="41" t="s">
        <v>7623</v>
      </c>
      <c r="C1339" s="41" t="s">
        <v>68</v>
      </c>
      <c r="D1339" s="41" t="s">
        <v>8338</v>
      </c>
      <c r="E1339" s="41">
        <v>16500</v>
      </c>
    </row>
    <row r="1340" spans="1:5" x14ac:dyDescent="0.25">
      <c r="A1340" s="41" t="s">
        <v>8157</v>
      </c>
      <c r="B1340" s="41" t="s">
        <v>7623</v>
      </c>
      <c r="C1340" s="41" t="s">
        <v>68</v>
      </c>
      <c r="D1340" s="41" t="s">
        <v>8339</v>
      </c>
      <c r="E1340" s="41">
        <v>14800</v>
      </c>
    </row>
    <row r="1341" spans="1:5" x14ac:dyDescent="0.25">
      <c r="A1341" s="41" t="s">
        <v>8157</v>
      </c>
      <c r="B1341" s="41" t="s">
        <v>7623</v>
      </c>
      <c r="C1341" s="41" t="s">
        <v>68</v>
      </c>
      <c r="D1341" s="41" t="s">
        <v>8340</v>
      </c>
      <c r="E1341" s="41">
        <v>13500</v>
      </c>
    </row>
    <row r="1342" spans="1:5" x14ac:dyDescent="0.25">
      <c r="A1342" s="41" t="s">
        <v>8157</v>
      </c>
      <c r="B1342" s="41" t="s">
        <v>7625</v>
      </c>
      <c r="C1342" s="41" t="s">
        <v>68</v>
      </c>
      <c r="D1342" s="41" t="s">
        <v>8341</v>
      </c>
      <c r="E1342" s="41">
        <v>12400</v>
      </c>
    </row>
    <row r="1343" spans="1:5" x14ac:dyDescent="0.25">
      <c r="A1343" s="41" t="s">
        <v>8157</v>
      </c>
      <c r="B1343" s="41" t="s">
        <v>7625</v>
      </c>
      <c r="C1343" s="41" t="s">
        <v>68</v>
      </c>
      <c r="D1343" s="41" t="s">
        <v>8342</v>
      </c>
      <c r="E1343" s="41">
        <v>12100</v>
      </c>
    </row>
    <row r="1344" spans="1:5" x14ac:dyDescent="0.25">
      <c r="A1344" s="41" t="s">
        <v>8157</v>
      </c>
      <c r="B1344" s="41" t="s">
        <v>7625</v>
      </c>
      <c r="C1344" s="41" t="s">
        <v>68</v>
      </c>
      <c r="D1344" s="41" t="s">
        <v>8343</v>
      </c>
      <c r="E1344" s="41">
        <v>11400</v>
      </c>
    </row>
    <row r="1345" spans="1:5" x14ac:dyDescent="0.25">
      <c r="A1345" s="41" t="s">
        <v>8157</v>
      </c>
      <c r="B1345" s="41" t="s">
        <v>7625</v>
      </c>
      <c r="C1345" s="41" t="s">
        <v>68</v>
      </c>
      <c r="D1345" s="41" t="s">
        <v>8344</v>
      </c>
      <c r="E1345" s="41">
        <v>10900</v>
      </c>
    </row>
    <row r="1346" spans="1:5" x14ac:dyDescent="0.25">
      <c r="A1346" s="41" t="s">
        <v>8157</v>
      </c>
      <c r="B1346" s="41" t="s">
        <v>7439</v>
      </c>
      <c r="C1346" s="41" t="s">
        <v>68</v>
      </c>
      <c r="D1346" s="41" t="s">
        <v>8345</v>
      </c>
      <c r="E1346" s="41">
        <v>15700</v>
      </c>
    </row>
    <row r="1347" spans="1:5" x14ac:dyDescent="0.25">
      <c r="A1347" s="41" t="s">
        <v>8157</v>
      </c>
      <c r="B1347" s="41" t="s">
        <v>7439</v>
      </c>
      <c r="C1347" s="41" t="s">
        <v>68</v>
      </c>
      <c r="D1347" s="41" t="s">
        <v>8346</v>
      </c>
      <c r="E1347" s="41">
        <v>15100</v>
      </c>
    </row>
    <row r="1348" spans="1:5" x14ac:dyDescent="0.25">
      <c r="A1348" s="41" t="s">
        <v>8157</v>
      </c>
      <c r="B1348" s="41" t="s">
        <v>7439</v>
      </c>
      <c r="C1348" s="41" t="s">
        <v>68</v>
      </c>
      <c r="D1348" s="41" t="s">
        <v>8288</v>
      </c>
      <c r="E1348" s="41">
        <v>14500</v>
      </c>
    </row>
    <row r="1349" spans="1:5" x14ac:dyDescent="0.25">
      <c r="A1349" s="41" t="s">
        <v>8157</v>
      </c>
      <c r="B1349" s="41" t="s">
        <v>7439</v>
      </c>
      <c r="C1349" s="41" t="s">
        <v>68</v>
      </c>
      <c r="D1349" s="41" t="s">
        <v>8347</v>
      </c>
      <c r="E1349" s="41">
        <v>13800</v>
      </c>
    </row>
    <row r="1350" spans="1:5" x14ac:dyDescent="0.25">
      <c r="A1350" s="41" t="s">
        <v>8157</v>
      </c>
      <c r="B1350" s="41" t="s">
        <v>7628</v>
      </c>
      <c r="C1350" s="41" t="s">
        <v>68</v>
      </c>
      <c r="D1350" s="41" t="s">
        <v>8158</v>
      </c>
      <c r="E1350" s="41">
        <v>14900</v>
      </c>
    </row>
    <row r="1351" spans="1:5" x14ac:dyDescent="0.25">
      <c r="A1351" s="41" t="s">
        <v>8157</v>
      </c>
      <c r="B1351" s="41" t="s">
        <v>7630</v>
      </c>
      <c r="C1351" s="41" t="s">
        <v>68</v>
      </c>
      <c r="D1351" s="41" t="s">
        <v>8158</v>
      </c>
      <c r="E1351" s="41">
        <v>16200</v>
      </c>
    </row>
    <row r="1352" spans="1:5" x14ac:dyDescent="0.25">
      <c r="A1352" s="41" t="s">
        <v>8157</v>
      </c>
      <c r="B1352" s="41" t="s">
        <v>7632</v>
      </c>
      <c r="C1352" s="41" t="s">
        <v>68</v>
      </c>
      <c r="D1352" s="41" t="s">
        <v>8158</v>
      </c>
      <c r="E1352" s="41">
        <v>17100</v>
      </c>
    </row>
    <row r="1353" spans="1:5" x14ac:dyDescent="0.25">
      <c r="A1353" s="41" t="s">
        <v>8157</v>
      </c>
      <c r="B1353" s="41" t="s">
        <v>7634</v>
      </c>
      <c r="C1353" s="41" t="s">
        <v>68</v>
      </c>
      <c r="D1353" s="41" t="s">
        <v>8348</v>
      </c>
      <c r="E1353" s="41">
        <v>13500</v>
      </c>
    </row>
    <row r="1354" spans="1:5" x14ac:dyDescent="0.25">
      <c r="A1354" s="41" t="s">
        <v>8157</v>
      </c>
      <c r="B1354" s="41" t="s">
        <v>7634</v>
      </c>
      <c r="C1354" s="41" t="s">
        <v>68</v>
      </c>
      <c r="D1354" s="41" t="s">
        <v>8349</v>
      </c>
      <c r="E1354" s="41">
        <v>11000</v>
      </c>
    </row>
    <row r="1355" spans="1:5" x14ac:dyDescent="0.25">
      <c r="A1355" s="41" t="s">
        <v>8157</v>
      </c>
      <c r="B1355" s="41" t="s">
        <v>7636</v>
      </c>
      <c r="C1355" s="41" t="s">
        <v>68</v>
      </c>
      <c r="D1355" s="41" t="s">
        <v>8158</v>
      </c>
      <c r="E1355" s="41">
        <v>13800</v>
      </c>
    </row>
    <row r="1356" spans="1:5" x14ac:dyDescent="0.25">
      <c r="A1356" s="41" t="s">
        <v>8157</v>
      </c>
      <c r="B1356" s="41" t="s">
        <v>7638</v>
      </c>
      <c r="C1356" s="41" t="s">
        <v>68</v>
      </c>
      <c r="D1356" s="41" t="s">
        <v>8212</v>
      </c>
      <c r="E1356" s="41">
        <v>13300</v>
      </c>
    </row>
    <row r="1357" spans="1:5" x14ac:dyDescent="0.25">
      <c r="A1357" s="41" t="s">
        <v>8157</v>
      </c>
      <c r="B1357" s="41" t="s">
        <v>7638</v>
      </c>
      <c r="C1357" s="41" t="s">
        <v>68</v>
      </c>
      <c r="D1357" s="41" t="s">
        <v>8350</v>
      </c>
      <c r="E1357" s="41">
        <v>12600</v>
      </c>
    </row>
    <row r="1358" spans="1:5" x14ac:dyDescent="0.25">
      <c r="A1358" s="41" t="s">
        <v>8157</v>
      </c>
      <c r="B1358" s="41" t="s">
        <v>7450</v>
      </c>
      <c r="C1358" s="41" t="s">
        <v>68</v>
      </c>
      <c r="D1358" s="41" t="s">
        <v>8233</v>
      </c>
      <c r="E1358" s="41">
        <v>24800</v>
      </c>
    </row>
    <row r="1359" spans="1:5" x14ac:dyDescent="0.25">
      <c r="A1359" s="41" t="s">
        <v>8157</v>
      </c>
      <c r="B1359" s="41" t="s">
        <v>7450</v>
      </c>
      <c r="C1359" s="41" t="s">
        <v>68</v>
      </c>
      <c r="D1359" s="41" t="s">
        <v>8351</v>
      </c>
      <c r="E1359" s="41">
        <v>23800</v>
      </c>
    </row>
    <row r="1360" spans="1:5" x14ac:dyDescent="0.25">
      <c r="A1360" s="41" t="s">
        <v>8157</v>
      </c>
      <c r="B1360" s="41" t="s">
        <v>7450</v>
      </c>
      <c r="C1360" s="41" t="s">
        <v>68</v>
      </c>
      <c r="D1360" s="41" t="s">
        <v>8352</v>
      </c>
      <c r="E1360" s="41">
        <v>22800</v>
      </c>
    </row>
    <row r="1361" spans="1:5" x14ac:dyDescent="0.25">
      <c r="A1361" s="41" t="s">
        <v>8157</v>
      </c>
      <c r="B1361" s="41" t="s">
        <v>7450</v>
      </c>
      <c r="C1361" s="41" t="s">
        <v>68</v>
      </c>
      <c r="D1361" s="41" t="s">
        <v>8178</v>
      </c>
      <c r="E1361" s="41">
        <v>20800</v>
      </c>
    </row>
    <row r="1362" spans="1:5" x14ac:dyDescent="0.25">
      <c r="A1362" s="41" t="s">
        <v>8157</v>
      </c>
      <c r="B1362" s="41" t="s">
        <v>7450</v>
      </c>
      <c r="C1362" s="41" t="s">
        <v>68</v>
      </c>
      <c r="D1362" s="41" t="s">
        <v>8165</v>
      </c>
      <c r="E1362" s="41">
        <v>18800</v>
      </c>
    </row>
    <row r="1363" spans="1:5" x14ac:dyDescent="0.25">
      <c r="A1363" s="41" t="s">
        <v>8157</v>
      </c>
      <c r="B1363" s="41" t="s">
        <v>7450</v>
      </c>
      <c r="C1363" s="41" t="s">
        <v>68</v>
      </c>
      <c r="D1363" s="41" t="s">
        <v>8266</v>
      </c>
      <c r="E1363" s="41">
        <v>16700</v>
      </c>
    </row>
    <row r="1364" spans="1:5" x14ac:dyDescent="0.25">
      <c r="A1364" s="41" t="s">
        <v>8157</v>
      </c>
      <c r="B1364" s="41" t="s">
        <v>7641</v>
      </c>
      <c r="C1364" s="41" t="s">
        <v>68</v>
      </c>
      <c r="D1364" s="41" t="s">
        <v>8353</v>
      </c>
      <c r="E1364" s="41">
        <v>34200</v>
      </c>
    </row>
    <row r="1365" spans="1:5" x14ac:dyDescent="0.25">
      <c r="A1365" s="41" t="s">
        <v>8157</v>
      </c>
      <c r="B1365" s="41" t="s">
        <v>7641</v>
      </c>
      <c r="C1365" s="41" t="s">
        <v>68</v>
      </c>
      <c r="D1365" s="41" t="s">
        <v>8354</v>
      </c>
      <c r="E1365" s="41">
        <v>31800</v>
      </c>
    </row>
    <row r="1366" spans="1:5" x14ac:dyDescent="0.25">
      <c r="A1366" s="41" t="s">
        <v>8157</v>
      </c>
      <c r="B1366" s="41" t="s">
        <v>7641</v>
      </c>
      <c r="C1366" s="41" t="s">
        <v>68</v>
      </c>
      <c r="D1366" s="41" t="s">
        <v>8355</v>
      </c>
      <c r="E1366" s="41">
        <v>29500</v>
      </c>
    </row>
    <row r="1367" spans="1:5" x14ac:dyDescent="0.25">
      <c r="A1367" s="41" t="s">
        <v>8157</v>
      </c>
      <c r="B1367" s="41" t="s">
        <v>7641</v>
      </c>
      <c r="C1367" s="41" t="s">
        <v>68</v>
      </c>
      <c r="D1367" s="41" t="s">
        <v>8178</v>
      </c>
      <c r="E1367" s="41">
        <v>28200</v>
      </c>
    </row>
    <row r="1368" spans="1:5" x14ac:dyDescent="0.25">
      <c r="A1368" s="41" t="s">
        <v>8157</v>
      </c>
      <c r="B1368" s="41" t="s">
        <v>7641</v>
      </c>
      <c r="C1368" s="41" t="s">
        <v>68</v>
      </c>
      <c r="D1368" s="41" t="s">
        <v>8179</v>
      </c>
      <c r="E1368" s="41">
        <v>26700</v>
      </c>
    </row>
    <row r="1369" spans="1:5" x14ac:dyDescent="0.25">
      <c r="A1369" s="41" t="s">
        <v>8157</v>
      </c>
      <c r="B1369" s="41" t="s">
        <v>7641</v>
      </c>
      <c r="C1369" s="41" t="s">
        <v>68</v>
      </c>
      <c r="D1369" s="41" t="s">
        <v>8337</v>
      </c>
      <c r="E1369" s="41">
        <v>25300</v>
      </c>
    </row>
    <row r="1370" spans="1:5" x14ac:dyDescent="0.25">
      <c r="A1370" s="41" t="s">
        <v>8157</v>
      </c>
      <c r="B1370" s="41" t="s">
        <v>7643</v>
      </c>
      <c r="C1370" s="41" t="s">
        <v>68</v>
      </c>
      <c r="D1370" s="41" t="s">
        <v>8228</v>
      </c>
      <c r="E1370" s="41">
        <v>22770</v>
      </c>
    </row>
    <row r="1371" spans="1:5" x14ac:dyDescent="0.25">
      <c r="A1371" s="41" t="s">
        <v>8157</v>
      </c>
      <c r="B1371" s="41" t="s">
        <v>7643</v>
      </c>
      <c r="C1371" s="41" t="s">
        <v>68</v>
      </c>
      <c r="D1371" s="41" t="s">
        <v>8176</v>
      </c>
      <c r="E1371" s="41">
        <v>21720</v>
      </c>
    </row>
    <row r="1372" spans="1:5" x14ac:dyDescent="0.25">
      <c r="A1372" s="41" t="s">
        <v>8157</v>
      </c>
      <c r="B1372" s="41" t="s">
        <v>7645</v>
      </c>
      <c r="C1372" s="41" t="s">
        <v>68</v>
      </c>
      <c r="D1372" s="41" t="s">
        <v>8356</v>
      </c>
      <c r="E1372" s="41">
        <v>19780</v>
      </c>
    </row>
    <row r="1373" spans="1:5" x14ac:dyDescent="0.25">
      <c r="A1373" s="41" t="s">
        <v>8157</v>
      </c>
      <c r="B1373" s="41" t="s">
        <v>7645</v>
      </c>
      <c r="C1373" s="41" t="s">
        <v>68</v>
      </c>
      <c r="D1373" s="41" t="s">
        <v>8357</v>
      </c>
      <c r="E1373" s="41">
        <v>19352</v>
      </c>
    </row>
    <row r="1374" spans="1:5" x14ac:dyDescent="0.25">
      <c r="A1374" s="41" t="s">
        <v>8157</v>
      </c>
      <c r="B1374" s="41" t="s">
        <v>7645</v>
      </c>
      <c r="C1374" s="41" t="s">
        <v>68</v>
      </c>
      <c r="D1374" s="41" t="s">
        <v>8358</v>
      </c>
      <c r="E1374" s="41">
        <v>18526</v>
      </c>
    </row>
    <row r="1375" spans="1:5" x14ac:dyDescent="0.25">
      <c r="A1375" s="41" t="s">
        <v>8157</v>
      </c>
      <c r="B1375" s="41" t="s">
        <v>7645</v>
      </c>
      <c r="C1375" s="41" t="s">
        <v>68</v>
      </c>
      <c r="D1375" s="41" t="s">
        <v>8168</v>
      </c>
      <c r="E1375" s="41">
        <v>17480</v>
      </c>
    </row>
    <row r="1376" spans="1:5" x14ac:dyDescent="0.25">
      <c r="A1376" s="41" t="s">
        <v>8157</v>
      </c>
      <c r="B1376" s="41" t="s">
        <v>7647</v>
      </c>
      <c r="C1376" s="41" t="s">
        <v>68</v>
      </c>
      <c r="D1376" s="41" t="s">
        <v>8356</v>
      </c>
      <c r="E1376" s="41">
        <v>26300</v>
      </c>
    </row>
    <row r="1377" spans="1:5" x14ac:dyDescent="0.25">
      <c r="A1377" s="41" t="s">
        <v>8157</v>
      </c>
      <c r="B1377" s="41" t="s">
        <v>7647</v>
      </c>
      <c r="C1377" s="41" t="s">
        <v>68</v>
      </c>
      <c r="D1377" s="41" t="s">
        <v>8359</v>
      </c>
      <c r="E1377" s="41">
        <v>24900</v>
      </c>
    </row>
    <row r="1378" spans="1:5" x14ac:dyDescent="0.25">
      <c r="A1378" s="41" t="s">
        <v>8157</v>
      </c>
      <c r="B1378" s="41" t="s">
        <v>7647</v>
      </c>
      <c r="C1378" s="41" t="s">
        <v>68</v>
      </c>
      <c r="D1378" s="41" t="s">
        <v>8211</v>
      </c>
      <c r="E1378" s="41">
        <v>23700</v>
      </c>
    </row>
    <row r="1379" spans="1:5" x14ac:dyDescent="0.25">
      <c r="A1379" s="41" t="s">
        <v>8157</v>
      </c>
      <c r="B1379" s="41" t="s">
        <v>7649</v>
      </c>
      <c r="C1379" s="41" t="s">
        <v>68</v>
      </c>
      <c r="D1379" s="41" t="s">
        <v>8158</v>
      </c>
      <c r="E1379" s="41">
        <v>13400</v>
      </c>
    </row>
    <row r="1380" spans="1:5" x14ac:dyDescent="0.25">
      <c r="A1380" s="41" t="s">
        <v>8157</v>
      </c>
      <c r="B1380" s="41" t="s">
        <v>7651</v>
      </c>
      <c r="C1380" s="41" t="s">
        <v>68</v>
      </c>
      <c r="D1380" s="41" t="s">
        <v>8158</v>
      </c>
      <c r="E1380" s="41">
        <v>10500</v>
      </c>
    </row>
    <row r="1381" spans="1:5" x14ac:dyDescent="0.25">
      <c r="A1381" s="41" t="s">
        <v>8157</v>
      </c>
      <c r="B1381" s="41" t="s">
        <v>7653</v>
      </c>
      <c r="C1381" s="41" t="s">
        <v>68</v>
      </c>
      <c r="D1381" s="41" t="s">
        <v>8158</v>
      </c>
      <c r="E1381" s="41">
        <v>11400</v>
      </c>
    </row>
    <row r="1382" spans="1:5" x14ac:dyDescent="0.25">
      <c r="A1382" s="41" t="s">
        <v>8157</v>
      </c>
      <c r="B1382" s="41" t="s">
        <v>7431</v>
      </c>
      <c r="C1382" s="41" t="s">
        <v>68</v>
      </c>
      <c r="D1382" s="41" t="s">
        <v>8158</v>
      </c>
      <c r="E1382" s="41">
        <v>7900</v>
      </c>
    </row>
    <row r="1383" spans="1:5" x14ac:dyDescent="0.25">
      <c r="A1383" s="41" t="s">
        <v>8157</v>
      </c>
      <c r="B1383" s="41" t="s">
        <v>7656</v>
      </c>
      <c r="C1383" s="41" t="s">
        <v>68</v>
      </c>
      <c r="D1383" s="41" t="s">
        <v>8360</v>
      </c>
      <c r="E1383" s="41">
        <v>27500</v>
      </c>
    </row>
    <row r="1384" spans="1:5" x14ac:dyDescent="0.25">
      <c r="A1384" s="41" t="s">
        <v>8157</v>
      </c>
      <c r="B1384" s="41" t="s">
        <v>7656</v>
      </c>
      <c r="C1384" s="41" t="s">
        <v>68</v>
      </c>
      <c r="D1384" s="41" t="s">
        <v>8165</v>
      </c>
      <c r="E1384" s="41">
        <v>25960</v>
      </c>
    </row>
    <row r="1385" spans="1:5" x14ac:dyDescent="0.25">
      <c r="A1385" s="41" t="s">
        <v>8157</v>
      </c>
      <c r="B1385" s="41" t="s">
        <v>7656</v>
      </c>
      <c r="C1385" s="41" t="s">
        <v>68</v>
      </c>
      <c r="D1385" s="41" t="s">
        <v>8266</v>
      </c>
      <c r="E1385" s="41">
        <v>24530</v>
      </c>
    </row>
    <row r="1386" spans="1:5" x14ac:dyDescent="0.25">
      <c r="A1386" s="41" t="s">
        <v>8157</v>
      </c>
      <c r="B1386" s="41" t="s">
        <v>7658</v>
      </c>
      <c r="C1386" s="41" t="s">
        <v>68</v>
      </c>
      <c r="D1386" s="41" t="s">
        <v>8158</v>
      </c>
      <c r="E1386" s="41">
        <v>10600</v>
      </c>
    </row>
    <row r="1387" spans="1:5" x14ac:dyDescent="0.25">
      <c r="A1387" s="41" t="s">
        <v>8157</v>
      </c>
      <c r="B1387" s="41" t="s">
        <v>7660</v>
      </c>
      <c r="C1387" s="41" t="s">
        <v>68</v>
      </c>
      <c r="D1387" s="41" t="s">
        <v>8158</v>
      </c>
      <c r="E1387" s="41">
        <v>24800</v>
      </c>
    </row>
    <row r="1388" spans="1:5" x14ac:dyDescent="0.25">
      <c r="A1388" s="41" t="s">
        <v>8157</v>
      </c>
      <c r="B1388" s="41" t="s">
        <v>7662</v>
      </c>
      <c r="C1388" s="41" t="s">
        <v>68</v>
      </c>
      <c r="D1388" s="41" t="s">
        <v>8233</v>
      </c>
      <c r="E1388" s="41">
        <v>44300</v>
      </c>
    </row>
    <row r="1389" spans="1:5" x14ac:dyDescent="0.25">
      <c r="A1389" s="41" t="s">
        <v>8157</v>
      </c>
      <c r="B1389" s="41" t="s">
        <v>7662</v>
      </c>
      <c r="C1389" s="41" t="s">
        <v>68</v>
      </c>
      <c r="D1389" s="41" t="s">
        <v>8361</v>
      </c>
      <c r="E1389" s="41">
        <v>38000</v>
      </c>
    </row>
    <row r="1390" spans="1:5" x14ac:dyDescent="0.25">
      <c r="A1390" s="41" t="s">
        <v>8157</v>
      </c>
      <c r="B1390" s="41" t="s">
        <v>7662</v>
      </c>
      <c r="C1390" s="41" t="s">
        <v>68</v>
      </c>
      <c r="D1390" s="41" t="s">
        <v>8362</v>
      </c>
      <c r="E1390" s="41">
        <v>36800</v>
      </c>
    </row>
    <row r="1391" spans="1:5" x14ac:dyDescent="0.25">
      <c r="A1391" s="41" t="s">
        <v>8157</v>
      </c>
      <c r="B1391" s="41" t="s">
        <v>7662</v>
      </c>
      <c r="C1391" s="41" t="s">
        <v>68</v>
      </c>
      <c r="D1391" s="41" t="s">
        <v>8166</v>
      </c>
      <c r="E1391" s="41">
        <v>35400</v>
      </c>
    </row>
    <row r="1392" spans="1:5" x14ac:dyDescent="0.25">
      <c r="A1392" s="41" t="s">
        <v>8157</v>
      </c>
      <c r="B1392" s="41" t="s">
        <v>7662</v>
      </c>
      <c r="C1392" s="41" t="s">
        <v>68</v>
      </c>
      <c r="D1392" s="41" t="s">
        <v>8237</v>
      </c>
      <c r="E1392" s="41">
        <v>34200</v>
      </c>
    </row>
    <row r="1393" spans="1:5" x14ac:dyDescent="0.25">
      <c r="A1393" s="41" t="s">
        <v>8157</v>
      </c>
      <c r="B1393" s="41" t="s">
        <v>7664</v>
      </c>
      <c r="C1393" s="41" t="s">
        <v>68</v>
      </c>
      <c r="D1393" s="41" t="s">
        <v>8158</v>
      </c>
      <c r="E1393" s="41">
        <v>29800</v>
      </c>
    </row>
    <row r="1394" spans="1:5" x14ac:dyDescent="0.25">
      <c r="A1394" s="41" t="s">
        <v>8157</v>
      </c>
      <c r="B1394" s="41" t="s">
        <v>7666</v>
      </c>
      <c r="C1394" s="41" t="s">
        <v>68</v>
      </c>
      <c r="D1394" s="41" t="s">
        <v>8158</v>
      </c>
      <c r="E1394" s="41">
        <v>21200</v>
      </c>
    </row>
    <row r="1395" spans="1:5" x14ac:dyDescent="0.25">
      <c r="A1395" s="41" t="s">
        <v>8157</v>
      </c>
      <c r="B1395" s="41" t="s">
        <v>7668</v>
      </c>
      <c r="C1395" s="41" t="s">
        <v>68</v>
      </c>
      <c r="D1395" s="41" t="s">
        <v>8158</v>
      </c>
      <c r="E1395" s="41">
        <v>18900</v>
      </c>
    </row>
    <row r="1396" spans="1:5" x14ac:dyDescent="0.25">
      <c r="A1396" s="41" t="s">
        <v>8157</v>
      </c>
      <c r="B1396" s="41" t="s">
        <v>7670</v>
      </c>
      <c r="C1396" s="41" t="s">
        <v>68</v>
      </c>
      <c r="D1396" s="41" t="s">
        <v>8246</v>
      </c>
      <c r="E1396" s="41">
        <v>21200</v>
      </c>
    </row>
    <row r="1397" spans="1:5" x14ac:dyDescent="0.25">
      <c r="A1397" s="41" t="s">
        <v>8157</v>
      </c>
      <c r="B1397" s="41" t="s">
        <v>7670</v>
      </c>
      <c r="C1397" s="41" t="s">
        <v>68</v>
      </c>
      <c r="D1397" s="41" t="s">
        <v>8363</v>
      </c>
      <c r="E1397" s="41">
        <v>21000</v>
      </c>
    </row>
    <row r="1398" spans="1:5" x14ac:dyDescent="0.25">
      <c r="A1398" s="41" t="s">
        <v>8157</v>
      </c>
      <c r="B1398" s="41" t="s">
        <v>7670</v>
      </c>
      <c r="C1398" s="41" t="s">
        <v>68</v>
      </c>
      <c r="D1398" s="41" t="s">
        <v>8364</v>
      </c>
      <c r="E1398" s="41">
        <v>20300</v>
      </c>
    </row>
    <row r="1399" spans="1:5" x14ac:dyDescent="0.25">
      <c r="A1399" s="41" t="s">
        <v>8157</v>
      </c>
      <c r="B1399" s="41" t="s">
        <v>7670</v>
      </c>
      <c r="C1399" s="41" t="s">
        <v>68</v>
      </c>
      <c r="D1399" s="41" t="s">
        <v>8188</v>
      </c>
      <c r="E1399" s="41">
        <v>16900</v>
      </c>
    </row>
    <row r="1400" spans="1:5" x14ac:dyDescent="0.25">
      <c r="A1400" s="41" t="s">
        <v>8157</v>
      </c>
      <c r="B1400" s="41" t="s">
        <v>7670</v>
      </c>
      <c r="C1400" s="41" t="s">
        <v>68</v>
      </c>
      <c r="D1400" s="41" t="s">
        <v>8365</v>
      </c>
      <c r="E1400" s="41">
        <v>12800</v>
      </c>
    </row>
    <row r="1401" spans="1:5" x14ac:dyDescent="0.25">
      <c r="A1401" s="41" t="s">
        <v>8157</v>
      </c>
      <c r="B1401" s="41" t="s">
        <v>7670</v>
      </c>
      <c r="C1401" s="41" t="s">
        <v>68</v>
      </c>
      <c r="D1401" s="41" t="s">
        <v>8234</v>
      </c>
      <c r="E1401" s="41">
        <v>12500</v>
      </c>
    </row>
    <row r="1402" spans="1:5" x14ac:dyDescent="0.25">
      <c r="A1402" s="41" t="s">
        <v>8157</v>
      </c>
      <c r="B1402" s="41" t="s">
        <v>7670</v>
      </c>
      <c r="C1402" s="41" t="s">
        <v>68</v>
      </c>
      <c r="D1402" s="41" t="s">
        <v>8331</v>
      </c>
      <c r="E1402" s="41">
        <v>11100</v>
      </c>
    </row>
    <row r="1403" spans="1:5" x14ac:dyDescent="0.25">
      <c r="A1403" s="41" t="s">
        <v>8157</v>
      </c>
      <c r="B1403" s="41" t="s">
        <v>7673</v>
      </c>
      <c r="C1403" s="41" t="s">
        <v>68</v>
      </c>
      <c r="D1403" s="41" t="s">
        <v>8298</v>
      </c>
      <c r="E1403" s="41">
        <v>21700</v>
      </c>
    </row>
    <row r="1404" spans="1:5" x14ac:dyDescent="0.25">
      <c r="A1404" s="41" t="s">
        <v>8157</v>
      </c>
      <c r="B1404" s="41" t="s">
        <v>7673</v>
      </c>
      <c r="C1404" s="41" t="s">
        <v>68</v>
      </c>
      <c r="D1404" s="41" t="s">
        <v>8299</v>
      </c>
      <c r="E1404" s="41">
        <v>21100</v>
      </c>
    </row>
    <row r="1405" spans="1:5" x14ac:dyDescent="0.25">
      <c r="A1405" s="41" t="s">
        <v>8157</v>
      </c>
      <c r="B1405" s="41" t="s">
        <v>7673</v>
      </c>
      <c r="C1405" s="41" t="s">
        <v>68</v>
      </c>
      <c r="D1405" s="41" t="s">
        <v>8327</v>
      </c>
      <c r="E1405" s="41">
        <v>20700</v>
      </c>
    </row>
    <row r="1406" spans="1:5" x14ac:dyDescent="0.25">
      <c r="A1406" s="41" t="s">
        <v>8157</v>
      </c>
      <c r="B1406" s="41" t="s">
        <v>7673</v>
      </c>
      <c r="C1406" s="41" t="s">
        <v>68</v>
      </c>
      <c r="D1406" s="41" t="s">
        <v>8328</v>
      </c>
      <c r="E1406" s="41">
        <v>19900</v>
      </c>
    </row>
    <row r="1407" spans="1:5" x14ac:dyDescent="0.25">
      <c r="A1407" s="41" t="s">
        <v>8157</v>
      </c>
      <c r="B1407" s="41" t="s">
        <v>7676</v>
      </c>
      <c r="C1407" s="41" t="s">
        <v>68</v>
      </c>
      <c r="D1407" s="41" t="s">
        <v>8366</v>
      </c>
      <c r="E1407" s="41">
        <v>20200</v>
      </c>
    </row>
    <row r="1408" spans="1:5" x14ac:dyDescent="0.25">
      <c r="A1408" s="41" t="s">
        <v>8157</v>
      </c>
      <c r="B1408" s="41" t="s">
        <v>7676</v>
      </c>
      <c r="C1408" s="41" t="s">
        <v>68</v>
      </c>
      <c r="D1408" s="41" t="s">
        <v>8367</v>
      </c>
      <c r="E1408" s="41">
        <v>19500</v>
      </c>
    </row>
    <row r="1409" spans="1:5" x14ac:dyDescent="0.25">
      <c r="A1409" s="41" t="s">
        <v>8157</v>
      </c>
      <c r="B1409" s="41" t="s">
        <v>7676</v>
      </c>
      <c r="C1409" s="41" t="s">
        <v>68</v>
      </c>
      <c r="D1409" s="41" t="s">
        <v>8368</v>
      </c>
      <c r="E1409" s="41">
        <v>18800</v>
      </c>
    </row>
    <row r="1410" spans="1:5" x14ac:dyDescent="0.25">
      <c r="A1410" s="41" t="s">
        <v>8157</v>
      </c>
      <c r="B1410" s="41" t="s">
        <v>7678</v>
      </c>
      <c r="C1410" s="41" t="s">
        <v>68</v>
      </c>
      <c r="D1410" s="41" t="s">
        <v>8158</v>
      </c>
      <c r="E1410" s="41">
        <v>10400</v>
      </c>
    </row>
    <row r="1411" spans="1:5" x14ac:dyDescent="0.25">
      <c r="A1411" s="41" t="s">
        <v>8157</v>
      </c>
      <c r="B1411" s="41" t="s">
        <v>7680</v>
      </c>
      <c r="C1411" s="41" t="s">
        <v>68</v>
      </c>
      <c r="D1411" s="41" t="s">
        <v>8360</v>
      </c>
      <c r="E1411" s="41">
        <v>52900</v>
      </c>
    </row>
    <row r="1412" spans="1:5" x14ac:dyDescent="0.25">
      <c r="A1412" s="41" t="s">
        <v>8157</v>
      </c>
      <c r="B1412" s="41" t="s">
        <v>7680</v>
      </c>
      <c r="C1412" s="41" t="s">
        <v>68</v>
      </c>
      <c r="D1412" s="41" t="s">
        <v>8175</v>
      </c>
      <c r="E1412" s="41">
        <v>46400</v>
      </c>
    </row>
    <row r="1413" spans="1:5" x14ac:dyDescent="0.25">
      <c r="A1413" s="41" t="s">
        <v>8157</v>
      </c>
      <c r="B1413" s="41" t="s">
        <v>7680</v>
      </c>
      <c r="C1413" s="41" t="s">
        <v>68</v>
      </c>
      <c r="D1413" s="41" t="s">
        <v>8176</v>
      </c>
      <c r="E1413" s="41">
        <v>39900</v>
      </c>
    </row>
    <row r="1414" spans="1:5" x14ac:dyDescent="0.25">
      <c r="A1414" s="41" t="s">
        <v>8157</v>
      </c>
      <c r="B1414" s="41" t="s">
        <v>7682</v>
      </c>
      <c r="C1414" s="41" t="s">
        <v>68</v>
      </c>
      <c r="D1414" s="41" t="s">
        <v>8158</v>
      </c>
      <c r="E1414" s="41">
        <v>70400</v>
      </c>
    </row>
    <row r="1415" spans="1:5" x14ac:dyDescent="0.25">
      <c r="A1415" s="41" t="s">
        <v>8157</v>
      </c>
      <c r="B1415" s="41" t="s">
        <v>7684</v>
      </c>
      <c r="C1415" s="41" t="s">
        <v>68</v>
      </c>
      <c r="D1415" s="41" t="s">
        <v>8158</v>
      </c>
      <c r="E1415" s="41">
        <v>46900</v>
      </c>
    </row>
    <row r="1416" spans="1:5" x14ac:dyDescent="0.25">
      <c r="A1416" s="41" t="s">
        <v>8157</v>
      </c>
      <c r="B1416" s="41" t="s">
        <v>7426</v>
      </c>
      <c r="C1416" s="41" t="s">
        <v>68</v>
      </c>
      <c r="D1416" s="41" t="s">
        <v>8158</v>
      </c>
      <c r="E1416" s="41">
        <v>2500</v>
      </c>
    </row>
    <row r="1417" spans="1:5" x14ac:dyDescent="0.25">
      <c r="A1417" s="41" t="s">
        <v>8157</v>
      </c>
      <c r="B1417" s="41" t="s">
        <v>7687</v>
      </c>
      <c r="C1417" s="41" t="s">
        <v>68</v>
      </c>
      <c r="D1417" s="41" t="s">
        <v>8348</v>
      </c>
      <c r="E1417" s="41">
        <v>22600</v>
      </c>
    </row>
    <row r="1418" spans="1:5" x14ac:dyDescent="0.25">
      <c r="A1418" s="41" t="s">
        <v>8157</v>
      </c>
      <c r="B1418" s="41" t="s">
        <v>7687</v>
      </c>
      <c r="C1418" s="41" t="s">
        <v>68</v>
      </c>
      <c r="D1418" s="41" t="s">
        <v>8349</v>
      </c>
      <c r="E1418" s="41">
        <v>21900</v>
      </c>
    </row>
    <row r="1419" spans="1:5" x14ac:dyDescent="0.25">
      <c r="A1419" s="41" t="s">
        <v>8157</v>
      </c>
      <c r="B1419" s="41" t="s">
        <v>7689</v>
      </c>
      <c r="C1419" s="41" t="s">
        <v>68</v>
      </c>
      <c r="D1419" s="41" t="s">
        <v>8158</v>
      </c>
      <c r="E1419" s="41">
        <v>35200</v>
      </c>
    </row>
    <row r="1420" spans="1:5" x14ac:dyDescent="0.25">
      <c r="A1420" s="41" t="s">
        <v>8157</v>
      </c>
      <c r="B1420" s="41" t="s">
        <v>7691</v>
      </c>
      <c r="C1420" s="41" t="s">
        <v>68</v>
      </c>
      <c r="D1420" s="41" t="s">
        <v>8369</v>
      </c>
      <c r="E1420" s="41">
        <v>212500</v>
      </c>
    </row>
    <row r="1421" spans="1:5" x14ac:dyDescent="0.25">
      <c r="A1421" s="41" t="s">
        <v>8157</v>
      </c>
      <c r="B1421" s="41" t="s">
        <v>7691</v>
      </c>
      <c r="C1421" s="41" t="s">
        <v>68</v>
      </c>
      <c r="D1421" s="41" t="s">
        <v>8370</v>
      </c>
      <c r="E1421" s="41">
        <v>142000</v>
      </c>
    </row>
    <row r="1422" spans="1:5" x14ac:dyDescent="0.25">
      <c r="A1422" s="41" t="s">
        <v>8157</v>
      </c>
      <c r="B1422" s="41" t="s">
        <v>7691</v>
      </c>
      <c r="C1422" s="41" t="s">
        <v>68</v>
      </c>
      <c r="D1422" s="41" t="s">
        <v>8371</v>
      </c>
      <c r="E1422" s="41">
        <v>74800</v>
      </c>
    </row>
    <row r="1423" spans="1:5" x14ac:dyDescent="0.25">
      <c r="A1423" s="41" t="s">
        <v>8157</v>
      </c>
      <c r="B1423" s="41" t="s">
        <v>7691</v>
      </c>
      <c r="C1423" s="41" t="s">
        <v>68</v>
      </c>
      <c r="D1423" s="41" t="s">
        <v>8372</v>
      </c>
      <c r="E1423" s="41">
        <v>39300</v>
      </c>
    </row>
    <row r="1424" spans="1:5" x14ac:dyDescent="0.25">
      <c r="A1424" s="41" t="s">
        <v>8157</v>
      </c>
      <c r="B1424" s="41" t="s">
        <v>7691</v>
      </c>
      <c r="C1424" s="41" t="s">
        <v>68</v>
      </c>
      <c r="D1424" s="41" t="s">
        <v>8373</v>
      </c>
      <c r="E1424" s="41">
        <v>34700</v>
      </c>
    </row>
    <row r="1425" spans="1:5" x14ac:dyDescent="0.25">
      <c r="A1425" s="41" t="s">
        <v>8157</v>
      </c>
      <c r="B1425" s="41" t="s">
        <v>7693</v>
      </c>
      <c r="C1425" s="41" t="s">
        <v>68</v>
      </c>
      <c r="D1425" s="41" t="s">
        <v>8374</v>
      </c>
      <c r="E1425" s="41">
        <v>41100</v>
      </c>
    </row>
    <row r="1426" spans="1:5" x14ac:dyDescent="0.25">
      <c r="A1426" s="41" t="s">
        <v>8157</v>
      </c>
      <c r="B1426" s="41" t="s">
        <v>7693</v>
      </c>
      <c r="C1426" s="41" t="s">
        <v>68</v>
      </c>
      <c r="D1426" s="41" t="s">
        <v>8257</v>
      </c>
      <c r="E1426" s="41">
        <v>34200</v>
      </c>
    </row>
    <row r="1427" spans="1:5" x14ac:dyDescent="0.25">
      <c r="A1427" s="41" t="s">
        <v>8157</v>
      </c>
      <c r="B1427" s="41" t="s">
        <v>7693</v>
      </c>
      <c r="C1427" s="41" t="s">
        <v>68</v>
      </c>
      <c r="D1427" s="41" t="s">
        <v>8375</v>
      </c>
      <c r="E1427" s="41">
        <v>30900</v>
      </c>
    </row>
    <row r="1428" spans="1:5" x14ac:dyDescent="0.25">
      <c r="A1428" s="41" t="s">
        <v>8157</v>
      </c>
      <c r="B1428" s="41" t="s">
        <v>7693</v>
      </c>
      <c r="C1428" s="41" t="s">
        <v>68</v>
      </c>
      <c r="D1428" s="41" t="s">
        <v>8376</v>
      </c>
      <c r="E1428" s="41">
        <v>28900</v>
      </c>
    </row>
    <row r="1429" spans="1:5" x14ac:dyDescent="0.25">
      <c r="A1429" s="41" t="s">
        <v>8157</v>
      </c>
      <c r="B1429" s="41" t="s">
        <v>7693</v>
      </c>
      <c r="C1429" s="41" t="s">
        <v>68</v>
      </c>
      <c r="D1429" s="41" t="s">
        <v>8377</v>
      </c>
      <c r="E1429" s="41">
        <v>25300</v>
      </c>
    </row>
    <row r="1430" spans="1:5" x14ac:dyDescent="0.25">
      <c r="A1430" s="41" t="s">
        <v>8157</v>
      </c>
      <c r="B1430" s="41" t="s">
        <v>7693</v>
      </c>
      <c r="C1430" s="41" t="s">
        <v>68</v>
      </c>
      <c r="D1430" s="41" t="s">
        <v>8378</v>
      </c>
      <c r="E1430" s="41">
        <v>24400</v>
      </c>
    </row>
    <row r="1431" spans="1:5" x14ac:dyDescent="0.25">
      <c r="A1431" s="41" t="s">
        <v>8157</v>
      </c>
      <c r="B1431" s="41" t="s">
        <v>7693</v>
      </c>
      <c r="C1431" s="41" t="s">
        <v>68</v>
      </c>
      <c r="D1431" s="41" t="s">
        <v>8379</v>
      </c>
      <c r="E1431" s="41">
        <v>23500</v>
      </c>
    </row>
    <row r="1432" spans="1:5" x14ac:dyDescent="0.25">
      <c r="A1432" s="41" t="s">
        <v>8157</v>
      </c>
      <c r="B1432" s="41" t="s">
        <v>7693</v>
      </c>
      <c r="C1432" s="41" t="s">
        <v>68</v>
      </c>
      <c r="D1432" s="41" t="s">
        <v>8380</v>
      </c>
      <c r="E1432" s="41">
        <v>22500</v>
      </c>
    </row>
    <row r="1433" spans="1:5" x14ac:dyDescent="0.25">
      <c r="A1433" s="41" t="s">
        <v>8157</v>
      </c>
      <c r="B1433" s="41" t="s">
        <v>7693</v>
      </c>
      <c r="C1433" s="41" t="s">
        <v>68</v>
      </c>
      <c r="D1433" s="41" t="s">
        <v>8381</v>
      </c>
      <c r="E1433" s="41">
        <v>20400</v>
      </c>
    </row>
    <row r="1434" spans="1:5" x14ac:dyDescent="0.25">
      <c r="A1434" s="41" t="s">
        <v>8157</v>
      </c>
      <c r="B1434" s="41" t="s">
        <v>7695</v>
      </c>
      <c r="C1434" s="41" t="s">
        <v>68</v>
      </c>
      <c r="D1434" s="41" t="s">
        <v>8244</v>
      </c>
      <c r="E1434" s="41">
        <v>30000</v>
      </c>
    </row>
    <row r="1435" spans="1:5" x14ac:dyDescent="0.25">
      <c r="A1435" s="41" t="s">
        <v>8157</v>
      </c>
      <c r="B1435" s="41" t="s">
        <v>7695</v>
      </c>
      <c r="C1435" s="41" t="s">
        <v>68</v>
      </c>
      <c r="D1435" s="41" t="s">
        <v>8382</v>
      </c>
      <c r="E1435" s="41">
        <v>28900</v>
      </c>
    </row>
    <row r="1436" spans="1:5" x14ac:dyDescent="0.25">
      <c r="A1436" s="41" t="s">
        <v>8157</v>
      </c>
      <c r="B1436" s="41" t="s">
        <v>7695</v>
      </c>
      <c r="C1436" s="41" t="s">
        <v>68</v>
      </c>
      <c r="D1436" s="41" t="s">
        <v>8383</v>
      </c>
      <c r="E1436" s="41">
        <v>27800</v>
      </c>
    </row>
    <row r="1437" spans="1:5" x14ac:dyDescent="0.25">
      <c r="A1437" s="41" t="s">
        <v>8157</v>
      </c>
      <c r="B1437" s="41" t="s">
        <v>7697</v>
      </c>
      <c r="C1437" s="41" t="s">
        <v>68</v>
      </c>
      <c r="D1437" s="41" t="s">
        <v>8384</v>
      </c>
      <c r="E1437" s="41">
        <v>10000</v>
      </c>
    </row>
    <row r="1438" spans="1:5" x14ac:dyDescent="0.25">
      <c r="A1438" s="41" t="s">
        <v>8157</v>
      </c>
      <c r="B1438" s="41" t="s">
        <v>7697</v>
      </c>
      <c r="C1438" s="41" t="s">
        <v>68</v>
      </c>
      <c r="D1438" s="41" t="s">
        <v>8385</v>
      </c>
      <c r="E1438" s="41">
        <v>13300</v>
      </c>
    </row>
    <row r="1439" spans="1:5" x14ac:dyDescent="0.25">
      <c r="A1439" s="41" t="s">
        <v>8157</v>
      </c>
      <c r="B1439" s="41" t="s">
        <v>7697</v>
      </c>
      <c r="C1439" s="41" t="s">
        <v>68</v>
      </c>
      <c r="D1439" s="41" t="s">
        <v>8386</v>
      </c>
      <c r="E1439" s="41">
        <v>23900</v>
      </c>
    </row>
    <row r="1440" spans="1:5" x14ac:dyDescent="0.25">
      <c r="A1440" s="41" t="s">
        <v>8157</v>
      </c>
      <c r="B1440" s="41" t="s">
        <v>7697</v>
      </c>
      <c r="C1440" s="41" t="s">
        <v>68</v>
      </c>
      <c r="D1440" s="41" t="s">
        <v>8387</v>
      </c>
      <c r="E1440" s="41">
        <v>18200</v>
      </c>
    </row>
    <row r="1441" spans="1:5" x14ac:dyDescent="0.25">
      <c r="A1441" s="41" t="s">
        <v>8157</v>
      </c>
      <c r="B1441" s="41" t="s">
        <v>7699</v>
      </c>
      <c r="C1441" s="41" t="s">
        <v>68</v>
      </c>
      <c r="D1441" s="41" t="s">
        <v>8158</v>
      </c>
      <c r="E1441" s="41">
        <v>11400</v>
      </c>
    </row>
    <row r="1442" spans="1:5" x14ac:dyDescent="0.25">
      <c r="A1442" s="41" t="s">
        <v>8157</v>
      </c>
      <c r="B1442" s="41" t="s">
        <v>7701</v>
      </c>
      <c r="C1442" s="41" t="s">
        <v>68</v>
      </c>
      <c r="D1442" s="41" t="s">
        <v>8233</v>
      </c>
      <c r="E1442" s="41">
        <v>12400</v>
      </c>
    </row>
    <row r="1443" spans="1:5" x14ac:dyDescent="0.25">
      <c r="A1443" s="41" t="s">
        <v>8157</v>
      </c>
      <c r="B1443" s="41" t="s">
        <v>7701</v>
      </c>
      <c r="C1443" s="41" t="s">
        <v>68</v>
      </c>
      <c r="D1443" s="41" t="s">
        <v>8347</v>
      </c>
      <c r="E1443" s="41">
        <v>10600</v>
      </c>
    </row>
    <row r="1444" spans="1:5" x14ac:dyDescent="0.25">
      <c r="A1444" s="41" t="s">
        <v>8157</v>
      </c>
      <c r="B1444" s="41" t="s">
        <v>7703</v>
      </c>
      <c r="C1444" s="41" t="s">
        <v>68</v>
      </c>
      <c r="D1444" s="41" t="s">
        <v>8163</v>
      </c>
      <c r="E1444" s="41">
        <v>52800</v>
      </c>
    </row>
    <row r="1445" spans="1:5" x14ac:dyDescent="0.25">
      <c r="A1445" s="41" t="s">
        <v>8157</v>
      </c>
      <c r="B1445" s="41" t="s">
        <v>7703</v>
      </c>
      <c r="C1445" s="41" t="s">
        <v>68</v>
      </c>
      <c r="D1445" s="41" t="s">
        <v>8388</v>
      </c>
      <c r="E1445" s="41">
        <v>49100</v>
      </c>
    </row>
    <row r="1446" spans="1:5" x14ac:dyDescent="0.25">
      <c r="A1446" s="41" t="s">
        <v>8157</v>
      </c>
      <c r="B1446" s="41" t="s">
        <v>7703</v>
      </c>
      <c r="C1446" s="41" t="s">
        <v>68</v>
      </c>
      <c r="D1446" s="41" t="s">
        <v>8389</v>
      </c>
      <c r="E1446" s="41">
        <v>45700</v>
      </c>
    </row>
    <row r="1447" spans="1:5" x14ac:dyDescent="0.25">
      <c r="A1447" s="41" t="s">
        <v>8157</v>
      </c>
      <c r="B1447" s="41" t="s">
        <v>7703</v>
      </c>
      <c r="C1447" s="41" t="s">
        <v>68</v>
      </c>
      <c r="D1447" s="41" t="s">
        <v>8199</v>
      </c>
      <c r="E1447" s="41">
        <v>42600</v>
      </c>
    </row>
    <row r="1448" spans="1:5" x14ac:dyDescent="0.25">
      <c r="A1448" s="41" t="s">
        <v>8157</v>
      </c>
      <c r="B1448" s="41" t="s">
        <v>7705</v>
      </c>
      <c r="C1448" s="41" t="s">
        <v>68</v>
      </c>
      <c r="D1448" s="41" t="s">
        <v>8360</v>
      </c>
      <c r="E1448" s="41">
        <v>40400</v>
      </c>
    </row>
    <row r="1449" spans="1:5" x14ac:dyDescent="0.25">
      <c r="A1449" s="41" t="s">
        <v>8157</v>
      </c>
      <c r="B1449" s="41" t="s">
        <v>7705</v>
      </c>
      <c r="C1449" s="41" t="s">
        <v>68</v>
      </c>
      <c r="D1449" s="41" t="s">
        <v>8218</v>
      </c>
      <c r="E1449" s="41">
        <v>40600</v>
      </c>
    </row>
    <row r="1450" spans="1:5" x14ac:dyDescent="0.25">
      <c r="A1450" s="41" t="s">
        <v>8157</v>
      </c>
      <c r="B1450" s="41" t="s">
        <v>7705</v>
      </c>
      <c r="C1450" s="41" t="s">
        <v>68</v>
      </c>
      <c r="D1450" s="41" t="s">
        <v>8260</v>
      </c>
      <c r="E1450" s="41">
        <v>45700</v>
      </c>
    </row>
    <row r="1451" spans="1:5" x14ac:dyDescent="0.25">
      <c r="A1451" s="41" t="s">
        <v>8157</v>
      </c>
      <c r="B1451" s="41" t="s">
        <v>7707</v>
      </c>
      <c r="C1451" s="41" t="s">
        <v>68</v>
      </c>
      <c r="D1451" s="41" t="s">
        <v>8360</v>
      </c>
      <c r="E1451" s="41">
        <v>54900</v>
      </c>
    </row>
    <row r="1452" spans="1:5" x14ac:dyDescent="0.25">
      <c r="A1452" s="41" t="s">
        <v>8157</v>
      </c>
      <c r="B1452" s="41" t="s">
        <v>7707</v>
      </c>
      <c r="C1452" s="41" t="s">
        <v>68</v>
      </c>
      <c r="D1452" s="41" t="s">
        <v>8390</v>
      </c>
      <c r="E1452" s="41">
        <v>53200</v>
      </c>
    </row>
    <row r="1453" spans="1:5" x14ac:dyDescent="0.25">
      <c r="A1453" s="41" t="s">
        <v>8157</v>
      </c>
      <c r="B1453" s="41" t="s">
        <v>7707</v>
      </c>
      <c r="C1453" s="41" t="s">
        <v>68</v>
      </c>
      <c r="D1453" s="41" t="s">
        <v>8391</v>
      </c>
      <c r="E1453" s="41">
        <v>49200</v>
      </c>
    </row>
    <row r="1454" spans="1:5" x14ac:dyDescent="0.25">
      <c r="A1454" s="41" t="s">
        <v>8157</v>
      </c>
      <c r="B1454" s="41" t="s">
        <v>7707</v>
      </c>
      <c r="C1454" s="41" t="s">
        <v>68</v>
      </c>
      <c r="D1454" s="41" t="s">
        <v>8392</v>
      </c>
      <c r="E1454" s="41">
        <v>48600</v>
      </c>
    </row>
    <row r="1455" spans="1:5" x14ac:dyDescent="0.25">
      <c r="A1455" s="41" t="s">
        <v>8157</v>
      </c>
      <c r="B1455" s="41" t="s">
        <v>7707</v>
      </c>
      <c r="C1455" s="41" t="s">
        <v>68</v>
      </c>
      <c r="D1455" s="41" t="s">
        <v>8393</v>
      </c>
      <c r="E1455" s="41">
        <v>38400</v>
      </c>
    </row>
    <row r="1456" spans="1:5" x14ac:dyDescent="0.25">
      <c r="A1456" s="41" t="s">
        <v>8157</v>
      </c>
      <c r="B1456" s="41" t="s">
        <v>7707</v>
      </c>
      <c r="C1456" s="41" t="s">
        <v>68</v>
      </c>
      <c r="D1456" s="41" t="s">
        <v>8205</v>
      </c>
      <c r="E1456" s="41">
        <v>36400</v>
      </c>
    </row>
    <row r="1457" spans="1:5" x14ac:dyDescent="0.25">
      <c r="A1457" s="41" t="s">
        <v>8157</v>
      </c>
      <c r="B1457" s="41" t="s">
        <v>7709</v>
      </c>
      <c r="C1457" s="41" t="s">
        <v>68</v>
      </c>
      <c r="D1457" s="41" t="s">
        <v>8158</v>
      </c>
      <c r="E1457" s="41">
        <v>48600</v>
      </c>
    </row>
    <row r="1458" spans="1:5" x14ac:dyDescent="0.25">
      <c r="A1458" s="41" t="s">
        <v>8157</v>
      </c>
      <c r="B1458" s="41" t="s">
        <v>7711</v>
      </c>
      <c r="C1458" s="41" t="s">
        <v>68</v>
      </c>
      <c r="D1458" s="41" t="s">
        <v>8394</v>
      </c>
      <c r="E1458" s="41">
        <v>33920</v>
      </c>
    </row>
    <row r="1459" spans="1:5" x14ac:dyDescent="0.25">
      <c r="A1459" s="41" t="s">
        <v>8157</v>
      </c>
      <c r="B1459" s="41" t="s">
        <v>7711</v>
      </c>
      <c r="C1459" s="41" t="s">
        <v>68</v>
      </c>
      <c r="D1459" s="41" t="s">
        <v>8395</v>
      </c>
      <c r="E1459" s="41">
        <v>36160</v>
      </c>
    </row>
    <row r="1460" spans="1:5" x14ac:dyDescent="0.25">
      <c r="A1460" s="41" t="s">
        <v>8157</v>
      </c>
      <c r="B1460" s="41" t="s">
        <v>7711</v>
      </c>
      <c r="C1460" s="41" t="s">
        <v>68</v>
      </c>
      <c r="D1460" s="41" t="s">
        <v>8396</v>
      </c>
      <c r="E1460" s="41">
        <v>37360</v>
      </c>
    </row>
    <row r="1461" spans="1:5" x14ac:dyDescent="0.25">
      <c r="A1461" s="41" t="s">
        <v>8157</v>
      </c>
      <c r="B1461" s="41" t="s">
        <v>7713</v>
      </c>
      <c r="C1461" s="41" t="s">
        <v>68</v>
      </c>
      <c r="D1461" s="41" t="s">
        <v>8158</v>
      </c>
      <c r="E1461" s="41">
        <v>61300</v>
      </c>
    </row>
    <row r="1462" spans="1:5" x14ac:dyDescent="0.25">
      <c r="A1462" s="41" t="s">
        <v>8157</v>
      </c>
      <c r="B1462" s="41" t="s">
        <v>7715</v>
      </c>
      <c r="C1462" s="41" t="s">
        <v>68</v>
      </c>
      <c r="D1462" s="41" t="s">
        <v>8158</v>
      </c>
      <c r="E1462" s="41">
        <v>57600</v>
      </c>
    </row>
    <row r="1463" spans="1:5" x14ac:dyDescent="0.25">
      <c r="A1463" s="41" t="s">
        <v>8157</v>
      </c>
      <c r="B1463" s="41" t="s">
        <v>7717</v>
      </c>
      <c r="C1463" s="41" t="s">
        <v>68</v>
      </c>
      <c r="D1463" s="41" t="s">
        <v>8158</v>
      </c>
      <c r="E1463" s="41">
        <v>101400</v>
      </c>
    </row>
    <row r="1464" spans="1:5" x14ac:dyDescent="0.25">
      <c r="A1464" s="41" t="s">
        <v>8157</v>
      </c>
      <c r="B1464" s="41" t="s">
        <v>7719</v>
      </c>
      <c r="C1464" s="41" t="s">
        <v>68</v>
      </c>
      <c r="D1464" s="41" t="s">
        <v>8158</v>
      </c>
      <c r="E1464" s="41">
        <v>52400</v>
      </c>
    </row>
    <row r="1465" spans="1:5" x14ac:dyDescent="0.25">
      <c r="A1465" s="41" t="s">
        <v>8157</v>
      </c>
      <c r="B1465" s="41" t="s">
        <v>7721</v>
      </c>
      <c r="C1465" s="41" t="s">
        <v>68</v>
      </c>
      <c r="D1465" s="41" t="s">
        <v>8158</v>
      </c>
      <c r="E1465" s="41">
        <v>62000</v>
      </c>
    </row>
    <row r="1466" spans="1:5" x14ac:dyDescent="0.25">
      <c r="A1466" s="41" t="s">
        <v>8157</v>
      </c>
      <c r="B1466" s="41" t="s">
        <v>7723</v>
      </c>
      <c r="C1466" s="41" t="s">
        <v>68</v>
      </c>
      <c r="D1466" s="41" t="s">
        <v>8158</v>
      </c>
      <c r="E1466" s="41">
        <v>31100</v>
      </c>
    </row>
    <row r="1467" spans="1:5" x14ac:dyDescent="0.25">
      <c r="A1467" s="41" t="s">
        <v>8157</v>
      </c>
      <c r="B1467" s="41" t="s">
        <v>7725</v>
      </c>
      <c r="C1467" s="41" t="s">
        <v>68</v>
      </c>
      <c r="D1467" s="41" t="s">
        <v>8158</v>
      </c>
      <c r="E1467" s="41">
        <v>33600</v>
      </c>
    </row>
    <row r="1468" spans="1:5" x14ac:dyDescent="0.25">
      <c r="A1468" s="41" t="s">
        <v>8157</v>
      </c>
      <c r="B1468" s="41" t="s">
        <v>7727</v>
      </c>
      <c r="C1468" s="41" t="s">
        <v>68</v>
      </c>
      <c r="D1468" s="41" t="s">
        <v>8177</v>
      </c>
      <c r="E1468" s="41">
        <v>26100</v>
      </c>
    </row>
    <row r="1469" spans="1:5" x14ac:dyDescent="0.25">
      <c r="A1469" s="41" t="s">
        <v>8157</v>
      </c>
      <c r="B1469" s="41" t="s">
        <v>7727</v>
      </c>
      <c r="C1469" s="41" t="s">
        <v>68</v>
      </c>
      <c r="D1469" s="41" t="s">
        <v>8336</v>
      </c>
      <c r="E1469" s="41">
        <v>24300</v>
      </c>
    </row>
    <row r="1470" spans="1:5" x14ac:dyDescent="0.25">
      <c r="A1470" s="41" t="s">
        <v>8157</v>
      </c>
      <c r="B1470" s="41" t="s">
        <v>7727</v>
      </c>
      <c r="C1470" s="41" t="s">
        <v>68</v>
      </c>
      <c r="D1470" s="41" t="s">
        <v>8397</v>
      </c>
      <c r="E1470" s="41">
        <v>22600</v>
      </c>
    </row>
    <row r="1471" spans="1:5" x14ac:dyDescent="0.25">
      <c r="A1471" s="41" t="s">
        <v>8157</v>
      </c>
      <c r="B1471" s="41" t="s">
        <v>7727</v>
      </c>
      <c r="C1471" s="41" t="s">
        <v>68</v>
      </c>
      <c r="D1471" s="41" t="s">
        <v>8398</v>
      </c>
      <c r="E1471" s="41">
        <v>21100</v>
      </c>
    </row>
    <row r="1472" spans="1:5" x14ac:dyDescent="0.25">
      <c r="A1472" s="41" t="s">
        <v>8157</v>
      </c>
      <c r="B1472" s="41" t="s">
        <v>7731</v>
      </c>
      <c r="C1472" s="41" t="s">
        <v>68</v>
      </c>
      <c r="D1472" s="41" t="s">
        <v>8158</v>
      </c>
      <c r="E1472" s="41">
        <v>35000</v>
      </c>
    </row>
    <row r="1473" spans="1:5" x14ac:dyDescent="0.25">
      <c r="A1473" s="41" t="s">
        <v>8157</v>
      </c>
      <c r="B1473" s="41" t="s">
        <v>7733</v>
      </c>
      <c r="C1473" s="41" t="s">
        <v>68</v>
      </c>
      <c r="D1473" s="41" t="s">
        <v>8158</v>
      </c>
      <c r="E1473" s="41">
        <v>34100</v>
      </c>
    </row>
    <row r="1474" spans="1:5" x14ac:dyDescent="0.25">
      <c r="A1474" s="41" t="s">
        <v>8157</v>
      </c>
      <c r="B1474" s="41" t="s">
        <v>7729</v>
      </c>
      <c r="C1474" s="41" t="s">
        <v>68</v>
      </c>
      <c r="D1474" s="41" t="s">
        <v>8399</v>
      </c>
      <c r="E1474" s="41">
        <v>33480</v>
      </c>
    </row>
    <row r="1475" spans="1:5" x14ac:dyDescent="0.25">
      <c r="A1475" s="41" t="s">
        <v>8157</v>
      </c>
      <c r="B1475" s="41" t="s">
        <v>7729</v>
      </c>
      <c r="C1475" s="41" t="s">
        <v>68</v>
      </c>
      <c r="D1475" s="41" t="s">
        <v>8400</v>
      </c>
      <c r="E1475" s="41">
        <v>29760</v>
      </c>
    </row>
    <row r="1476" spans="1:5" x14ac:dyDescent="0.25">
      <c r="A1476" s="41" t="s">
        <v>8157</v>
      </c>
      <c r="B1476" s="41" t="s">
        <v>7729</v>
      </c>
      <c r="C1476" s="41" t="s">
        <v>68</v>
      </c>
      <c r="D1476" s="41" t="s">
        <v>8401</v>
      </c>
      <c r="E1476" s="41">
        <v>29640</v>
      </c>
    </row>
    <row r="1477" spans="1:5" x14ac:dyDescent="0.25">
      <c r="A1477" s="41" t="s">
        <v>8157</v>
      </c>
      <c r="B1477" s="41" t="s">
        <v>7729</v>
      </c>
      <c r="C1477" s="41" t="s">
        <v>68</v>
      </c>
      <c r="D1477" s="41" t="s">
        <v>8402</v>
      </c>
      <c r="E1477" s="41">
        <v>28320</v>
      </c>
    </row>
    <row r="1478" spans="1:5" x14ac:dyDescent="0.25">
      <c r="A1478" s="41" t="s">
        <v>8157</v>
      </c>
      <c r="B1478" s="41" t="s">
        <v>7729</v>
      </c>
      <c r="C1478" s="41" t="s">
        <v>68</v>
      </c>
      <c r="D1478" s="41" t="s">
        <v>8403</v>
      </c>
      <c r="E1478" s="41">
        <v>27000</v>
      </c>
    </row>
    <row r="1479" spans="1:5" x14ac:dyDescent="0.25">
      <c r="A1479" s="41" t="s">
        <v>8157</v>
      </c>
      <c r="B1479" s="41" t="s">
        <v>7447</v>
      </c>
      <c r="C1479" s="41" t="s">
        <v>68</v>
      </c>
      <c r="D1479" s="41" t="s">
        <v>8404</v>
      </c>
      <c r="E1479" s="41">
        <v>39200</v>
      </c>
    </row>
    <row r="1480" spans="1:5" x14ac:dyDescent="0.25">
      <c r="A1480" s="41" t="s">
        <v>8157</v>
      </c>
      <c r="B1480" s="41" t="s">
        <v>7447</v>
      </c>
      <c r="C1480" s="41" t="s">
        <v>68</v>
      </c>
      <c r="D1480" s="41" t="s">
        <v>8405</v>
      </c>
      <c r="E1480" s="41">
        <v>36500</v>
      </c>
    </row>
    <row r="1481" spans="1:5" x14ac:dyDescent="0.25">
      <c r="A1481" s="41" t="s">
        <v>8157</v>
      </c>
      <c r="B1481" s="41" t="s">
        <v>7447</v>
      </c>
      <c r="C1481" s="41" t="s">
        <v>68</v>
      </c>
      <c r="D1481" s="41" t="s">
        <v>8406</v>
      </c>
      <c r="E1481" s="41">
        <v>33900</v>
      </c>
    </row>
    <row r="1482" spans="1:5" x14ac:dyDescent="0.25">
      <c r="A1482" s="41" t="s">
        <v>8157</v>
      </c>
      <c r="B1482" s="41" t="s">
        <v>7447</v>
      </c>
      <c r="C1482" s="41" t="s">
        <v>68</v>
      </c>
      <c r="D1482" s="41" t="s">
        <v>8407</v>
      </c>
      <c r="E1482" s="41">
        <v>31500</v>
      </c>
    </row>
    <row r="1483" spans="1:5" x14ac:dyDescent="0.25">
      <c r="A1483" s="41" t="s">
        <v>8157</v>
      </c>
      <c r="B1483" s="41" t="s">
        <v>7447</v>
      </c>
      <c r="C1483" s="41" t="s">
        <v>68</v>
      </c>
      <c r="D1483" s="41" t="s">
        <v>8408</v>
      </c>
      <c r="E1483" s="41">
        <v>29200</v>
      </c>
    </row>
    <row r="1484" spans="1:5" x14ac:dyDescent="0.25">
      <c r="A1484" s="41" t="s">
        <v>8157</v>
      </c>
      <c r="B1484" s="41" t="s">
        <v>7736</v>
      </c>
      <c r="C1484" s="41" t="s">
        <v>68</v>
      </c>
      <c r="D1484" s="41" t="s">
        <v>8360</v>
      </c>
      <c r="E1484" s="41">
        <v>40000</v>
      </c>
    </row>
    <row r="1485" spans="1:5" x14ac:dyDescent="0.25">
      <c r="A1485" s="41" t="s">
        <v>8157</v>
      </c>
      <c r="B1485" s="41" t="s">
        <v>7736</v>
      </c>
      <c r="C1485" s="41" t="s">
        <v>68</v>
      </c>
      <c r="D1485" s="41" t="s">
        <v>8162</v>
      </c>
      <c r="E1485" s="41">
        <v>30600</v>
      </c>
    </row>
    <row r="1486" spans="1:5" x14ac:dyDescent="0.25">
      <c r="A1486" s="41" t="s">
        <v>8157</v>
      </c>
      <c r="B1486" s="41" t="s">
        <v>7738</v>
      </c>
      <c r="C1486" s="41" t="s">
        <v>68</v>
      </c>
      <c r="D1486" s="41" t="s">
        <v>8172</v>
      </c>
      <c r="E1486" s="41">
        <v>36800</v>
      </c>
    </row>
    <row r="1487" spans="1:5" x14ac:dyDescent="0.25">
      <c r="A1487" s="41" t="s">
        <v>8157</v>
      </c>
      <c r="B1487" s="41" t="s">
        <v>7738</v>
      </c>
      <c r="C1487" s="41" t="s">
        <v>68</v>
      </c>
      <c r="D1487" s="41" t="s">
        <v>8173</v>
      </c>
      <c r="E1487" s="41">
        <v>34200</v>
      </c>
    </row>
    <row r="1488" spans="1:5" x14ac:dyDescent="0.25">
      <c r="A1488" s="41" t="s">
        <v>8157</v>
      </c>
      <c r="B1488" s="41" t="s">
        <v>7738</v>
      </c>
      <c r="C1488" s="41" t="s">
        <v>68</v>
      </c>
      <c r="D1488" s="41" t="s">
        <v>8409</v>
      </c>
      <c r="E1488" s="41">
        <v>31800</v>
      </c>
    </row>
    <row r="1489" spans="1:5" x14ac:dyDescent="0.25">
      <c r="A1489" s="41" t="s">
        <v>8157</v>
      </c>
      <c r="B1489" s="41" t="s">
        <v>7738</v>
      </c>
      <c r="C1489" s="41" t="s">
        <v>68</v>
      </c>
      <c r="D1489" s="41" t="s">
        <v>8410</v>
      </c>
      <c r="E1489" s="41">
        <v>29600</v>
      </c>
    </row>
    <row r="1490" spans="1:5" x14ac:dyDescent="0.25">
      <c r="A1490" s="41" t="s">
        <v>8157</v>
      </c>
      <c r="B1490" s="41" t="s">
        <v>7738</v>
      </c>
      <c r="C1490" s="41" t="s">
        <v>68</v>
      </c>
      <c r="D1490" s="41" t="s">
        <v>8411</v>
      </c>
      <c r="E1490" s="41">
        <v>27500</v>
      </c>
    </row>
    <row r="1491" spans="1:5" x14ac:dyDescent="0.25">
      <c r="A1491" s="41" t="s">
        <v>8157</v>
      </c>
      <c r="B1491" s="41" t="s">
        <v>7738</v>
      </c>
      <c r="C1491" s="41" t="s">
        <v>68</v>
      </c>
      <c r="D1491" s="41" t="s">
        <v>8260</v>
      </c>
      <c r="E1491" s="41">
        <v>24800</v>
      </c>
    </row>
    <row r="1492" spans="1:5" x14ac:dyDescent="0.25">
      <c r="A1492" s="41" t="s">
        <v>8157</v>
      </c>
      <c r="B1492" s="41" t="s">
        <v>7740</v>
      </c>
      <c r="C1492" s="41" t="s">
        <v>68</v>
      </c>
      <c r="D1492" s="41" t="s">
        <v>8158</v>
      </c>
      <c r="E1492" s="41">
        <v>32900</v>
      </c>
    </row>
    <row r="1493" spans="1:5" x14ac:dyDescent="0.25">
      <c r="A1493" s="41" t="s">
        <v>8157</v>
      </c>
      <c r="B1493" s="41" t="s">
        <v>7742</v>
      </c>
      <c r="C1493" s="41" t="s">
        <v>68</v>
      </c>
      <c r="D1493" s="41" t="s">
        <v>8158</v>
      </c>
      <c r="E1493" s="41">
        <v>31600</v>
      </c>
    </row>
    <row r="1494" spans="1:5" x14ac:dyDescent="0.25">
      <c r="A1494" s="41" t="s">
        <v>8157</v>
      </c>
      <c r="B1494" s="41" t="s">
        <v>7744</v>
      </c>
      <c r="C1494" s="41" t="s">
        <v>68</v>
      </c>
      <c r="D1494" s="41" t="s">
        <v>8177</v>
      </c>
      <c r="E1494" s="41">
        <v>32900</v>
      </c>
    </row>
    <row r="1495" spans="1:5" x14ac:dyDescent="0.25">
      <c r="A1495" s="41" t="s">
        <v>8157</v>
      </c>
      <c r="B1495" s="41" t="s">
        <v>7744</v>
      </c>
      <c r="C1495" s="41" t="s">
        <v>68</v>
      </c>
      <c r="D1495" s="41" t="s">
        <v>8178</v>
      </c>
      <c r="E1495" s="41">
        <v>31200</v>
      </c>
    </row>
    <row r="1496" spans="1:5" x14ac:dyDescent="0.25">
      <c r="A1496" s="41" t="s">
        <v>8157</v>
      </c>
      <c r="B1496" s="41" t="s">
        <v>7744</v>
      </c>
      <c r="C1496" s="41" t="s">
        <v>68</v>
      </c>
      <c r="D1496" s="41" t="s">
        <v>8218</v>
      </c>
      <c r="E1496" s="41">
        <v>29100</v>
      </c>
    </row>
    <row r="1497" spans="1:5" x14ac:dyDescent="0.25">
      <c r="A1497" s="41" t="s">
        <v>8157</v>
      </c>
      <c r="B1497" s="41" t="s">
        <v>7744</v>
      </c>
      <c r="C1497" s="41" t="s">
        <v>68</v>
      </c>
      <c r="D1497" s="41" t="s">
        <v>8412</v>
      </c>
      <c r="E1497" s="41">
        <v>27000</v>
      </c>
    </row>
    <row r="1498" spans="1:5" x14ac:dyDescent="0.25">
      <c r="A1498" s="41" t="s">
        <v>8157</v>
      </c>
      <c r="B1498" s="41" t="s">
        <v>7744</v>
      </c>
      <c r="C1498" s="41" t="s">
        <v>68</v>
      </c>
      <c r="D1498" s="41" t="s">
        <v>8383</v>
      </c>
      <c r="E1498" s="41">
        <v>25100</v>
      </c>
    </row>
    <row r="1499" spans="1:5" x14ac:dyDescent="0.25">
      <c r="A1499" s="41" t="s">
        <v>8157</v>
      </c>
      <c r="B1499" s="41" t="s">
        <v>7746</v>
      </c>
      <c r="C1499" s="41" t="s">
        <v>68</v>
      </c>
      <c r="D1499" s="41" t="s">
        <v>8360</v>
      </c>
      <c r="E1499" s="41">
        <v>39600</v>
      </c>
    </row>
    <row r="1500" spans="1:5" x14ac:dyDescent="0.25">
      <c r="A1500" s="41" t="s">
        <v>8157</v>
      </c>
      <c r="B1500" s="41" t="s">
        <v>7746</v>
      </c>
      <c r="C1500" s="41" t="s">
        <v>68</v>
      </c>
      <c r="D1500" s="41" t="s">
        <v>8413</v>
      </c>
      <c r="E1500" s="41">
        <v>36900</v>
      </c>
    </row>
    <row r="1501" spans="1:5" x14ac:dyDescent="0.25">
      <c r="A1501" s="41" t="s">
        <v>8157</v>
      </c>
      <c r="B1501" s="41" t="s">
        <v>7746</v>
      </c>
      <c r="C1501" s="41" t="s">
        <v>68</v>
      </c>
      <c r="D1501" s="41" t="s">
        <v>8257</v>
      </c>
      <c r="E1501" s="41">
        <v>34300</v>
      </c>
    </row>
    <row r="1502" spans="1:5" x14ac:dyDescent="0.25">
      <c r="A1502" s="41" t="s">
        <v>8157</v>
      </c>
      <c r="B1502" s="41" t="s">
        <v>7746</v>
      </c>
      <c r="C1502" s="41" t="s">
        <v>68</v>
      </c>
      <c r="D1502" s="41" t="s">
        <v>8414</v>
      </c>
      <c r="E1502" s="41">
        <v>31900</v>
      </c>
    </row>
    <row r="1503" spans="1:5" x14ac:dyDescent="0.25">
      <c r="A1503" s="41" t="s">
        <v>8157</v>
      </c>
      <c r="B1503" s="41" t="s">
        <v>7746</v>
      </c>
      <c r="C1503" s="41" t="s">
        <v>68</v>
      </c>
      <c r="D1503" s="41" t="s">
        <v>8403</v>
      </c>
      <c r="E1503" s="41">
        <v>27370</v>
      </c>
    </row>
    <row r="1504" spans="1:5" x14ac:dyDescent="0.25">
      <c r="A1504" s="41" t="s">
        <v>8157</v>
      </c>
      <c r="B1504" s="41" t="s">
        <v>7748</v>
      </c>
      <c r="C1504" s="41" t="s">
        <v>68</v>
      </c>
      <c r="D1504" s="41" t="s">
        <v>8261</v>
      </c>
      <c r="E1504" s="41">
        <v>36800</v>
      </c>
    </row>
    <row r="1505" spans="1:5" x14ac:dyDescent="0.25">
      <c r="A1505" s="41" t="s">
        <v>8157</v>
      </c>
      <c r="B1505" s="41" t="s">
        <v>7748</v>
      </c>
      <c r="C1505" s="41" t="s">
        <v>68</v>
      </c>
      <c r="D1505" s="41" t="s">
        <v>8181</v>
      </c>
      <c r="E1505" s="41">
        <v>34200</v>
      </c>
    </row>
    <row r="1506" spans="1:5" x14ac:dyDescent="0.25">
      <c r="A1506" s="41" t="s">
        <v>8157</v>
      </c>
      <c r="B1506" s="41" t="s">
        <v>7748</v>
      </c>
      <c r="C1506" s="41" t="s">
        <v>68</v>
      </c>
      <c r="D1506" s="41" t="s">
        <v>8208</v>
      </c>
      <c r="E1506" s="41">
        <v>31800</v>
      </c>
    </row>
    <row r="1507" spans="1:5" x14ac:dyDescent="0.25">
      <c r="A1507" s="41" t="s">
        <v>8157</v>
      </c>
      <c r="B1507" s="41" t="s">
        <v>7748</v>
      </c>
      <c r="C1507" s="41" t="s">
        <v>68</v>
      </c>
      <c r="D1507" s="41" t="s">
        <v>8415</v>
      </c>
      <c r="E1507" s="41">
        <v>29600</v>
      </c>
    </row>
    <row r="1508" spans="1:5" x14ac:dyDescent="0.25">
      <c r="A1508" s="41" t="s">
        <v>8157</v>
      </c>
      <c r="B1508" s="41" t="s">
        <v>7748</v>
      </c>
      <c r="C1508" s="41" t="s">
        <v>68</v>
      </c>
      <c r="D1508" s="41" t="s">
        <v>8416</v>
      </c>
      <c r="E1508" s="41">
        <v>27500</v>
      </c>
    </row>
    <row r="1509" spans="1:5" x14ac:dyDescent="0.25">
      <c r="A1509" s="41" t="s">
        <v>8157</v>
      </c>
      <c r="B1509" s="41" t="s">
        <v>7748</v>
      </c>
      <c r="C1509" s="41" t="s">
        <v>68</v>
      </c>
      <c r="D1509" s="41" t="s">
        <v>8417</v>
      </c>
      <c r="E1509" s="41">
        <v>25600</v>
      </c>
    </row>
    <row r="1510" spans="1:5" x14ac:dyDescent="0.25">
      <c r="A1510" s="41" t="s">
        <v>8157</v>
      </c>
      <c r="B1510" s="41" t="s">
        <v>7748</v>
      </c>
      <c r="C1510" s="41" t="s">
        <v>68</v>
      </c>
      <c r="D1510" s="41" t="s">
        <v>8418</v>
      </c>
      <c r="E1510" s="41">
        <v>23800</v>
      </c>
    </row>
    <row r="1511" spans="1:5" x14ac:dyDescent="0.25">
      <c r="A1511" s="41" t="s">
        <v>8157</v>
      </c>
      <c r="B1511" s="41" t="s">
        <v>7750</v>
      </c>
      <c r="C1511" s="41" t="s">
        <v>68</v>
      </c>
      <c r="D1511" s="41" t="s">
        <v>8177</v>
      </c>
      <c r="E1511" s="41">
        <v>36100</v>
      </c>
    </row>
    <row r="1512" spans="1:5" x14ac:dyDescent="0.25">
      <c r="A1512" s="41" t="s">
        <v>8157</v>
      </c>
      <c r="B1512" s="41" t="s">
        <v>7750</v>
      </c>
      <c r="C1512" s="41" t="s">
        <v>68</v>
      </c>
      <c r="D1512" s="41" t="s">
        <v>8178</v>
      </c>
      <c r="E1512" s="41">
        <v>32800</v>
      </c>
    </row>
    <row r="1513" spans="1:5" x14ac:dyDescent="0.25">
      <c r="A1513" s="41" t="s">
        <v>8157</v>
      </c>
      <c r="B1513" s="41" t="s">
        <v>7750</v>
      </c>
      <c r="C1513" s="41" t="s">
        <v>68</v>
      </c>
      <c r="D1513" s="41" t="s">
        <v>8419</v>
      </c>
      <c r="E1513" s="41">
        <v>32000</v>
      </c>
    </row>
    <row r="1514" spans="1:5" x14ac:dyDescent="0.25">
      <c r="A1514" s="41" t="s">
        <v>8157</v>
      </c>
      <c r="B1514" s="41" t="s">
        <v>7750</v>
      </c>
      <c r="C1514" s="41" t="s">
        <v>68</v>
      </c>
      <c r="D1514" s="41" t="s">
        <v>8420</v>
      </c>
      <c r="E1514" s="41">
        <v>31200</v>
      </c>
    </row>
    <row r="1515" spans="1:5" x14ac:dyDescent="0.25">
      <c r="A1515" s="41" t="s">
        <v>8157</v>
      </c>
      <c r="B1515" s="41" t="s">
        <v>7750</v>
      </c>
      <c r="C1515" s="41" t="s">
        <v>68</v>
      </c>
      <c r="D1515" s="41" t="s">
        <v>8199</v>
      </c>
      <c r="E1515" s="41">
        <v>29600</v>
      </c>
    </row>
    <row r="1516" spans="1:5" x14ac:dyDescent="0.25">
      <c r="A1516" s="41" t="s">
        <v>8157</v>
      </c>
      <c r="B1516" s="41" t="s">
        <v>7752</v>
      </c>
      <c r="C1516" s="41" t="s">
        <v>68</v>
      </c>
      <c r="D1516" s="41" t="s">
        <v>8300</v>
      </c>
      <c r="E1516" s="41">
        <v>36100</v>
      </c>
    </row>
    <row r="1517" spans="1:5" x14ac:dyDescent="0.25">
      <c r="A1517" s="41" t="s">
        <v>8157</v>
      </c>
      <c r="B1517" s="41" t="s">
        <v>7752</v>
      </c>
      <c r="C1517" s="41" t="s">
        <v>68</v>
      </c>
      <c r="D1517" s="41" t="s">
        <v>8421</v>
      </c>
      <c r="E1517" s="41">
        <v>35300</v>
      </c>
    </row>
    <row r="1518" spans="1:5" x14ac:dyDescent="0.25">
      <c r="A1518" s="41" t="s">
        <v>8157</v>
      </c>
      <c r="B1518" s="41" t="s">
        <v>7752</v>
      </c>
      <c r="C1518" s="41" t="s">
        <v>68</v>
      </c>
      <c r="D1518" s="41" t="s">
        <v>8422</v>
      </c>
      <c r="E1518" s="41">
        <v>34500</v>
      </c>
    </row>
    <row r="1519" spans="1:5" x14ac:dyDescent="0.25">
      <c r="A1519" s="41" t="s">
        <v>8157</v>
      </c>
      <c r="B1519" s="41" t="s">
        <v>7752</v>
      </c>
      <c r="C1519" s="41" t="s">
        <v>68</v>
      </c>
      <c r="D1519" s="41" t="s">
        <v>8248</v>
      </c>
      <c r="E1519" s="41">
        <v>32800</v>
      </c>
    </row>
    <row r="1520" spans="1:5" x14ac:dyDescent="0.25">
      <c r="A1520" s="41" t="s">
        <v>8157</v>
      </c>
      <c r="B1520" s="41" t="s">
        <v>7752</v>
      </c>
      <c r="C1520" s="41" t="s">
        <v>68</v>
      </c>
      <c r="D1520" s="41" t="s">
        <v>8288</v>
      </c>
      <c r="E1520" s="41">
        <v>31200</v>
      </c>
    </row>
    <row r="1521" spans="1:5" x14ac:dyDescent="0.25">
      <c r="A1521" s="41" t="s">
        <v>8157</v>
      </c>
      <c r="B1521" s="41" t="s">
        <v>7752</v>
      </c>
      <c r="C1521" s="41" t="s">
        <v>68</v>
      </c>
      <c r="D1521" s="41" t="s">
        <v>8234</v>
      </c>
      <c r="E1521" s="41">
        <v>30400</v>
      </c>
    </row>
    <row r="1522" spans="1:5" x14ac:dyDescent="0.25">
      <c r="A1522" s="41" t="s">
        <v>8157</v>
      </c>
      <c r="B1522" s="41" t="s">
        <v>7752</v>
      </c>
      <c r="C1522" s="41" t="s">
        <v>68</v>
      </c>
      <c r="D1522" s="41" t="s">
        <v>8331</v>
      </c>
      <c r="E1522" s="41">
        <v>29600</v>
      </c>
    </row>
    <row r="1523" spans="1:5" x14ac:dyDescent="0.25">
      <c r="A1523" s="41" t="s">
        <v>8157</v>
      </c>
      <c r="B1523" s="41" t="s">
        <v>7754</v>
      </c>
      <c r="C1523" s="41" t="s">
        <v>68</v>
      </c>
      <c r="D1523" s="41" t="s">
        <v>8242</v>
      </c>
      <c r="E1523" s="41">
        <v>45500</v>
      </c>
    </row>
    <row r="1524" spans="1:5" x14ac:dyDescent="0.25">
      <c r="A1524" s="41" t="s">
        <v>8157</v>
      </c>
      <c r="B1524" s="41" t="s">
        <v>7754</v>
      </c>
      <c r="C1524" s="41" t="s">
        <v>68</v>
      </c>
      <c r="D1524" s="41" t="s">
        <v>8423</v>
      </c>
      <c r="E1524" s="41">
        <v>41440</v>
      </c>
    </row>
    <row r="1525" spans="1:5" x14ac:dyDescent="0.25">
      <c r="A1525" s="41" t="s">
        <v>8157</v>
      </c>
      <c r="B1525" s="41" t="s">
        <v>7754</v>
      </c>
      <c r="C1525" s="41" t="s">
        <v>68</v>
      </c>
      <c r="D1525" s="41" t="s">
        <v>8424</v>
      </c>
      <c r="E1525" s="41">
        <v>38570</v>
      </c>
    </row>
    <row r="1526" spans="1:5" x14ac:dyDescent="0.25">
      <c r="A1526" s="41" t="s">
        <v>8157</v>
      </c>
      <c r="B1526" s="41" t="s">
        <v>7756</v>
      </c>
      <c r="C1526" s="41" t="s">
        <v>68</v>
      </c>
      <c r="D1526" s="41" t="s">
        <v>8374</v>
      </c>
      <c r="E1526" s="41">
        <v>61600</v>
      </c>
    </row>
    <row r="1527" spans="1:5" x14ac:dyDescent="0.25">
      <c r="A1527" s="41" t="s">
        <v>8157</v>
      </c>
      <c r="B1527" s="41" t="s">
        <v>7756</v>
      </c>
      <c r="C1527" s="41" t="s">
        <v>68</v>
      </c>
      <c r="D1527" s="41" t="s">
        <v>8425</v>
      </c>
      <c r="E1527" s="41">
        <v>57800</v>
      </c>
    </row>
    <row r="1528" spans="1:5" x14ac:dyDescent="0.25">
      <c r="A1528" s="41" t="s">
        <v>8157</v>
      </c>
      <c r="B1528" s="41" t="s">
        <v>7756</v>
      </c>
      <c r="C1528" s="41" t="s">
        <v>68</v>
      </c>
      <c r="D1528" s="41" t="s">
        <v>8203</v>
      </c>
      <c r="E1528" s="41">
        <v>54100</v>
      </c>
    </row>
    <row r="1529" spans="1:5" x14ac:dyDescent="0.25">
      <c r="A1529" s="41" t="s">
        <v>8157</v>
      </c>
      <c r="B1529" s="41" t="s">
        <v>7756</v>
      </c>
      <c r="C1529" s="41" t="s">
        <v>68</v>
      </c>
      <c r="D1529" s="41" t="s">
        <v>8229</v>
      </c>
      <c r="E1529" s="41">
        <v>50300</v>
      </c>
    </row>
    <row r="1530" spans="1:5" x14ac:dyDescent="0.25">
      <c r="A1530" s="41" t="s">
        <v>8157</v>
      </c>
      <c r="B1530" s="41" t="s">
        <v>7756</v>
      </c>
      <c r="C1530" s="41" t="s">
        <v>68</v>
      </c>
      <c r="D1530" s="41" t="s">
        <v>8168</v>
      </c>
      <c r="E1530" s="41">
        <v>46500</v>
      </c>
    </row>
    <row r="1531" spans="1:5" x14ac:dyDescent="0.25">
      <c r="A1531" s="41" t="s">
        <v>8157</v>
      </c>
      <c r="B1531" s="41" t="s">
        <v>7758</v>
      </c>
      <c r="C1531" s="41" t="s">
        <v>68</v>
      </c>
      <c r="D1531" s="41" t="s">
        <v>8158</v>
      </c>
      <c r="E1531" s="41">
        <v>41000</v>
      </c>
    </row>
    <row r="1532" spans="1:5" x14ac:dyDescent="0.25">
      <c r="A1532" s="41" t="s">
        <v>8157</v>
      </c>
      <c r="B1532" s="41" t="s">
        <v>7760</v>
      </c>
      <c r="C1532" s="41" t="s">
        <v>68</v>
      </c>
      <c r="D1532" s="41" t="s">
        <v>8158</v>
      </c>
      <c r="E1532" s="41">
        <v>21700</v>
      </c>
    </row>
    <row r="1533" spans="1:5" x14ac:dyDescent="0.25">
      <c r="A1533" s="41" t="s">
        <v>8157</v>
      </c>
      <c r="B1533" s="41" t="s">
        <v>7762</v>
      </c>
      <c r="C1533" s="41" t="s">
        <v>68</v>
      </c>
      <c r="D1533" s="41" t="s">
        <v>8228</v>
      </c>
      <c r="E1533" s="41">
        <v>54880</v>
      </c>
    </row>
    <row r="1534" spans="1:5" x14ac:dyDescent="0.25">
      <c r="A1534" s="41" t="s">
        <v>8157</v>
      </c>
      <c r="B1534" s="41" t="s">
        <v>7762</v>
      </c>
      <c r="C1534" s="41" t="s">
        <v>68</v>
      </c>
      <c r="D1534" s="41" t="s">
        <v>8426</v>
      </c>
      <c r="E1534" s="41">
        <v>53900</v>
      </c>
    </row>
    <row r="1535" spans="1:5" x14ac:dyDescent="0.25">
      <c r="A1535" s="41" t="s">
        <v>8157</v>
      </c>
      <c r="B1535" s="41" t="s">
        <v>7762</v>
      </c>
      <c r="C1535" s="41" t="s">
        <v>68</v>
      </c>
      <c r="D1535" s="41" t="s">
        <v>8392</v>
      </c>
      <c r="E1535" s="41">
        <v>54600</v>
      </c>
    </row>
    <row r="1536" spans="1:5" x14ac:dyDescent="0.25">
      <c r="A1536" s="41" t="s">
        <v>8157</v>
      </c>
      <c r="B1536" s="41" t="s">
        <v>7762</v>
      </c>
      <c r="C1536" s="41" t="s">
        <v>68</v>
      </c>
      <c r="D1536" s="41" t="s">
        <v>8393</v>
      </c>
      <c r="E1536" s="41">
        <v>42000</v>
      </c>
    </row>
    <row r="1537" spans="1:5" x14ac:dyDescent="0.25">
      <c r="A1537" s="41" t="s">
        <v>8157</v>
      </c>
      <c r="B1537" s="41" t="s">
        <v>7762</v>
      </c>
      <c r="C1537" s="41" t="s">
        <v>68</v>
      </c>
      <c r="D1537" s="41" t="s">
        <v>8205</v>
      </c>
      <c r="E1537" s="41">
        <v>48300</v>
      </c>
    </row>
    <row r="1538" spans="1:5" x14ac:dyDescent="0.25">
      <c r="A1538" s="41" t="s">
        <v>8157</v>
      </c>
      <c r="B1538" s="41" t="s">
        <v>7766</v>
      </c>
      <c r="C1538" s="41" t="s">
        <v>68</v>
      </c>
      <c r="D1538" s="41" t="s">
        <v>8243</v>
      </c>
      <c r="E1538" s="41">
        <v>32800</v>
      </c>
    </row>
    <row r="1539" spans="1:5" x14ac:dyDescent="0.25">
      <c r="A1539" s="41" t="s">
        <v>8157</v>
      </c>
      <c r="B1539" s="41" t="s">
        <v>7768</v>
      </c>
      <c r="C1539" s="41" t="s">
        <v>68</v>
      </c>
      <c r="D1539" s="41" t="s">
        <v>8233</v>
      </c>
      <c r="E1539" s="41">
        <v>43100</v>
      </c>
    </row>
    <row r="1540" spans="1:5" x14ac:dyDescent="0.25">
      <c r="A1540" s="41" t="s">
        <v>8157</v>
      </c>
      <c r="B1540" s="41" t="s">
        <v>7768</v>
      </c>
      <c r="C1540" s="41" t="s">
        <v>68</v>
      </c>
      <c r="D1540" s="41" t="s">
        <v>8234</v>
      </c>
      <c r="E1540" s="41">
        <v>41100</v>
      </c>
    </row>
    <row r="1541" spans="1:5" x14ac:dyDescent="0.25">
      <c r="A1541" s="41" t="s">
        <v>8157</v>
      </c>
      <c r="B1541" s="41" t="s">
        <v>7768</v>
      </c>
      <c r="C1541" s="41" t="s">
        <v>68</v>
      </c>
      <c r="D1541" s="41" t="s">
        <v>8429</v>
      </c>
      <c r="E1541" s="41">
        <v>39100</v>
      </c>
    </row>
    <row r="1542" spans="1:5" x14ac:dyDescent="0.25">
      <c r="A1542" s="41" t="s">
        <v>8157</v>
      </c>
      <c r="B1542" s="41" t="s">
        <v>7768</v>
      </c>
      <c r="C1542" s="41" t="s">
        <v>68</v>
      </c>
      <c r="D1542" s="41" t="s">
        <v>8245</v>
      </c>
      <c r="E1542" s="41">
        <v>37200</v>
      </c>
    </row>
    <row r="1543" spans="1:5" x14ac:dyDescent="0.25">
      <c r="A1543" s="41" t="s">
        <v>8157</v>
      </c>
      <c r="B1543" s="41" t="s">
        <v>7770</v>
      </c>
      <c r="C1543" s="41" t="s">
        <v>68</v>
      </c>
      <c r="D1543" s="41" t="s">
        <v>8332</v>
      </c>
      <c r="E1543" s="41">
        <v>37500</v>
      </c>
    </row>
    <row r="1544" spans="1:5" x14ac:dyDescent="0.25">
      <c r="A1544" s="41" t="s">
        <v>8157</v>
      </c>
      <c r="B1544" s="41" t="s">
        <v>7770</v>
      </c>
      <c r="C1544" s="41" t="s">
        <v>68</v>
      </c>
      <c r="D1544" s="41" t="s">
        <v>8430</v>
      </c>
      <c r="E1544" s="41">
        <v>31900</v>
      </c>
    </row>
    <row r="1545" spans="1:5" x14ac:dyDescent="0.25">
      <c r="A1545" s="41" t="s">
        <v>8157</v>
      </c>
      <c r="B1545" s="41" t="s">
        <v>7770</v>
      </c>
      <c r="C1545" s="41" t="s">
        <v>68</v>
      </c>
      <c r="D1545" s="41" t="s">
        <v>8431</v>
      </c>
      <c r="E1545" s="41">
        <v>29100</v>
      </c>
    </row>
    <row r="1546" spans="1:5" x14ac:dyDescent="0.25">
      <c r="A1546" s="41" t="s">
        <v>8157</v>
      </c>
      <c r="B1546" s="41" t="s">
        <v>7770</v>
      </c>
      <c r="C1546" s="41" t="s">
        <v>68</v>
      </c>
      <c r="D1546" s="41" t="s">
        <v>8432</v>
      </c>
      <c r="E1546" s="41">
        <v>26300</v>
      </c>
    </row>
    <row r="1547" spans="1:5" x14ac:dyDescent="0.25">
      <c r="A1547" s="41" t="s">
        <v>8157</v>
      </c>
      <c r="B1547" s="41" t="s">
        <v>7772</v>
      </c>
      <c r="C1547" s="41" t="s">
        <v>68</v>
      </c>
      <c r="D1547" s="41" t="s">
        <v>8185</v>
      </c>
      <c r="E1547" s="41">
        <v>33800</v>
      </c>
    </row>
    <row r="1548" spans="1:5" x14ac:dyDescent="0.25">
      <c r="A1548" s="41" t="s">
        <v>8157</v>
      </c>
      <c r="B1548" s="41" t="s">
        <v>7772</v>
      </c>
      <c r="C1548" s="41" t="s">
        <v>68</v>
      </c>
      <c r="D1548" s="41" t="s">
        <v>8433</v>
      </c>
      <c r="E1548" s="41">
        <v>32800</v>
      </c>
    </row>
    <row r="1549" spans="1:5" x14ac:dyDescent="0.25">
      <c r="A1549" s="41" t="s">
        <v>8157</v>
      </c>
      <c r="B1549" s="41" t="s">
        <v>7772</v>
      </c>
      <c r="C1549" s="41" t="s">
        <v>68</v>
      </c>
      <c r="D1549" s="41" t="s">
        <v>8434</v>
      </c>
      <c r="E1549" s="41">
        <v>31900</v>
      </c>
    </row>
    <row r="1550" spans="1:5" x14ac:dyDescent="0.25">
      <c r="A1550" s="41" t="s">
        <v>8157</v>
      </c>
      <c r="B1550" s="41" t="s">
        <v>7772</v>
      </c>
      <c r="C1550" s="41" t="s">
        <v>68</v>
      </c>
      <c r="D1550" s="41" t="s">
        <v>8347</v>
      </c>
      <c r="E1550" s="41">
        <v>30000</v>
      </c>
    </row>
    <row r="1551" spans="1:5" x14ac:dyDescent="0.25">
      <c r="A1551" s="41" t="s">
        <v>8157</v>
      </c>
      <c r="B1551" s="41" t="s">
        <v>7774</v>
      </c>
      <c r="C1551" s="41" t="s">
        <v>68</v>
      </c>
      <c r="D1551" s="41" t="s">
        <v>8158</v>
      </c>
      <c r="E1551" s="41">
        <v>42900</v>
      </c>
    </row>
    <row r="1552" spans="1:5" x14ac:dyDescent="0.25">
      <c r="A1552" s="41" t="s">
        <v>8157</v>
      </c>
      <c r="B1552" s="41" t="s">
        <v>7782</v>
      </c>
      <c r="C1552" s="41" t="s">
        <v>68</v>
      </c>
      <c r="D1552" s="41" t="s">
        <v>8158</v>
      </c>
      <c r="E1552" s="41">
        <v>66700</v>
      </c>
    </row>
    <row r="1553" spans="1:5" x14ac:dyDescent="0.25">
      <c r="A1553" s="41" t="s">
        <v>8157</v>
      </c>
      <c r="B1553" s="41" t="s">
        <v>7784</v>
      </c>
      <c r="C1553" s="41" t="s">
        <v>68</v>
      </c>
      <c r="D1553" s="41" t="s">
        <v>8158</v>
      </c>
      <c r="E1553" s="41">
        <v>64000</v>
      </c>
    </row>
    <row r="1554" spans="1:5" x14ac:dyDescent="0.25">
      <c r="A1554" s="41" t="s">
        <v>8157</v>
      </c>
      <c r="B1554" s="41" t="s">
        <v>1331</v>
      </c>
      <c r="C1554" s="41" t="s">
        <v>68</v>
      </c>
      <c r="D1554" s="41" t="s">
        <v>8158</v>
      </c>
      <c r="E1554" s="41">
        <v>53600</v>
      </c>
    </row>
    <row r="1555" spans="1:5" x14ac:dyDescent="0.25">
      <c r="A1555" s="41" t="s">
        <v>8157</v>
      </c>
      <c r="B1555" s="41" t="s">
        <v>1333</v>
      </c>
      <c r="C1555" s="41" t="s">
        <v>68</v>
      </c>
      <c r="D1555" s="41" t="s">
        <v>8158</v>
      </c>
      <c r="E1555" s="41">
        <v>84700</v>
      </c>
    </row>
    <row r="1556" spans="1:5" x14ac:dyDescent="0.25">
      <c r="A1556" s="41" t="s">
        <v>8157</v>
      </c>
      <c r="B1556" s="41" t="s">
        <v>1335</v>
      </c>
      <c r="C1556" s="41" t="s">
        <v>68</v>
      </c>
      <c r="D1556" s="41" t="s">
        <v>8262</v>
      </c>
      <c r="E1556" s="41">
        <v>37200</v>
      </c>
    </row>
    <row r="1557" spans="1:5" x14ac:dyDescent="0.25">
      <c r="A1557" s="41" t="s">
        <v>8157</v>
      </c>
      <c r="B1557" s="41" t="s">
        <v>1335</v>
      </c>
      <c r="C1557" s="41" t="s">
        <v>68</v>
      </c>
      <c r="D1557" s="41" t="s">
        <v>8256</v>
      </c>
      <c r="E1557" s="41">
        <v>36900</v>
      </c>
    </row>
    <row r="1558" spans="1:5" x14ac:dyDescent="0.25">
      <c r="A1558" s="41" t="s">
        <v>8157</v>
      </c>
      <c r="B1558" s="41" t="s">
        <v>1335</v>
      </c>
      <c r="C1558" s="41" t="s">
        <v>68</v>
      </c>
      <c r="D1558" s="41" t="s">
        <v>8435</v>
      </c>
      <c r="E1558" s="41">
        <v>36900</v>
      </c>
    </row>
    <row r="1559" spans="1:5" x14ac:dyDescent="0.25">
      <c r="A1559" s="41" t="s">
        <v>8157</v>
      </c>
      <c r="B1559" s="41" t="s">
        <v>1335</v>
      </c>
      <c r="C1559" s="41" t="s">
        <v>68</v>
      </c>
      <c r="D1559" s="41" t="s">
        <v>8436</v>
      </c>
      <c r="E1559" s="41">
        <v>36900</v>
      </c>
    </row>
    <row r="1560" spans="1:5" x14ac:dyDescent="0.25">
      <c r="A1560" s="41" t="s">
        <v>8157</v>
      </c>
      <c r="B1560" s="41" t="s">
        <v>7786</v>
      </c>
      <c r="C1560" s="41" t="s">
        <v>68</v>
      </c>
      <c r="D1560" s="41" t="s">
        <v>8360</v>
      </c>
      <c r="E1560" s="41">
        <v>42200</v>
      </c>
    </row>
    <row r="1561" spans="1:5" x14ac:dyDescent="0.25">
      <c r="A1561" s="41" t="s">
        <v>8157</v>
      </c>
      <c r="B1561" s="41" t="s">
        <v>7786</v>
      </c>
      <c r="C1561" s="41" t="s">
        <v>68</v>
      </c>
      <c r="D1561" s="41" t="s">
        <v>8162</v>
      </c>
      <c r="E1561" s="41">
        <v>39300</v>
      </c>
    </row>
    <row r="1562" spans="1:5" x14ac:dyDescent="0.25">
      <c r="A1562" s="41" t="s">
        <v>8157</v>
      </c>
      <c r="B1562" s="41" t="s">
        <v>7788</v>
      </c>
      <c r="C1562" s="41" t="s">
        <v>68</v>
      </c>
      <c r="D1562" s="41" t="s">
        <v>8158</v>
      </c>
      <c r="E1562" s="41">
        <v>29600</v>
      </c>
    </row>
    <row r="1563" spans="1:5" x14ac:dyDescent="0.25">
      <c r="A1563" s="41" t="s">
        <v>8157</v>
      </c>
      <c r="B1563" s="41" t="s">
        <v>7790</v>
      </c>
      <c r="C1563" s="41" t="s">
        <v>68</v>
      </c>
      <c r="D1563" s="41" t="s">
        <v>8287</v>
      </c>
      <c r="E1563" s="41">
        <v>40500</v>
      </c>
    </row>
    <row r="1564" spans="1:5" x14ac:dyDescent="0.25">
      <c r="A1564" s="41" t="s">
        <v>8157</v>
      </c>
      <c r="B1564" s="41" t="s">
        <v>7790</v>
      </c>
      <c r="C1564" s="41" t="s">
        <v>68</v>
      </c>
      <c r="D1564" s="41" t="s">
        <v>8437</v>
      </c>
      <c r="E1564" s="41">
        <v>39500</v>
      </c>
    </row>
    <row r="1565" spans="1:5" x14ac:dyDescent="0.25">
      <c r="A1565" s="41" t="s">
        <v>8157</v>
      </c>
      <c r="B1565" s="41" t="s">
        <v>7790</v>
      </c>
      <c r="C1565" s="41" t="s">
        <v>68</v>
      </c>
      <c r="D1565" s="41" t="s">
        <v>8438</v>
      </c>
      <c r="E1565" s="41">
        <v>38700</v>
      </c>
    </row>
    <row r="1566" spans="1:5" x14ac:dyDescent="0.25">
      <c r="A1566" s="41" t="s">
        <v>8157</v>
      </c>
      <c r="B1566" s="41" t="s">
        <v>7792</v>
      </c>
      <c r="C1566" s="41" t="s">
        <v>68</v>
      </c>
      <c r="D1566" s="41" t="s">
        <v>8158</v>
      </c>
      <c r="E1566" s="41">
        <v>54100</v>
      </c>
    </row>
    <row r="1567" spans="1:5" x14ac:dyDescent="0.25">
      <c r="A1567" s="41" t="s">
        <v>8157</v>
      </c>
      <c r="B1567" s="41" t="s">
        <v>8439</v>
      </c>
      <c r="C1567" s="41" t="s">
        <v>68</v>
      </c>
      <c r="D1567" s="41" t="s">
        <v>8158</v>
      </c>
      <c r="E1567" s="41">
        <v>50000</v>
      </c>
    </row>
    <row r="1568" spans="1:5" x14ac:dyDescent="0.25">
      <c r="A1568" s="41" t="s">
        <v>8157</v>
      </c>
      <c r="B1568" s="41" t="s">
        <v>8440</v>
      </c>
      <c r="C1568" s="41" t="s">
        <v>68</v>
      </c>
      <c r="D1568" s="41" t="s">
        <v>8158</v>
      </c>
      <c r="E1568" s="41">
        <v>54100</v>
      </c>
    </row>
    <row r="1569" spans="1:5" x14ac:dyDescent="0.25">
      <c r="A1569" s="41" t="s">
        <v>8157</v>
      </c>
      <c r="B1569" s="41" t="s">
        <v>7794</v>
      </c>
      <c r="C1569" s="41" t="s">
        <v>68</v>
      </c>
      <c r="D1569" s="41" t="s">
        <v>8233</v>
      </c>
      <c r="E1569" s="41">
        <v>57000</v>
      </c>
    </row>
    <row r="1570" spans="1:5" x14ac:dyDescent="0.25">
      <c r="A1570" s="41" t="s">
        <v>8157</v>
      </c>
      <c r="B1570" s="41" t="s">
        <v>7794</v>
      </c>
      <c r="C1570" s="41" t="s">
        <v>68</v>
      </c>
      <c r="D1570" s="41" t="s">
        <v>8161</v>
      </c>
      <c r="E1570" s="41">
        <v>54300</v>
      </c>
    </row>
    <row r="1571" spans="1:5" x14ac:dyDescent="0.25">
      <c r="A1571" s="41" t="s">
        <v>8157</v>
      </c>
      <c r="B1571" s="41" t="s">
        <v>7794</v>
      </c>
      <c r="C1571" s="41" t="s">
        <v>68</v>
      </c>
      <c r="D1571" s="41" t="s">
        <v>8162</v>
      </c>
      <c r="E1571" s="41">
        <v>45300</v>
      </c>
    </row>
    <row r="1572" spans="1:5" x14ac:dyDescent="0.25">
      <c r="A1572" s="41" t="s">
        <v>8157</v>
      </c>
      <c r="B1572" s="41" t="s">
        <v>7796</v>
      </c>
      <c r="C1572" s="41" t="s">
        <v>68</v>
      </c>
      <c r="D1572" s="41" t="s">
        <v>8334</v>
      </c>
      <c r="E1572" s="41">
        <v>78300</v>
      </c>
    </row>
    <row r="1573" spans="1:5" x14ac:dyDescent="0.25">
      <c r="A1573" s="41" t="s">
        <v>8157</v>
      </c>
      <c r="B1573" s="41" t="s">
        <v>7796</v>
      </c>
      <c r="C1573" s="41" t="s">
        <v>68</v>
      </c>
      <c r="D1573" s="41" t="s">
        <v>8335</v>
      </c>
      <c r="E1573" s="41">
        <v>72900</v>
      </c>
    </row>
    <row r="1574" spans="1:5" x14ac:dyDescent="0.25">
      <c r="A1574" s="41" t="s">
        <v>8157</v>
      </c>
      <c r="B1574" s="41" t="s">
        <v>7796</v>
      </c>
      <c r="C1574" s="41" t="s">
        <v>68</v>
      </c>
      <c r="D1574" s="41" t="s">
        <v>8249</v>
      </c>
      <c r="E1574" s="41">
        <v>69500</v>
      </c>
    </row>
    <row r="1575" spans="1:5" x14ac:dyDescent="0.25">
      <c r="A1575" s="41" t="s">
        <v>8157</v>
      </c>
      <c r="B1575" s="41" t="s">
        <v>7796</v>
      </c>
      <c r="C1575" s="41" t="s">
        <v>68</v>
      </c>
      <c r="D1575" s="41" t="s">
        <v>8331</v>
      </c>
      <c r="E1575" s="41">
        <v>57900</v>
      </c>
    </row>
    <row r="1576" spans="1:5" x14ac:dyDescent="0.25">
      <c r="A1576" s="41" t="s">
        <v>8157</v>
      </c>
      <c r="B1576" s="41" t="s">
        <v>7798</v>
      </c>
      <c r="C1576" s="41" t="s">
        <v>68</v>
      </c>
      <c r="D1576" s="41" t="s">
        <v>8158</v>
      </c>
      <c r="E1576" s="41">
        <v>55100</v>
      </c>
    </row>
    <row r="1577" spans="1:5" x14ac:dyDescent="0.25">
      <c r="A1577" s="41" t="s">
        <v>8157</v>
      </c>
      <c r="B1577" s="41" t="s">
        <v>7800</v>
      </c>
      <c r="C1577" s="41" t="s">
        <v>68</v>
      </c>
      <c r="D1577" s="41" t="s">
        <v>8158</v>
      </c>
      <c r="E1577" s="41">
        <v>546400</v>
      </c>
    </row>
    <row r="1578" spans="1:5" x14ac:dyDescent="0.25">
      <c r="A1578" s="41" t="s">
        <v>8157</v>
      </c>
      <c r="B1578" s="41" t="s">
        <v>7802</v>
      </c>
      <c r="C1578" s="41" t="s">
        <v>68</v>
      </c>
      <c r="D1578" s="41" t="s">
        <v>8158</v>
      </c>
      <c r="E1578" s="41">
        <v>339300</v>
      </c>
    </row>
    <row r="1579" spans="1:5" x14ac:dyDescent="0.25">
      <c r="A1579" s="41" t="s">
        <v>8157</v>
      </c>
      <c r="B1579" s="41" t="s">
        <v>7804</v>
      </c>
      <c r="C1579" s="41" t="s">
        <v>68</v>
      </c>
      <c r="D1579" s="41" t="s">
        <v>8287</v>
      </c>
      <c r="E1579" s="41">
        <v>64600</v>
      </c>
    </row>
    <row r="1580" spans="1:5" x14ac:dyDescent="0.25">
      <c r="A1580" s="41" t="s">
        <v>8157</v>
      </c>
      <c r="B1580" s="41" t="s">
        <v>7804</v>
      </c>
      <c r="C1580" s="41" t="s">
        <v>68</v>
      </c>
      <c r="D1580" s="41" t="s">
        <v>8174</v>
      </c>
      <c r="E1580" s="41">
        <v>61500</v>
      </c>
    </row>
    <row r="1581" spans="1:5" x14ac:dyDescent="0.25">
      <c r="A1581" s="41" t="s">
        <v>8157</v>
      </c>
      <c r="B1581" s="41" t="s">
        <v>7804</v>
      </c>
      <c r="C1581" s="41" t="s">
        <v>68</v>
      </c>
      <c r="D1581" s="41" t="s">
        <v>8162</v>
      </c>
      <c r="E1581" s="41">
        <v>51300</v>
      </c>
    </row>
    <row r="1582" spans="1:5" x14ac:dyDescent="0.25">
      <c r="A1582" s="41" t="s">
        <v>8157</v>
      </c>
      <c r="B1582" s="41" t="s">
        <v>7806</v>
      </c>
      <c r="C1582" s="41" t="s">
        <v>68</v>
      </c>
      <c r="D1582" s="41" t="s">
        <v>8298</v>
      </c>
      <c r="E1582" s="41">
        <v>19500</v>
      </c>
    </row>
    <row r="1583" spans="1:5" x14ac:dyDescent="0.25">
      <c r="A1583" s="41" t="s">
        <v>8157</v>
      </c>
      <c r="B1583" s="41" t="s">
        <v>7806</v>
      </c>
      <c r="C1583" s="41" t="s">
        <v>68</v>
      </c>
      <c r="D1583" s="41" t="s">
        <v>8299</v>
      </c>
      <c r="E1583" s="41">
        <v>13100</v>
      </c>
    </row>
    <row r="1584" spans="1:5" x14ac:dyDescent="0.25">
      <c r="A1584" s="41" t="s">
        <v>8157</v>
      </c>
      <c r="B1584" s="41" t="s">
        <v>7806</v>
      </c>
      <c r="C1584" s="41" t="s">
        <v>68</v>
      </c>
      <c r="D1584" s="41" t="s">
        <v>8243</v>
      </c>
      <c r="E1584" s="41">
        <v>15900</v>
      </c>
    </row>
    <row r="1585" spans="1:5" x14ac:dyDescent="0.25">
      <c r="A1585" s="41" t="s">
        <v>8157</v>
      </c>
      <c r="B1585" s="41" t="s">
        <v>7808</v>
      </c>
      <c r="C1585" s="41" t="s">
        <v>68</v>
      </c>
      <c r="D1585" s="41" t="s">
        <v>8158</v>
      </c>
      <c r="E1585" s="41">
        <v>11100</v>
      </c>
    </row>
    <row r="1586" spans="1:5" x14ac:dyDescent="0.25">
      <c r="A1586" s="41" t="s">
        <v>8157</v>
      </c>
      <c r="B1586" s="41" t="s">
        <v>7810</v>
      </c>
      <c r="C1586" s="41" t="s">
        <v>68</v>
      </c>
      <c r="D1586" s="41" t="s">
        <v>8158</v>
      </c>
      <c r="E1586" s="41">
        <v>29900</v>
      </c>
    </row>
    <row r="1587" spans="1:5" x14ac:dyDescent="0.25">
      <c r="A1587" s="41" t="s">
        <v>8157</v>
      </c>
      <c r="B1587" s="41" t="s">
        <v>7812</v>
      </c>
      <c r="C1587" s="41" t="s">
        <v>68</v>
      </c>
      <c r="D1587" s="41" t="s">
        <v>8158</v>
      </c>
      <c r="E1587" s="41">
        <v>23200</v>
      </c>
    </row>
    <row r="1588" spans="1:5" x14ac:dyDescent="0.25">
      <c r="A1588" s="41" t="s">
        <v>8157</v>
      </c>
      <c r="B1588" s="41" t="s">
        <v>7815</v>
      </c>
      <c r="C1588" s="41" t="s">
        <v>68</v>
      </c>
      <c r="D1588" s="41" t="s">
        <v>8158</v>
      </c>
      <c r="E1588" s="41">
        <v>39500</v>
      </c>
    </row>
    <row r="1589" spans="1:5" x14ac:dyDescent="0.25">
      <c r="A1589" s="41" t="s">
        <v>8157</v>
      </c>
      <c r="B1589" s="41" t="s">
        <v>7818</v>
      </c>
      <c r="C1589" s="41" t="s">
        <v>68</v>
      </c>
      <c r="D1589" s="41" t="s">
        <v>8158</v>
      </c>
      <c r="E1589" s="41">
        <v>9900</v>
      </c>
    </row>
    <row r="1590" spans="1:5" x14ac:dyDescent="0.25">
      <c r="A1590" s="41" t="s">
        <v>8157</v>
      </c>
      <c r="B1590" s="41" t="s">
        <v>7433</v>
      </c>
      <c r="C1590" s="41" t="s">
        <v>68</v>
      </c>
      <c r="D1590" s="41" t="s">
        <v>8287</v>
      </c>
      <c r="E1590" s="41">
        <v>5100</v>
      </c>
    </row>
    <row r="1591" spans="1:5" x14ac:dyDescent="0.25">
      <c r="A1591" s="41" t="s">
        <v>8157</v>
      </c>
      <c r="B1591" s="41" t="s">
        <v>7433</v>
      </c>
      <c r="C1591" s="41" t="s">
        <v>68</v>
      </c>
      <c r="D1591" s="41" t="s">
        <v>8297</v>
      </c>
      <c r="E1591" s="41">
        <v>4700</v>
      </c>
    </row>
    <row r="1592" spans="1:5" x14ac:dyDescent="0.25">
      <c r="A1592" s="41" t="s">
        <v>8157</v>
      </c>
      <c r="B1592" s="41" t="s">
        <v>7821</v>
      </c>
      <c r="C1592" s="41" t="s">
        <v>68</v>
      </c>
      <c r="D1592" s="41" t="s">
        <v>8158</v>
      </c>
      <c r="E1592" s="41">
        <v>16000</v>
      </c>
    </row>
    <row r="1593" spans="1:5" x14ac:dyDescent="0.25">
      <c r="A1593" s="41" t="s">
        <v>8157</v>
      </c>
      <c r="B1593" s="41" t="s">
        <v>7823</v>
      </c>
      <c r="C1593" s="41" t="s">
        <v>68</v>
      </c>
      <c r="D1593" s="41" t="s">
        <v>8158</v>
      </c>
      <c r="E1593" s="41">
        <v>24400</v>
      </c>
    </row>
    <row r="1594" spans="1:5" x14ac:dyDescent="0.25">
      <c r="A1594" s="41" t="s">
        <v>8157</v>
      </c>
      <c r="B1594" s="41" t="s">
        <v>7825</v>
      </c>
      <c r="C1594" s="41" t="s">
        <v>68</v>
      </c>
      <c r="D1594" s="41" t="s">
        <v>8287</v>
      </c>
      <c r="E1594" s="41">
        <v>40800</v>
      </c>
    </row>
    <row r="1595" spans="1:5" x14ac:dyDescent="0.25">
      <c r="A1595" s="41" t="s">
        <v>8157</v>
      </c>
      <c r="B1595" s="41" t="s">
        <v>7825</v>
      </c>
      <c r="C1595" s="41" t="s">
        <v>68</v>
      </c>
      <c r="D1595" s="41" t="s">
        <v>8288</v>
      </c>
      <c r="E1595" s="41">
        <v>38700</v>
      </c>
    </row>
    <row r="1596" spans="1:5" x14ac:dyDescent="0.25">
      <c r="A1596" s="41" t="s">
        <v>8157</v>
      </c>
      <c r="B1596" s="41" t="s">
        <v>7825</v>
      </c>
      <c r="C1596" s="41" t="s">
        <v>68</v>
      </c>
      <c r="D1596" s="41" t="s">
        <v>8265</v>
      </c>
      <c r="E1596" s="41">
        <v>36000</v>
      </c>
    </row>
    <row r="1597" spans="1:5" x14ac:dyDescent="0.25">
      <c r="A1597" s="41" t="s">
        <v>8157</v>
      </c>
      <c r="B1597" s="41" t="s">
        <v>7825</v>
      </c>
      <c r="C1597" s="41" t="s">
        <v>68</v>
      </c>
      <c r="D1597" s="41" t="s">
        <v>8289</v>
      </c>
      <c r="E1597" s="41">
        <v>34200</v>
      </c>
    </row>
    <row r="1598" spans="1:5" x14ac:dyDescent="0.25">
      <c r="A1598" s="41" t="s">
        <v>8157</v>
      </c>
      <c r="B1598" s="41" t="s">
        <v>7825</v>
      </c>
      <c r="C1598" s="41" t="s">
        <v>68</v>
      </c>
      <c r="D1598" s="41" t="s">
        <v>8290</v>
      </c>
      <c r="E1598" s="41">
        <v>31800</v>
      </c>
    </row>
    <row r="1599" spans="1:5" x14ac:dyDescent="0.25">
      <c r="A1599" s="41" t="s">
        <v>8157</v>
      </c>
      <c r="B1599" s="41" t="s">
        <v>7825</v>
      </c>
      <c r="C1599" s="41" t="s">
        <v>68</v>
      </c>
      <c r="D1599" s="41" t="s">
        <v>8258</v>
      </c>
      <c r="E1599" s="41">
        <v>30300</v>
      </c>
    </row>
    <row r="1600" spans="1:5" x14ac:dyDescent="0.25">
      <c r="A1600" s="41" t="s">
        <v>8157</v>
      </c>
      <c r="B1600" s="41" t="s">
        <v>7443</v>
      </c>
      <c r="C1600" s="41" t="s">
        <v>68</v>
      </c>
      <c r="D1600" s="41" t="s">
        <v>8158</v>
      </c>
      <c r="E1600" s="41">
        <v>16300</v>
      </c>
    </row>
    <row r="1601" spans="1:5" x14ac:dyDescent="0.25">
      <c r="A1601" s="41" t="s">
        <v>8157</v>
      </c>
      <c r="B1601" s="41" t="s">
        <v>7509</v>
      </c>
      <c r="C1601" s="41" t="s">
        <v>1352</v>
      </c>
      <c r="D1601" s="41" t="s">
        <v>8158</v>
      </c>
      <c r="E1601" s="41">
        <v>4500</v>
      </c>
    </row>
    <row r="1602" spans="1:5" x14ac:dyDescent="0.25">
      <c r="A1602" s="41" t="s">
        <v>8157</v>
      </c>
      <c r="B1602" s="41" t="s">
        <v>7414</v>
      </c>
      <c r="C1602" s="41" t="s">
        <v>1352</v>
      </c>
      <c r="D1602" s="41" t="s">
        <v>8158</v>
      </c>
      <c r="E1602" s="41">
        <v>20920</v>
      </c>
    </row>
    <row r="1603" spans="1:5" x14ac:dyDescent="0.25">
      <c r="A1603" s="41" t="s">
        <v>8157</v>
      </c>
      <c r="B1603" s="41" t="s">
        <v>67</v>
      </c>
      <c r="C1603" s="41" t="s">
        <v>1352</v>
      </c>
      <c r="D1603" s="41" t="s">
        <v>8159</v>
      </c>
      <c r="E1603" s="41">
        <v>19690</v>
      </c>
    </row>
    <row r="1604" spans="1:5" x14ac:dyDescent="0.25">
      <c r="A1604" s="41" t="s">
        <v>8157</v>
      </c>
      <c r="B1604" s="41" t="s">
        <v>67</v>
      </c>
      <c r="C1604" s="41" t="s">
        <v>1352</v>
      </c>
      <c r="D1604" s="41" t="s">
        <v>8160</v>
      </c>
      <c r="E1604" s="41">
        <v>18320</v>
      </c>
    </row>
    <row r="1605" spans="1:5" x14ac:dyDescent="0.25">
      <c r="A1605" s="41" t="s">
        <v>8157</v>
      </c>
      <c r="B1605" s="41" t="s">
        <v>67</v>
      </c>
      <c r="C1605" s="41" t="s">
        <v>1352</v>
      </c>
      <c r="D1605" s="41" t="s">
        <v>8161</v>
      </c>
      <c r="E1605" s="41">
        <v>16510</v>
      </c>
    </row>
    <row r="1606" spans="1:5" x14ac:dyDescent="0.25">
      <c r="A1606" s="41" t="s">
        <v>8157</v>
      </c>
      <c r="B1606" s="41" t="s">
        <v>67</v>
      </c>
      <c r="C1606" s="41" t="s">
        <v>1352</v>
      </c>
      <c r="D1606" s="41" t="s">
        <v>8162</v>
      </c>
      <c r="E1606" s="41">
        <v>14860</v>
      </c>
    </row>
    <row r="1607" spans="1:5" x14ac:dyDescent="0.25">
      <c r="A1607" s="41" t="s">
        <v>8157</v>
      </c>
      <c r="B1607" s="41" t="s">
        <v>7408</v>
      </c>
      <c r="C1607" s="41" t="s">
        <v>1352</v>
      </c>
      <c r="D1607" s="41" t="s">
        <v>8163</v>
      </c>
      <c r="E1607" s="41">
        <v>23500</v>
      </c>
    </row>
    <row r="1608" spans="1:5" x14ac:dyDescent="0.25">
      <c r="A1608" s="41" t="s">
        <v>8157</v>
      </c>
      <c r="B1608" s="41" t="s">
        <v>7408</v>
      </c>
      <c r="C1608" s="41" t="s">
        <v>1352</v>
      </c>
      <c r="D1608" s="41" t="s">
        <v>8164</v>
      </c>
      <c r="E1608" s="41">
        <v>22500</v>
      </c>
    </row>
    <row r="1609" spans="1:5" x14ac:dyDescent="0.25">
      <c r="A1609" s="41" t="s">
        <v>8157</v>
      </c>
      <c r="B1609" s="41" t="s">
        <v>7408</v>
      </c>
      <c r="C1609" s="41" t="s">
        <v>1352</v>
      </c>
      <c r="D1609" s="41" t="s">
        <v>8165</v>
      </c>
      <c r="E1609" s="41">
        <v>20900</v>
      </c>
    </row>
    <row r="1610" spans="1:5" x14ac:dyDescent="0.25">
      <c r="A1610" s="41" t="s">
        <v>8157</v>
      </c>
      <c r="B1610" s="41" t="s">
        <v>7408</v>
      </c>
      <c r="C1610" s="41" t="s">
        <v>1352</v>
      </c>
      <c r="D1610" s="41" t="s">
        <v>8166</v>
      </c>
      <c r="E1610" s="41">
        <v>19600</v>
      </c>
    </row>
    <row r="1611" spans="1:5" x14ac:dyDescent="0.25">
      <c r="A1611" s="41" t="s">
        <v>8157</v>
      </c>
      <c r="B1611" s="41" t="s">
        <v>7408</v>
      </c>
      <c r="C1611" s="41" t="s">
        <v>1352</v>
      </c>
      <c r="D1611" s="41" t="s">
        <v>8167</v>
      </c>
      <c r="E1611" s="41">
        <v>18200</v>
      </c>
    </row>
    <row r="1612" spans="1:5" x14ac:dyDescent="0.25">
      <c r="A1612" s="41" t="s">
        <v>8157</v>
      </c>
      <c r="B1612" s="41" t="s">
        <v>7408</v>
      </c>
      <c r="C1612" s="41" t="s">
        <v>1352</v>
      </c>
      <c r="D1612" s="41" t="s">
        <v>8168</v>
      </c>
      <c r="E1612" s="41">
        <v>17000</v>
      </c>
    </row>
    <row r="1613" spans="1:5" x14ac:dyDescent="0.25">
      <c r="A1613" s="41" t="s">
        <v>8157</v>
      </c>
      <c r="B1613" s="41" t="s">
        <v>7409</v>
      </c>
      <c r="C1613" s="41" t="s">
        <v>1352</v>
      </c>
      <c r="D1613" s="41" t="s">
        <v>8169</v>
      </c>
      <c r="E1613" s="41">
        <v>24500</v>
      </c>
    </row>
    <row r="1614" spans="1:5" x14ac:dyDescent="0.25">
      <c r="A1614" s="41" t="s">
        <v>8157</v>
      </c>
      <c r="B1614" s="41" t="s">
        <v>7409</v>
      </c>
      <c r="C1614" s="41" t="s">
        <v>1352</v>
      </c>
      <c r="D1614" s="41" t="s">
        <v>8170</v>
      </c>
      <c r="E1614" s="41">
        <v>22700</v>
      </c>
    </row>
    <row r="1615" spans="1:5" x14ac:dyDescent="0.25">
      <c r="A1615" s="41" t="s">
        <v>8157</v>
      </c>
      <c r="B1615" s="41" t="s">
        <v>7409</v>
      </c>
      <c r="C1615" s="41" t="s">
        <v>1352</v>
      </c>
      <c r="D1615" s="41" t="s">
        <v>8171</v>
      </c>
      <c r="E1615" s="41">
        <v>20500</v>
      </c>
    </row>
    <row r="1616" spans="1:5" x14ac:dyDescent="0.25">
      <c r="A1616" s="41" t="s">
        <v>8157</v>
      </c>
      <c r="B1616" s="41" t="s">
        <v>7483</v>
      </c>
      <c r="C1616" s="41" t="s">
        <v>1352</v>
      </c>
      <c r="D1616" s="41" t="s">
        <v>8172</v>
      </c>
      <c r="E1616" s="41">
        <v>16600</v>
      </c>
    </row>
    <row r="1617" spans="1:5" x14ac:dyDescent="0.25">
      <c r="A1617" s="41" t="s">
        <v>8157</v>
      </c>
      <c r="B1617" s="41" t="s">
        <v>7483</v>
      </c>
      <c r="C1617" s="41" t="s">
        <v>1352</v>
      </c>
      <c r="D1617" s="41" t="s">
        <v>8173</v>
      </c>
      <c r="E1617" s="41">
        <v>15500</v>
      </c>
    </row>
    <row r="1618" spans="1:5" x14ac:dyDescent="0.25">
      <c r="A1618" s="41" t="s">
        <v>8157</v>
      </c>
      <c r="B1618" s="41" t="s">
        <v>7483</v>
      </c>
      <c r="C1618" s="41" t="s">
        <v>1352</v>
      </c>
      <c r="D1618" s="41" t="s">
        <v>8174</v>
      </c>
      <c r="E1618" s="41">
        <v>14300</v>
      </c>
    </row>
    <row r="1619" spans="1:5" x14ac:dyDescent="0.25">
      <c r="A1619" s="41" t="s">
        <v>8157</v>
      </c>
      <c r="B1619" s="41" t="s">
        <v>7483</v>
      </c>
      <c r="C1619" s="41" t="s">
        <v>1352</v>
      </c>
      <c r="D1619" s="41" t="s">
        <v>8175</v>
      </c>
      <c r="E1619" s="41">
        <v>13300</v>
      </c>
    </row>
    <row r="1620" spans="1:5" x14ac:dyDescent="0.25">
      <c r="A1620" s="41" t="s">
        <v>8157</v>
      </c>
      <c r="B1620" s="41" t="s">
        <v>7483</v>
      </c>
      <c r="C1620" s="41" t="s">
        <v>1352</v>
      </c>
      <c r="D1620" s="41" t="s">
        <v>8176</v>
      </c>
      <c r="E1620" s="41">
        <v>12400</v>
      </c>
    </row>
    <row r="1621" spans="1:5" x14ac:dyDescent="0.25">
      <c r="A1621" s="41" t="s">
        <v>8157</v>
      </c>
      <c r="B1621" s="41" t="s">
        <v>7410</v>
      </c>
      <c r="C1621" s="41" t="s">
        <v>1352</v>
      </c>
      <c r="D1621" s="41" t="s">
        <v>8177</v>
      </c>
      <c r="E1621" s="41">
        <v>15700</v>
      </c>
    </row>
    <row r="1622" spans="1:5" x14ac:dyDescent="0.25">
      <c r="A1622" s="41" t="s">
        <v>8157</v>
      </c>
      <c r="B1622" s="41" t="s">
        <v>7410</v>
      </c>
      <c r="C1622" s="41" t="s">
        <v>1352</v>
      </c>
      <c r="D1622" s="41" t="s">
        <v>8178</v>
      </c>
      <c r="E1622" s="41">
        <v>14600</v>
      </c>
    </row>
    <row r="1623" spans="1:5" x14ac:dyDescent="0.25">
      <c r="A1623" s="41" t="s">
        <v>8157</v>
      </c>
      <c r="B1623" s="41" t="s">
        <v>7410</v>
      </c>
      <c r="C1623" s="41" t="s">
        <v>1352</v>
      </c>
      <c r="D1623" s="41" t="s">
        <v>8179</v>
      </c>
      <c r="E1623" s="41">
        <v>13900</v>
      </c>
    </row>
    <row r="1624" spans="1:5" x14ac:dyDescent="0.25">
      <c r="A1624" s="41" t="s">
        <v>8157</v>
      </c>
      <c r="B1624" s="41" t="s">
        <v>7410</v>
      </c>
      <c r="C1624" s="41" t="s">
        <v>1352</v>
      </c>
      <c r="D1624" s="41" t="s">
        <v>8180</v>
      </c>
      <c r="E1624" s="41">
        <v>13200</v>
      </c>
    </row>
    <row r="1625" spans="1:5" x14ac:dyDescent="0.25">
      <c r="A1625" s="41" t="s">
        <v>8157</v>
      </c>
      <c r="B1625" s="41" t="s">
        <v>7410</v>
      </c>
      <c r="C1625" s="41" t="s">
        <v>1352</v>
      </c>
      <c r="D1625" s="41" t="s">
        <v>8181</v>
      </c>
      <c r="E1625" s="41">
        <v>12200</v>
      </c>
    </row>
    <row r="1626" spans="1:5" x14ac:dyDescent="0.25">
      <c r="A1626" s="41" t="s">
        <v>8157</v>
      </c>
      <c r="B1626" s="41" t="s">
        <v>7410</v>
      </c>
      <c r="C1626" s="41" t="s">
        <v>1352</v>
      </c>
      <c r="D1626" s="41" t="s">
        <v>8182</v>
      </c>
      <c r="E1626" s="41">
        <v>11700</v>
      </c>
    </row>
    <row r="1627" spans="1:5" x14ac:dyDescent="0.25">
      <c r="A1627" s="41" t="s">
        <v>8157</v>
      </c>
      <c r="B1627" s="41" t="s">
        <v>7410</v>
      </c>
      <c r="C1627" s="41" t="s">
        <v>1352</v>
      </c>
      <c r="D1627" s="41" t="s">
        <v>8183</v>
      </c>
      <c r="E1627" s="41">
        <v>10900</v>
      </c>
    </row>
    <row r="1628" spans="1:5" x14ac:dyDescent="0.25">
      <c r="A1628" s="41" t="s">
        <v>8157</v>
      </c>
      <c r="B1628" s="41" t="s">
        <v>7410</v>
      </c>
      <c r="C1628" s="41" t="s">
        <v>1352</v>
      </c>
      <c r="D1628" s="41" t="s">
        <v>8184</v>
      </c>
      <c r="E1628" s="41">
        <v>10100</v>
      </c>
    </row>
    <row r="1629" spans="1:5" x14ac:dyDescent="0.25">
      <c r="A1629" s="41" t="s">
        <v>8157</v>
      </c>
      <c r="B1629" s="41" t="s">
        <v>7407</v>
      </c>
      <c r="C1629" s="41" t="s">
        <v>1352</v>
      </c>
      <c r="D1629" s="41" t="s">
        <v>8185</v>
      </c>
      <c r="E1629" s="41">
        <v>18700</v>
      </c>
    </row>
    <row r="1630" spans="1:5" x14ac:dyDescent="0.25">
      <c r="A1630" s="41" t="s">
        <v>8157</v>
      </c>
      <c r="B1630" s="41" t="s">
        <v>7407</v>
      </c>
      <c r="C1630" s="41" t="s">
        <v>1352</v>
      </c>
      <c r="D1630" s="41" t="s">
        <v>8186</v>
      </c>
      <c r="E1630" s="41">
        <v>17300</v>
      </c>
    </row>
    <row r="1631" spans="1:5" x14ac:dyDescent="0.25">
      <c r="A1631" s="41" t="s">
        <v>8157</v>
      </c>
      <c r="B1631" s="41" t="s">
        <v>7407</v>
      </c>
      <c r="C1631" s="41" t="s">
        <v>1352</v>
      </c>
      <c r="D1631" s="41" t="s">
        <v>8187</v>
      </c>
      <c r="E1631" s="41">
        <v>16200</v>
      </c>
    </row>
    <row r="1632" spans="1:5" x14ac:dyDescent="0.25">
      <c r="A1632" s="41" t="s">
        <v>8157</v>
      </c>
      <c r="B1632" s="41" t="s">
        <v>7407</v>
      </c>
      <c r="C1632" s="41" t="s">
        <v>1352</v>
      </c>
      <c r="D1632" s="41" t="s">
        <v>8188</v>
      </c>
      <c r="E1632" s="41">
        <v>15100</v>
      </c>
    </row>
    <row r="1633" spans="1:5" x14ac:dyDescent="0.25">
      <c r="A1633" s="41" t="s">
        <v>8157</v>
      </c>
      <c r="B1633" s="41" t="s">
        <v>7407</v>
      </c>
      <c r="C1633" s="41" t="s">
        <v>1352</v>
      </c>
      <c r="D1633" s="41" t="s">
        <v>8189</v>
      </c>
      <c r="E1633" s="41">
        <v>14000</v>
      </c>
    </row>
    <row r="1634" spans="1:5" x14ac:dyDescent="0.25">
      <c r="A1634" s="41" t="s">
        <v>8157</v>
      </c>
      <c r="B1634" s="41" t="s">
        <v>7407</v>
      </c>
      <c r="C1634" s="41" t="s">
        <v>1352</v>
      </c>
      <c r="D1634" s="41" t="s">
        <v>8190</v>
      </c>
      <c r="E1634" s="41">
        <v>13000</v>
      </c>
    </row>
    <row r="1635" spans="1:5" x14ac:dyDescent="0.25">
      <c r="A1635" s="41" t="s">
        <v>8157</v>
      </c>
      <c r="B1635" s="41" t="s">
        <v>7521</v>
      </c>
      <c r="C1635" s="41" t="s">
        <v>1352</v>
      </c>
      <c r="D1635" s="41" t="s">
        <v>8158</v>
      </c>
      <c r="E1635" s="41">
        <v>8000</v>
      </c>
    </row>
    <row r="1636" spans="1:5" x14ac:dyDescent="0.25">
      <c r="A1636" s="41" t="s">
        <v>8157</v>
      </c>
      <c r="B1636" s="41" t="s">
        <v>7523</v>
      </c>
      <c r="C1636" s="41" t="s">
        <v>1352</v>
      </c>
      <c r="D1636" s="41" t="s">
        <v>8158</v>
      </c>
      <c r="E1636" s="41">
        <v>7600</v>
      </c>
    </row>
    <row r="1637" spans="1:5" x14ac:dyDescent="0.25">
      <c r="A1637" s="41" t="s">
        <v>8157</v>
      </c>
      <c r="B1637" s="41" t="s">
        <v>7484</v>
      </c>
      <c r="C1637" s="41" t="s">
        <v>1352</v>
      </c>
      <c r="D1637" s="41" t="s">
        <v>8158</v>
      </c>
      <c r="E1637" s="41">
        <v>7800</v>
      </c>
    </row>
    <row r="1638" spans="1:5" x14ac:dyDescent="0.25">
      <c r="A1638" s="41" t="s">
        <v>8157</v>
      </c>
      <c r="B1638" s="41" t="s">
        <v>7526</v>
      </c>
      <c r="C1638" s="41" t="s">
        <v>1352</v>
      </c>
      <c r="D1638" s="41" t="s">
        <v>8158</v>
      </c>
      <c r="E1638" s="41">
        <v>7100</v>
      </c>
    </row>
    <row r="1639" spans="1:5" x14ac:dyDescent="0.25">
      <c r="A1639" s="41" t="s">
        <v>8157</v>
      </c>
      <c r="B1639" s="41" t="s">
        <v>7471</v>
      </c>
      <c r="C1639" s="41" t="s">
        <v>1352</v>
      </c>
      <c r="D1639" s="41" t="s">
        <v>8191</v>
      </c>
      <c r="E1639" s="41">
        <v>46400</v>
      </c>
    </row>
    <row r="1640" spans="1:5" x14ac:dyDescent="0.25">
      <c r="A1640" s="41" t="s">
        <v>8157</v>
      </c>
      <c r="B1640" s="41" t="s">
        <v>7471</v>
      </c>
      <c r="C1640" s="41" t="s">
        <v>1352</v>
      </c>
      <c r="D1640" s="41" t="s">
        <v>8192</v>
      </c>
      <c r="E1640" s="41">
        <v>45400</v>
      </c>
    </row>
    <row r="1641" spans="1:5" x14ac:dyDescent="0.25">
      <c r="A1641" s="41" t="s">
        <v>8157</v>
      </c>
      <c r="B1641" s="41" t="s">
        <v>7471</v>
      </c>
      <c r="C1641" s="41" t="s">
        <v>1352</v>
      </c>
      <c r="D1641" s="41" t="s">
        <v>8193</v>
      </c>
      <c r="E1641" s="41">
        <v>44000</v>
      </c>
    </row>
    <row r="1642" spans="1:5" x14ac:dyDescent="0.25">
      <c r="A1642" s="41" t="s">
        <v>8157</v>
      </c>
      <c r="B1642" s="41" t="s">
        <v>1298</v>
      </c>
      <c r="C1642" s="41" t="s">
        <v>1352</v>
      </c>
      <c r="D1642" s="41" t="s">
        <v>8194</v>
      </c>
      <c r="E1642" s="41">
        <v>51800</v>
      </c>
    </row>
    <row r="1643" spans="1:5" x14ac:dyDescent="0.25">
      <c r="A1643" s="41" t="s">
        <v>8157</v>
      </c>
      <c r="B1643" s="41" t="s">
        <v>1298</v>
      </c>
      <c r="C1643" s="41" t="s">
        <v>1352</v>
      </c>
      <c r="D1643" s="41" t="s">
        <v>8195</v>
      </c>
      <c r="E1643" s="41">
        <v>50300</v>
      </c>
    </row>
    <row r="1644" spans="1:5" x14ac:dyDescent="0.25">
      <c r="A1644" s="41" t="s">
        <v>8157</v>
      </c>
      <c r="B1644" s="41" t="s">
        <v>1298</v>
      </c>
      <c r="C1644" s="41" t="s">
        <v>1352</v>
      </c>
      <c r="D1644" s="41" t="s">
        <v>8196</v>
      </c>
      <c r="E1644" s="41">
        <v>48800</v>
      </c>
    </row>
    <row r="1645" spans="1:5" x14ac:dyDescent="0.25">
      <c r="A1645" s="41" t="s">
        <v>8157</v>
      </c>
      <c r="B1645" s="41" t="s">
        <v>1298</v>
      </c>
      <c r="C1645" s="41" t="s">
        <v>1352</v>
      </c>
      <c r="D1645" s="41" t="s">
        <v>8197</v>
      </c>
      <c r="E1645" s="41">
        <v>47300</v>
      </c>
    </row>
    <row r="1646" spans="1:5" x14ac:dyDescent="0.25">
      <c r="A1646" s="41" t="s">
        <v>8157</v>
      </c>
      <c r="B1646" s="41" t="s">
        <v>1298</v>
      </c>
      <c r="C1646" s="41" t="s">
        <v>1352</v>
      </c>
      <c r="D1646" s="41" t="s">
        <v>8198</v>
      </c>
      <c r="E1646" s="41">
        <v>46400</v>
      </c>
    </row>
    <row r="1647" spans="1:5" x14ac:dyDescent="0.25">
      <c r="A1647" s="41" t="s">
        <v>8157</v>
      </c>
      <c r="B1647" s="41" t="s">
        <v>1298</v>
      </c>
      <c r="C1647" s="41" t="s">
        <v>1352</v>
      </c>
      <c r="D1647" s="41" t="s">
        <v>8199</v>
      </c>
      <c r="E1647" s="41">
        <v>45400</v>
      </c>
    </row>
    <row r="1648" spans="1:5" x14ac:dyDescent="0.25">
      <c r="A1648" s="41" t="s">
        <v>8157</v>
      </c>
      <c r="B1648" s="41" t="s">
        <v>1301</v>
      </c>
      <c r="C1648" s="41" t="s">
        <v>1352</v>
      </c>
      <c r="D1648" s="41" t="s">
        <v>8163</v>
      </c>
      <c r="E1648" s="41">
        <v>46900</v>
      </c>
    </row>
    <row r="1649" spans="1:5" x14ac:dyDescent="0.25">
      <c r="A1649" s="41" t="s">
        <v>8157</v>
      </c>
      <c r="B1649" s="41" t="s">
        <v>1301</v>
      </c>
      <c r="C1649" s="41" t="s">
        <v>1352</v>
      </c>
      <c r="D1649" s="41" t="s">
        <v>8200</v>
      </c>
      <c r="E1649" s="41">
        <v>43600</v>
      </c>
    </row>
    <row r="1650" spans="1:5" x14ac:dyDescent="0.25">
      <c r="A1650" s="41" t="s">
        <v>8157</v>
      </c>
      <c r="B1650" s="41" t="s">
        <v>1301</v>
      </c>
      <c r="C1650" s="41" t="s">
        <v>1352</v>
      </c>
      <c r="D1650" s="41" t="s">
        <v>8201</v>
      </c>
      <c r="E1650" s="41">
        <v>41400</v>
      </c>
    </row>
    <row r="1651" spans="1:5" x14ac:dyDescent="0.25">
      <c r="A1651" s="41" t="s">
        <v>8157</v>
      </c>
      <c r="B1651" s="41" t="s">
        <v>1301</v>
      </c>
      <c r="C1651" s="41" t="s">
        <v>1352</v>
      </c>
      <c r="D1651" s="41" t="s">
        <v>8202</v>
      </c>
      <c r="E1651" s="41">
        <v>38500</v>
      </c>
    </row>
    <row r="1652" spans="1:5" x14ac:dyDescent="0.25">
      <c r="A1652" s="41" t="s">
        <v>8157</v>
      </c>
      <c r="B1652" s="41" t="s">
        <v>1301</v>
      </c>
      <c r="C1652" s="41" t="s">
        <v>1352</v>
      </c>
      <c r="D1652" s="41" t="s">
        <v>8203</v>
      </c>
      <c r="E1652" s="41">
        <v>36600</v>
      </c>
    </row>
    <row r="1653" spans="1:5" x14ac:dyDescent="0.25">
      <c r="A1653" s="41" t="s">
        <v>8157</v>
      </c>
      <c r="B1653" s="41" t="s">
        <v>1301</v>
      </c>
      <c r="C1653" s="41" t="s">
        <v>1352</v>
      </c>
      <c r="D1653" s="41" t="s">
        <v>8204</v>
      </c>
      <c r="E1653" s="41">
        <v>34800</v>
      </c>
    </row>
    <row r="1654" spans="1:5" x14ac:dyDescent="0.25">
      <c r="A1654" s="41" t="s">
        <v>8157</v>
      </c>
      <c r="B1654" s="41" t="s">
        <v>1301</v>
      </c>
      <c r="C1654" s="41" t="s">
        <v>1352</v>
      </c>
      <c r="D1654" s="41" t="s">
        <v>8205</v>
      </c>
      <c r="E1654" s="41">
        <v>33000</v>
      </c>
    </row>
    <row r="1655" spans="1:5" x14ac:dyDescent="0.25">
      <c r="A1655" s="41" t="s">
        <v>8157</v>
      </c>
      <c r="B1655" s="41" t="s">
        <v>1303</v>
      </c>
      <c r="C1655" s="41" t="s">
        <v>1352</v>
      </c>
      <c r="D1655" s="41" t="s">
        <v>8206</v>
      </c>
      <c r="E1655" s="41">
        <v>49100</v>
      </c>
    </row>
    <row r="1656" spans="1:5" x14ac:dyDescent="0.25">
      <c r="A1656" s="41" t="s">
        <v>8157</v>
      </c>
      <c r="B1656" s="41" t="s">
        <v>1303</v>
      </c>
      <c r="C1656" s="41" t="s">
        <v>1352</v>
      </c>
      <c r="D1656" s="41" t="s">
        <v>8207</v>
      </c>
      <c r="E1656" s="41">
        <v>47500</v>
      </c>
    </row>
    <row r="1657" spans="1:5" x14ac:dyDescent="0.25">
      <c r="A1657" s="41" t="s">
        <v>8157</v>
      </c>
      <c r="B1657" s="41" t="s">
        <v>1303</v>
      </c>
      <c r="C1657" s="41" t="s">
        <v>1352</v>
      </c>
      <c r="D1657" s="41" t="s">
        <v>8208</v>
      </c>
      <c r="E1657" s="41">
        <v>44300</v>
      </c>
    </row>
    <row r="1658" spans="1:5" x14ac:dyDescent="0.25">
      <c r="A1658" s="41" t="s">
        <v>8157</v>
      </c>
      <c r="B1658" s="41" t="s">
        <v>1303</v>
      </c>
      <c r="C1658" s="41" t="s">
        <v>1352</v>
      </c>
      <c r="D1658" s="41" t="s">
        <v>8209</v>
      </c>
      <c r="E1658" s="41">
        <v>42900</v>
      </c>
    </row>
    <row r="1659" spans="1:5" x14ac:dyDescent="0.25">
      <c r="A1659" s="41" t="s">
        <v>8157</v>
      </c>
      <c r="B1659" s="41" t="s">
        <v>1303</v>
      </c>
      <c r="C1659" s="41" t="s">
        <v>1352</v>
      </c>
      <c r="D1659" s="41" t="s">
        <v>8210</v>
      </c>
      <c r="E1659" s="41">
        <v>39500</v>
      </c>
    </row>
    <row r="1660" spans="1:5" x14ac:dyDescent="0.25">
      <c r="A1660" s="41" t="s">
        <v>8157</v>
      </c>
      <c r="B1660" s="41" t="s">
        <v>1303</v>
      </c>
      <c r="C1660" s="41" t="s">
        <v>1352</v>
      </c>
      <c r="D1660" s="41" t="s">
        <v>8211</v>
      </c>
      <c r="E1660" s="41">
        <v>38300</v>
      </c>
    </row>
    <row r="1661" spans="1:5" x14ac:dyDescent="0.25">
      <c r="A1661" s="41" t="s">
        <v>8157</v>
      </c>
      <c r="B1661" s="41" t="s">
        <v>1305</v>
      </c>
      <c r="C1661" s="41" t="s">
        <v>1352</v>
      </c>
      <c r="D1661" s="41" t="s">
        <v>8212</v>
      </c>
      <c r="E1661" s="41">
        <v>57300</v>
      </c>
    </row>
    <row r="1662" spans="1:5" x14ac:dyDescent="0.25">
      <c r="A1662" s="41" t="s">
        <v>8157</v>
      </c>
      <c r="B1662" s="41" t="s">
        <v>1305</v>
      </c>
      <c r="C1662" s="41" t="s">
        <v>1352</v>
      </c>
      <c r="D1662" s="41" t="s">
        <v>8213</v>
      </c>
      <c r="E1662" s="41">
        <v>54400</v>
      </c>
    </row>
    <row r="1663" spans="1:5" x14ac:dyDescent="0.25">
      <c r="A1663" s="41" t="s">
        <v>8157</v>
      </c>
      <c r="B1663" s="41" t="s">
        <v>1305</v>
      </c>
      <c r="C1663" s="41" t="s">
        <v>1352</v>
      </c>
      <c r="D1663" s="41" t="s">
        <v>8214</v>
      </c>
      <c r="E1663" s="41">
        <v>52700</v>
      </c>
    </row>
    <row r="1664" spans="1:5" x14ac:dyDescent="0.25">
      <c r="A1664" s="41" t="s">
        <v>8157</v>
      </c>
      <c r="B1664" s="41" t="s">
        <v>1305</v>
      </c>
      <c r="C1664" s="41" t="s">
        <v>1352</v>
      </c>
      <c r="D1664" s="41" t="s">
        <v>8167</v>
      </c>
      <c r="E1664" s="41">
        <v>51200</v>
      </c>
    </row>
    <row r="1665" spans="1:5" x14ac:dyDescent="0.25">
      <c r="A1665" s="41" t="s">
        <v>8157</v>
      </c>
      <c r="B1665" s="41" t="s">
        <v>1305</v>
      </c>
      <c r="C1665" s="41" t="s">
        <v>1352</v>
      </c>
      <c r="D1665" s="41" t="s">
        <v>8215</v>
      </c>
      <c r="E1665" s="41">
        <v>46600</v>
      </c>
    </row>
    <row r="1666" spans="1:5" x14ac:dyDescent="0.25">
      <c r="A1666" s="41" t="s">
        <v>8157</v>
      </c>
      <c r="B1666" s="41" t="s">
        <v>1305</v>
      </c>
      <c r="C1666" s="41" t="s">
        <v>1352</v>
      </c>
      <c r="D1666" s="41" t="s">
        <v>8216</v>
      </c>
      <c r="E1666" s="41">
        <v>41000</v>
      </c>
    </row>
    <row r="1667" spans="1:5" x14ac:dyDescent="0.25">
      <c r="A1667" s="41" t="s">
        <v>8157</v>
      </c>
      <c r="B1667" s="41" t="s">
        <v>1305</v>
      </c>
      <c r="C1667" s="41" t="s">
        <v>1352</v>
      </c>
      <c r="D1667" s="41" t="s">
        <v>8217</v>
      </c>
      <c r="E1667" s="41">
        <v>36100</v>
      </c>
    </row>
    <row r="1668" spans="1:5" x14ac:dyDescent="0.25">
      <c r="A1668" s="41" t="s">
        <v>8157</v>
      </c>
      <c r="B1668" s="41" t="s">
        <v>1307</v>
      </c>
      <c r="C1668" s="41" t="s">
        <v>1352</v>
      </c>
      <c r="D1668" s="41" t="s">
        <v>8177</v>
      </c>
      <c r="E1668" s="41">
        <v>41300</v>
      </c>
    </row>
    <row r="1669" spans="1:5" x14ac:dyDescent="0.25">
      <c r="A1669" s="41" t="s">
        <v>8157</v>
      </c>
      <c r="B1669" s="41" t="s">
        <v>1307</v>
      </c>
      <c r="C1669" s="41" t="s">
        <v>1352</v>
      </c>
      <c r="D1669" s="41" t="s">
        <v>8178</v>
      </c>
      <c r="E1669" s="41">
        <v>40100</v>
      </c>
    </row>
    <row r="1670" spans="1:5" x14ac:dyDescent="0.25">
      <c r="A1670" s="41" t="s">
        <v>8157</v>
      </c>
      <c r="B1670" s="41" t="s">
        <v>1307</v>
      </c>
      <c r="C1670" s="41" t="s">
        <v>1352</v>
      </c>
      <c r="D1670" s="41" t="s">
        <v>8218</v>
      </c>
      <c r="E1670" s="41">
        <v>38100</v>
      </c>
    </row>
    <row r="1671" spans="1:5" x14ac:dyDescent="0.25">
      <c r="A1671" s="41" t="s">
        <v>8157</v>
      </c>
      <c r="B1671" s="41" t="s">
        <v>1307</v>
      </c>
      <c r="C1671" s="41" t="s">
        <v>1352</v>
      </c>
      <c r="D1671" s="41" t="s">
        <v>8219</v>
      </c>
      <c r="E1671" s="41">
        <v>36900</v>
      </c>
    </row>
    <row r="1672" spans="1:5" x14ac:dyDescent="0.25">
      <c r="A1672" s="41" t="s">
        <v>8157</v>
      </c>
      <c r="B1672" s="41" t="s">
        <v>1307</v>
      </c>
      <c r="C1672" s="41" t="s">
        <v>1352</v>
      </c>
      <c r="D1672" s="41" t="s">
        <v>8220</v>
      </c>
      <c r="E1672" s="41">
        <v>35100</v>
      </c>
    </row>
    <row r="1673" spans="1:5" x14ac:dyDescent="0.25">
      <c r="A1673" s="41" t="s">
        <v>8157</v>
      </c>
      <c r="B1673" s="41" t="s">
        <v>1307</v>
      </c>
      <c r="C1673" s="41" t="s">
        <v>1352</v>
      </c>
      <c r="D1673" s="41" t="s">
        <v>8221</v>
      </c>
      <c r="E1673" s="41">
        <v>34000</v>
      </c>
    </row>
    <row r="1674" spans="1:5" x14ac:dyDescent="0.25">
      <c r="A1674" s="41" t="s">
        <v>8157</v>
      </c>
      <c r="B1674" s="41" t="s">
        <v>1307</v>
      </c>
      <c r="C1674" s="41" t="s">
        <v>1352</v>
      </c>
      <c r="D1674" s="41" t="s">
        <v>8222</v>
      </c>
      <c r="E1674" s="41">
        <v>33000</v>
      </c>
    </row>
    <row r="1675" spans="1:5" x14ac:dyDescent="0.25">
      <c r="A1675" s="41" t="s">
        <v>8157</v>
      </c>
      <c r="B1675" s="41" t="s">
        <v>7533</v>
      </c>
      <c r="C1675" s="41" t="s">
        <v>1352</v>
      </c>
      <c r="D1675" s="41" t="s">
        <v>8223</v>
      </c>
      <c r="E1675" s="41">
        <v>24000</v>
      </c>
    </row>
    <row r="1676" spans="1:5" x14ac:dyDescent="0.25">
      <c r="A1676" s="41" t="s">
        <v>8157</v>
      </c>
      <c r="B1676" s="41" t="s">
        <v>7533</v>
      </c>
      <c r="C1676" s="41" t="s">
        <v>1352</v>
      </c>
      <c r="D1676" s="41" t="s">
        <v>8224</v>
      </c>
      <c r="E1676" s="41">
        <v>22900</v>
      </c>
    </row>
    <row r="1677" spans="1:5" x14ac:dyDescent="0.25">
      <c r="A1677" s="41" t="s">
        <v>8157</v>
      </c>
      <c r="B1677" s="41" t="s">
        <v>7533</v>
      </c>
      <c r="C1677" s="41" t="s">
        <v>1352</v>
      </c>
      <c r="D1677" s="41" t="s">
        <v>8225</v>
      </c>
      <c r="E1677" s="41">
        <v>21500</v>
      </c>
    </row>
    <row r="1678" spans="1:5" x14ac:dyDescent="0.25">
      <c r="A1678" s="41" t="s">
        <v>8157</v>
      </c>
      <c r="B1678" s="41" t="s">
        <v>7533</v>
      </c>
      <c r="C1678" s="41" t="s">
        <v>1352</v>
      </c>
      <c r="D1678" s="41" t="s">
        <v>8226</v>
      </c>
      <c r="E1678" s="41">
        <v>21000</v>
      </c>
    </row>
    <row r="1679" spans="1:5" x14ac:dyDescent="0.25">
      <c r="A1679" s="41" t="s">
        <v>8157</v>
      </c>
      <c r="B1679" s="41" t="s">
        <v>7533</v>
      </c>
      <c r="C1679" s="41" t="s">
        <v>1352</v>
      </c>
      <c r="D1679" s="41" t="s">
        <v>8215</v>
      </c>
      <c r="E1679" s="41">
        <v>20875</v>
      </c>
    </row>
    <row r="1680" spans="1:5" x14ac:dyDescent="0.25">
      <c r="A1680" s="41" t="s">
        <v>8157</v>
      </c>
      <c r="B1680" s="41" t="s">
        <v>7533</v>
      </c>
      <c r="C1680" s="41" t="s">
        <v>1352</v>
      </c>
      <c r="D1680" s="41" t="s">
        <v>8227</v>
      </c>
      <c r="E1680" s="41">
        <v>20375</v>
      </c>
    </row>
    <row r="1681" spans="1:5" x14ac:dyDescent="0.25">
      <c r="A1681" s="41" t="s">
        <v>8157</v>
      </c>
      <c r="B1681" s="41" t="s">
        <v>1309</v>
      </c>
      <c r="C1681" s="41" t="s">
        <v>1352</v>
      </c>
      <c r="D1681" s="41" t="s">
        <v>8228</v>
      </c>
      <c r="E1681" s="41">
        <v>41100</v>
      </c>
    </row>
    <row r="1682" spans="1:5" x14ac:dyDescent="0.25">
      <c r="A1682" s="41" t="s">
        <v>8157</v>
      </c>
      <c r="B1682" s="41" t="s">
        <v>1309</v>
      </c>
      <c r="C1682" s="41" t="s">
        <v>1352</v>
      </c>
      <c r="D1682" s="41" t="s">
        <v>8203</v>
      </c>
      <c r="E1682" s="41">
        <v>40700</v>
      </c>
    </row>
    <row r="1683" spans="1:5" x14ac:dyDescent="0.25">
      <c r="A1683" s="41" t="s">
        <v>8157</v>
      </c>
      <c r="B1683" s="41" t="s">
        <v>1309</v>
      </c>
      <c r="C1683" s="41" t="s">
        <v>1352</v>
      </c>
      <c r="D1683" s="41" t="s">
        <v>8229</v>
      </c>
      <c r="E1683" s="41">
        <v>40800</v>
      </c>
    </row>
    <row r="1684" spans="1:5" x14ac:dyDescent="0.25">
      <c r="A1684" s="41" t="s">
        <v>8157</v>
      </c>
      <c r="B1684" s="41" t="s">
        <v>1309</v>
      </c>
      <c r="C1684" s="41" t="s">
        <v>1352</v>
      </c>
      <c r="D1684" s="41" t="s">
        <v>8210</v>
      </c>
      <c r="E1684" s="41">
        <v>34000</v>
      </c>
    </row>
    <row r="1685" spans="1:5" x14ac:dyDescent="0.25">
      <c r="A1685" s="41" t="s">
        <v>8157</v>
      </c>
      <c r="B1685" s="41" t="s">
        <v>1309</v>
      </c>
      <c r="C1685" s="41" t="s">
        <v>1352</v>
      </c>
      <c r="D1685" s="41" t="s">
        <v>8230</v>
      </c>
      <c r="E1685" s="41">
        <v>32300</v>
      </c>
    </row>
    <row r="1686" spans="1:5" x14ac:dyDescent="0.25">
      <c r="A1686" s="41" t="s">
        <v>8157</v>
      </c>
      <c r="B1686" s="41" t="s">
        <v>1309</v>
      </c>
      <c r="C1686" s="41" t="s">
        <v>1352</v>
      </c>
      <c r="D1686" s="41" t="s">
        <v>8231</v>
      </c>
      <c r="E1686" s="41">
        <v>32000</v>
      </c>
    </row>
    <row r="1687" spans="1:5" x14ac:dyDescent="0.25">
      <c r="A1687" s="41" t="s">
        <v>8157</v>
      </c>
      <c r="B1687" s="41" t="s">
        <v>1309</v>
      </c>
      <c r="C1687" s="41" t="s">
        <v>1352</v>
      </c>
      <c r="D1687" s="41" t="s">
        <v>8232</v>
      </c>
      <c r="E1687" s="41">
        <v>31100</v>
      </c>
    </row>
    <row r="1688" spans="1:5" x14ac:dyDescent="0.25">
      <c r="A1688" s="41" t="s">
        <v>8157</v>
      </c>
      <c r="B1688" s="41" t="s">
        <v>7536</v>
      </c>
      <c r="C1688" s="41" t="s">
        <v>1352</v>
      </c>
      <c r="D1688" s="41" t="s">
        <v>8233</v>
      </c>
      <c r="E1688" s="41">
        <v>24050</v>
      </c>
    </row>
    <row r="1689" spans="1:5" x14ac:dyDescent="0.25">
      <c r="A1689" s="41" t="s">
        <v>8157</v>
      </c>
      <c r="B1689" s="41" t="s">
        <v>7536</v>
      </c>
      <c r="C1689" s="41" t="s">
        <v>1352</v>
      </c>
      <c r="D1689" s="41" t="s">
        <v>8234</v>
      </c>
      <c r="E1689" s="41">
        <v>23920</v>
      </c>
    </row>
    <row r="1690" spans="1:5" x14ac:dyDescent="0.25">
      <c r="A1690" s="41" t="s">
        <v>8157</v>
      </c>
      <c r="B1690" s="41" t="s">
        <v>7536</v>
      </c>
      <c r="C1690" s="41" t="s">
        <v>1352</v>
      </c>
      <c r="D1690" s="41" t="s">
        <v>8178</v>
      </c>
      <c r="E1690" s="41">
        <v>23790</v>
      </c>
    </row>
    <row r="1691" spans="1:5" x14ac:dyDescent="0.25">
      <c r="A1691" s="41" t="s">
        <v>8157</v>
      </c>
      <c r="B1691" s="41" t="s">
        <v>7536</v>
      </c>
      <c r="C1691" s="41" t="s">
        <v>1352</v>
      </c>
      <c r="D1691" s="41" t="s">
        <v>8179</v>
      </c>
      <c r="E1691" s="41">
        <v>23140</v>
      </c>
    </row>
    <row r="1692" spans="1:5" x14ac:dyDescent="0.25">
      <c r="A1692" s="41" t="s">
        <v>8157</v>
      </c>
      <c r="B1692" s="41" t="s">
        <v>7536</v>
      </c>
      <c r="C1692" s="41" t="s">
        <v>1352</v>
      </c>
      <c r="D1692" s="41" t="s">
        <v>8180</v>
      </c>
      <c r="E1692" s="41">
        <v>22360</v>
      </c>
    </row>
    <row r="1693" spans="1:5" x14ac:dyDescent="0.25">
      <c r="A1693" s="41" t="s">
        <v>8157</v>
      </c>
      <c r="B1693" s="41" t="s">
        <v>7536</v>
      </c>
      <c r="C1693" s="41" t="s">
        <v>1352</v>
      </c>
      <c r="D1693" s="41" t="s">
        <v>8235</v>
      </c>
      <c r="E1693" s="41">
        <v>22230</v>
      </c>
    </row>
    <row r="1694" spans="1:5" x14ac:dyDescent="0.25">
      <c r="A1694" s="41" t="s">
        <v>8157</v>
      </c>
      <c r="B1694" s="41" t="s">
        <v>7536</v>
      </c>
      <c r="C1694" s="41" t="s">
        <v>1352</v>
      </c>
      <c r="D1694" s="41" t="s">
        <v>8236</v>
      </c>
      <c r="E1694" s="41">
        <v>21060</v>
      </c>
    </row>
    <row r="1695" spans="1:5" x14ac:dyDescent="0.25">
      <c r="A1695" s="41" t="s">
        <v>8157</v>
      </c>
      <c r="B1695" s="41" t="s">
        <v>7536</v>
      </c>
      <c r="C1695" s="41" t="s">
        <v>1352</v>
      </c>
      <c r="D1695" s="41" t="s">
        <v>8237</v>
      </c>
      <c r="E1695" s="41">
        <v>21060</v>
      </c>
    </row>
    <row r="1696" spans="1:5" x14ac:dyDescent="0.25">
      <c r="A1696" s="41" t="s">
        <v>8157</v>
      </c>
      <c r="B1696" s="41" t="s">
        <v>7538</v>
      </c>
      <c r="C1696" s="41" t="s">
        <v>1352</v>
      </c>
      <c r="D1696" s="41" t="s">
        <v>8158</v>
      </c>
      <c r="E1696" s="41">
        <v>35600</v>
      </c>
    </row>
    <row r="1697" spans="1:5" x14ac:dyDescent="0.25">
      <c r="A1697" s="41" t="s">
        <v>8157</v>
      </c>
      <c r="B1697" s="41" t="s">
        <v>7540</v>
      </c>
      <c r="C1697" s="41" t="s">
        <v>1352</v>
      </c>
      <c r="D1697" s="41" t="s">
        <v>8185</v>
      </c>
      <c r="E1697" s="41">
        <v>27800</v>
      </c>
    </row>
    <row r="1698" spans="1:5" x14ac:dyDescent="0.25">
      <c r="A1698" s="41" t="s">
        <v>8157</v>
      </c>
      <c r="B1698" s="41" t="s">
        <v>7540</v>
      </c>
      <c r="C1698" s="41" t="s">
        <v>1352</v>
      </c>
      <c r="D1698" s="41" t="s">
        <v>8193</v>
      </c>
      <c r="E1698" s="41">
        <v>27000</v>
      </c>
    </row>
    <row r="1699" spans="1:5" x14ac:dyDescent="0.25">
      <c r="A1699" s="41" t="s">
        <v>8157</v>
      </c>
      <c r="B1699" s="41" t="s">
        <v>7542</v>
      </c>
      <c r="C1699" s="41" t="s">
        <v>1352</v>
      </c>
      <c r="D1699" s="41" t="s">
        <v>8238</v>
      </c>
      <c r="E1699" s="41">
        <v>54000</v>
      </c>
    </row>
    <row r="1700" spans="1:5" x14ac:dyDescent="0.25">
      <c r="A1700" s="41" t="s">
        <v>8157</v>
      </c>
      <c r="B1700" s="41" t="s">
        <v>7542</v>
      </c>
      <c r="C1700" s="41" t="s">
        <v>1352</v>
      </c>
      <c r="D1700" s="41" t="s">
        <v>1138</v>
      </c>
      <c r="E1700" s="41">
        <v>51300</v>
      </c>
    </row>
    <row r="1701" spans="1:5" x14ac:dyDescent="0.25">
      <c r="A1701" s="41" t="s">
        <v>8157</v>
      </c>
      <c r="B1701" s="41" t="s">
        <v>7542</v>
      </c>
      <c r="C1701" s="41" t="s">
        <v>1352</v>
      </c>
      <c r="D1701" s="41" t="s">
        <v>821</v>
      </c>
      <c r="E1701" s="41">
        <v>50800</v>
      </c>
    </row>
    <row r="1702" spans="1:5" x14ac:dyDescent="0.25">
      <c r="A1702" s="41" t="s">
        <v>8157</v>
      </c>
      <c r="B1702" s="41" t="s">
        <v>7542</v>
      </c>
      <c r="C1702" s="41" t="s">
        <v>1352</v>
      </c>
      <c r="D1702" s="41" t="s">
        <v>8239</v>
      </c>
      <c r="E1702" s="41">
        <v>43500</v>
      </c>
    </row>
    <row r="1703" spans="1:5" x14ac:dyDescent="0.25">
      <c r="A1703" s="41" t="s">
        <v>8157</v>
      </c>
      <c r="B1703" s="41" t="s">
        <v>7542</v>
      </c>
      <c r="C1703" s="41" t="s">
        <v>1352</v>
      </c>
      <c r="D1703" s="41" t="s">
        <v>8240</v>
      </c>
      <c r="E1703" s="41">
        <v>29600</v>
      </c>
    </row>
    <row r="1704" spans="1:5" x14ac:dyDescent="0.25">
      <c r="A1704" s="41" t="s">
        <v>8157</v>
      </c>
      <c r="B1704" s="41" t="s">
        <v>7542</v>
      </c>
      <c r="C1704" s="41" t="s">
        <v>1352</v>
      </c>
      <c r="D1704" s="41" t="s">
        <v>8241</v>
      </c>
      <c r="E1704" s="41">
        <v>33000</v>
      </c>
    </row>
    <row r="1705" spans="1:5" x14ac:dyDescent="0.25">
      <c r="A1705" s="41" t="s">
        <v>8157</v>
      </c>
      <c r="B1705" s="41" t="s">
        <v>7544</v>
      </c>
      <c r="C1705" s="41" t="s">
        <v>1352</v>
      </c>
      <c r="D1705" s="41" t="s">
        <v>8242</v>
      </c>
      <c r="E1705" s="41">
        <v>23270</v>
      </c>
    </row>
    <row r="1706" spans="1:5" x14ac:dyDescent="0.25">
      <c r="A1706" s="41" t="s">
        <v>8157</v>
      </c>
      <c r="B1706" s="41" t="s">
        <v>7544</v>
      </c>
      <c r="C1706" s="41" t="s">
        <v>1352</v>
      </c>
      <c r="D1706" s="41" t="s">
        <v>8243</v>
      </c>
      <c r="E1706" s="41">
        <v>22950</v>
      </c>
    </row>
    <row r="1707" spans="1:5" x14ac:dyDescent="0.25">
      <c r="A1707" s="41" t="s">
        <v>8157</v>
      </c>
      <c r="B1707" s="41" t="s">
        <v>1311</v>
      </c>
      <c r="C1707" s="41" t="s">
        <v>1352</v>
      </c>
      <c r="D1707" s="41" t="s">
        <v>8244</v>
      </c>
      <c r="E1707" s="41">
        <v>45500</v>
      </c>
    </row>
    <row r="1708" spans="1:5" x14ac:dyDescent="0.25">
      <c r="A1708" s="41" t="s">
        <v>8157</v>
      </c>
      <c r="B1708" s="41" t="s">
        <v>1311</v>
      </c>
      <c r="C1708" s="41" t="s">
        <v>1352</v>
      </c>
      <c r="D1708" s="41" t="s">
        <v>8245</v>
      </c>
      <c r="E1708" s="41">
        <v>41440</v>
      </c>
    </row>
    <row r="1709" spans="1:5" x14ac:dyDescent="0.25">
      <c r="A1709" s="41" t="s">
        <v>8157</v>
      </c>
      <c r="B1709" s="41" t="s">
        <v>1313</v>
      </c>
      <c r="C1709" s="41" t="s">
        <v>1352</v>
      </c>
      <c r="D1709" s="41" t="s">
        <v>8246</v>
      </c>
      <c r="E1709" s="41">
        <v>37600</v>
      </c>
    </row>
    <row r="1710" spans="1:5" x14ac:dyDescent="0.25">
      <c r="A1710" s="41" t="s">
        <v>8157</v>
      </c>
      <c r="B1710" s="41" t="s">
        <v>1313</v>
      </c>
      <c r="C1710" s="41" t="s">
        <v>1352</v>
      </c>
      <c r="D1710" s="41" t="s">
        <v>8247</v>
      </c>
      <c r="E1710" s="41">
        <v>36600</v>
      </c>
    </row>
    <row r="1711" spans="1:5" x14ac:dyDescent="0.25">
      <c r="A1711" s="41" t="s">
        <v>8157</v>
      </c>
      <c r="B1711" s="41" t="s">
        <v>1313</v>
      </c>
      <c r="C1711" s="41" t="s">
        <v>1352</v>
      </c>
      <c r="D1711" s="41" t="s">
        <v>8248</v>
      </c>
      <c r="E1711" s="41">
        <v>34600</v>
      </c>
    </row>
    <row r="1712" spans="1:5" x14ac:dyDescent="0.25">
      <c r="A1712" s="41" t="s">
        <v>8157</v>
      </c>
      <c r="B1712" s="41" t="s">
        <v>1313</v>
      </c>
      <c r="C1712" s="41" t="s">
        <v>1352</v>
      </c>
      <c r="D1712" s="41" t="s">
        <v>8249</v>
      </c>
      <c r="E1712" s="41">
        <v>36400</v>
      </c>
    </row>
    <row r="1713" spans="1:5" x14ac:dyDescent="0.25">
      <c r="A1713" s="41" t="s">
        <v>8157</v>
      </c>
      <c r="B1713" s="41" t="s">
        <v>1313</v>
      </c>
      <c r="C1713" s="41" t="s">
        <v>1352</v>
      </c>
      <c r="D1713" s="41" t="s">
        <v>8250</v>
      </c>
      <c r="E1713" s="41">
        <v>33800</v>
      </c>
    </row>
    <row r="1714" spans="1:5" x14ac:dyDescent="0.25">
      <c r="A1714" s="41" t="s">
        <v>8157</v>
      </c>
      <c r="B1714" s="41" t="s">
        <v>1313</v>
      </c>
      <c r="C1714" s="41" t="s">
        <v>1352</v>
      </c>
      <c r="D1714" s="41" t="s">
        <v>8251</v>
      </c>
      <c r="E1714" s="41">
        <v>32800</v>
      </c>
    </row>
    <row r="1715" spans="1:5" x14ac:dyDescent="0.25">
      <c r="A1715" s="41" t="s">
        <v>8157</v>
      </c>
      <c r="B1715" s="41" t="s">
        <v>7468</v>
      </c>
      <c r="C1715" s="41" t="s">
        <v>1352</v>
      </c>
      <c r="D1715" s="41" t="s">
        <v>8158</v>
      </c>
      <c r="E1715" s="41">
        <v>24840</v>
      </c>
    </row>
    <row r="1716" spans="1:5" x14ac:dyDescent="0.25">
      <c r="A1716" s="41" t="s">
        <v>8157</v>
      </c>
      <c r="B1716" s="41" t="s">
        <v>7467</v>
      </c>
      <c r="C1716" s="41" t="s">
        <v>1352</v>
      </c>
      <c r="D1716" s="41" t="s">
        <v>8172</v>
      </c>
      <c r="E1716" s="41">
        <v>46100</v>
      </c>
    </row>
    <row r="1717" spans="1:5" x14ac:dyDescent="0.25">
      <c r="A1717" s="41" t="s">
        <v>8157</v>
      </c>
      <c r="B1717" s="41" t="s">
        <v>7467</v>
      </c>
      <c r="C1717" s="41" t="s">
        <v>1352</v>
      </c>
      <c r="D1717" s="41" t="s">
        <v>8173</v>
      </c>
      <c r="E1717" s="41">
        <v>42900</v>
      </c>
    </row>
    <row r="1718" spans="1:5" x14ac:dyDescent="0.25">
      <c r="A1718" s="41" t="s">
        <v>8157</v>
      </c>
      <c r="B1718" s="41" t="s">
        <v>7467</v>
      </c>
      <c r="C1718" s="41" t="s">
        <v>1352</v>
      </c>
      <c r="D1718" s="41" t="s">
        <v>8252</v>
      </c>
      <c r="E1718" s="41">
        <v>40700</v>
      </c>
    </row>
    <row r="1719" spans="1:5" x14ac:dyDescent="0.25">
      <c r="A1719" s="41" t="s">
        <v>8157</v>
      </c>
      <c r="B1719" s="41" t="s">
        <v>7467</v>
      </c>
      <c r="C1719" s="41" t="s">
        <v>1352</v>
      </c>
      <c r="D1719" s="41" t="s">
        <v>8243</v>
      </c>
      <c r="E1719" s="41">
        <v>38700</v>
      </c>
    </row>
    <row r="1720" spans="1:5" x14ac:dyDescent="0.25">
      <c r="A1720" s="41" t="s">
        <v>8157</v>
      </c>
      <c r="B1720" s="41" t="s">
        <v>7548</v>
      </c>
      <c r="C1720" s="41" t="s">
        <v>1352</v>
      </c>
      <c r="D1720" s="41" t="s">
        <v>8158</v>
      </c>
      <c r="E1720" s="41">
        <v>9250</v>
      </c>
    </row>
    <row r="1721" spans="1:5" x14ac:dyDescent="0.25">
      <c r="A1721" s="41" t="s">
        <v>8157</v>
      </c>
      <c r="B1721" s="41" t="s">
        <v>7550</v>
      </c>
      <c r="C1721" s="41" t="s">
        <v>1352</v>
      </c>
      <c r="D1721" s="41" t="s">
        <v>8158</v>
      </c>
      <c r="E1721" s="41">
        <v>39100</v>
      </c>
    </row>
    <row r="1722" spans="1:5" x14ac:dyDescent="0.25">
      <c r="A1722" s="41" t="s">
        <v>8157</v>
      </c>
      <c r="B1722" s="41" t="s">
        <v>1315</v>
      </c>
      <c r="C1722" s="41" t="s">
        <v>1352</v>
      </c>
      <c r="D1722" s="41" t="s">
        <v>8253</v>
      </c>
      <c r="E1722" s="41">
        <v>38300</v>
      </c>
    </row>
    <row r="1723" spans="1:5" x14ac:dyDescent="0.25">
      <c r="A1723" s="41" t="s">
        <v>8157</v>
      </c>
      <c r="B1723" s="41" t="s">
        <v>1315</v>
      </c>
      <c r="C1723" s="41" t="s">
        <v>1352</v>
      </c>
      <c r="D1723" s="41" t="s">
        <v>8254</v>
      </c>
      <c r="E1723" s="41">
        <v>37300</v>
      </c>
    </row>
    <row r="1724" spans="1:5" x14ac:dyDescent="0.25">
      <c r="A1724" s="41" t="s">
        <v>8157</v>
      </c>
      <c r="B1724" s="41" t="s">
        <v>1315</v>
      </c>
      <c r="C1724" s="41" t="s">
        <v>1352</v>
      </c>
      <c r="D1724" s="41" t="s">
        <v>8255</v>
      </c>
      <c r="E1724" s="41">
        <v>36300</v>
      </c>
    </row>
    <row r="1725" spans="1:5" x14ac:dyDescent="0.25">
      <c r="A1725" s="41" t="s">
        <v>8157</v>
      </c>
      <c r="B1725" s="41" t="s">
        <v>1315</v>
      </c>
      <c r="C1725" s="41" t="s">
        <v>1352</v>
      </c>
      <c r="D1725" s="41" t="s">
        <v>8256</v>
      </c>
      <c r="E1725" s="41">
        <v>34210</v>
      </c>
    </row>
    <row r="1726" spans="1:5" x14ac:dyDescent="0.25">
      <c r="A1726" s="41" t="s">
        <v>8157</v>
      </c>
      <c r="B1726" s="41" t="s">
        <v>1315</v>
      </c>
      <c r="C1726" s="41" t="s">
        <v>1352</v>
      </c>
      <c r="D1726" s="41" t="s">
        <v>8257</v>
      </c>
      <c r="E1726" s="41">
        <v>32760</v>
      </c>
    </row>
    <row r="1727" spans="1:5" x14ac:dyDescent="0.25">
      <c r="A1727" s="41" t="s">
        <v>8157</v>
      </c>
      <c r="B1727" s="41" t="s">
        <v>1315</v>
      </c>
      <c r="C1727" s="41" t="s">
        <v>1352</v>
      </c>
      <c r="D1727" s="41" t="s">
        <v>8258</v>
      </c>
      <c r="E1727" s="41">
        <v>23875</v>
      </c>
    </row>
    <row r="1728" spans="1:5" x14ac:dyDescent="0.25">
      <c r="A1728" s="41" t="s">
        <v>8157</v>
      </c>
      <c r="B1728" s="41" t="s">
        <v>1317</v>
      </c>
      <c r="C1728" s="41" t="s">
        <v>1352</v>
      </c>
      <c r="D1728" s="41" t="s">
        <v>8233</v>
      </c>
      <c r="E1728" s="41">
        <v>29900</v>
      </c>
    </row>
    <row r="1729" spans="1:5" x14ac:dyDescent="0.25">
      <c r="A1729" s="41" t="s">
        <v>8157</v>
      </c>
      <c r="B1729" s="41" t="s">
        <v>1317</v>
      </c>
      <c r="C1729" s="41" t="s">
        <v>1352</v>
      </c>
      <c r="D1729" s="41" t="s">
        <v>8259</v>
      </c>
      <c r="E1729" s="41">
        <v>24100</v>
      </c>
    </row>
    <row r="1730" spans="1:5" x14ac:dyDescent="0.25">
      <c r="A1730" s="41" t="s">
        <v>8157</v>
      </c>
      <c r="B1730" s="41" t="s">
        <v>1317</v>
      </c>
      <c r="C1730" s="41" t="s">
        <v>1352</v>
      </c>
      <c r="D1730" s="41" t="s">
        <v>8260</v>
      </c>
      <c r="E1730" s="41">
        <v>18300</v>
      </c>
    </row>
    <row r="1731" spans="1:5" x14ac:dyDescent="0.25">
      <c r="A1731" s="41" t="s">
        <v>8157</v>
      </c>
      <c r="B1731" s="41" t="s">
        <v>1319</v>
      </c>
      <c r="C1731" s="41" t="s">
        <v>1352</v>
      </c>
      <c r="D1731" s="41" t="s">
        <v>8261</v>
      </c>
      <c r="E1731" s="41">
        <v>32900</v>
      </c>
    </row>
    <row r="1732" spans="1:5" x14ac:dyDescent="0.25">
      <c r="A1732" s="41" t="s">
        <v>8157</v>
      </c>
      <c r="B1732" s="41" t="s">
        <v>1319</v>
      </c>
      <c r="C1732" s="41" t="s">
        <v>1352</v>
      </c>
      <c r="D1732" s="41" t="s">
        <v>8166</v>
      </c>
      <c r="E1732" s="41">
        <v>31700</v>
      </c>
    </row>
    <row r="1733" spans="1:5" x14ac:dyDescent="0.25">
      <c r="A1733" s="41" t="s">
        <v>8157</v>
      </c>
      <c r="B1733" s="41" t="s">
        <v>1319</v>
      </c>
      <c r="C1733" s="41" t="s">
        <v>1352</v>
      </c>
      <c r="D1733" s="41" t="s">
        <v>8237</v>
      </c>
      <c r="E1733" s="41">
        <v>29200</v>
      </c>
    </row>
    <row r="1734" spans="1:5" x14ac:dyDescent="0.25">
      <c r="A1734" s="41" t="s">
        <v>8157</v>
      </c>
      <c r="B1734" s="41" t="s">
        <v>1321</v>
      </c>
      <c r="C1734" s="41" t="s">
        <v>1352</v>
      </c>
      <c r="D1734" s="41" t="s">
        <v>8262</v>
      </c>
      <c r="E1734" s="41">
        <v>32010</v>
      </c>
    </row>
    <row r="1735" spans="1:5" x14ac:dyDescent="0.25">
      <c r="A1735" s="41" t="s">
        <v>8157</v>
      </c>
      <c r="B1735" s="41" t="s">
        <v>1321</v>
      </c>
      <c r="C1735" s="41" t="s">
        <v>1352</v>
      </c>
      <c r="D1735" s="41" t="s">
        <v>8263</v>
      </c>
      <c r="E1735" s="41">
        <v>31460</v>
      </c>
    </row>
    <row r="1736" spans="1:5" x14ac:dyDescent="0.25">
      <c r="A1736" s="41" t="s">
        <v>8157</v>
      </c>
      <c r="B1736" s="41" t="s">
        <v>1321</v>
      </c>
      <c r="C1736" s="41" t="s">
        <v>1352</v>
      </c>
      <c r="D1736" s="41" t="s">
        <v>8264</v>
      </c>
      <c r="E1736" s="41">
        <v>30360</v>
      </c>
    </row>
    <row r="1737" spans="1:5" x14ac:dyDescent="0.25">
      <c r="A1737" s="41" t="s">
        <v>8157</v>
      </c>
      <c r="B1737" s="41" t="s">
        <v>7554</v>
      </c>
      <c r="C1737" s="41" t="s">
        <v>1352</v>
      </c>
      <c r="D1737" s="41" t="s">
        <v>8233</v>
      </c>
      <c r="E1737" s="41">
        <v>24400</v>
      </c>
    </row>
    <row r="1738" spans="1:5" x14ac:dyDescent="0.25">
      <c r="A1738" s="41" t="s">
        <v>8157</v>
      </c>
      <c r="B1738" s="41" t="s">
        <v>7554</v>
      </c>
      <c r="C1738" s="41" t="s">
        <v>1352</v>
      </c>
      <c r="D1738" s="41" t="s">
        <v>8265</v>
      </c>
      <c r="E1738" s="41">
        <v>21230</v>
      </c>
    </row>
    <row r="1739" spans="1:5" x14ac:dyDescent="0.25">
      <c r="A1739" s="41" t="s">
        <v>8157</v>
      </c>
      <c r="B1739" s="41" t="s">
        <v>7554</v>
      </c>
      <c r="C1739" s="41" t="s">
        <v>1352</v>
      </c>
      <c r="D1739" s="41" t="s">
        <v>8190</v>
      </c>
      <c r="E1739" s="41">
        <v>15730</v>
      </c>
    </row>
    <row r="1740" spans="1:5" x14ac:dyDescent="0.25">
      <c r="A1740" s="41" t="s">
        <v>8157</v>
      </c>
      <c r="B1740" s="41" t="s">
        <v>7556</v>
      </c>
      <c r="C1740" s="41" t="s">
        <v>1352</v>
      </c>
      <c r="D1740" s="41" t="s">
        <v>8158</v>
      </c>
      <c r="E1740" s="41">
        <v>18400</v>
      </c>
    </row>
    <row r="1741" spans="1:5" x14ac:dyDescent="0.25">
      <c r="A1741" s="41" t="s">
        <v>8157</v>
      </c>
      <c r="B1741" s="41" t="s">
        <v>7558</v>
      </c>
      <c r="C1741" s="41" t="s">
        <v>1352</v>
      </c>
      <c r="D1741" s="41" t="s">
        <v>8233</v>
      </c>
      <c r="E1741" s="41">
        <v>38630</v>
      </c>
    </row>
    <row r="1742" spans="1:5" x14ac:dyDescent="0.25">
      <c r="A1742" s="41" t="s">
        <v>8157</v>
      </c>
      <c r="B1742" s="41" t="s">
        <v>7558</v>
      </c>
      <c r="C1742" s="41" t="s">
        <v>1352</v>
      </c>
      <c r="D1742" s="41" t="s">
        <v>8161</v>
      </c>
      <c r="E1742" s="41">
        <v>35930</v>
      </c>
    </row>
    <row r="1743" spans="1:5" x14ac:dyDescent="0.25">
      <c r="A1743" s="41" t="s">
        <v>8157</v>
      </c>
      <c r="B1743" s="41" t="s">
        <v>7558</v>
      </c>
      <c r="C1743" s="41" t="s">
        <v>1352</v>
      </c>
      <c r="D1743" s="41" t="s">
        <v>8165</v>
      </c>
      <c r="E1743" s="41">
        <v>33410</v>
      </c>
    </row>
    <row r="1744" spans="1:5" x14ac:dyDescent="0.25">
      <c r="A1744" s="41" t="s">
        <v>8157</v>
      </c>
      <c r="B1744" s="41" t="s">
        <v>7558</v>
      </c>
      <c r="C1744" s="41" t="s">
        <v>1352</v>
      </c>
      <c r="D1744" s="41" t="s">
        <v>8266</v>
      </c>
      <c r="E1744" s="41">
        <v>31080</v>
      </c>
    </row>
    <row r="1745" spans="1:5" x14ac:dyDescent="0.25">
      <c r="A1745" s="41" t="s">
        <v>8157</v>
      </c>
      <c r="B1745" s="41" t="s">
        <v>7560</v>
      </c>
      <c r="C1745" s="41" t="s">
        <v>1352</v>
      </c>
      <c r="D1745" s="41" t="s">
        <v>8244</v>
      </c>
      <c r="E1745" s="41">
        <v>22500</v>
      </c>
    </row>
    <row r="1746" spans="1:5" x14ac:dyDescent="0.25">
      <c r="A1746" s="41" t="s">
        <v>8157</v>
      </c>
      <c r="B1746" s="41" t="s">
        <v>7560</v>
      </c>
      <c r="C1746" s="41" t="s">
        <v>1352</v>
      </c>
      <c r="D1746" s="41" t="s">
        <v>8267</v>
      </c>
      <c r="E1746" s="41">
        <v>21000</v>
      </c>
    </row>
    <row r="1747" spans="1:5" x14ac:dyDescent="0.25">
      <c r="A1747" s="41" t="s">
        <v>8157</v>
      </c>
      <c r="B1747" s="41" t="s">
        <v>7560</v>
      </c>
      <c r="C1747" s="41" t="s">
        <v>1352</v>
      </c>
      <c r="D1747" s="41" t="s">
        <v>8266</v>
      </c>
      <c r="E1747" s="41">
        <v>19100</v>
      </c>
    </row>
    <row r="1748" spans="1:5" x14ac:dyDescent="0.25">
      <c r="A1748" s="41" t="s">
        <v>8157</v>
      </c>
      <c r="B1748" s="41" t="s">
        <v>7562</v>
      </c>
      <c r="C1748" s="41" t="s">
        <v>1352</v>
      </c>
      <c r="D1748" s="41" t="s">
        <v>8158</v>
      </c>
      <c r="E1748" s="41">
        <v>14350</v>
      </c>
    </row>
    <row r="1749" spans="1:5" x14ac:dyDescent="0.25">
      <c r="A1749" s="41" t="s">
        <v>8157</v>
      </c>
      <c r="B1749" s="41" t="s">
        <v>7564</v>
      </c>
      <c r="C1749" s="41" t="s">
        <v>1352</v>
      </c>
      <c r="D1749" s="41" t="s">
        <v>8158</v>
      </c>
      <c r="E1749" s="41">
        <v>14300</v>
      </c>
    </row>
    <row r="1750" spans="1:5" x14ac:dyDescent="0.25">
      <c r="A1750" s="41" t="s">
        <v>8157</v>
      </c>
      <c r="B1750" s="41" t="s">
        <v>7566</v>
      </c>
      <c r="C1750" s="41" t="s">
        <v>1352</v>
      </c>
      <c r="D1750" s="41" t="s">
        <v>8233</v>
      </c>
      <c r="E1750" s="41">
        <v>21400</v>
      </c>
    </row>
    <row r="1751" spans="1:5" x14ac:dyDescent="0.25">
      <c r="A1751" s="41" t="s">
        <v>8157</v>
      </c>
      <c r="B1751" s="41" t="s">
        <v>7566</v>
      </c>
      <c r="C1751" s="41" t="s">
        <v>1352</v>
      </c>
      <c r="D1751" s="41" t="s">
        <v>8161</v>
      </c>
      <c r="E1751" s="41">
        <v>21100</v>
      </c>
    </row>
    <row r="1752" spans="1:5" x14ac:dyDescent="0.25">
      <c r="A1752" s="41" t="s">
        <v>8157</v>
      </c>
      <c r="B1752" s="41" t="s">
        <v>7566</v>
      </c>
      <c r="C1752" s="41" t="s">
        <v>1352</v>
      </c>
      <c r="D1752" s="41" t="s">
        <v>8162</v>
      </c>
      <c r="E1752" s="41">
        <v>20700</v>
      </c>
    </row>
    <row r="1753" spans="1:5" x14ac:dyDescent="0.25">
      <c r="A1753" s="41" t="s">
        <v>8157</v>
      </c>
      <c r="B1753" s="41" t="s">
        <v>7568</v>
      </c>
      <c r="C1753" s="41" t="s">
        <v>1352</v>
      </c>
      <c r="D1753" s="41" t="s">
        <v>8158</v>
      </c>
      <c r="E1753" s="41">
        <v>12900</v>
      </c>
    </row>
    <row r="1754" spans="1:5" x14ac:dyDescent="0.25">
      <c r="A1754" s="41" t="s">
        <v>8157</v>
      </c>
      <c r="B1754" s="41" t="s">
        <v>7570</v>
      </c>
      <c r="C1754" s="41" t="s">
        <v>1352</v>
      </c>
      <c r="D1754" s="41" t="s">
        <v>8158</v>
      </c>
      <c r="E1754" s="41">
        <v>20600</v>
      </c>
    </row>
    <row r="1755" spans="1:5" x14ac:dyDescent="0.25">
      <c r="A1755" s="41" t="s">
        <v>8157</v>
      </c>
      <c r="B1755" s="41" t="s">
        <v>7572</v>
      </c>
      <c r="C1755" s="41" t="s">
        <v>1352</v>
      </c>
      <c r="D1755" s="41" t="s">
        <v>8158</v>
      </c>
      <c r="E1755" s="41">
        <v>15440</v>
      </c>
    </row>
    <row r="1756" spans="1:5" x14ac:dyDescent="0.25">
      <c r="A1756" s="41" t="s">
        <v>8157</v>
      </c>
      <c r="B1756" s="41" t="s">
        <v>7574</v>
      </c>
      <c r="C1756" s="41" t="s">
        <v>1352</v>
      </c>
      <c r="D1756" s="41" t="s">
        <v>8158</v>
      </c>
      <c r="E1756" s="41">
        <v>16480</v>
      </c>
    </row>
    <row r="1757" spans="1:5" x14ac:dyDescent="0.25">
      <c r="A1757" s="41" t="s">
        <v>8157</v>
      </c>
      <c r="B1757" s="41" t="s">
        <v>7576</v>
      </c>
      <c r="C1757" s="41" t="s">
        <v>1352</v>
      </c>
      <c r="D1757" s="41" t="s">
        <v>8158</v>
      </c>
      <c r="E1757" s="41">
        <v>15440</v>
      </c>
    </row>
    <row r="1758" spans="1:5" x14ac:dyDescent="0.25">
      <c r="A1758" s="41" t="s">
        <v>8157</v>
      </c>
      <c r="B1758" s="41" t="s">
        <v>7578</v>
      </c>
      <c r="C1758" s="41" t="s">
        <v>1352</v>
      </c>
      <c r="D1758" s="41" t="s">
        <v>8158</v>
      </c>
      <c r="E1758" s="41">
        <v>8800</v>
      </c>
    </row>
    <row r="1759" spans="1:5" x14ac:dyDescent="0.25">
      <c r="A1759" s="41" t="s">
        <v>8157</v>
      </c>
      <c r="B1759" s="41" t="s">
        <v>1323</v>
      </c>
      <c r="C1759" s="41" t="s">
        <v>1352</v>
      </c>
      <c r="D1759" s="41" t="s">
        <v>8261</v>
      </c>
      <c r="E1759" s="41">
        <v>39600</v>
      </c>
    </row>
    <row r="1760" spans="1:5" x14ac:dyDescent="0.25">
      <c r="A1760" s="41" t="s">
        <v>8157</v>
      </c>
      <c r="B1760" s="41" t="s">
        <v>1323</v>
      </c>
      <c r="C1760" s="41" t="s">
        <v>1352</v>
      </c>
      <c r="D1760" s="41" t="s">
        <v>8166</v>
      </c>
      <c r="E1760" s="41">
        <v>37600</v>
      </c>
    </row>
    <row r="1761" spans="1:5" x14ac:dyDescent="0.25">
      <c r="A1761" s="41" t="s">
        <v>8157</v>
      </c>
      <c r="B1761" s="41" t="s">
        <v>1323</v>
      </c>
      <c r="C1761" s="41" t="s">
        <v>1352</v>
      </c>
      <c r="D1761" s="41" t="s">
        <v>8268</v>
      </c>
      <c r="E1761" s="41">
        <v>35000</v>
      </c>
    </row>
    <row r="1762" spans="1:5" x14ac:dyDescent="0.25">
      <c r="A1762" s="41" t="s">
        <v>8157</v>
      </c>
      <c r="B1762" s="41" t="s">
        <v>1323</v>
      </c>
      <c r="C1762" s="41" t="s">
        <v>1352</v>
      </c>
      <c r="D1762" s="41" t="s">
        <v>8269</v>
      </c>
      <c r="E1762" s="41">
        <v>32500</v>
      </c>
    </row>
    <row r="1763" spans="1:5" x14ac:dyDescent="0.25">
      <c r="A1763" s="41" t="s">
        <v>8157</v>
      </c>
      <c r="B1763" s="41" t="s">
        <v>1323</v>
      </c>
      <c r="C1763" s="41" t="s">
        <v>1352</v>
      </c>
      <c r="D1763" s="41" t="s">
        <v>8270</v>
      </c>
      <c r="E1763" s="41">
        <v>30900</v>
      </c>
    </row>
    <row r="1764" spans="1:5" x14ac:dyDescent="0.25">
      <c r="A1764" s="41" t="s">
        <v>8157</v>
      </c>
      <c r="B1764" s="41" t="s">
        <v>1325</v>
      </c>
      <c r="C1764" s="41" t="s">
        <v>1352</v>
      </c>
      <c r="D1764" s="41" t="s">
        <v>8271</v>
      </c>
      <c r="E1764" s="41">
        <v>63000</v>
      </c>
    </row>
    <row r="1765" spans="1:5" x14ac:dyDescent="0.25">
      <c r="A1765" s="41" t="s">
        <v>8157</v>
      </c>
      <c r="B1765" s="41" t="s">
        <v>1325</v>
      </c>
      <c r="C1765" s="41" t="s">
        <v>1352</v>
      </c>
      <c r="D1765" s="41" t="s">
        <v>8272</v>
      </c>
      <c r="E1765" s="41">
        <v>61100</v>
      </c>
    </row>
    <row r="1766" spans="1:5" x14ac:dyDescent="0.25">
      <c r="A1766" s="41" t="s">
        <v>8157</v>
      </c>
      <c r="B1766" s="41" t="s">
        <v>1325</v>
      </c>
      <c r="C1766" s="41" t="s">
        <v>1352</v>
      </c>
      <c r="D1766" s="41" t="s">
        <v>8273</v>
      </c>
      <c r="E1766" s="41">
        <v>56800</v>
      </c>
    </row>
    <row r="1767" spans="1:5" x14ac:dyDescent="0.25">
      <c r="A1767" s="41" t="s">
        <v>8157</v>
      </c>
      <c r="B1767" s="41" t="s">
        <v>1325</v>
      </c>
      <c r="C1767" s="41" t="s">
        <v>1352</v>
      </c>
      <c r="D1767" s="41" t="s">
        <v>8274</v>
      </c>
      <c r="E1767" s="41">
        <v>54000</v>
      </c>
    </row>
    <row r="1768" spans="1:5" x14ac:dyDescent="0.25">
      <c r="A1768" s="41" t="s">
        <v>8157</v>
      </c>
      <c r="B1768" s="41" t="s">
        <v>1325</v>
      </c>
      <c r="C1768" s="41" t="s">
        <v>1352</v>
      </c>
      <c r="D1768" s="41" t="s">
        <v>8275</v>
      </c>
      <c r="E1768" s="41">
        <v>51300</v>
      </c>
    </row>
    <row r="1769" spans="1:5" x14ac:dyDescent="0.25">
      <c r="A1769" s="41" t="s">
        <v>8157</v>
      </c>
      <c r="B1769" s="41" t="s">
        <v>1325</v>
      </c>
      <c r="C1769" s="41" t="s">
        <v>1352</v>
      </c>
      <c r="D1769" s="41" t="s">
        <v>8276</v>
      </c>
      <c r="E1769" s="41">
        <v>52400</v>
      </c>
    </row>
    <row r="1770" spans="1:5" x14ac:dyDescent="0.25">
      <c r="A1770" s="41" t="s">
        <v>8157</v>
      </c>
      <c r="B1770" s="41" t="s">
        <v>1325</v>
      </c>
      <c r="C1770" s="41" t="s">
        <v>1352</v>
      </c>
      <c r="D1770" s="41" t="s">
        <v>8277</v>
      </c>
      <c r="E1770" s="41">
        <v>49800</v>
      </c>
    </row>
    <row r="1771" spans="1:5" x14ac:dyDescent="0.25">
      <c r="A1771" s="41" t="s">
        <v>8157</v>
      </c>
      <c r="B1771" s="41" t="s">
        <v>1327</v>
      </c>
      <c r="C1771" s="41" t="s">
        <v>1352</v>
      </c>
      <c r="D1771" s="41" t="s">
        <v>8278</v>
      </c>
      <c r="E1771" s="41">
        <v>37600</v>
      </c>
    </row>
    <row r="1772" spans="1:5" x14ac:dyDescent="0.25">
      <c r="A1772" s="41" t="s">
        <v>8157</v>
      </c>
      <c r="B1772" s="41" t="s">
        <v>1327</v>
      </c>
      <c r="C1772" s="41" t="s">
        <v>1352</v>
      </c>
      <c r="D1772" s="41" t="s">
        <v>8279</v>
      </c>
      <c r="E1772" s="41">
        <v>35800</v>
      </c>
    </row>
    <row r="1773" spans="1:5" x14ac:dyDescent="0.25">
      <c r="A1773" s="41" t="s">
        <v>8157</v>
      </c>
      <c r="B1773" s="41" t="s">
        <v>1327</v>
      </c>
      <c r="C1773" s="41" t="s">
        <v>1352</v>
      </c>
      <c r="D1773" s="41" t="s">
        <v>8280</v>
      </c>
      <c r="E1773" s="41">
        <v>33500</v>
      </c>
    </row>
    <row r="1774" spans="1:5" x14ac:dyDescent="0.25">
      <c r="A1774" s="41" t="s">
        <v>8157</v>
      </c>
      <c r="B1774" s="41" t="s">
        <v>1327</v>
      </c>
      <c r="C1774" s="41" t="s">
        <v>1352</v>
      </c>
      <c r="D1774" s="41" t="s">
        <v>8281</v>
      </c>
      <c r="E1774" s="41">
        <v>31300</v>
      </c>
    </row>
    <row r="1775" spans="1:5" x14ac:dyDescent="0.25">
      <c r="A1775" s="41" t="s">
        <v>8157</v>
      </c>
      <c r="B1775" s="41" t="s">
        <v>1327</v>
      </c>
      <c r="C1775" s="41" t="s">
        <v>1352</v>
      </c>
      <c r="D1775" s="41" t="s">
        <v>8282</v>
      </c>
      <c r="E1775" s="41">
        <v>29800</v>
      </c>
    </row>
    <row r="1776" spans="1:5" x14ac:dyDescent="0.25">
      <c r="A1776" s="41" t="s">
        <v>8157</v>
      </c>
      <c r="B1776" s="41" t="s">
        <v>1327</v>
      </c>
      <c r="C1776" s="41" t="s">
        <v>1352</v>
      </c>
      <c r="D1776" s="41" t="s">
        <v>8283</v>
      </c>
      <c r="E1776" s="41">
        <v>29100</v>
      </c>
    </row>
    <row r="1777" spans="1:5" x14ac:dyDescent="0.25">
      <c r="A1777" s="41" t="s">
        <v>8157</v>
      </c>
      <c r="B1777" s="41" t="s">
        <v>1327</v>
      </c>
      <c r="C1777" s="41" t="s">
        <v>1352</v>
      </c>
      <c r="D1777" s="41" t="s">
        <v>8168</v>
      </c>
      <c r="E1777" s="41">
        <v>28200</v>
      </c>
    </row>
    <row r="1778" spans="1:5" x14ac:dyDescent="0.25">
      <c r="A1778" s="41" t="s">
        <v>8157</v>
      </c>
      <c r="B1778" s="41" t="s">
        <v>1329</v>
      </c>
      <c r="C1778" s="41" t="s">
        <v>1352</v>
      </c>
      <c r="D1778" s="41" t="s">
        <v>8284</v>
      </c>
      <c r="E1778" s="41">
        <v>35400</v>
      </c>
    </row>
    <row r="1779" spans="1:5" x14ac:dyDescent="0.25">
      <c r="A1779" s="41" t="s">
        <v>8157</v>
      </c>
      <c r="B1779" s="41" t="s">
        <v>1329</v>
      </c>
      <c r="C1779" s="41" t="s">
        <v>1352</v>
      </c>
      <c r="D1779" s="41" t="s">
        <v>8285</v>
      </c>
      <c r="E1779" s="41">
        <v>33600</v>
      </c>
    </row>
    <row r="1780" spans="1:5" x14ac:dyDescent="0.25">
      <c r="A1780" s="41" t="s">
        <v>8157</v>
      </c>
      <c r="B1780" s="41" t="s">
        <v>1329</v>
      </c>
      <c r="C1780" s="41" t="s">
        <v>1352</v>
      </c>
      <c r="D1780" s="41" t="s">
        <v>8286</v>
      </c>
      <c r="E1780" s="41">
        <v>31900</v>
      </c>
    </row>
    <row r="1781" spans="1:5" x14ac:dyDescent="0.25">
      <c r="A1781" s="41" t="s">
        <v>8157</v>
      </c>
      <c r="B1781" s="41" t="s">
        <v>1329</v>
      </c>
      <c r="C1781" s="41" t="s">
        <v>1352</v>
      </c>
      <c r="D1781" s="41" t="s">
        <v>8260</v>
      </c>
      <c r="E1781" s="41">
        <v>29800</v>
      </c>
    </row>
    <row r="1782" spans="1:5" x14ac:dyDescent="0.25">
      <c r="A1782" s="41" t="s">
        <v>8157</v>
      </c>
      <c r="B1782" s="41" t="s">
        <v>7441</v>
      </c>
      <c r="C1782" s="41" t="s">
        <v>1352</v>
      </c>
      <c r="D1782" s="41" t="s">
        <v>8287</v>
      </c>
      <c r="E1782" s="41">
        <v>32600</v>
      </c>
    </row>
    <row r="1783" spans="1:5" x14ac:dyDescent="0.25">
      <c r="A1783" s="41" t="s">
        <v>8157</v>
      </c>
      <c r="B1783" s="41" t="s">
        <v>7441</v>
      </c>
      <c r="C1783" s="41" t="s">
        <v>1352</v>
      </c>
      <c r="D1783" s="41" t="s">
        <v>8288</v>
      </c>
      <c r="E1783" s="41">
        <v>31000</v>
      </c>
    </row>
    <row r="1784" spans="1:5" x14ac:dyDescent="0.25">
      <c r="A1784" s="41" t="s">
        <v>8157</v>
      </c>
      <c r="B1784" s="41" t="s">
        <v>7441</v>
      </c>
      <c r="C1784" s="41" t="s">
        <v>1352</v>
      </c>
      <c r="D1784" s="41" t="s">
        <v>8265</v>
      </c>
      <c r="E1784" s="41">
        <v>28800</v>
      </c>
    </row>
    <row r="1785" spans="1:5" x14ac:dyDescent="0.25">
      <c r="A1785" s="41" t="s">
        <v>8157</v>
      </c>
      <c r="B1785" s="41" t="s">
        <v>7441</v>
      </c>
      <c r="C1785" s="41" t="s">
        <v>1352</v>
      </c>
      <c r="D1785" s="41" t="s">
        <v>8289</v>
      </c>
      <c r="E1785" s="41">
        <v>27400</v>
      </c>
    </row>
    <row r="1786" spans="1:5" x14ac:dyDescent="0.25">
      <c r="A1786" s="41" t="s">
        <v>8157</v>
      </c>
      <c r="B1786" s="41" t="s">
        <v>7441</v>
      </c>
      <c r="C1786" s="41" t="s">
        <v>1352</v>
      </c>
      <c r="D1786" s="41" t="s">
        <v>8290</v>
      </c>
      <c r="E1786" s="41">
        <v>25400</v>
      </c>
    </row>
    <row r="1787" spans="1:5" x14ac:dyDescent="0.25">
      <c r="A1787" s="41" t="s">
        <v>8157</v>
      </c>
      <c r="B1787" s="41" t="s">
        <v>7441</v>
      </c>
      <c r="C1787" s="41" t="s">
        <v>1352</v>
      </c>
      <c r="D1787" s="41" t="s">
        <v>8258</v>
      </c>
      <c r="E1787" s="41">
        <v>24200</v>
      </c>
    </row>
    <row r="1788" spans="1:5" x14ac:dyDescent="0.25">
      <c r="A1788" s="41" t="s">
        <v>8157</v>
      </c>
      <c r="B1788" s="41" t="s">
        <v>7429</v>
      </c>
      <c r="C1788" s="41" t="s">
        <v>1352</v>
      </c>
      <c r="D1788" s="41" t="s">
        <v>8233</v>
      </c>
      <c r="E1788" s="41">
        <v>42600</v>
      </c>
    </row>
    <row r="1789" spans="1:5" x14ac:dyDescent="0.25">
      <c r="A1789" s="41" t="s">
        <v>8157</v>
      </c>
      <c r="B1789" s="41" t="s">
        <v>7429</v>
      </c>
      <c r="C1789" s="41" t="s">
        <v>1352</v>
      </c>
      <c r="D1789" s="41" t="s">
        <v>8265</v>
      </c>
      <c r="E1789" s="41">
        <v>39600</v>
      </c>
    </row>
    <row r="1790" spans="1:5" x14ac:dyDescent="0.25">
      <c r="A1790" s="41" t="s">
        <v>8157</v>
      </c>
      <c r="B1790" s="41" t="s">
        <v>7429</v>
      </c>
      <c r="C1790" s="41" t="s">
        <v>1352</v>
      </c>
      <c r="D1790" s="41" t="s">
        <v>8291</v>
      </c>
      <c r="E1790" s="41">
        <v>36800</v>
      </c>
    </row>
    <row r="1791" spans="1:5" x14ac:dyDescent="0.25">
      <c r="A1791" s="41" t="s">
        <v>8157</v>
      </c>
      <c r="B1791" s="41" t="s">
        <v>7429</v>
      </c>
      <c r="C1791" s="41" t="s">
        <v>1352</v>
      </c>
      <c r="D1791" s="41" t="s">
        <v>8292</v>
      </c>
      <c r="E1791" s="41">
        <v>34200</v>
      </c>
    </row>
    <row r="1792" spans="1:5" x14ac:dyDescent="0.25">
      <c r="A1792" s="41" t="s">
        <v>8157</v>
      </c>
      <c r="B1792" s="41" t="s">
        <v>7429</v>
      </c>
      <c r="C1792" s="41" t="s">
        <v>1352</v>
      </c>
      <c r="D1792" s="41" t="s">
        <v>8229</v>
      </c>
      <c r="E1792" s="41">
        <v>31900</v>
      </c>
    </row>
    <row r="1793" spans="1:5" x14ac:dyDescent="0.25">
      <c r="A1793" s="41" t="s">
        <v>8157</v>
      </c>
      <c r="B1793" s="41" t="s">
        <v>7429</v>
      </c>
      <c r="C1793" s="41" t="s">
        <v>1352</v>
      </c>
      <c r="D1793" s="41" t="s">
        <v>8168</v>
      </c>
      <c r="E1793" s="41">
        <v>29700</v>
      </c>
    </row>
    <row r="1794" spans="1:5" x14ac:dyDescent="0.25">
      <c r="A1794" s="41" t="s">
        <v>8157</v>
      </c>
      <c r="B1794" s="41" t="s">
        <v>7752</v>
      </c>
      <c r="C1794" s="41" t="s">
        <v>1352</v>
      </c>
      <c r="D1794" s="41" t="s">
        <v>8421</v>
      </c>
      <c r="E1794" s="41">
        <v>27200</v>
      </c>
    </row>
    <row r="1795" spans="1:5" x14ac:dyDescent="0.25">
      <c r="A1795" s="41" t="s">
        <v>8157</v>
      </c>
      <c r="B1795" s="41" t="s">
        <v>7752</v>
      </c>
      <c r="C1795" s="41" t="s">
        <v>1352</v>
      </c>
      <c r="D1795" s="41" t="s">
        <v>8422</v>
      </c>
      <c r="E1795" s="41">
        <v>26500</v>
      </c>
    </row>
    <row r="1796" spans="1:5" x14ac:dyDescent="0.25">
      <c r="A1796" s="41" t="s">
        <v>8157</v>
      </c>
      <c r="B1796" s="41" t="s">
        <v>7752</v>
      </c>
      <c r="C1796" s="41" t="s">
        <v>1352</v>
      </c>
      <c r="D1796" s="41" t="s">
        <v>8248</v>
      </c>
      <c r="E1796" s="41">
        <v>25300</v>
      </c>
    </row>
    <row r="1797" spans="1:5" x14ac:dyDescent="0.25">
      <c r="A1797" s="41" t="s">
        <v>8157</v>
      </c>
      <c r="B1797" s="41" t="s">
        <v>7752</v>
      </c>
      <c r="C1797" s="41" t="s">
        <v>1352</v>
      </c>
      <c r="D1797" s="41" t="s">
        <v>8288</v>
      </c>
      <c r="E1797" s="41">
        <v>24000</v>
      </c>
    </row>
    <row r="1798" spans="1:5" x14ac:dyDescent="0.25">
      <c r="A1798" s="41" t="s">
        <v>8157</v>
      </c>
      <c r="B1798" s="41" t="s">
        <v>7752</v>
      </c>
      <c r="C1798" s="41" t="s">
        <v>1352</v>
      </c>
      <c r="D1798" s="41" t="s">
        <v>8234</v>
      </c>
      <c r="E1798" s="41">
        <v>23400</v>
      </c>
    </row>
    <row r="1799" spans="1:5" x14ac:dyDescent="0.25">
      <c r="A1799" s="41" t="s">
        <v>8157</v>
      </c>
      <c r="B1799" s="41" t="s">
        <v>7752</v>
      </c>
      <c r="C1799" s="41" t="s">
        <v>1352</v>
      </c>
      <c r="D1799" s="41" t="s">
        <v>8331</v>
      </c>
      <c r="E1799" s="41">
        <v>22700</v>
      </c>
    </row>
    <row r="1800" spans="1:5" x14ac:dyDescent="0.25">
      <c r="A1800" s="41" t="s">
        <v>8157</v>
      </c>
      <c r="B1800" s="41" t="s">
        <v>7584</v>
      </c>
      <c r="C1800" s="41" t="s">
        <v>1352</v>
      </c>
      <c r="D1800" s="41" t="s">
        <v>8287</v>
      </c>
      <c r="E1800" s="41">
        <v>20800</v>
      </c>
    </row>
    <row r="1801" spans="1:5" x14ac:dyDescent="0.25">
      <c r="A1801" s="41" t="s">
        <v>8157</v>
      </c>
      <c r="B1801" s="41" t="s">
        <v>7584</v>
      </c>
      <c r="C1801" s="41" t="s">
        <v>1352</v>
      </c>
      <c r="D1801" s="41" t="s">
        <v>8293</v>
      </c>
      <c r="E1801" s="41">
        <v>19400</v>
      </c>
    </row>
    <row r="1802" spans="1:5" x14ac:dyDescent="0.25">
      <c r="A1802" s="41" t="s">
        <v>8157</v>
      </c>
      <c r="B1802" s="41" t="s">
        <v>7584</v>
      </c>
      <c r="C1802" s="41" t="s">
        <v>1352</v>
      </c>
      <c r="D1802" s="41" t="s">
        <v>8294</v>
      </c>
      <c r="E1802" s="41">
        <v>17900</v>
      </c>
    </row>
    <row r="1803" spans="1:5" x14ac:dyDescent="0.25">
      <c r="A1803" s="41" t="s">
        <v>8157</v>
      </c>
      <c r="B1803" s="41" t="s">
        <v>7584</v>
      </c>
      <c r="C1803" s="41" t="s">
        <v>1352</v>
      </c>
      <c r="D1803" s="41" t="s">
        <v>8266</v>
      </c>
      <c r="E1803" s="41">
        <v>16700</v>
      </c>
    </row>
    <row r="1804" spans="1:5" x14ac:dyDescent="0.25">
      <c r="A1804" s="41" t="s">
        <v>8157</v>
      </c>
      <c r="B1804" s="41" t="s">
        <v>7586</v>
      </c>
      <c r="C1804" s="41" t="s">
        <v>1352</v>
      </c>
      <c r="D1804" s="41" t="s">
        <v>8295</v>
      </c>
      <c r="E1804" s="41">
        <v>36400</v>
      </c>
    </row>
    <row r="1805" spans="1:5" x14ac:dyDescent="0.25">
      <c r="A1805" s="41" t="s">
        <v>8157</v>
      </c>
      <c r="B1805" s="41" t="s">
        <v>7586</v>
      </c>
      <c r="C1805" s="41" t="s">
        <v>1352</v>
      </c>
      <c r="D1805" s="41" t="s">
        <v>8296</v>
      </c>
      <c r="E1805" s="41">
        <v>35230</v>
      </c>
    </row>
    <row r="1806" spans="1:5" x14ac:dyDescent="0.25">
      <c r="A1806" s="41" t="s">
        <v>8157</v>
      </c>
      <c r="B1806" s="41" t="s">
        <v>7586</v>
      </c>
      <c r="C1806" s="41" t="s">
        <v>1352</v>
      </c>
      <c r="D1806" s="41" t="s">
        <v>8260</v>
      </c>
      <c r="E1806" s="41">
        <v>34190</v>
      </c>
    </row>
    <row r="1807" spans="1:5" x14ac:dyDescent="0.25">
      <c r="A1807" s="41" t="s">
        <v>8157</v>
      </c>
      <c r="B1807" s="41" t="s">
        <v>7475</v>
      </c>
      <c r="C1807" s="41" t="s">
        <v>1352</v>
      </c>
      <c r="D1807" s="41" t="s">
        <v>8172</v>
      </c>
      <c r="E1807" s="41">
        <v>21800</v>
      </c>
    </row>
    <row r="1808" spans="1:5" x14ac:dyDescent="0.25">
      <c r="A1808" s="41" t="s">
        <v>8157</v>
      </c>
      <c r="B1808" s="41" t="s">
        <v>7475</v>
      </c>
      <c r="C1808" s="41" t="s">
        <v>1352</v>
      </c>
      <c r="D1808" s="41" t="s">
        <v>8173</v>
      </c>
      <c r="E1808" s="41">
        <v>20400</v>
      </c>
    </row>
    <row r="1809" spans="1:5" x14ac:dyDescent="0.25">
      <c r="A1809" s="41" t="s">
        <v>8157</v>
      </c>
      <c r="B1809" s="41" t="s">
        <v>7475</v>
      </c>
      <c r="C1809" s="41" t="s">
        <v>1352</v>
      </c>
      <c r="D1809" s="41" t="s">
        <v>8297</v>
      </c>
      <c r="E1809" s="41">
        <v>19000</v>
      </c>
    </row>
    <row r="1810" spans="1:5" x14ac:dyDescent="0.25">
      <c r="A1810" s="41" t="s">
        <v>8157</v>
      </c>
      <c r="B1810" s="41" t="s">
        <v>7589</v>
      </c>
      <c r="C1810" s="41" t="s">
        <v>1352</v>
      </c>
      <c r="D1810" s="41" t="s">
        <v>8158</v>
      </c>
      <c r="E1810" s="41">
        <v>19865</v>
      </c>
    </row>
    <row r="1811" spans="1:5" x14ac:dyDescent="0.25">
      <c r="A1811" s="41" t="s">
        <v>8157</v>
      </c>
      <c r="B1811" s="41" t="s">
        <v>7591</v>
      </c>
      <c r="C1811" s="41" t="s">
        <v>1352</v>
      </c>
      <c r="D1811" s="41" t="s">
        <v>8298</v>
      </c>
      <c r="E1811" s="41">
        <v>20155</v>
      </c>
    </row>
    <row r="1812" spans="1:5" x14ac:dyDescent="0.25">
      <c r="A1812" s="41" t="s">
        <v>8157</v>
      </c>
      <c r="B1812" s="41" t="s">
        <v>7591</v>
      </c>
      <c r="C1812" s="41" t="s">
        <v>1352</v>
      </c>
      <c r="D1812" s="41" t="s">
        <v>8299</v>
      </c>
      <c r="E1812" s="41">
        <v>19140</v>
      </c>
    </row>
    <row r="1813" spans="1:5" x14ac:dyDescent="0.25">
      <c r="A1813" s="41" t="s">
        <v>8157</v>
      </c>
      <c r="B1813" s="41" t="s">
        <v>7591</v>
      </c>
      <c r="C1813" s="41" t="s">
        <v>1352</v>
      </c>
      <c r="D1813" s="41" t="s">
        <v>8243</v>
      </c>
      <c r="E1813" s="41">
        <v>18125</v>
      </c>
    </row>
    <row r="1814" spans="1:5" x14ac:dyDescent="0.25">
      <c r="A1814" s="41" t="s">
        <v>8157</v>
      </c>
      <c r="B1814" s="41" t="s">
        <v>7594</v>
      </c>
      <c r="C1814" s="41" t="s">
        <v>1352</v>
      </c>
      <c r="D1814" s="41" t="s">
        <v>8300</v>
      </c>
      <c r="E1814" s="41">
        <v>28500</v>
      </c>
    </row>
    <row r="1815" spans="1:5" x14ac:dyDescent="0.25">
      <c r="A1815" s="41" t="s">
        <v>8157</v>
      </c>
      <c r="B1815" s="41" t="s">
        <v>7594</v>
      </c>
      <c r="C1815" s="41" t="s">
        <v>1352</v>
      </c>
      <c r="D1815" s="41" t="s">
        <v>8301</v>
      </c>
      <c r="E1815" s="41">
        <v>26400</v>
      </c>
    </row>
    <row r="1816" spans="1:5" x14ac:dyDescent="0.25">
      <c r="A1816" s="41" t="s">
        <v>8157</v>
      </c>
      <c r="B1816" s="41" t="s">
        <v>7594</v>
      </c>
      <c r="C1816" s="41" t="s">
        <v>1352</v>
      </c>
      <c r="D1816" s="41" t="s">
        <v>8302</v>
      </c>
      <c r="E1816" s="41">
        <v>25700</v>
      </c>
    </row>
    <row r="1817" spans="1:5" x14ac:dyDescent="0.25">
      <c r="A1817" s="41" t="s">
        <v>8157</v>
      </c>
      <c r="B1817" s="41" t="s">
        <v>7597</v>
      </c>
      <c r="C1817" s="41" t="s">
        <v>1352</v>
      </c>
      <c r="D1817" s="41" t="s">
        <v>8303</v>
      </c>
      <c r="E1817" s="41">
        <v>11700</v>
      </c>
    </row>
    <row r="1818" spans="1:5" x14ac:dyDescent="0.25">
      <c r="A1818" s="41" t="s">
        <v>8157</v>
      </c>
      <c r="B1818" s="41" t="s">
        <v>7597</v>
      </c>
      <c r="C1818" s="41" t="s">
        <v>1352</v>
      </c>
      <c r="D1818" s="41" t="s">
        <v>1133</v>
      </c>
      <c r="E1818" s="41">
        <v>9500</v>
      </c>
    </row>
    <row r="1819" spans="1:5" x14ac:dyDescent="0.25">
      <c r="A1819" s="41" t="s">
        <v>8157</v>
      </c>
      <c r="B1819" s="41" t="s">
        <v>7597</v>
      </c>
      <c r="C1819" s="41" t="s">
        <v>1352</v>
      </c>
      <c r="D1819" s="41" t="s">
        <v>8304</v>
      </c>
      <c r="E1819" s="41">
        <v>8500</v>
      </c>
    </row>
    <row r="1820" spans="1:5" x14ac:dyDescent="0.25">
      <c r="A1820" s="41" t="s">
        <v>8157</v>
      </c>
      <c r="B1820" s="41" t="s">
        <v>7597</v>
      </c>
      <c r="C1820" s="41" t="s">
        <v>1352</v>
      </c>
      <c r="D1820" s="41" t="s">
        <v>8305</v>
      </c>
      <c r="E1820" s="41">
        <v>7300</v>
      </c>
    </row>
    <row r="1821" spans="1:5" x14ac:dyDescent="0.25">
      <c r="A1821" s="41" t="s">
        <v>8157</v>
      </c>
      <c r="B1821" s="41" t="s">
        <v>7766</v>
      </c>
      <c r="C1821" s="41" t="s">
        <v>1352</v>
      </c>
      <c r="D1821" s="41" t="s">
        <v>8243</v>
      </c>
      <c r="E1821" s="41">
        <v>31300</v>
      </c>
    </row>
    <row r="1822" spans="1:5" x14ac:dyDescent="0.25">
      <c r="A1822" s="41" t="s">
        <v>8157</v>
      </c>
      <c r="B1822" s="41" t="s">
        <v>7768</v>
      </c>
      <c r="C1822" s="41" t="s">
        <v>1352</v>
      </c>
      <c r="D1822" s="41" t="s">
        <v>8233</v>
      </c>
      <c r="E1822" s="41">
        <v>39200</v>
      </c>
    </row>
    <row r="1823" spans="1:5" x14ac:dyDescent="0.25">
      <c r="A1823" s="41" t="s">
        <v>8157</v>
      </c>
      <c r="B1823" s="41" t="s">
        <v>7768</v>
      </c>
      <c r="C1823" s="41" t="s">
        <v>1352</v>
      </c>
      <c r="D1823" s="41" t="s">
        <v>8234</v>
      </c>
      <c r="E1823" s="41">
        <v>37300</v>
      </c>
    </row>
    <row r="1824" spans="1:5" x14ac:dyDescent="0.25">
      <c r="A1824" s="41" t="s">
        <v>8157</v>
      </c>
      <c r="B1824" s="41" t="s">
        <v>7474</v>
      </c>
      <c r="C1824" s="41" t="s">
        <v>1352</v>
      </c>
      <c r="D1824" s="41" t="s">
        <v>8306</v>
      </c>
      <c r="E1824" s="41">
        <v>18700</v>
      </c>
    </row>
    <row r="1825" spans="1:5" x14ac:dyDescent="0.25">
      <c r="A1825" s="41" t="s">
        <v>8157</v>
      </c>
      <c r="B1825" s="41" t="s">
        <v>7474</v>
      </c>
      <c r="C1825" s="41" t="s">
        <v>1352</v>
      </c>
      <c r="D1825" s="41" t="s">
        <v>8307</v>
      </c>
      <c r="E1825" s="41">
        <v>16000</v>
      </c>
    </row>
    <row r="1826" spans="1:5" x14ac:dyDescent="0.25">
      <c r="A1826" s="41" t="s">
        <v>8157</v>
      </c>
      <c r="B1826" s="41" t="s">
        <v>7474</v>
      </c>
      <c r="C1826" s="41" t="s">
        <v>1352</v>
      </c>
      <c r="D1826" s="41" t="s">
        <v>8308</v>
      </c>
      <c r="E1826" s="41">
        <v>13300</v>
      </c>
    </row>
    <row r="1827" spans="1:5" x14ac:dyDescent="0.25">
      <c r="A1827" s="41" t="s">
        <v>8157</v>
      </c>
      <c r="B1827" s="41" t="s">
        <v>7600</v>
      </c>
      <c r="C1827" s="41" t="s">
        <v>1352</v>
      </c>
      <c r="D1827" s="41" t="s">
        <v>8309</v>
      </c>
      <c r="E1827" s="41">
        <v>20900</v>
      </c>
    </row>
    <row r="1828" spans="1:5" x14ac:dyDescent="0.25">
      <c r="A1828" s="41" t="s">
        <v>8157</v>
      </c>
      <c r="B1828" s="41" t="s">
        <v>7600</v>
      </c>
      <c r="C1828" s="41" t="s">
        <v>1352</v>
      </c>
      <c r="D1828" s="41" t="s">
        <v>8310</v>
      </c>
      <c r="E1828" s="41">
        <v>19400</v>
      </c>
    </row>
    <row r="1829" spans="1:5" x14ac:dyDescent="0.25">
      <c r="A1829" s="41" t="s">
        <v>8157</v>
      </c>
      <c r="B1829" s="41" t="s">
        <v>7600</v>
      </c>
      <c r="C1829" s="41" t="s">
        <v>1352</v>
      </c>
      <c r="D1829" s="41" t="s">
        <v>8311</v>
      </c>
      <c r="E1829" s="41">
        <v>18100</v>
      </c>
    </row>
    <row r="1830" spans="1:5" x14ac:dyDescent="0.25">
      <c r="A1830" s="41" t="s">
        <v>8157</v>
      </c>
      <c r="B1830" s="41" t="s">
        <v>7600</v>
      </c>
      <c r="C1830" s="41" t="s">
        <v>1352</v>
      </c>
      <c r="D1830" s="41" t="s">
        <v>8312</v>
      </c>
      <c r="E1830" s="41">
        <v>17200</v>
      </c>
    </row>
    <row r="1831" spans="1:5" x14ac:dyDescent="0.25">
      <c r="A1831" s="41" t="s">
        <v>8157</v>
      </c>
      <c r="B1831" s="41" t="s">
        <v>7600</v>
      </c>
      <c r="C1831" s="41" t="s">
        <v>1352</v>
      </c>
      <c r="D1831" s="41" t="s">
        <v>8313</v>
      </c>
      <c r="E1831" s="41">
        <v>16300</v>
      </c>
    </row>
    <row r="1832" spans="1:5" x14ac:dyDescent="0.25">
      <c r="A1832" s="41" t="s">
        <v>8157</v>
      </c>
      <c r="B1832" s="41" t="s">
        <v>7600</v>
      </c>
      <c r="C1832" s="41" t="s">
        <v>1352</v>
      </c>
      <c r="D1832" s="41" t="s">
        <v>8245</v>
      </c>
      <c r="E1832" s="41">
        <v>15500</v>
      </c>
    </row>
    <row r="1833" spans="1:5" x14ac:dyDescent="0.25">
      <c r="A1833" s="41" t="s">
        <v>8157</v>
      </c>
      <c r="B1833" s="41" t="s">
        <v>7602</v>
      </c>
      <c r="C1833" s="41" t="s">
        <v>1352</v>
      </c>
      <c r="D1833" s="41" t="s">
        <v>8228</v>
      </c>
      <c r="E1833" s="41">
        <v>14400</v>
      </c>
    </row>
    <row r="1834" spans="1:5" x14ac:dyDescent="0.25">
      <c r="A1834" s="41" t="s">
        <v>8157</v>
      </c>
      <c r="B1834" s="41" t="s">
        <v>7602</v>
      </c>
      <c r="C1834" s="41" t="s">
        <v>1352</v>
      </c>
      <c r="D1834" s="41" t="s">
        <v>8176</v>
      </c>
      <c r="E1834" s="41">
        <v>13700</v>
      </c>
    </row>
    <row r="1835" spans="1:5" x14ac:dyDescent="0.25">
      <c r="A1835" s="41" t="s">
        <v>8157</v>
      </c>
      <c r="B1835" s="41" t="s">
        <v>7604</v>
      </c>
      <c r="C1835" s="41" t="s">
        <v>1352</v>
      </c>
      <c r="D1835" s="41" t="s">
        <v>8314</v>
      </c>
      <c r="E1835" s="41">
        <v>12900</v>
      </c>
    </row>
    <row r="1836" spans="1:5" x14ac:dyDescent="0.25">
      <c r="A1836" s="41" t="s">
        <v>8157</v>
      </c>
      <c r="B1836" s="41" t="s">
        <v>7604</v>
      </c>
      <c r="C1836" s="41" t="s">
        <v>1352</v>
      </c>
      <c r="D1836" s="41" t="s">
        <v>8315</v>
      </c>
      <c r="E1836" s="41">
        <v>12300</v>
      </c>
    </row>
    <row r="1837" spans="1:5" x14ac:dyDescent="0.25">
      <c r="A1837" s="41" t="s">
        <v>8157</v>
      </c>
      <c r="B1837" s="41" t="s">
        <v>7604</v>
      </c>
      <c r="C1837" s="41" t="s">
        <v>1352</v>
      </c>
      <c r="D1837" s="41" t="s">
        <v>8316</v>
      </c>
      <c r="E1837" s="41">
        <v>11800</v>
      </c>
    </row>
    <row r="1838" spans="1:5" x14ac:dyDescent="0.25">
      <c r="A1838" s="41" t="s">
        <v>8157</v>
      </c>
      <c r="B1838" s="41" t="s">
        <v>7604</v>
      </c>
      <c r="C1838" s="41" t="s">
        <v>1352</v>
      </c>
      <c r="D1838" s="41" t="s">
        <v>8229</v>
      </c>
      <c r="E1838" s="41">
        <v>10900</v>
      </c>
    </row>
    <row r="1839" spans="1:5" x14ac:dyDescent="0.25">
      <c r="A1839" s="41" t="s">
        <v>8157</v>
      </c>
      <c r="B1839" s="41" t="s">
        <v>7604</v>
      </c>
      <c r="C1839" s="41" t="s">
        <v>1352</v>
      </c>
      <c r="D1839" s="41" t="s">
        <v>8317</v>
      </c>
      <c r="E1839" s="41">
        <v>10200</v>
      </c>
    </row>
    <row r="1840" spans="1:5" x14ac:dyDescent="0.25">
      <c r="A1840" s="41" t="s">
        <v>8157</v>
      </c>
      <c r="B1840" s="41" t="s">
        <v>7604</v>
      </c>
      <c r="C1840" s="41" t="s">
        <v>1352</v>
      </c>
      <c r="D1840" s="41" t="s">
        <v>8318</v>
      </c>
      <c r="E1840" s="41">
        <v>9600</v>
      </c>
    </row>
    <row r="1841" spans="1:5" x14ac:dyDescent="0.25">
      <c r="A1841" s="41" t="s">
        <v>8157</v>
      </c>
      <c r="B1841" s="41" t="s">
        <v>7604</v>
      </c>
      <c r="C1841" s="41" t="s">
        <v>1352</v>
      </c>
      <c r="D1841" s="41" t="s">
        <v>8319</v>
      </c>
      <c r="E1841" s="41">
        <v>9200</v>
      </c>
    </row>
    <row r="1842" spans="1:5" x14ac:dyDescent="0.25">
      <c r="A1842" s="41" t="s">
        <v>8157</v>
      </c>
      <c r="B1842" s="41" t="s">
        <v>7604</v>
      </c>
      <c r="C1842" s="41" t="s">
        <v>1352</v>
      </c>
      <c r="D1842" s="41" t="s">
        <v>8320</v>
      </c>
      <c r="E1842" s="41">
        <v>8700</v>
      </c>
    </row>
    <row r="1843" spans="1:5" x14ac:dyDescent="0.25">
      <c r="A1843" s="41" t="s">
        <v>8157</v>
      </c>
      <c r="B1843" s="41" t="s">
        <v>7604</v>
      </c>
      <c r="C1843" s="41" t="s">
        <v>1352</v>
      </c>
      <c r="D1843" s="41" t="s">
        <v>8321</v>
      </c>
      <c r="E1843" s="41">
        <v>8300</v>
      </c>
    </row>
    <row r="1844" spans="1:5" x14ac:dyDescent="0.25">
      <c r="A1844" s="41" t="s">
        <v>8157</v>
      </c>
      <c r="B1844" s="41" t="s">
        <v>7604</v>
      </c>
      <c r="C1844" s="41" t="s">
        <v>1352</v>
      </c>
      <c r="D1844" s="41" t="s">
        <v>8322</v>
      </c>
      <c r="E1844" s="41">
        <v>7900</v>
      </c>
    </row>
    <row r="1845" spans="1:5" x14ac:dyDescent="0.25">
      <c r="A1845" s="41" t="s">
        <v>8157</v>
      </c>
      <c r="B1845" s="41" t="s">
        <v>7604</v>
      </c>
      <c r="C1845" s="41" t="s">
        <v>1352</v>
      </c>
      <c r="D1845" s="41" t="s">
        <v>8323</v>
      </c>
      <c r="E1845" s="41">
        <v>7500</v>
      </c>
    </row>
    <row r="1846" spans="1:5" x14ac:dyDescent="0.25">
      <c r="A1846" s="41" t="s">
        <v>8157</v>
      </c>
      <c r="B1846" s="41" t="s">
        <v>7606</v>
      </c>
      <c r="C1846" s="41" t="s">
        <v>1352</v>
      </c>
      <c r="D1846" s="41" t="s">
        <v>8158</v>
      </c>
      <c r="E1846" s="41">
        <v>21300</v>
      </c>
    </row>
    <row r="1847" spans="1:5" x14ac:dyDescent="0.25">
      <c r="A1847" s="41" t="s">
        <v>8157</v>
      </c>
      <c r="B1847" s="41" t="s">
        <v>7455</v>
      </c>
      <c r="C1847" s="41" t="s">
        <v>1352</v>
      </c>
      <c r="D1847" s="41" t="s">
        <v>8287</v>
      </c>
      <c r="E1847" s="41">
        <v>15340</v>
      </c>
    </row>
    <row r="1848" spans="1:5" x14ac:dyDescent="0.25">
      <c r="A1848" s="41" t="s">
        <v>8157</v>
      </c>
      <c r="B1848" s="41" t="s">
        <v>7455</v>
      </c>
      <c r="C1848" s="41" t="s">
        <v>1352</v>
      </c>
      <c r="D1848" s="41" t="s">
        <v>8324</v>
      </c>
      <c r="E1848" s="41">
        <v>14820</v>
      </c>
    </row>
    <row r="1849" spans="1:5" x14ac:dyDescent="0.25">
      <c r="A1849" s="41" t="s">
        <v>8157</v>
      </c>
      <c r="B1849" s="41" t="s">
        <v>7455</v>
      </c>
      <c r="C1849" s="41" t="s">
        <v>1352</v>
      </c>
      <c r="D1849" s="41" t="s">
        <v>8325</v>
      </c>
      <c r="E1849" s="41">
        <v>13750</v>
      </c>
    </row>
    <row r="1850" spans="1:5" x14ac:dyDescent="0.25">
      <c r="A1850" s="41" t="s">
        <v>8157</v>
      </c>
      <c r="B1850" s="41" t="s">
        <v>7455</v>
      </c>
      <c r="C1850" s="41" t="s">
        <v>1352</v>
      </c>
      <c r="D1850" s="41" t="s">
        <v>8326</v>
      </c>
      <c r="E1850" s="41">
        <v>12750</v>
      </c>
    </row>
    <row r="1851" spans="1:5" x14ac:dyDescent="0.25">
      <c r="A1851" s="41" t="s">
        <v>8157</v>
      </c>
      <c r="B1851" s="41" t="s">
        <v>7455</v>
      </c>
      <c r="C1851" s="41" t="s">
        <v>1352</v>
      </c>
      <c r="D1851" s="41" t="s">
        <v>8313</v>
      </c>
      <c r="E1851" s="41">
        <v>11625</v>
      </c>
    </row>
    <row r="1852" spans="1:5" x14ac:dyDescent="0.25">
      <c r="A1852" s="41" t="s">
        <v>8157</v>
      </c>
      <c r="B1852" s="41" t="s">
        <v>7455</v>
      </c>
      <c r="C1852" s="41" t="s">
        <v>1352</v>
      </c>
      <c r="D1852" s="41" t="s">
        <v>8245</v>
      </c>
      <c r="E1852" s="41">
        <v>10625</v>
      </c>
    </row>
    <row r="1853" spans="1:5" x14ac:dyDescent="0.25">
      <c r="A1853" s="41" t="s">
        <v>8157</v>
      </c>
      <c r="B1853" s="41" t="s">
        <v>7424</v>
      </c>
      <c r="C1853" s="41" t="s">
        <v>1352</v>
      </c>
      <c r="D1853" s="41" t="s">
        <v>8242</v>
      </c>
      <c r="E1853" s="41">
        <v>10200</v>
      </c>
    </row>
    <row r="1854" spans="1:5" x14ac:dyDescent="0.25">
      <c r="A1854" s="41" t="s">
        <v>8157</v>
      </c>
      <c r="B1854" s="41" t="s">
        <v>7424</v>
      </c>
      <c r="C1854" s="41" t="s">
        <v>1352</v>
      </c>
      <c r="D1854" s="41" t="s">
        <v>8327</v>
      </c>
      <c r="E1854" s="41">
        <v>9300</v>
      </c>
    </row>
    <row r="1855" spans="1:5" x14ac:dyDescent="0.25">
      <c r="A1855" s="41" t="s">
        <v>8157</v>
      </c>
      <c r="B1855" s="41" t="s">
        <v>7424</v>
      </c>
      <c r="C1855" s="41" t="s">
        <v>1352</v>
      </c>
      <c r="D1855" s="41" t="s">
        <v>8328</v>
      </c>
      <c r="E1855" s="41">
        <v>8500</v>
      </c>
    </row>
    <row r="1856" spans="1:5" x14ac:dyDescent="0.25">
      <c r="A1856" s="41" t="s">
        <v>8157</v>
      </c>
      <c r="B1856" s="41" t="s">
        <v>7437</v>
      </c>
      <c r="C1856" s="41" t="s">
        <v>1352</v>
      </c>
      <c r="D1856" s="41" t="s">
        <v>8287</v>
      </c>
      <c r="E1856" s="41">
        <v>8280</v>
      </c>
    </row>
    <row r="1857" spans="1:5" x14ac:dyDescent="0.25">
      <c r="A1857" s="41" t="s">
        <v>8157</v>
      </c>
      <c r="B1857" s="41" t="s">
        <v>7437</v>
      </c>
      <c r="C1857" s="41" t="s">
        <v>1352</v>
      </c>
      <c r="D1857" s="41" t="s">
        <v>8329</v>
      </c>
      <c r="E1857" s="41">
        <v>7560</v>
      </c>
    </row>
    <row r="1858" spans="1:5" x14ac:dyDescent="0.25">
      <c r="A1858" s="41" t="s">
        <v>8157</v>
      </c>
      <c r="B1858" s="41" t="s">
        <v>7437</v>
      </c>
      <c r="C1858" s="41" t="s">
        <v>1352</v>
      </c>
      <c r="D1858" s="41" t="s">
        <v>8330</v>
      </c>
      <c r="E1858" s="41">
        <v>7200</v>
      </c>
    </row>
    <row r="1859" spans="1:5" x14ac:dyDescent="0.25">
      <c r="A1859" s="41" t="s">
        <v>8157</v>
      </c>
      <c r="B1859" s="41" t="s">
        <v>7437</v>
      </c>
      <c r="C1859" s="41" t="s">
        <v>1352</v>
      </c>
      <c r="D1859" s="41" t="s">
        <v>8331</v>
      </c>
      <c r="E1859" s="41">
        <v>6840</v>
      </c>
    </row>
    <row r="1860" spans="1:5" x14ac:dyDescent="0.25">
      <c r="A1860" s="41" t="s">
        <v>8157</v>
      </c>
      <c r="B1860" s="41" t="s">
        <v>7445</v>
      </c>
      <c r="C1860" s="41" t="s">
        <v>1352</v>
      </c>
      <c r="D1860" s="41" t="s">
        <v>8332</v>
      </c>
      <c r="E1860" s="41">
        <v>12700</v>
      </c>
    </row>
    <row r="1861" spans="1:5" x14ac:dyDescent="0.25">
      <c r="A1861" s="41" t="s">
        <v>8157</v>
      </c>
      <c r="B1861" s="41" t="s">
        <v>7445</v>
      </c>
      <c r="C1861" s="41" t="s">
        <v>1352</v>
      </c>
      <c r="D1861" s="41" t="s">
        <v>8333</v>
      </c>
      <c r="E1861" s="41">
        <v>12100</v>
      </c>
    </row>
    <row r="1862" spans="1:5" x14ac:dyDescent="0.25">
      <c r="A1862" s="41" t="s">
        <v>8157</v>
      </c>
      <c r="B1862" s="41" t="s">
        <v>7445</v>
      </c>
      <c r="C1862" s="41" t="s">
        <v>1352</v>
      </c>
      <c r="D1862" s="41" t="s">
        <v>8193</v>
      </c>
      <c r="E1862" s="41">
        <v>11200</v>
      </c>
    </row>
    <row r="1863" spans="1:5" x14ac:dyDescent="0.25">
      <c r="A1863" s="41" t="s">
        <v>8157</v>
      </c>
      <c r="B1863" s="41" t="s">
        <v>7612</v>
      </c>
      <c r="C1863" s="41" t="s">
        <v>1352</v>
      </c>
      <c r="D1863" s="41" t="s">
        <v>8158</v>
      </c>
      <c r="E1863" s="41">
        <v>7300</v>
      </c>
    </row>
    <row r="1864" spans="1:5" x14ac:dyDescent="0.25">
      <c r="A1864" s="41" t="s">
        <v>8157</v>
      </c>
      <c r="B1864" s="41" t="s">
        <v>7614</v>
      </c>
      <c r="C1864" s="41" t="s">
        <v>1352</v>
      </c>
      <c r="D1864" s="41" t="s">
        <v>8158</v>
      </c>
      <c r="E1864" s="41">
        <v>30700</v>
      </c>
    </row>
    <row r="1865" spans="1:5" x14ac:dyDescent="0.25">
      <c r="A1865" s="41" t="s">
        <v>8157</v>
      </c>
      <c r="B1865" s="41" t="s">
        <v>7616</v>
      </c>
      <c r="C1865" s="41" t="s">
        <v>1352</v>
      </c>
      <c r="D1865" s="41" t="s">
        <v>8158</v>
      </c>
      <c r="E1865" s="41">
        <v>12400</v>
      </c>
    </row>
    <row r="1866" spans="1:5" x14ac:dyDescent="0.25">
      <c r="A1866" s="41" t="s">
        <v>8157</v>
      </c>
      <c r="B1866" s="41" t="s">
        <v>7435</v>
      </c>
      <c r="C1866" s="41" t="s">
        <v>1352</v>
      </c>
      <c r="D1866" s="41" t="s">
        <v>8287</v>
      </c>
      <c r="E1866" s="41">
        <v>11400</v>
      </c>
    </row>
    <row r="1867" spans="1:5" x14ac:dyDescent="0.25">
      <c r="A1867" s="41" t="s">
        <v>8157</v>
      </c>
      <c r="B1867" s="41" t="s">
        <v>7435</v>
      </c>
      <c r="C1867" s="41" t="s">
        <v>1352</v>
      </c>
      <c r="D1867" s="41" t="s">
        <v>8249</v>
      </c>
      <c r="E1867" s="41">
        <v>10900</v>
      </c>
    </row>
    <row r="1868" spans="1:5" x14ac:dyDescent="0.25">
      <c r="A1868" s="41" t="s">
        <v>8157</v>
      </c>
      <c r="B1868" s="41" t="s">
        <v>7435</v>
      </c>
      <c r="C1868" s="41" t="s">
        <v>1352</v>
      </c>
      <c r="D1868" s="41" t="s">
        <v>8336</v>
      </c>
      <c r="E1868" s="41">
        <v>10200</v>
      </c>
    </row>
    <row r="1869" spans="1:5" x14ac:dyDescent="0.25">
      <c r="A1869" s="41" t="s">
        <v>8157</v>
      </c>
      <c r="B1869" s="41" t="s">
        <v>7435</v>
      </c>
      <c r="C1869" s="41" t="s">
        <v>1352</v>
      </c>
      <c r="D1869" s="41" t="s">
        <v>8337</v>
      </c>
      <c r="E1869" s="41">
        <v>9800</v>
      </c>
    </row>
    <row r="1870" spans="1:5" x14ac:dyDescent="0.25">
      <c r="A1870" s="41" t="s">
        <v>8157</v>
      </c>
      <c r="B1870" s="41" t="s">
        <v>7619</v>
      </c>
      <c r="C1870" s="41" t="s">
        <v>1352</v>
      </c>
      <c r="D1870" s="41" t="s">
        <v>8158</v>
      </c>
      <c r="E1870" s="41">
        <v>14600</v>
      </c>
    </row>
    <row r="1871" spans="1:5" x14ac:dyDescent="0.25">
      <c r="A1871" s="41" t="s">
        <v>8157</v>
      </c>
      <c r="B1871" s="41" t="s">
        <v>7621</v>
      </c>
      <c r="C1871" s="41" t="s">
        <v>1352</v>
      </c>
      <c r="D1871" s="41" t="s">
        <v>8158</v>
      </c>
      <c r="E1871" s="41">
        <v>7300</v>
      </c>
    </row>
    <row r="1872" spans="1:5" x14ac:dyDescent="0.25">
      <c r="A1872" s="41" t="s">
        <v>8157</v>
      </c>
      <c r="B1872" s="41" t="s">
        <v>7623</v>
      </c>
      <c r="C1872" s="41" t="s">
        <v>1352</v>
      </c>
      <c r="D1872" s="41" t="s">
        <v>8338</v>
      </c>
      <c r="E1872" s="41">
        <v>12300</v>
      </c>
    </row>
    <row r="1873" spans="1:5" x14ac:dyDescent="0.25">
      <c r="A1873" s="41" t="s">
        <v>8157</v>
      </c>
      <c r="B1873" s="41" t="s">
        <v>7623</v>
      </c>
      <c r="C1873" s="41" t="s">
        <v>1352</v>
      </c>
      <c r="D1873" s="41" t="s">
        <v>8339</v>
      </c>
      <c r="E1873" s="41">
        <v>11600</v>
      </c>
    </row>
    <row r="1874" spans="1:5" x14ac:dyDescent="0.25">
      <c r="A1874" s="41" t="s">
        <v>8157</v>
      </c>
      <c r="B1874" s="41" t="s">
        <v>7623</v>
      </c>
      <c r="C1874" s="41" t="s">
        <v>1352</v>
      </c>
      <c r="D1874" s="41" t="s">
        <v>8340</v>
      </c>
      <c r="E1874" s="41">
        <v>10400</v>
      </c>
    </row>
    <row r="1875" spans="1:5" x14ac:dyDescent="0.25">
      <c r="A1875" s="41" t="s">
        <v>8157</v>
      </c>
      <c r="B1875" s="41" t="s">
        <v>7625</v>
      </c>
      <c r="C1875" s="41" t="s">
        <v>1352</v>
      </c>
      <c r="D1875" s="41" t="s">
        <v>8341</v>
      </c>
      <c r="E1875" s="41">
        <v>9500</v>
      </c>
    </row>
    <row r="1876" spans="1:5" x14ac:dyDescent="0.25">
      <c r="A1876" s="41" t="s">
        <v>8157</v>
      </c>
      <c r="B1876" s="41" t="s">
        <v>7625</v>
      </c>
      <c r="C1876" s="41" t="s">
        <v>1352</v>
      </c>
      <c r="D1876" s="41" t="s">
        <v>8342</v>
      </c>
      <c r="E1876" s="41">
        <v>9300</v>
      </c>
    </row>
    <row r="1877" spans="1:5" x14ac:dyDescent="0.25">
      <c r="A1877" s="41" t="s">
        <v>8157</v>
      </c>
      <c r="B1877" s="41" t="s">
        <v>7625</v>
      </c>
      <c r="C1877" s="41" t="s">
        <v>1352</v>
      </c>
      <c r="D1877" s="41" t="s">
        <v>8343</v>
      </c>
      <c r="E1877" s="41">
        <v>8800</v>
      </c>
    </row>
    <row r="1878" spans="1:5" x14ac:dyDescent="0.25">
      <c r="A1878" s="41" t="s">
        <v>8157</v>
      </c>
      <c r="B1878" s="41" t="s">
        <v>7625</v>
      </c>
      <c r="C1878" s="41" t="s">
        <v>1352</v>
      </c>
      <c r="D1878" s="41" t="s">
        <v>8344</v>
      </c>
      <c r="E1878" s="41">
        <v>8400</v>
      </c>
    </row>
    <row r="1879" spans="1:5" x14ac:dyDescent="0.25">
      <c r="A1879" s="41" t="s">
        <v>8157</v>
      </c>
      <c r="B1879" s="41" t="s">
        <v>7439</v>
      </c>
      <c r="C1879" s="41" t="s">
        <v>1352</v>
      </c>
      <c r="D1879" s="41" t="s">
        <v>8345</v>
      </c>
      <c r="E1879" s="41">
        <v>6500</v>
      </c>
    </row>
    <row r="1880" spans="1:5" x14ac:dyDescent="0.25">
      <c r="A1880" s="41" t="s">
        <v>8157</v>
      </c>
      <c r="B1880" s="41" t="s">
        <v>7439</v>
      </c>
      <c r="C1880" s="41" t="s">
        <v>1352</v>
      </c>
      <c r="D1880" s="41" t="s">
        <v>8346</v>
      </c>
      <c r="E1880" s="41">
        <v>6300</v>
      </c>
    </row>
    <row r="1881" spans="1:5" x14ac:dyDescent="0.25">
      <c r="A1881" s="41" t="s">
        <v>8157</v>
      </c>
      <c r="B1881" s="41" t="s">
        <v>7439</v>
      </c>
      <c r="C1881" s="41" t="s">
        <v>1352</v>
      </c>
      <c r="D1881" s="41" t="s">
        <v>8288</v>
      </c>
      <c r="E1881" s="41">
        <v>6000</v>
      </c>
    </row>
    <row r="1882" spans="1:5" x14ac:dyDescent="0.25">
      <c r="A1882" s="41" t="s">
        <v>8157</v>
      </c>
      <c r="B1882" s="41" t="s">
        <v>7439</v>
      </c>
      <c r="C1882" s="41" t="s">
        <v>1352</v>
      </c>
      <c r="D1882" s="41" t="s">
        <v>8347</v>
      </c>
      <c r="E1882" s="41">
        <v>5700</v>
      </c>
    </row>
    <row r="1883" spans="1:5" x14ac:dyDescent="0.25">
      <c r="A1883" s="41" t="s">
        <v>8157</v>
      </c>
      <c r="B1883" s="41" t="s">
        <v>7628</v>
      </c>
      <c r="C1883" s="41" t="s">
        <v>1352</v>
      </c>
      <c r="D1883" s="41" t="s">
        <v>8158</v>
      </c>
      <c r="E1883" s="41">
        <v>11500</v>
      </c>
    </row>
    <row r="1884" spans="1:5" x14ac:dyDescent="0.25">
      <c r="A1884" s="41" t="s">
        <v>8157</v>
      </c>
      <c r="B1884" s="41" t="s">
        <v>7630</v>
      </c>
      <c r="C1884" s="41" t="s">
        <v>1352</v>
      </c>
      <c r="D1884" s="41" t="s">
        <v>8158</v>
      </c>
      <c r="E1884" s="41">
        <v>12500</v>
      </c>
    </row>
    <row r="1885" spans="1:5" x14ac:dyDescent="0.25">
      <c r="A1885" s="41" t="s">
        <v>8157</v>
      </c>
      <c r="B1885" s="41" t="s">
        <v>7632</v>
      </c>
      <c r="C1885" s="41" t="s">
        <v>1352</v>
      </c>
      <c r="D1885" s="41" t="s">
        <v>8158</v>
      </c>
      <c r="E1885" s="41">
        <v>14000</v>
      </c>
    </row>
    <row r="1886" spans="1:5" x14ac:dyDescent="0.25">
      <c r="A1886" s="41" t="s">
        <v>8157</v>
      </c>
      <c r="B1886" s="41" t="s">
        <v>7634</v>
      </c>
      <c r="C1886" s="41" t="s">
        <v>1352</v>
      </c>
      <c r="D1886" s="41" t="s">
        <v>8348</v>
      </c>
      <c r="E1886" s="41">
        <v>10000</v>
      </c>
    </row>
    <row r="1887" spans="1:5" x14ac:dyDescent="0.25">
      <c r="A1887" s="41" t="s">
        <v>8157</v>
      </c>
      <c r="B1887" s="41" t="s">
        <v>7634</v>
      </c>
      <c r="C1887" s="41" t="s">
        <v>1352</v>
      </c>
      <c r="D1887" s="41" t="s">
        <v>8349</v>
      </c>
      <c r="E1887" s="41">
        <v>7300</v>
      </c>
    </row>
    <row r="1888" spans="1:5" x14ac:dyDescent="0.25">
      <c r="A1888" s="41" t="s">
        <v>8157</v>
      </c>
      <c r="B1888" s="41" t="s">
        <v>7636</v>
      </c>
      <c r="C1888" s="41" t="s">
        <v>1352</v>
      </c>
      <c r="D1888" s="41" t="s">
        <v>8158</v>
      </c>
      <c r="E1888" s="41">
        <v>8000</v>
      </c>
    </row>
    <row r="1889" spans="1:5" x14ac:dyDescent="0.25">
      <c r="A1889" s="41" t="s">
        <v>8157</v>
      </c>
      <c r="B1889" s="41" t="s">
        <v>7638</v>
      </c>
      <c r="C1889" s="41" t="s">
        <v>1352</v>
      </c>
      <c r="D1889" s="41" t="s">
        <v>8212</v>
      </c>
      <c r="E1889" s="41">
        <v>8300</v>
      </c>
    </row>
    <row r="1890" spans="1:5" x14ac:dyDescent="0.25">
      <c r="A1890" s="41" t="s">
        <v>8157</v>
      </c>
      <c r="B1890" s="41" t="s">
        <v>7638</v>
      </c>
      <c r="C1890" s="41" t="s">
        <v>1352</v>
      </c>
      <c r="D1890" s="41" t="s">
        <v>8350</v>
      </c>
      <c r="E1890" s="41">
        <v>7900</v>
      </c>
    </row>
    <row r="1891" spans="1:5" x14ac:dyDescent="0.25">
      <c r="A1891" s="41" t="s">
        <v>8157</v>
      </c>
      <c r="B1891" s="41" t="s">
        <v>7450</v>
      </c>
      <c r="C1891" s="41" t="s">
        <v>1352</v>
      </c>
      <c r="D1891" s="41" t="s">
        <v>8233</v>
      </c>
      <c r="E1891" s="41">
        <v>14600</v>
      </c>
    </row>
    <row r="1892" spans="1:5" x14ac:dyDescent="0.25">
      <c r="A1892" s="41" t="s">
        <v>8157</v>
      </c>
      <c r="B1892" s="41" t="s">
        <v>7450</v>
      </c>
      <c r="C1892" s="41" t="s">
        <v>1352</v>
      </c>
      <c r="D1892" s="41" t="s">
        <v>8351</v>
      </c>
      <c r="E1892" s="41">
        <v>14100</v>
      </c>
    </row>
    <row r="1893" spans="1:5" x14ac:dyDescent="0.25">
      <c r="A1893" s="41" t="s">
        <v>8157</v>
      </c>
      <c r="B1893" s="41" t="s">
        <v>7450</v>
      </c>
      <c r="C1893" s="41" t="s">
        <v>1352</v>
      </c>
      <c r="D1893" s="41" t="s">
        <v>8352</v>
      </c>
      <c r="E1893" s="41">
        <v>13700</v>
      </c>
    </row>
    <row r="1894" spans="1:5" x14ac:dyDescent="0.25">
      <c r="A1894" s="41" t="s">
        <v>8157</v>
      </c>
      <c r="B1894" s="41" t="s">
        <v>7450</v>
      </c>
      <c r="C1894" s="41" t="s">
        <v>1352</v>
      </c>
      <c r="D1894" s="41" t="s">
        <v>8178</v>
      </c>
      <c r="E1894" s="41">
        <v>12900</v>
      </c>
    </row>
    <row r="1895" spans="1:5" x14ac:dyDescent="0.25">
      <c r="A1895" s="41" t="s">
        <v>8157</v>
      </c>
      <c r="B1895" s="41" t="s">
        <v>7450</v>
      </c>
      <c r="C1895" s="41" t="s">
        <v>1352</v>
      </c>
      <c r="D1895" s="41" t="s">
        <v>8165</v>
      </c>
      <c r="E1895" s="41">
        <v>12000</v>
      </c>
    </row>
    <row r="1896" spans="1:5" x14ac:dyDescent="0.25">
      <c r="A1896" s="41" t="s">
        <v>8157</v>
      </c>
      <c r="B1896" s="41" t="s">
        <v>7450</v>
      </c>
      <c r="C1896" s="41" t="s">
        <v>1352</v>
      </c>
      <c r="D1896" s="41" t="s">
        <v>8266</v>
      </c>
      <c r="E1896" s="41">
        <v>11100</v>
      </c>
    </row>
    <row r="1897" spans="1:5" x14ac:dyDescent="0.25">
      <c r="A1897" s="41" t="s">
        <v>8157</v>
      </c>
      <c r="B1897" s="41" t="s">
        <v>7641</v>
      </c>
      <c r="C1897" s="41" t="s">
        <v>1352</v>
      </c>
      <c r="D1897" s="41" t="s">
        <v>8353</v>
      </c>
      <c r="E1897" s="41">
        <v>26300</v>
      </c>
    </row>
    <row r="1898" spans="1:5" x14ac:dyDescent="0.25">
      <c r="A1898" s="41" t="s">
        <v>8157</v>
      </c>
      <c r="B1898" s="41" t="s">
        <v>7641</v>
      </c>
      <c r="C1898" s="41" t="s">
        <v>1352</v>
      </c>
      <c r="D1898" s="41" t="s">
        <v>8354</v>
      </c>
      <c r="E1898" s="41">
        <v>24500</v>
      </c>
    </row>
    <row r="1899" spans="1:5" x14ac:dyDescent="0.25">
      <c r="A1899" s="41" t="s">
        <v>8157</v>
      </c>
      <c r="B1899" s="41" t="s">
        <v>7641</v>
      </c>
      <c r="C1899" s="41" t="s">
        <v>1352</v>
      </c>
      <c r="D1899" s="41" t="s">
        <v>8355</v>
      </c>
      <c r="E1899" s="41">
        <v>22700</v>
      </c>
    </row>
    <row r="1900" spans="1:5" x14ac:dyDescent="0.25">
      <c r="A1900" s="41" t="s">
        <v>8157</v>
      </c>
      <c r="B1900" s="41" t="s">
        <v>7641</v>
      </c>
      <c r="C1900" s="41" t="s">
        <v>1352</v>
      </c>
      <c r="D1900" s="41" t="s">
        <v>8178</v>
      </c>
      <c r="E1900" s="41">
        <v>21700</v>
      </c>
    </row>
    <row r="1901" spans="1:5" x14ac:dyDescent="0.25">
      <c r="A1901" s="41" t="s">
        <v>8157</v>
      </c>
      <c r="B1901" s="41" t="s">
        <v>7641</v>
      </c>
      <c r="C1901" s="41" t="s">
        <v>1352</v>
      </c>
      <c r="D1901" s="41" t="s">
        <v>8179</v>
      </c>
      <c r="E1901" s="41">
        <v>20600</v>
      </c>
    </row>
    <row r="1902" spans="1:5" x14ac:dyDescent="0.25">
      <c r="A1902" s="41" t="s">
        <v>8157</v>
      </c>
      <c r="B1902" s="41" t="s">
        <v>7641</v>
      </c>
      <c r="C1902" s="41" t="s">
        <v>1352</v>
      </c>
      <c r="D1902" s="41" t="s">
        <v>8337</v>
      </c>
      <c r="E1902" s="41">
        <v>19500</v>
      </c>
    </row>
    <row r="1903" spans="1:5" x14ac:dyDescent="0.25">
      <c r="A1903" s="41" t="s">
        <v>8157</v>
      </c>
      <c r="B1903" s="41" t="s">
        <v>7643</v>
      </c>
      <c r="C1903" s="41" t="s">
        <v>1352</v>
      </c>
      <c r="D1903" s="41" t="s">
        <v>8228</v>
      </c>
      <c r="E1903" s="41">
        <v>13455</v>
      </c>
    </row>
    <row r="1904" spans="1:5" x14ac:dyDescent="0.25">
      <c r="A1904" s="41" t="s">
        <v>8157</v>
      </c>
      <c r="B1904" s="41" t="s">
        <v>7643</v>
      </c>
      <c r="C1904" s="41" t="s">
        <v>1352</v>
      </c>
      <c r="D1904" s="41" t="s">
        <v>8176</v>
      </c>
      <c r="E1904" s="41">
        <v>12720</v>
      </c>
    </row>
    <row r="1905" spans="1:5" x14ac:dyDescent="0.25">
      <c r="A1905" s="41" t="s">
        <v>8157</v>
      </c>
      <c r="B1905" s="41" t="s">
        <v>7645</v>
      </c>
      <c r="C1905" s="41" t="s">
        <v>1352</v>
      </c>
      <c r="D1905" s="41" t="s">
        <v>8356</v>
      </c>
      <c r="E1905" s="41">
        <v>8050</v>
      </c>
    </row>
    <row r="1906" spans="1:5" x14ac:dyDescent="0.25">
      <c r="A1906" s="41" t="s">
        <v>8157</v>
      </c>
      <c r="B1906" s="41" t="s">
        <v>7645</v>
      </c>
      <c r="C1906" s="41" t="s">
        <v>1352</v>
      </c>
      <c r="D1906" s="41" t="s">
        <v>8357</v>
      </c>
      <c r="E1906" s="41">
        <v>7434</v>
      </c>
    </row>
    <row r="1907" spans="1:5" x14ac:dyDescent="0.25">
      <c r="A1907" s="41" t="s">
        <v>8157</v>
      </c>
      <c r="B1907" s="41" t="s">
        <v>7645</v>
      </c>
      <c r="C1907" s="41" t="s">
        <v>1352</v>
      </c>
      <c r="D1907" s="41" t="s">
        <v>8358</v>
      </c>
      <c r="E1907" s="41">
        <v>6490</v>
      </c>
    </row>
    <row r="1908" spans="1:5" x14ac:dyDescent="0.25">
      <c r="A1908" s="41" t="s">
        <v>8157</v>
      </c>
      <c r="B1908" s="41" t="s">
        <v>7645</v>
      </c>
      <c r="C1908" s="41" t="s">
        <v>1352</v>
      </c>
      <c r="D1908" s="41" t="s">
        <v>8168</v>
      </c>
      <c r="E1908" s="41">
        <v>6210</v>
      </c>
    </row>
    <row r="1909" spans="1:5" x14ac:dyDescent="0.25">
      <c r="A1909" s="41" t="s">
        <v>8157</v>
      </c>
      <c r="B1909" s="41" t="s">
        <v>7647</v>
      </c>
      <c r="C1909" s="41" t="s">
        <v>1352</v>
      </c>
      <c r="D1909" s="41" t="s">
        <v>8356</v>
      </c>
      <c r="E1909" s="41">
        <v>20300</v>
      </c>
    </row>
    <row r="1910" spans="1:5" x14ac:dyDescent="0.25">
      <c r="A1910" s="41" t="s">
        <v>8157</v>
      </c>
      <c r="B1910" s="41" t="s">
        <v>7647</v>
      </c>
      <c r="C1910" s="41" t="s">
        <v>1352</v>
      </c>
      <c r="D1910" s="41" t="s">
        <v>8359</v>
      </c>
      <c r="E1910" s="41">
        <v>19200</v>
      </c>
    </row>
    <row r="1911" spans="1:5" x14ac:dyDescent="0.25">
      <c r="A1911" s="41" t="s">
        <v>8157</v>
      </c>
      <c r="B1911" s="41" t="s">
        <v>7647</v>
      </c>
      <c r="C1911" s="41" t="s">
        <v>1352</v>
      </c>
      <c r="D1911" s="41" t="s">
        <v>8211</v>
      </c>
      <c r="E1911" s="41">
        <v>18200</v>
      </c>
    </row>
    <row r="1912" spans="1:5" x14ac:dyDescent="0.25">
      <c r="A1912" s="41" t="s">
        <v>8157</v>
      </c>
      <c r="B1912" s="41" t="s">
        <v>7649</v>
      </c>
      <c r="C1912" s="41" t="s">
        <v>1352</v>
      </c>
      <c r="D1912" s="41" t="s">
        <v>8158</v>
      </c>
      <c r="E1912" s="41">
        <v>7600</v>
      </c>
    </row>
    <row r="1913" spans="1:5" x14ac:dyDescent="0.25">
      <c r="A1913" s="41" t="s">
        <v>8157</v>
      </c>
      <c r="B1913" s="41" t="s">
        <v>7651</v>
      </c>
      <c r="C1913" s="41" t="s">
        <v>1352</v>
      </c>
      <c r="D1913" s="41" t="s">
        <v>8158</v>
      </c>
      <c r="E1913" s="41">
        <v>6600</v>
      </c>
    </row>
    <row r="1914" spans="1:5" x14ac:dyDescent="0.25">
      <c r="A1914" s="41" t="s">
        <v>8157</v>
      </c>
      <c r="B1914" s="41" t="s">
        <v>7653</v>
      </c>
      <c r="C1914" s="41" t="s">
        <v>1352</v>
      </c>
      <c r="D1914" s="41" t="s">
        <v>8158</v>
      </c>
      <c r="E1914" s="41">
        <v>7500</v>
      </c>
    </row>
    <row r="1915" spans="1:5" x14ac:dyDescent="0.25">
      <c r="A1915" s="41" t="s">
        <v>8157</v>
      </c>
      <c r="B1915" s="41" t="s">
        <v>7431</v>
      </c>
      <c r="C1915" s="41" t="s">
        <v>1352</v>
      </c>
      <c r="D1915" s="41" t="s">
        <v>8158</v>
      </c>
      <c r="E1915" s="41">
        <v>7700</v>
      </c>
    </row>
    <row r="1916" spans="1:5" x14ac:dyDescent="0.25">
      <c r="A1916" s="41" t="s">
        <v>8157</v>
      </c>
      <c r="B1916" s="41" t="s">
        <v>7656</v>
      </c>
      <c r="C1916" s="41" t="s">
        <v>1352</v>
      </c>
      <c r="D1916" s="41" t="s">
        <v>8360</v>
      </c>
      <c r="E1916" s="41">
        <v>24970</v>
      </c>
    </row>
    <row r="1917" spans="1:5" x14ac:dyDescent="0.25">
      <c r="A1917" s="41" t="s">
        <v>8157</v>
      </c>
      <c r="B1917" s="41" t="s">
        <v>7656</v>
      </c>
      <c r="C1917" s="41" t="s">
        <v>1352</v>
      </c>
      <c r="D1917" s="41" t="s">
        <v>8165</v>
      </c>
      <c r="E1917" s="41">
        <v>24200</v>
      </c>
    </row>
    <row r="1918" spans="1:5" x14ac:dyDescent="0.25">
      <c r="A1918" s="41" t="s">
        <v>8157</v>
      </c>
      <c r="B1918" s="41" t="s">
        <v>7656</v>
      </c>
      <c r="C1918" s="41" t="s">
        <v>1352</v>
      </c>
      <c r="D1918" s="41" t="s">
        <v>8266</v>
      </c>
      <c r="E1918" s="41">
        <v>23320</v>
      </c>
    </row>
    <row r="1919" spans="1:5" x14ac:dyDescent="0.25">
      <c r="A1919" s="41" t="s">
        <v>8157</v>
      </c>
      <c r="B1919" s="41" t="s">
        <v>7658</v>
      </c>
      <c r="C1919" s="41" t="s">
        <v>1352</v>
      </c>
      <c r="D1919" s="41" t="s">
        <v>8158</v>
      </c>
      <c r="E1919" s="41">
        <v>9900</v>
      </c>
    </row>
    <row r="1920" spans="1:5" x14ac:dyDescent="0.25">
      <c r="A1920" s="41" t="s">
        <v>8157</v>
      </c>
      <c r="B1920" s="41" t="s">
        <v>7660</v>
      </c>
      <c r="C1920" s="41" t="s">
        <v>1352</v>
      </c>
      <c r="D1920" s="41" t="s">
        <v>8158</v>
      </c>
      <c r="E1920" s="41">
        <v>23600</v>
      </c>
    </row>
    <row r="1921" spans="1:5" x14ac:dyDescent="0.25">
      <c r="A1921" s="41" t="s">
        <v>8157</v>
      </c>
      <c r="B1921" s="41" t="s">
        <v>7662</v>
      </c>
      <c r="C1921" s="41" t="s">
        <v>1352</v>
      </c>
      <c r="D1921" s="41" t="s">
        <v>8233</v>
      </c>
      <c r="E1921" s="41">
        <v>41200</v>
      </c>
    </row>
    <row r="1922" spans="1:5" x14ac:dyDescent="0.25">
      <c r="A1922" s="41" t="s">
        <v>8157</v>
      </c>
      <c r="B1922" s="41" t="s">
        <v>7662</v>
      </c>
      <c r="C1922" s="41" t="s">
        <v>1352</v>
      </c>
      <c r="D1922" s="41" t="s">
        <v>8361</v>
      </c>
      <c r="E1922" s="41">
        <v>36100</v>
      </c>
    </row>
    <row r="1923" spans="1:5" x14ac:dyDescent="0.25">
      <c r="A1923" s="41" t="s">
        <v>8157</v>
      </c>
      <c r="B1923" s="41" t="s">
        <v>7662</v>
      </c>
      <c r="C1923" s="41" t="s">
        <v>1352</v>
      </c>
      <c r="D1923" s="41" t="s">
        <v>8362</v>
      </c>
      <c r="E1923" s="41">
        <v>35100</v>
      </c>
    </row>
    <row r="1924" spans="1:5" x14ac:dyDescent="0.25">
      <c r="A1924" s="41" t="s">
        <v>8157</v>
      </c>
      <c r="B1924" s="41" t="s">
        <v>7662</v>
      </c>
      <c r="C1924" s="41" t="s">
        <v>1352</v>
      </c>
      <c r="D1924" s="41" t="s">
        <v>8166</v>
      </c>
      <c r="E1924" s="41">
        <v>33700</v>
      </c>
    </row>
    <row r="1925" spans="1:5" x14ac:dyDescent="0.25">
      <c r="A1925" s="41" t="s">
        <v>8157</v>
      </c>
      <c r="B1925" s="41" t="s">
        <v>7662</v>
      </c>
      <c r="C1925" s="41" t="s">
        <v>1352</v>
      </c>
      <c r="D1925" s="41" t="s">
        <v>8237</v>
      </c>
      <c r="E1925" s="41">
        <v>32600</v>
      </c>
    </row>
    <row r="1926" spans="1:5" x14ac:dyDescent="0.25">
      <c r="A1926" s="41" t="s">
        <v>8157</v>
      </c>
      <c r="B1926" s="41" t="s">
        <v>7664</v>
      </c>
      <c r="C1926" s="41" t="s">
        <v>1352</v>
      </c>
      <c r="D1926" s="41" t="s">
        <v>8158</v>
      </c>
      <c r="E1926" s="41">
        <v>28400</v>
      </c>
    </row>
    <row r="1927" spans="1:5" x14ac:dyDescent="0.25">
      <c r="A1927" s="41" t="s">
        <v>8157</v>
      </c>
      <c r="B1927" s="41" t="s">
        <v>7666</v>
      </c>
      <c r="C1927" s="41" t="s">
        <v>1352</v>
      </c>
      <c r="D1927" s="41" t="s">
        <v>8158</v>
      </c>
      <c r="E1927" s="41">
        <v>19400</v>
      </c>
    </row>
    <row r="1928" spans="1:5" x14ac:dyDescent="0.25">
      <c r="A1928" s="41" t="s">
        <v>8157</v>
      </c>
      <c r="B1928" s="41" t="s">
        <v>7668</v>
      </c>
      <c r="C1928" s="41" t="s">
        <v>1352</v>
      </c>
      <c r="D1928" s="41" t="s">
        <v>8158</v>
      </c>
      <c r="E1928" s="41">
        <v>18400</v>
      </c>
    </row>
    <row r="1929" spans="1:5" x14ac:dyDescent="0.25">
      <c r="A1929" s="41" t="s">
        <v>8157</v>
      </c>
      <c r="B1929" s="41" t="s">
        <v>7670</v>
      </c>
      <c r="C1929" s="41" t="s">
        <v>1352</v>
      </c>
      <c r="D1929" s="41" t="s">
        <v>8246</v>
      </c>
      <c r="E1929" s="41">
        <v>19700</v>
      </c>
    </row>
    <row r="1930" spans="1:5" x14ac:dyDescent="0.25">
      <c r="A1930" s="41" t="s">
        <v>8157</v>
      </c>
      <c r="B1930" s="41" t="s">
        <v>7670</v>
      </c>
      <c r="C1930" s="41" t="s">
        <v>1352</v>
      </c>
      <c r="D1930" s="41" t="s">
        <v>8363</v>
      </c>
      <c r="E1930" s="41">
        <v>19500</v>
      </c>
    </row>
    <row r="1931" spans="1:5" x14ac:dyDescent="0.25">
      <c r="A1931" s="41" t="s">
        <v>8157</v>
      </c>
      <c r="B1931" s="41" t="s">
        <v>7670</v>
      </c>
      <c r="C1931" s="41" t="s">
        <v>1352</v>
      </c>
      <c r="D1931" s="41" t="s">
        <v>8364</v>
      </c>
      <c r="E1931" s="41">
        <v>18800</v>
      </c>
    </row>
    <row r="1932" spans="1:5" x14ac:dyDescent="0.25">
      <c r="A1932" s="41" t="s">
        <v>8157</v>
      </c>
      <c r="B1932" s="41" t="s">
        <v>7670</v>
      </c>
      <c r="C1932" s="41" t="s">
        <v>1352</v>
      </c>
      <c r="D1932" s="41" t="s">
        <v>8188</v>
      </c>
      <c r="E1932" s="41">
        <v>15600</v>
      </c>
    </row>
    <row r="1933" spans="1:5" x14ac:dyDescent="0.25">
      <c r="A1933" s="41" t="s">
        <v>8157</v>
      </c>
      <c r="B1933" s="41" t="s">
        <v>7670</v>
      </c>
      <c r="C1933" s="41" t="s">
        <v>1352</v>
      </c>
      <c r="D1933" s="41" t="s">
        <v>8365</v>
      </c>
      <c r="E1933" s="41">
        <v>11800</v>
      </c>
    </row>
    <row r="1934" spans="1:5" x14ac:dyDescent="0.25">
      <c r="A1934" s="41" t="s">
        <v>8157</v>
      </c>
      <c r="B1934" s="41" t="s">
        <v>7670</v>
      </c>
      <c r="C1934" s="41" t="s">
        <v>1352</v>
      </c>
      <c r="D1934" s="41" t="s">
        <v>8234</v>
      </c>
      <c r="E1934" s="41">
        <v>11700</v>
      </c>
    </row>
    <row r="1935" spans="1:5" x14ac:dyDescent="0.25">
      <c r="A1935" s="41" t="s">
        <v>8157</v>
      </c>
      <c r="B1935" s="41" t="s">
        <v>7670</v>
      </c>
      <c r="C1935" s="41" t="s">
        <v>1352</v>
      </c>
      <c r="D1935" s="41" t="s">
        <v>8331</v>
      </c>
      <c r="E1935" s="41">
        <v>10300</v>
      </c>
    </row>
    <row r="1936" spans="1:5" x14ac:dyDescent="0.25">
      <c r="A1936" s="41" t="s">
        <v>8157</v>
      </c>
      <c r="B1936" s="41" t="s">
        <v>7673</v>
      </c>
      <c r="C1936" s="41" t="s">
        <v>1352</v>
      </c>
      <c r="D1936" s="41" t="s">
        <v>8298</v>
      </c>
      <c r="E1936" s="41">
        <v>12800</v>
      </c>
    </row>
    <row r="1937" spans="1:5" x14ac:dyDescent="0.25">
      <c r="A1937" s="41" t="s">
        <v>8157</v>
      </c>
      <c r="B1937" s="41" t="s">
        <v>7673</v>
      </c>
      <c r="C1937" s="41" t="s">
        <v>1352</v>
      </c>
      <c r="D1937" s="41" t="s">
        <v>8299</v>
      </c>
      <c r="E1937" s="41">
        <v>12400</v>
      </c>
    </row>
    <row r="1938" spans="1:5" x14ac:dyDescent="0.25">
      <c r="A1938" s="41" t="s">
        <v>8157</v>
      </c>
      <c r="B1938" s="41" t="s">
        <v>7673</v>
      </c>
      <c r="C1938" s="41" t="s">
        <v>1352</v>
      </c>
      <c r="D1938" s="41" t="s">
        <v>8327</v>
      </c>
      <c r="E1938" s="41">
        <v>12200</v>
      </c>
    </row>
    <row r="1939" spans="1:5" x14ac:dyDescent="0.25">
      <c r="A1939" s="41" t="s">
        <v>8157</v>
      </c>
      <c r="B1939" s="41" t="s">
        <v>7673</v>
      </c>
      <c r="C1939" s="41" t="s">
        <v>1352</v>
      </c>
      <c r="D1939" s="41" t="s">
        <v>8328</v>
      </c>
      <c r="E1939" s="41">
        <v>11700</v>
      </c>
    </row>
    <row r="1940" spans="1:5" x14ac:dyDescent="0.25">
      <c r="A1940" s="41" t="s">
        <v>8157</v>
      </c>
      <c r="B1940" s="41" t="s">
        <v>7676</v>
      </c>
      <c r="C1940" s="41" t="s">
        <v>1352</v>
      </c>
      <c r="D1940" s="41" t="s">
        <v>8366</v>
      </c>
      <c r="E1940" s="41">
        <v>11900</v>
      </c>
    </row>
    <row r="1941" spans="1:5" x14ac:dyDescent="0.25">
      <c r="A1941" s="41" t="s">
        <v>8157</v>
      </c>
      <c r="B1941" s="41" t="s">
        <v>7676</v>
      </c>
      <c r="C1941" s="41" t="s">
        <v>1352</v>
      </c>
      <c r="D1941" s="41" t="s">
        <v>8367</v>
      </c>
      <c r="E1941" s="41">
        <v>11500</v>
      </c>
    </row>
    <row r="1942" spans="1:5" x14ac:dyDescent="0.25">
      <c r="A1942" s="41" t="s">
        <v>8157</v>
      </c>
      <c r="B1942" s="41" t="s">
        <v>7676</v>
      </c>
      <c r="C1942" s="41" t="s">
        <v>1352</v>
      </c>
      <c r="D1942" s="41" t="s">
        <v>8368</v>
      </c>
      <c r="E1942" s="41">
        <v>11100</v>
      </c>
    </row>
    <row r="1943" spans="1:5" x14ac:dyDescent="0.25">
      <c r="A1943" s="41" t="s">
        <v>8157</v>
      </c>
      <c r="B1943" s="41" t="s">
        <v>7678</v>
      </c>
      <c r="C1943" s="41" t="s">
        <v>1352</v>
      </c>
      <c r="D1943" s="41" t="s">
        <v>8158</v>
      </c>
      <c r="E1943" s="41">
        <v>8700</v>
      </c>
    </row>
    <row r="1944" spans="1:5" x14ac:dyDescent="0.25">
      <c r="A1944" s="41" t="s">
        <v>8157</v>
      </c>
      <c r="B1944" s="41" t="s">
        <v>7680</v>
      </c>
      <c r="C1944" s="41" t="s">
        <v>1352</v>
      </c>
      <c r="D1944" s="41" t="s">
        <v>8360</v>
      </c>
      <c r="E1944" s="41">
        <v>44300</v>
      </c>
    </row>
    <row r="1945" spans="1:5" x14ac:dyDescent="0.25">
      <c r="A1945" s="41" t="s">
        <v>8157</v>
      </c>
      <c r="B1945" s="41" t="s">
        <v>7680</v>
      </c>
      <c r="C1945" s="41" t="s">
        <v>1352</v>
      </c>
      <c r="D1945" s="41" t="s">
        <v>8175</v>
      </c>
      <c r="E1945" s="41">
        <v>37500</v>
      </c>
    </row>
    <row r="1946" spans="1:5" x14ac:dyDescent="0.25">
      <c r="A1946" s="41" t="s">
        <v>8157</v>
      </c>
      <c r="B1946" s="41" t="s">
        <v>7680</v>
      </c>
      <c r="C1946" s="41" t="s">
        <v>1352</v>
      </c>
      <c r="D1946" s="41" t="s">
        <v>8176</v>
      </c>
      <c r="E1946" s="41">
        <v>30700</v>
      </c>
    </row>
    <row r="1947" spans="1:5" x14ac:dyDescent="0.25">
      <c r="A1947" s="41" t="s">
        <v>8157</v>
      </c>
      <c r="B1947" s="41" t="s">
        <v>7682</v>
      </c>
      <c r="C1947" s="41" t="s">
        <v>1352</v>
      </c>
      <c r="D1947" s="41" t="s">
        <v>8158</v>
      </c>
      <c r="E1947" s="41">
        <v>54100</v>
      </c>
    </row>
    <row r="1948" spans="1:5" x14ac:dyDescent="0.25">
      <c r="A1948" s="41" t="s">
        <v>8157</v>
      </c>
      <c r="B1948" s="41" t="s">
        <v>7684</v>
      </c>
      <c r="C1948" s="41" t="s">
        <v>1352</v>
      </c>
      <c r="D1948" s="41" t="s">
        <v>8158</v>
      </c>
      <c r="E1948" s="41">
        <v>31300</v>
      </c>
    </row>
    <row r="1949" spans="1:5" x14ac:dyDescent="0.25">
      <c r="A1949" s="41" t="s">
        <v>8157</v>
      </c>
      <c r="B1949" s="41" t="s">
        <v>7426</v>
      </c>
      <c r="C1949" s="41" t="s">
        <v>1352</v>
      </c>
      <c r="D1949" s="41" t="s">
        <v>8158</v>
      </c>
      <c r="E1949" s="41">
        <v>2300</v>
      </c>
    </row>
    <row r="1950" spans="1:5" x14ac:dyDescent="0.25">
      <c r="A1950" s="41" t="s">
        <v>8157</v>
      </c>
      <c r="B1950" s="41" t="s">
        <v>7687</v>
      </c>
      <c r="C1950" s="41" t="s">
        <v>1352</v>
      </c>
      <c r="D1950" s="41" t="s">
        <v>8348</v>
      </c>
      <c r="E1950" s="41">
        <v>21100</v>
      </c>
    </row>
    <row r="1951" spans="1:5" x14ac:dyDescent="0.25">
      <c r="A1951" s="41" t="s">
        <v>8157</v>
      </c>
      <c r="B1951" s="41" t="s">
        <v>7687</v>
      </c>
      <c r="C1951" s="41" t="s">
        <v>1352</v>
      </c>
      <c r="D1951" s="41" t="s">
        <v>8349</v>
      </c>
      <c r="E1951" s="41">
        <v>20500</v>
      </c>
    </row>
    <row r="1952" spans="1:5" x14ac:dyDescent="0.25">
      <c r="A1952" s="41" t="s">
        <v>8157</v>
      </c>
      <c r="B1952" s="41" t="s">
        <v>7689</v>
      </c>
      <c r="C1952" s="41" t="s">
        <v>1352</v>
      </c>
      <c r="D1952" s="41" t="s">
        <v>8158</v>
      </c>
      <c r="E1952" s="41">
        <v>33500</v>
      </c>
    </row>
    <row r="1953" spans="1:5" x14ac:dyDescent="0.25">
      <c r="A1953" s="41" t="s">
        <v>8157</v>
      </c>
      <c r="B1953" s="41" t="s">
        <v>7691</v>
      </c>
      <c r="C1953" s="41" t="s">
        <v>1352</v>
      </c>
      <c r="D1953" s="41" t="s">
        <v>8369</v>
      </c>
      <c r="E1953" s="41">
        <v>163600</v>
      </c>
    </row>
    <row r="1954" spans="1:5" x14ac:dyDescent="0.25">
      <c r="A1954" s="41" t="s">
        <v>8157</v>
      </c>
      <c r="B1954" s="41" t="s">
        <v>7691</v>
      </c>
      <c r="C1954" s="41" t="s">
        <v>1352</v>
      </c>
      <c r="D1954" s="41" t="s">
        <v>8370</v>
      </c>
      <c r="E1954" s="41">
        <v>109300</v>
      </c>
    </row>
    <row r="1955" spans="1:5" x14ac:dyDescent="0.25">
      <c r="A1955" s="41" t="s">
        <v>8157</v>
      </c>
      <c r="B1955" s="41" t="s">
        <v>7691</v>
      </c>
      <c r="C1955" s="41" t="s">
        <v>1352</v>
      </c>
      <c r="D1955" s="41" t="s">
        <v>8371</v>
      </c>
      <c r="E1955" s="41">
        <v>57500</v>
      </c>
    </row>
    <row r="1956" spans="1:5" x14ac:dyDescent="0.25">
      <c r="A1956" s="41" t="s">
        <v>8157</v>
      </c>
      <c r="B1956" s="41" t="s">
        <v>7691</v>
      </c>
      <c r="C1956" s="41" t="s">
        <v>1352</v>
      </c>
      <c r="D1956" s="41" t="s">
        <v>8372</v>
      </c>
      <c r="E1956" s="41">
        <v>30300</v>
      </c>
    </row>
    <row r="1957" spans="1:5" x14ac:dyDescent="0.25">
      <c r="A1957" s="41" t="s">
        <v>8157</v>
      </c>
      <c r="B1957" s="41" t="s">
        <v>7691</v>
      </c>
      <c r="C1957" s="41" t="s">
        <v>1352</v>
      </c>
      <c r="D1957" s="41" t="s">
        <v>8373</v>
      </c>
      <c r="E1957" s="41">
        <v>26700</v>
      </c>
    </row>
    <row r="1958" spans="1:5" x14ac:dyDescent="0.25">
      <c r="A1958" s="41" t="s">
        <v>8157</v>
      </c>
      <c r="B1958" s="41" t="s">
        <v>7693</v>
      </c>
      <c r="C1958" s="41" t="s">
        <v>1352</v>
      </c>
      <c r="D1958" s="41" t="s">
        <v>8374</v>
      </c>
      <c r="E1958" s="41">
        <v>36300</v>
      </c>
    </row>
    <row r="1959" spans="1:5" x14ac:dyDescent="0.25">
      <c r="A1959" s="41" t="s">
        <v>8157</v>
      </c>
      <c r="B1959" s="41" t="s">
        <v>7693</v>
      </c>
      <c r="C1959" s="41" t="s">
        <v>1352</v>
      </c>
      <c r="D1959" s="41" t="s">
        <v>8257</v>
      </c>
      <c r="E1959" s="41">
        <v>28600</v>
      </c>
    </row>
    <row r="1960" spans="1:5" x14ac:dyDescent="0.25">
      <c r="A1960" s="41" t="s">
        <v>8157</v>
      </c>
      <c r="B1960" s="41" t="s">
        <v>7693</v>
      </c>
      <c r="C1960" s="41" t="s">
        <v>1352</v>
      </c>
      <c r="D1960" s="41" t="s">
        <v>8375</v>
      </c>
      <c r="E1960" s="41">
        <v>25900</v>
      </c>
    </row>
    <row r="1961" spans="1:5" x14ac:dyDescent="0.25">
      <c r="A1961" s="41" t="s">
        <v>8157</v>
      </c>
      <c r="B1961" s="41" t="s">
        <v>7693</v>
      </c>
      <c r="C1961" s="41" t="s">
        <v>1352</v>
      </c>
      <c r="D1961" s="41" t="s">
        <v>8376</v>
      </c>
      <c r="E1961" s="41">
        <v>24200</v>
      </c>
    </row>
    <row r="1962" spans="1:5" x14ac:dyDescent="0.25">
      <c r="A1962" s="41" t="s">
        <v>8157</v>
      </c>
      <c r="B1962" s="41" t="s">
        <v>7693</v>
      </c>
      <c r="C1962" s="41" t="s">
        <v>1352</v>
      </c>
      <c r="D1962" s="41" t="s">
        <v>8377</v>
      </c>
      <c r="E1962" s="41">
        <v>21200</v>
      </c>
    </row>
    <row r="1963" spans="1:5" x14ac:dyDescent="0.25">
      <c r="A1963" s="41" t="s">
        <v>8157</v>
      </c>
      <c r="B1963" s="41" t="s">
        <v>7693</v>
      </c>
      <c r="C1963" s="41" t="s">
        <v>1352</v>
      </c>
      <c r="D1963" s="41" t="s">
        <v>8378</v>
      </c>
      <c r="E1963" s="41">
        <v>20400</v>
      </c>
    </row>
    <row r="1964" spans="1:5" x14ac:dyDescent="0.25">
      <c r="A1964" s="41" t="s">
        <v>8157</v>
      </c>
      <c r="B1964" s="41" t="s">
        <v>7693</v>
      </c>
      <c r="C1964" s="41" t="s">
        <v>1352</v>
      </c>
      <c r="D1964" s="41" t="s">
        <v>8379</v>
      </c>
      <c r="E1964" s="41">
        <v>19600</v>
      </c>
    </row>
    <row r="1965" spans="1:5" x14ac:dyDescent="0.25">
      <c r="A1965" s="41" t="s">
        <v>8157</v>
      </c>
      <c r="B1965" s="41" t="s">
        <v>7693</v>
      </c>
      <c r="C1965" s="41" t="s">
        <v>1352</v>
      </c>
      <c r="D1965" s="41" t="s">
        <v>8380</v>
      </c>
      <c r="E1965" s="41">
        <v>18800</v>
      </c>
    </row>
    <row r="1966" spans="1:5" x14ac:dyDescent="0.25">
      <c r="A1966" s="41" t="s">
        <v>8157</v>
      </c>
      <c r="B1966" s="41" t="s">
        <v>7693</v>
      </c>
      <c r="C1966" s="41" t="s">
        <v>1352</v>
      </c>
      <c r="D1966" s="41" t="s">
        <v>8381</v>
      </c>
      <c r="E1966" s="41">
        <v>17100</v>
      </c>
    </row>
    <row r="1967" spans="1:5" x14ac:dyDescent="0.25">
      <c r="A1967" s="41" t="s">
        <v>8157</v>
      </c>
      <c r="B1967" s="41" t="s">
        <v>7695</v>
      </c>
      <c r="C1967" s="41" t="s">
        <v>1352</v>
      </c>
      <c r="D1967" s="41" t="s">
        <v>8244</v>
      </c>
      <c r="E1967" s="41">
        <v>28600</v>
      </c>
    </row>
    <row r="1968" spans="1:5" x14ac:dyDescent="0.25">
      <c r="A1968" s="41" t="s">
        <v>8157</v>
      </c>
      <c r="B1968" s="41" t="s">
        <v>7695</v>
      </c>
      <c r="C1968" s="41" t="s">
        <v>1352</v>
      </c>
      <c r="D1968" s="41" t="s">
        <v>8382</v>
      </c>
      <c r="E1968" s="41">
        <v>27500</v>
      </c>
    </row>
    <row r="1969" spans="1:5" x14ac:dyDescent="0.25">
      <c r="A1969" s="41" t="s">
        <v>8157</v>
      </c>
      <c r="B1969" s="41" t="s">
        <v>7695</v>
      </c>
      <c r="C1969" s="41" t="s">
        <v>1352</v>
      </c>
      <c r="D1969" s="41" t="s">
        <v>8383</v>
      </c>
      <c r="E1969" s="41">
        <v>26500</v>
      </c>
    </row>
    <row r="1970" spans="1:5" x14ac:dyDescent="0.25">
      <c r="A1970" s="41" t="s">
        <v>8157</v>
      </c>
      <c r="B1970" s="41" t="s">
        <v>7697</v>
      </c>
      <c r="C1970" s="41" t="s">
        <v>1352</v>
      </c>
      <c r="D1970" s="41" t="s">
        <v>8384</v>
      </c>
      <c r="E1970" s="41">
        <v>8300</v>
      </c>
    </row>
    <row r="1971" spans="1:5" x14ac:dyDescent="0.25">
      <c r="A1971" s="41" t="s">
        <v>8157</v>
      </c>
      <c r="B1971" s="41" t="s">
        <v>7697</v>
      </c>
      <c r="C1971" s="41" t="s">
        <v>1352</v>
      </c>
      <c r="D1971" s="41" t="s">
        <v>8385</v>
      </c>
      <c r="E1971" s="41">
        <v>11100</v>
      </c>
    </row>
    <row r="1972" spans="1:5" x14ac:dyDescent="0.25">
      <c r="A1972" s="41" t="s">
        <v>8157</v>
      </c>
      <c r="B1972" s="41" t="s">
        <v>7697</v>
      </c>
      <c r="C1972" s="41" t="s">
        <v>1352</v>
      </c>
      <c r="D1972" s="41" t="s">
        <v>8386</v>
      </c>
      <c r="E1972" s="41">
        <v>20000</v>
      </c>
    </row>
    <row r="1973" spans="1:5" x14ac:dyDescent="0.25">
      <c r="A1973" s="41" t="s">
        <v>8157</v>
      </c>
      <c r="B1973" s="41" t="s">
        <v>7697</v>
      </c>
      <c r="C1973" s="41" t="s">
        <v>1352</v>
      </c>
      <c r="D1973" s="41" t="s">
        <v>8387</v>
      </c>
      <c r="E1973" s="41">
        <v>15100</v>
      </c>
    </row>
    <row r="1974" spans="1:5" x14ac:dyDescent="0.25">
      <c r="A1974" s="41" t="s">
        <v>8157</v>
      </c>
      <c r="B1974" s="41" t="s">
        <v>7699</v>
      </c>
      <c r="C1974" s="41" t="s">
        <v>1352</v>
      </c>
      <c r="D1974" s="41" t="s">
        <v>8158</v>
      </c>
      <c r="E1974" s="41">
        <v>10900</v>
      </c>
    </row>
    <row r="1975" spans="1:5" x14ac:dyDescent="0.25">
      <c r="A1975" s="41" t="s">
        <v>8157</v>
      </c>
      <c r="B1975" s="41" t="s">
        <v>7701</v>
      </c>
      <c r="C1975" s="41" t="s">
        <v>1352</v>
      </c>
      <c r="D1975" s="41" t="s">
        <v>8233</v>
      </c>
      <c r="E1975" s="41">
        <v>10700</v>
      </c>
    </row>
    <row r="1976" spans="1:5" x14ac:dyDescent="0.25">
      <c r="A1976" s="41" t="s">
        <v>8157</v>
      </c>
      <c r="B1976" s="41" t="s">
        <v>7701</v>
      </c>
      <c r="C1976" s="41" t="s">
        <v>1352</v>
      </c>
      <c r="D1976" s="41" t="s">
        <v>8347</v>
      </c>
      <c r="E1976" s="41">
        <v>8900</v>
      </c>
    </row>
    <row r="1977" spans="1:5" x14ac:dyDescent="0.25">
      <c r="A1977" s="41" t="s">
        <v>8157</v>
      </c>
      <c r="B1977" s="41" t="s">
        <v>7703</v>
      </c>
      <c r="C1977" s="41" t="s">
        <v>1352</v>
      </c>
      <c r="D1977" s="41" t="s">
        <v>8163</v>
      </c>
      <c r="E1977" s="41">
        <v>46500</v>
      </c>
    </row>
    <row r="1978" spans="1:5" x14ac:dyDescent="0.25">
      <c r="A1978" s="41" t="s">
        <v>8157</v>
      </c>
      <c r="B1978" s="41" t="s">
        <v>7703</v>
      </c>
      <c r="C1978" s="41" t="s">
        <v>1352</v>
      </c>
      <c r="D1978" s="41" t="s">
        <v>8388</v>
      </c>
      <c r="E1978" s="41">
        <v>43200</v>
      </c>
    </row>
    <row r="1979" spans="1:5" x14ac:dyDescent="0.25">
      <c r="A1979" s="41" t="s">
        <v>8157</v>
      </c>
      <c r="B1979" s="41" t="s">
        <v>7703</v>
      </c>
      <c r="C1979" s="41" t="s">
        <v>1352</v>
      </c>
      <c r="D1979" s="41" t="s">
        <v>8389</v>
      </c>
      <c r="E1979" s="41">
        <v>40200</v>
      </c>
    </row>
    <row r="1980" spans="1:5" x14ac:dyDescent="0.25">
      <c r="A1980" s="41" t="s">
        <v>8157</v>
      </c>
      <c r="B1980" s="41" t="s">
        <v>7703</v>
      </c>
      <c r="C1980" s="41" t="s">
        <v>1352</v>
      </c>
      <c r="D1980" s="41" t="s">
        <v>8199</v>
      </c>
      <c r="E1980" s="41">
        <v>37500</v>
      </c>
    </row>
    <row r="1981" spans="1:5" x14ac:dyDescent="0.25">
      <c r="A1981" s="41" t="s">
        <v>8157</v>
      </c>
      <c r="B1981" s="41" t="s">
        <v>7705</v>
      </c>
      <c r="C1981" s="41" t="s">
        <v>1352</v>
      </c>
      <c r="D1981" s="41" t="s">
        <v>8360</v>
      </c>
      <c r="E1981" s="41">
        <v>33900</v>
      </c>
    </row>
    <row r="1982" spans="1:5" x14ac:dyDescent="0.25">
      <c r="A1982" s="41" t="s">
        <v>8157</v>
      </c>
      <c r="B1982" s="41" t="s">
        <v>7705</v>
      </c>
      <c r="C1982" s="41" t="s">
        <v>1352</v>
      </c>
      <c r="D1982" s="41" t="s">
        <v>8218</v>
      </c>
      <c r="E1982" s="41">
        <v>34000</v>
      </c>
    </row>
    <row r="1983" spans="1:5" x14ac:dyDescent="0.25">
      <c r="A1983" s="41" t="s">
        <v>8157</v>
      </c>
      <c r="B1983" s="41" t="s">
        <v>7705</v>
      </c>
      <c r="C1983" s="41" t="s">
        <v>1352</v>
      </c>
      <c r="D1983" s="41" t="s">
        <v>8260</v>
      </c>
      <c r="E1983" s="41">
        <v>44800</v>
      </c>
    </row>
    <row r="1984" spans="1:5" x14ac:dyDescent="0.25">
      <c r="A1984" s="41" t="s">
        <v>8157</v>
      </c>
      <c r="B1984" s="41" t="s">
        <v>7707</v>
      </c>
      <c r="C1984" s="41" t="s">
        <v>1352</v>
      </c>
      <c r="D1984" s="41" t="s">
        <v>8360</v>
      </c>
      <c r="E1984" s="41">
        <v>45900</v>
      </c>
    </row>
    <row r="1985" spans="1:5" x14ac:dyDescent="0.25">
      <c r="A1985" s="41" t="s">
        <v>8157</v>
      </c>
      <c r="B1985" s="41" t="s">
        <v>7707</v>
      </c>
      <c r="C1985" s="41" t="s">
        <v>1352</v>
      </c>
      <c r="D1985" s="41" t="s">
        <v>8390</v>
      </c>
      <c r="E1985" s="41">
        <v>44500</v>
      </c>
    </row>
    <row r="1986" spans="1:5" x14ac:dyDescent="0.25">
      <c r="A1986" s="41" t="s">
        <v>8157</v>
      </c>
      <c r="B1986" s="41" t="s">
        <v>7707</v>
      </c>
      <c r="C1986" s="41" t="s">
        <v>1352</v>
      </c>
      <c r="D1986" s="41" t="s">
        <v>8391</v>
      </c>
      <c r="E1986" s="41">
        <v>41200</v>
      </c>
    </row>
    <row r="1987" spans="1:5" x14ac:dyDescent="0.25">
      <c r="A1987" s="41" t="s">
        <v>8157</v>
      </c>
      <c r="B1987" s="41" t="s">
        <v>7707</v>
      </c>
      <c r="C1987" s="41" t="s">
        <v>1352</v>
      </c>
      <c r="D1987" s="41" t="s">
        <v>8392</v>
      </c>
      <c r="E1987" s="41">
        <v>40500</v>
      </c>
    </row>
    <row r="1988" spans="1:5" x14ac:dyDescent="0.25">
      <c r="A1988" s="41" t="s">
        <v>8157</v>
      </c>
      <c r="B1988" s="41" t="s">
        <v>7707</v>
      </c>
      <c r="C1988" s="41" t="s">
        <v>1352</v>
      </c>
      <c r="D1988" s="41" t="s">
        <v>8393</v>
      </c>
      <c r="E1988" s="41">
        <v>32100</v>
      </c>
    </row>
    <row r="1989" spans="1:5" x14ac:dyDescent="0.25">
      <c r="A1989" s="41" t="s">
        <v>8157</v>
      </c>
      <c r="B1989" s="41" t="s">
        <v>7707</v>
      </c>
      <c r="C1989" s="41" t="s">
        <v>1352</v>
      </c>
      <c r="D1989" s="41" t="s">
        <v>8205</v>
      </c>
      <c r="E1989" s="41">
        <v>30100</v>
      </c>
    </row>
    <row r="1990" spans="1:5" x14ac:dyDescent="0.25">
      <c r="A1990" s="41" t="s">
        <v>8157</v>
      </c>
      <c r="B1990" s="41" t="s">
        <v>7709</v>
      </c>
      <c r="C1990" s="41" t="s">
        <v>1352</v>
      </c>
      <c r="D1990" s="41" t="s">
        <v>8158</v>
      </c>
      <c r="E1990" s="41">
        <v>40700</v>
      </c>
    </row>
    <row r="1991" spans="1:5" x14ac:dyDescent="0.25">
      <c r="A1991" s="41" t="s">
        <v>8157</v>
      </c>
      <c r="B1991" s="41" t="s">
        <v>7711</v>
      </c>
      <c r="C1991" s="41" t="s">
        <v>1352</v>
      </c>
      <c r="D1991" s="41" t="s">
        <v>8394</v>
      </c>
      <c r="E1991" s="41">
        <v>28480</v>
      </c>
    </row>
    <row r="1992" spans="1:5" x14ac:dyDescent="0.25">
      <c r="A1992" s="41" t="s">
        <v>8157</v>
      </c>
      <c r="B1992" s="41" t="s">
        <v>7711</v>
      </c>
      <c r="C1992" s="41" t="s">
        <v>1352</v>
      </c>
      <c r="D1992" s="41" t="s">
        <v>8395</v>
      </c>
      <c r="E1992" s="41">
        <v>30240</v>
      </c>
    </row>
    <row r="1993" spans="1:5" x14ac:dyDescent="0.25">
      <c r="A1993" s="41" t="s">
        <v>8157</v>
      </c>
      <c r="B1993" s="41" t="s">
        <v>7711</v>
      </c>
      <c r="C1993" s="41" t="s">
        <v>1352</v>
      </c>
      <c r="D1993" s="41" t="s">
        <v>8396</v>
      </c>
      <c r="E1993" s="41">
        <v>31280</v>
      </c>
    </row>
    <row r="1994" spans="1:5" x14ac:dyDescent="0.25">
      <c r="A1994" s="41" t="s">
        <v>8157</v>
      </c>
      <c r="B1994" s="41" t="s">
        <v>7713</v>
      </c>
      <c r="C1994" s="41" t="s">
        <v>1352</v>
      </c>
      <c r="D1994" s="41" t="s">
        <v>8158</v>
      </c>
      <c r="E1994" s="41">
        <v>59400</v>
      </c>
    </row>
    <row r="1995" spans="1:5" x14ac:dyDescent="0.25">
      <c r="A1995" s="41" t="s">
        <v>8157</v>
      </c>
      <c r="B1995" s="41" t="s">
        <v>7715</v>
      </c>
      <c r="C1995" s="41" t="s">
        <v>1352</v>
      </c>
      <c r="D1995" s="41" t="s">
        <v>8158</v>
      </c>
      <c r="E1995" s="41">
        <v>54900</v>
      </c>
    </row>
    <row r="1996" spans="1:5" x14ac:dyDescent="0.25">
      <c r="A1996" s="41" t="s">
        <v>8157</v>
      </c>
      <c r="B1996" s="41" t="s">
        <v>7717</v>
      </c>
      <c r="C1996" s="41" t="s">
        <v>1352</v>
      </c>
      <c r="D1996" s="41" t="s">
        <v>8158</v>
      </c>
      <c r="E1996" s="41">
        <v>84900</v>
      </c>
    </row>
    <row r="1997" spans="1:5" x14ac:dyDescent="0.25">
      <c r="A1997" s="41" t="s">
        <v>8157</v>
      </c>
      <c r="B1997" s="41" t="s">
        <v>7719</v>
      </c>
      <c r="C1997" s="41" t="s">
        <v>1352</v>
      </c>
      <c r="D1997" s="41" t="s">
        <v>8158</v>
      </c>
      <c r="E1997" s="41">
        <v>49900</v>
      </c>
    </row>
    <row r="1998" spans="1:5" x14ac:dyDescent="0.25">
      <c r="A1998" s="41" t="s">
        <v>8157</v>
      </c>
      <c r="B1998" s="41" t="s">
        <v>7721</v>
      </c>
      <c r="C1998" s="41" t="s">
        <v>1352</v>
      </c>
      <c r="D1998" s="41" t="s">
        <v>8158</v>
      </c>
      <c r="E1998" s="41">
        <v>59000</v>
      </c>
    </row>
    <row r="1999" spans="1:5" x14ac:dyDescent="0.25">
      <c r="A1999" s="41" t="s">
        <v>8157</v>
      </c>
      <c r="B1999" s="41" t="s">
        <v>7723</v>
      </c>
      <c r="C1999" s="41" t="s">
        <v>1352</v>
      </c>
      <c r="D1999" s="41" t="s">
        <v>8158</v>
      </c>
      <c r="E1999" s="41">
        <v>28900</v>
      </c>
    </row>
    <row r="2000" spans="1:5" x14ac:dyDescent="0.25">
      <c r="A2000" s="41" t="s">
        <v>8157</v>
      </c>
      <c r="B2000" s="41" t="s">
        <v>7725</v>
      </c>
      <c r="C2000" s="41" t="s">
        <v>1352</v>
      </c>
      <c r="D2000" s="41" t="s">
        <v>8158</v>
      </c>
      <c r="E2000" s="41">
        <v>31800</v>
      </c>
    </row>
    <row r="2001" spans="1:5" x14ac:dyDescent="0.25">
      <c r="A2001" s="41" t="s">
        <v>8157</v>
      </c>
      <c r="B2001" s="41" t="s">
        <v>7727</v>
      </c>
      <c r="C2001" s="41" t="s">
        <v>1352</v>
      </c>
      <c r="D2001" s="41" t="s">
        <v>8177</v>
      </c>
      <c r="E2001" s="41">
        <v>20900</v>
      </c>
    </row>
    <row r="2002" spans="1:5" x14ac:dyDescent="0.25">
      <c r="A2002" s="41" t="s">
        <v>8157</v>
      </c>
      <c r="B2002" s="41" t="s">
        <v>7727</v>
      </c>
      <c r="C2002" s="41" t="s">
        <v>1352</v>
      </c>
      <c r="D2002" s="41" t="s">
        <v>8336</v>
      </c>
      <c r="E2002" s="41">
        <v>19400</v>
      </c>
    </row>
    <row r="2003" spans="1:5" x14ac:dyDescent="0.25">
      <c r="A2003" s="41" t="s">
        <v>8157</v>
      </c>
      <c r="B2003" s="41" t="s">
        <v>7727</v>
      </c>
      <c r="C2003" s="41" t="s">
        <v>1352</v>
      </c>
      <c r="D2003" s="41" t="s">
        <v>8397</v>
      </c>
      <c r="E2003" s="41">
        <v>18100</v>
      </c>
    </row>
    <row r="2004" spans="1:5" x14ac:dyDescent="0.25">
      <c r="A2004" s="41" t="s">
        <v>8157</v>
      </c>
      <c r="B2004" s="41" t="s">
        <v>7727</v>
      </c>
      <c r="C2004" s="41" t="s">
        <v>1352</v>
      </c>
      <c r="D2004" s="41" t="s">
        <v>8398</v>
      </c>
      <c r="E2004" s="41">
        <v>16900</v>
      </c>
    </row>
    <row r="2005" spans="1:5" x14ac:dyDescent="0.25">
      <c r="A2005" s="41" t="s">
        <v>8157</v>
      </c>
      <c r="B2005" s="41" t="s">
        <v>7731</v>
      </c>
      <c r="C2005" s="41" t="s">
        <v>1352</v>
      </c>
      <c r="D2005" s="41" t="s">
        <v>8158</v>
      </c>
      <c r="E2005" s="41">
        <v>24700</v>
      </c>
    </row>
    <row r="2006" spans="1:5" x14ac:dyDescent="0.25">
      <c r="A2006" s="41" t="s">
        <v>8157</v>
      </c>
      <c r="B2006" s="41" t="s">
        <v>7733</v>
      </c>
      <c r="C2006" s="41" t="s">
        <v>1352</v>
      </c>
      <c r="D2006" s="41" t="s">
        <v>8158</v>
      </c>
      <c r="E2006" s="41">
        <v>23900</v>
      </c>
    </row>
    <row r="2007" spans="1:5" x14ac:dyDescent="0.25">
      <c r="A2007" s="41" t="s">
        <v>8157</v>
      </c>
      <c r="B2007" s="41" t="s">
        <v>7729</v>
      </c>
      <c r="C2007" s="41" t="s">
        <v>1352</v>
      </c>
      <c r="D2007" s="41" t="s">
        <v>8399</v>
      </c>
      <c r="E2007" s="41">
        <v>20880</v>
      </c>
    </row>
    <row r="2008" spans="1:5" x14ac:dyDescent="0.25">
      <c r="A2008" s="41" t="s">
        <v>8157</v>
      </c>
      <c r="B2008" s="41" t="s">
        <v>7729</v>
      </c>
      <c r="C2008" s="41" t="s">
        <v>1352</v>
      </c>
      <c r="D2008" s="41" t="s">
        <v>8400</v>
      </c>
      <c r="E2008" s="41">
        <v>21360</v>
      </c>
    </row>
    <row r="2009" spans="1:5" x14ac:dyDescent="0.25">
      <c r="A2009" s="41" t="s">
        <v>8157</v>
      </c>
      <c r="B2009" s="41" t="s">
        <v>7729</v>
      </c>
      <c r="C2009" s="41" t="s">
        <v>1352</v>
      </c>
      <c r="D2009" s="41" t="s">
        <v>8401</v>
      </c>
      <c r="E2009" s="41">
        <v>18120</v>
      </c>
    </row>
    <row r="2010" spans="1:5" x14ac:dyDescent="0.25">
      <c r="A2010" s="41" t="s">
        <v>8157</v>
      </c>
      <c r="B2010" s="41" t="s">
        <v>7729</v>
      </c>
      <c r="C2010" s="41" t="s">
        <v>1352</v>
      </c>
      <c r="D2010" s="41" t="s">
        <v>8402</v>
      </c>
      <c r="E2010" s="41">
        <v>17280</v>
      </c>
    </row>
    <row r="2011" spans="1:5" x14ac:dyDescent="0.25">
      <c r="A2011" s="41" t="s">
        <v>8157</v>
      </c>
      <c r="B2011" s="41" t="s">
        <v>7729</v>
      </c>
      <c r="C2011" s="41" t="s">
        <v>1352</v>
      </c>
      <c r="D2011" s="41" t="s">
        <v>8403</v>
      </c>
      <c r="E2011" s="41">
        <v>16440</v>
      </c>
    </row>
    <row r="2012" spans="1:5" x14ac:dyDescent="0.25">
      <c r="A2012" s="41" t="s">
        <v>8157</v>
      </c>
      <c r="B2012" s="41" t="s">
        <v>7447</v>
      </c>
      <c r="C2012" s="41" t="s">
        <v>1352</v>
      </c>
      <c r="D2012" s="41" t="s">
        <v>8404</v>
      </c>
      <c r="E2012" s="41">
        <v>31400</v>
      </c>
    </row>
    <row r="2013" spans="1:5" x14ac:dyDescent="0.25">
      <c r="A2013" s="41" t="s">
        <v>8157</v>
      </c>
      <c r="B2013" s="41" t="s">
        <v>7447</v>
      </c>
      <c r="C2013" s="41" t="s">
        <v>1352</v>
      </c>
      <c r="D2013" s="41" t="s">
        <v>8405</v>
      </c>
      <c r="E2013" s="41">
        <v>29200</v>
      </c>
    </row>
    <row r="2014" spans="1:5" x14ac:dyDescent="0.25">
      <c r="A2014" s="41" t="s">
        <v>8157</v>
      </c>
      <c r="B2014" s="41" t="s">
        <v>7447</v>
      </c>
      <c r="C2014" s="41" t="s">
        <v>1352</v>
      </c>
      <c r="D2014" s="41" t="s">
        <v>8406</v>
      </c>
      <c r="E2014" s="41">
        <v>27100</v>
      </c>
    </row>
    <row r="2015" spans="1:5" x14ac:dyDescent="0.25">
      <c r="A2015" s="41" t="s">
        <v>8157</v>
      </c>
      <c r="B2015" s="41" t="s">
        <v>7447</v>
      </c>
      <c r="C2015" s="41" t="s">
        <v>1352</v>
      </c>
      <c r="D2015" s="41" t="s">
        <v>8407</v>
      </c>
      <c r="E2015" s="41">
        <v>25200</v>
      </c>
    </row>
    <row r="2016" spans="1:5" x14ac:dyDescent="0.25">
      <c r="A2016" s="41" t="s">
        <v>8157</v>
      </c>
      <c r="B2016" s="41" t="s">
        <v>7447</v>
      </c>
      <c r="C2016" s="41" t="s">
        <v>1352</v>
      </c>
      <c r="D2016" s="41" t="s">
        <v>8408</v>
      </c>
      <c r="E2016" s="41">
        <v>23400</v>
      </c>
    </row>
    <row r="2017" spans="1:5" x14ac:dyDescent="0.25">
      <c r="A2017" s="41" t="s">
        <v>8157</v>
      </c>
      <c r="B2017" s="41" t="s">
        <v>7736</v>
      </c>
      <c r="C2017" s="41" t="s">
        <v>1352</v>
      </c>
      <c r="D2017" s="41" t="s">
        <v>8360</v>
      </c>
      <c r="E2017" s="41">
        <v>21400</v>
      </c>
    </row>
    <row r="2018" spans="1:5" x14ac:dyDescent="0.25">
      <c r="A2018" s="41" t="s">
        <v>8157</v>
      </c>
      <c r="B2018" s="41" t="s">
        <v>7736</v>
      </c>
      <c r="C2018" s="41" t="s">
        <v>1352</v>
      </c>
      <c r="D2018" s="41" t="s">
        <v>8162</v>
      </c>
      <c r="E2018" s="41">
        <v>22200</v>
      </c>
    </row>
    <row r="2019" spans="1:5" x14ac:dyDescent="0.25">
      <c r="A2019" s="41" t="s">
        <v>8157</v>
      </c>
      <c r="B2019" s="41" t="s">
        <v>7738</v>
      </c>
      <c r="C2019" s="41" t="s">
        <v>1352</v>
      </c>
      <c r="D2019" s="41" t="s">
        <v>8172</v>
      </c>
      <c r="E2019" s="41">
        <v>29400</v>
      </c>
    </row>
    <row r="2020" spans="1:5" x14ac:dyDescent="0.25">
      <c r="A2020" s="41" t="s">
        <v>8157</v>
      </c>
      <c r="B2020" s="41" t="s">
        <v>7738</v>
      </c>
      <c r="C2020" s="41" t="s">
        <v>1352</v>
      </c>
      <c r="D2020" s="41" t="s">
        <v>8173</v>
      </c>
      <c r="E2020" s="41">
        <v>27400</v>
      </c>
    </row>
    <row r="2021" spans="1:5" x14ac:dyDescent="0.25">
      <c r="A2021" s="41" t="s">
        <v>8157</v>
      </c>
      <c r="B2021" s="41" t="s">
        <v>7738</v>
      </c>
      <c r="C2021" s="41" t="s">
        <v>1352</v>
      </c>
      <c r="D2021" s="41" t="s">
        <v>8409</v>
      </c>
      <c r="E2021" s="41">
        <v>25400</v>
      </c>
    </row>
    <row r="2022" spans="1:5" x14ac:dyDescent="0.25">
      <c r="A2022" s="41" t="s">
        <v>8157</v>
      </c>
      <c r="B2022" s="41" t="s">
        <v>7738</v>
      </c>
      <c r="C2022" s="41" t="s">
        <v>1352</v>
      </c>
      <c r="D2022" s="41" t="s">
        <v>8410</v>
      </c>
      <c r="E2022" s="41">
        <v>23700</v>
      </c>
    </row>
    <row r="2023" spans="1:5" x14ac:dyDescent="0.25">
      <c r="A2023" s="41" t="s">
        <v>8157</v>
      </c>
      <c r="B2023" s="41" t="s">
        <v>7738</v>
      </c>
      <c r="C2023" s="41" t="s">
        <v>1352</v>
      </c>
      <c r="D2023" s="41" t="s">
        <v>8411</v>
      </c>
      <c r="E2023" s="41">
        <v>22000</v>
      </c>
    </row>
    <row r="2024" spans="1:5" x14ac:dyDescent="0.25">
      <c r="A2024" s="41" t="s">
        <v>8157</v>
      </c>
      <c r="B2024" s="41" t="s">
        <v>7738</v>
      </c>
      <c r="C2024" s="41" t="s">
        <v>1352</v>
      </c>
      <c r="D2024" s="41" t="s">
        <v>8260</v>
      </c>
      <c r="E2024" s="41">
        <v>19800</v>
      </c>
    </row>
    <row r="2025" spans="1:5" x14ac:dyDescent="0.25">
      <c r="A2025" s="41" t="s">
        <v>8157</v>
      </c>
      <c r="B2025" s="41" t="s">
        <v>7740</v>
      </c>
      <c r="C2025" s="41" t="s">
        <v>1352</v>
      </c>
      <c r="D2025" s="41" t="s">
        <v>8158</v>
      </c>
      <c r="E2025" s="41">
        <v>23700</v>
      </c>
    </row>
    <row r="2026" spans="1:5" x14ac:dyDescent="0.25">
      <c r="A2026" s="41" t="s">
        <v>8157</v>
      </c>
      <c r="B2026" s="41" t="s">
        <v>7742</v>
      </c>
      <c r="C2026" s="41" t="s">
        <v>1352</v>
      </c>
      <c r="D2026" s="41" t="s">
        <v>8158</v>
      </c>
      <c r="E2026" s="41">
        <v>30300</v>
      </c>
    </row>
    <row r="2027" spans="1:5" x14ac:dyDescent="0.25">
      <c r="A2027" s="41" t="s">
        <v>8157</v>
      </c>
      <c r="B2027" s="41" t="s">
        <v>7744</v>
      </c>
      <c r="C2027" s="41" t="s">
        <v>1352</v>
      </c>
      <c r="D2027" s="41" t="s">
        <v>8177</v>
      </c>
      <c r="E2027" s="41">
        <v>26300</v>
      </c>
    </row>
    <row r="2028" spans="1:5" x14ac:dyDescent="0.25">
      <c r="A2028" s="41" t="s">
        <v>8157</v>
      </c>
      <c r="B2028" s="41" t="s">
        <v>7744</v>
      </c>
      <c r="C2028" s="41" t="s">
        <v>1352</v>
      </c>
      <c r="D2028" s="41" t="s">
        <v>8178</v>
      </c>
      <c r="E2028" s="41">
        <v>25000</v>
      </c>
    </row>
    <row r="2029" spans="1:5" x14ac:dyDescent="0.25">
      <c r="A2029" s="41" t="s">
        <v>8157</v>
      </c>
      <c r="B2029" s="41" t="s">
        <v>7744</v>
      </c>
      <c r="C2029" s="41" t="s">
        <v>1352</v>
      </c>
      <c r="D2029" s="41" t="s">
        <v>8218</v>
      </c>
      <c r="E2029" s="41">
        <v>23300</v>
      </c>
    </row>
    <row r="2030" spans="1:5" x14ac:dyDescent="0.25">
      <c r="A2030" s="41" t="s">
        <v>8157</v>
      </c>
      <c r="B2030" s="41" t="s">
        <v>7744</v>
      </c>
      <c r="C2030" s="41" t="s">
        <v>1352</v>
      </c>
      <c r="D2030" s="41" t="s">
        <v>8412</v>
      </c>
      <c r="E2030" s="41">
        <v>21600</v>
      </c>
    </row>
    <row r="2031" spans="1:5" x14ac:dyDescent="0.25">
      <c r="A2031" s="41" t="s">
        <v>8157</v>
      </c>
      <c r="B2031" s="41" t="s">
        <v>7744</v>
      </c>
      <c r="C2031" s="41" t="s">
        <v>1352</v>
      </c>
      <c r="D2031" s="41" t="s">
        <v>8383</v>
      </c>
      <c r="E2031" s="41">
        <v>20100</v>
      </c>
    </row>
    <row r="2032" spans="1:5" x14ac:dyDescent="0.25">
      <c r="A2032" s="41" t="s">
        <v>8157</v>
      </c>
      <c r="B2032" s="41" t="s">
        <v>7746</v>
      </c>
      <c r="C2032" s="41" t="s">
        <v>1352</v>
      </c>
      <c r="D2032" s="41" t="s">
        <v>8360</v>
      </c>
      <c r="E2032" s="41">
        <v>31700</v>
      </c>
    </row>
    <row r="2033" spans="1:5" x14ac:dyDescent="0.25">
      <c r="A2033" s="41" t="s">
        <v>8157</v>
      </c>
      <c r="B2033" s="41" t="s">
        <v>7746</v>
      </c>
      <c r="C2033" s="41" t="s">
        <v>1352</v>
      </c>
      <c r="D2033" s="41" t="s">
        <v>8413</v>
      </c>
      <c r="E2033" s="41">
        <v>29500</v>
      </c>
    </row>
    <row r="2034" spans="1:5" x14ac:dyDescent="0.25">
      <c r="A2034" s="41" t="s">
        <v>8157</v>
      </c>
      <c r="B2034" s="41" t="s">
        <v>7746</v>
      </c>
      <c r="C2034" s="41" t="s">
        <v>1352</v>
      </c>
      <c r="D2034" s="41" t="s">
        <v>8257</v>
      </c>
      <c r="E2034" s="41">
        <v>27400</v>
      </c>
    </row>
    <row r="2035" spans="1:5" x14ac:dyDescent="0.25">
      <c r="A2035" s="41" t="s">
        <v>8157</v>
      </c>
      <c r="B2035" s="41" t="s">
        <v>7746</v>
      </c>
      <c r="C2035" s="41" t="s">
        <v>1352</v>
      </c>
      <c r="D2035" s="41" t="s">
        <v>8414</v>
      </c>
      <c r="E2035" s="41">
        <v>25500</v>
      </c>
    </row>
    <row r="2036" spans="1:5" x14ac:dyDescent="0.25">
      <c r="A2036" s="41" t="s">
        <v>8157</v>
      </c>
      <c r="B2036" s="41" t="s">
        <v>7746</v>
      </c>
      <c r="C2036" s="41" t="s">
        <v>1352</v>
      </c>
      <c r="D2036" s="41" t="s">
        <v>8403</v>
      </c>
      <c r="E2036" s="41">
        <v>23000</v>
      </c>
    </row>
    <row r="2037" spans="1:5" x14ac:dyDescent="0.25">
      <c r="A2037" s="41" t="s">
        <v>8157</v>
      </c>
      <c r="B2037" s="41" t="s">
        <v>7748</v>
      </c>
      <c r="C2037" s="41" t="s">
        <v>1352</v>
      </c>
      <c r="D2037" s="41" t="s">
        <v>8261</v>
      </c>
      <c r="E2037" s="41">
        <v>29400</v>
      </c>
    </row>
    <row r="2038" spans="1:5" x14ac:dyDescent="0.25">
      <c r="A2038" s="41" t="s">
        <v>8157</v>
      </c>
      <c r="B2038" s="41" t="s">
        <v>7748</v>
      </c>
      <c r="C2038" s="41" t="s">
        <v>1352</v>
      </c>
      <c r="D2038" s="41" t="s">
        <v>8181</v>
      </c>
      <c r="E2038" s="41">
        <v>27400</v>
      </c>
    </row>
    <row r="2039" spans="1:5" x14ac:dyDescent="0.25">
      <c r="A2039" s="41" t="s">
        <v>8157</v>
      </c>
      <c r="B2039" s="41" t="s">
        <v>7748</v>
      </c>
      <c r="C2039" s="41" t="s">
        <v>1352</v>
      </c>
      <c r="D2039" s="41" t="s">
        <v>8208</v>
      </c>
      <c r="E2039" s="41">
        <v>25400</v>
      </c>
    </row>
    <row r="2040" spans="1:5" x14ac:dyDescent="0.25">
      <c r="A2040" s="41" t="s">
        <v>8157</v>
      </c>
      <c r="B2040" s="41" t="s">
        <v>7748</v>
      </c>
      <c r="C2040" s="41" t="s">
        <v>1352</v>
      </c>
      <c r="D2040" s="41" t="s">
        <v>8415</v>
      </c>
      <c r="E2040" s="41">
        <v>23700</v>
      </c>
    </row>
    <row r="2041" spans="1:5" x14ac:dyDescent="0.25">
      <c r="A2041" s="41" t="s">
        <v>8157</v>
      </c>
      <c r="B2041" s="41" t="s">
        <v>7748</v>
      </c>
      <c r="C2041" s="41" t="s">
        <v>1352</v>
      </c>
      <c r="D2041" s="41" t="s">
        <v>8416</v>
      </c>
      <c r="E2041" s="41">
        <v>22000</v>
      </c>
    </row>
    <row r="2042" spans="1:5" x14ac:dyDescent="0.25">
      <c r="A2042" s="41" t="s">
        <v>8157</v>
      </c>
      <c r="B2042" s="41" t="s">
        <v>7748</v>
      </c>
      <c r="C2042" s="41" t="s">
        <v>1352</v>
      </c>
      <c r="D2042" s="41" t="s">
        <v>8417</v>
      </c>
      <c r="E2042" s="41">
        <v>20500</v>
      </c>
    </row>
    <row r="2043" spans="1:5" x14ac:dyDescent="0.25">
      <c r="A2043" s="41" t="s">
        <v>8157</v>
      </c>
      <c r="B2043" s="41" t="s">
        <v>7748</v>
      </c>
      <c r="C2043" s="41" t="s">
        <v>1352</v>
      </c>
      <c r="D2043" s="41" t="s">
        <v>8418</v>
      </c>
      <c r="E2043" s="41">
        <v>19000</v>
      </c>
    </row>
    <row r="2044" spans="1:5" x14ac:dyDescent="0.25">
      <c r="A2044" s="41" t="s">
        <v>8157</v>
      </c>
      <c r="B2044" s="41" t="s">
        <v>7750</v>
      </c>
      <c r="C2044" s="41" t="s">
        <v>1352</v>
      </c>
      <c r="D2044" s="41" t="s">
        <v>8177</v>
      </c>
      <c r="E2044" s="41">
        <v>27800</v>
      </c>
    </row>
    <row r="2045" spans="1:5" x14ac:dyDescent="0.25">
      <c r="A2045" s="41" t="s">
        <v>8157</v>
      </c>
      <c r="B2045" s="41" t="s">
        <v>7750</v>
      </c>
      <c r="C2045" s="41" t="s">
        <v>1352</v>
      </c>
      <c r="D2045" s="41" t="s">
        <v>8178</v>
      </c>
      <c r="E2045" s="41">
        <v>25300</v>
      </c>
    </row>
    <row r="2046" spans="1:5" x14ac:dyDescent="0.25">
      <c r="A2046" s="41" t="s">
        <v>8157</v>
      </c>
      <c r="B2046" s="41" t="s">
        <v>7750</v>
      </c>
      <c r="C2046" s="41" t="s">
        <v>1352</v>
      </c>
      <c r="D2046" s="41" t="s">
        <v>8419</v>
      </c>
      <c r="E2046" s="41">
        <v>24600</v>
      </c>
    </row>
    <row r="2047" spans="1:5" x14ac:dyDescent="0.25">
      <c r="A2047" s="41" t="s">
        <v>8157</v>
      </c>
      <c r="B2047" s="41" t="s">
        <v>7750</v>
      </c>
      <c r="C2047" s="41" t="s">
        <v>1352</v>
      </c>
      <c r="D2047" s="41" t="s">
        <v>8420</v>
      </c>
      <c r="E2047" s="41">
        <v>24000</v>
      </c>
    </row>
    <row r="2048" spans="1:5" x14ac:dyDescent="0.25">
      <c r="A2048" s="41" t="s">
        <v>8157</v>
      </c>
      <c r="B2048" s="41" t="s">
        <v>7750</v>
      </c>
      <c r="C2048" s="41" t="s">
        <v>1352</v>
      </c>
      <c r="D2048" s="41" t="s">
        <v>8199</v>
      </c>
      <c r="E2048" s="41">
        <v>22700</v>
      </c>
    </row>
    <row r="2049" spans="1:5" x14ac:dyDescent="0.25">
      <c r="A2049" s="41" t="s">
        <v>8157</v>
      </c>
      <c r="B2049" s="41" t="s">
        <v>7752</v>
      </c>
      <c r="C2049" s="41" t="s">
        <v>1352</v>
      </c>
      <c r="D2049" s="41" t="s">
        <v>8300</v>
      </c>
      <c r="E2049" s="41">
        <v>27800</v>
      </c>
    </row>
    <row r="2050" spans="1:5" x14ac:dyDescent="0.25">
      <c r="A2050" s="41" t="s">
        <v>8157</v>
      </c>
      <c r="B2050" s="41" t="s">
        <v>7754</v>
      </c>
      <c r="C2050" s="41" t="s">
        <v>1352</v>
      </c>
      <c r="D2050" s="41" t="s">
        <v>8242</v>
      </c>
      <c r="E2050" s="41">
        <v>43260</v>
      </c>
    </row>
    <row r="2051" spans="1:5" x14ac:dyDescent="0.25">
      <c r="A2051" s="41" t="s">
        <v>8157</v>
      </c>
      <c r="B2051" s="41" t="s">
        <v>7754</v>
      </c>
      <c r="C2051" s="41" t="s">
        <v>1352</v>
      </c>
      <c r="D2051" s="41" t="s">
        <v>8423</v>
      </c>
      <c r="E2051" s="41">
        <v>39480</v>
      </c>
    </row>
    <row r="2052" spans="1:5" x14ac:dyDescent="0.25">
      <c r="A2052" s="41" t="s">
        <v>8157</v>
      </c>
      <c r="B2052" s="41" t="s">
        <v>7754</v>
      </c>
      <c r="C2052" s="41" t="s">
        <v>1352</v>
      </c>
      <c r="D2052" s="41" t="s">
        <v>8424</v>
      </c>
      <c r="E2052" s="41">
        <v>36685</v>
      </c>
    </row>
    <row r="2053" spans="1:5" x14ac:dyDescent="0.25">
      <c r="A2053" s="41" t="s">
        <v>8157</v>
      </c>
      <c r="B2053" s="41" t="s">
        <v>7756</v>
      </c>
      <c r="C2053" s="41" t="s">
        <v>1352</v>
      </c>
      <c r="D2053" s="41" t="s">
        <v>8374</v>
      </c>
      <c r="E2053" s="41">
        <v>51500</v>
      </c>
    </row>
    <row r="2054" spans="1:5" x14ac:dyDescent="0.25">
      <c r="A2054" s="41" t="s">
        <v>8157</v>
      </c>
      <c r="B2054" s="41" t="s">
        <v>7756</v>
      </c>
      <c r="C2054" s="41" t="s">
        <v>1352</v>
      </c>
      <c r="D2054" s="41" t="s">
        <v>8425</v>
      </c>
      <c r="E2054" s="41">
        <v>49700</v>
      </c>
    </row>
    <row r="2055" spans="1:5" x14ac:dyDescent="0.25">
      <c r="A2055" s="41" t="s">
        <v>8157</v>
      </c>
      <c r="B2055" s="41" t="s">
        <v>7756</v>
      </c>
      <c r="C2055" s="41" t="s">
        <v>1352</v>
      </c>
      <c r="D2055" s="41" t="s">
        <v>8203</v>
      </c>
      <c r="E2055" s="41">
        <v>47900</v>
      </c>
    </row>
    <row r="2056" spans="1:5" x14ac:dyDescent="0.25">
      <c r="A2056" s="41" t="s">
        <v>8157</v>
      </c>
      <c r="B2056" s="41" t="s">
        <v>7756</v>
      </c>
      <c r="C2056" s="41" t="s">
        <v>1352</v>
      </c>
      <c r="D2056" s="41" t="s">
        <v>8229</v>
      </c>
      <c r="E2056" s="41">
        <v>46000</v>
      </c>
    </row>
    <row r="2057" spans="1:5" x14ac:dyDescent="0.25">
      <c r="A2057" s="41" t="s">
        <v>8157</v>
      </c>
      <c r="B2057" s="41" t="s">
        <v>7756</v>
      </c>
      <c r="C2057" s="41" t="s">
        <v>1352</v>
      </c>
      <c r="D2057" s="41" t="s">
        <v>8168</v>
      </c>
      <c r="E2057" s="41">
        <v>44200</v>
      </c>
    </row>
    <row r="2058" spans="1:5" x14ac:dyDescent="0.25">
      <c r="A2058" s="41" t="s">
        <v>8157</v>
      </c>
      <c r="B2058" s="41" t="s">
        <v>7758</v>
      </c>
      <c r="C2058" s="41" t="s">
        <v>1352</v>
      </c>
      <c r="D2058" s="41" t="s">
        <v>8158</v>
      </c>
      <c r="E2058" s="41">
        <v>34400</v>
      </c>
    </row>
    <row r="2059" spans="1:5" x14ac:dyDescent="0.25">
      <c r="A2059" s="41" t="s">
        <v>8157</v>
      </c>
      <c r="B2059" s="41" t="s">
        <v>7760</v>
      </c>
      <c r="C2059" s="41" t="s">
        <v>1352</v>
      </c>
      <c r="D2059" s="41" t="s">
        <v>8158</v>
      </c>
      <c r="E2059" s="41">
        <v>18200</v>
      </c>
    </row>
    <row r="2060" spans="1:5" x14ac:dyDescent="0.25">
      <c r="A2060" s="41" t="s">
        <v>8157</v>
      </c>
      <c r="B2060" s="41" t="s">
        <v>7762</v>
      </c>
      <c r="C2060" s="41" t="s">
        <v>1352</v>
      </c>
      <c r="D2060" s="41" t="s">
        <v>8228</v>
      </c>
      <c r="E2060" s="41">
        <v>52220</v>
      </c>
    </row>
    <row r="2061" spans="1:5" x14ac:dyDescent="0.25">
      <c r="A2061" s="41" t="s">
        <v>8157</v>
      </c>
      <c r="B2061" s="41" t="s">
        <v>7762</v>
      </c>
      <c r="C2061" s="41" t="s">
        <v>1352</v>
      </c>
      <c r="D2061" s="41" t="s">
        <v>8426</v>
      </c>
      <c r="E2061" s="41">
        <v>45080</v>
      </c>
    </row>
    <row r="2062" spans="1:5" x14ac:dyDescent="0.25">
      <c r="A2062" s="41" t="s">
        <v>8157</v>
      </c>
      <c r="B2062" s="41" t="s">
        <v>7762</v>
      </c>
      <c r="C2062" s="41" t="s">
        <v>1352</v>
      </c>
      <c r="D2062" s="41" t="s">
        <v>8392</v>
      </c>
      <c r="E2062" s="41">
        <v>45780</v>
      </c>
    </row>
    <row r="2063" spans="1:5" x14ac:dyDescent="0.25">
      <c r="A2063" s="41" t="s">
        <v>8157</v>
      </c>
      <c r="B2063" s="41" t="s">
        <v>7762</v>
      </c>
      <c r="C2063" s="41" t="s">
        <v>1352</v>
      </c>
      <c r="D2063" s="41" t="s">
        <v>8393</v>
      </c>
      <c r="E2063" s="41">
        <v>35140</v>
      </c>
    </row>
    <row r="2064" spans="1:5" x14ac:dyDescent="0.25">
      <c r="A2064" s="41" t="s">
        <v>8157</v>
      </c>
      <c r="B2064" s="41" t="s">
        <v>7762</v>
      </c>
      <c r="C2064" s="41" t="s">
        <v>1352</v>
      </c>
      <c r="D2064" s="41" t="s">
        <v>8205</v>
      </c>
      <c r="E2064" s="41">
        <v>40460</v>
      </c>
    </row>
    <row r="2065" spans="1:5" x14ac:dyDescent="0.25">
      <c r="A2065" s="41" t="s">
        <v>8157</v>
      </c>
      <c r="B2065" s="41" t="s">
        <v>7764</v>
      </c>
      <c r="C2065" s="41" t="s">
        <v>1352</v>
      </c>
      <c r="D2065" s="41" t="s">
        <v>8287</v>
      </c>
      <c r="E2065" s="41">
        <v>26500</v>
      </c>
    </row>
    <row r="2066" spans="1:5" x14ac:dyDescent="0.25">
      <c r="A2066" s="41" t="s">
        <v>8157</v>
      </c>
      <c r="B2066" s="41" t="s">
        <v>7764</v>
      </c>
      <c r="C2066" s="41" t="s">
        <v>1352</v>
      </c>
      <c r="D2066" s="41" t="s">
        <v>8329</v>
      </c>
      <c r="E2066" s="41">
        <v>25300</v>
      </c>
    </row>
    <row r="2067" spans="1:5" x14ac:dyDescent="0.25">
      <c r="A2067" s="41" t="s">
        <v>8157</v>
      </c>
      <c r="B2067" s="41" t="s">
        <v>7764</v>
      </c>
      <c r="C2067" s="41" t="s">
        <v>1352</v>
      </c>
      <c r="D2067" s="41" t="s">
        <v>8328</v>
      </c>
      <c r="E2067" s="41">
        <v>24100</v>
      </c>
    </row>
    <row r="2068" spans="1:5" x14ac:dyDescent="0.25">
      <c r="A2068" s="41" t="s">
        <v>8157</v>
      </c>
      <c r="B2068" s="41" t="s">
        <v>7766</v>
      </c>
      <c r="C2068" s="41" t="s">
        <v>1352</v>
      </c>
      <c r="D2068" s="41" t="s">
        <v>8172</v>
      </c>
      <c r="E2068" s="41">
        <v>25900</v>
      </c>
    </row>
    <row r="2069" spans="1:5" x14ac:dyDescent="0.25">
      <c r="A2069" s="41" t="s">
        <v>8157</v>
      </c>
      <c r="B2069" s="41" t="s">
        <v>7766</v>
      </c>
      <c r="C2069" s="41" t="s">
        <v>1352</v>
      </c>
      <c r="D2069" s="41" t="s">
        <v>8427</v>
      </c>
      <c r="E2069" s="41">
        <v>24200</v>
      </c>
    </row>
    <row r="2070" spans="1:5" x14ac:dyDescent="0.25">
      <c r="A2070" s="41" t="s">
        <v>8157</v>
      </c>
      <c r="B2070" s="41" t="s">
        <v>7766</v>
      </c>
      <c r="C2070" s="41" t="s">
        <v>1352</v>
      </c>
      <c r="D2070" s="41" t="s">
        <v>8428</v>
      </c>
      <c r="E2070" s="41">
        <v>32100</v>
      </c>
    </row>
    <row r="2071" spans="1:5" x14ac:dyDescent="0.25">
      <c r="A2071" s="41" t="s">
        <v>8157</v>
      </c>
      <c r="B2071" s="41" t="s">
        <v>7768</v>
      </c>
      <c r="C2071" s="41" t="s">
        <v>1352</v>
      </c>
      <c r="D2071" s="41" t="s">
        <v>8429</v>
      </c>
      <c r="E2071" s="41">
        <v>35600</v>
      </c>
    </row>
    <row r="2072" spans="1:5" x14ac:dyDescent="0.25">
      <c r="A2072" s="41" t="s">
        <v>8157</v>
      </c>
      <c r="B2072" s="41" t="s">
        <v>7768</v>
      </c>
      <c r="C2072" s="41" t="s">
        <v>1352</v>
      </c>
      <c r="D2072" s="41" t="s">
        <v>8245</v>
      </c>
      <c r="E2072" s="41">
        <v>33900</v>
      </c>
    </row>
    <row r="2073" spans="1:5" x14ac:dyDescent="0.25">
      <c r="A2073" s="41" t="s">
        <v>8157</v>
      </c>
      <c r="B2073" s="41" t="s">
        <v>7770</v>
      </c>
      <c r="C2073" s="41" t="s">
        <v>1352</v>
      </c>
      <c r="D2073" s="41" t="s">
        <v>8332</v>
      </c>
      <c r="E2073" s="41">
        <v>28900</v>
      </c>
    </row>
    <row r="2074" spans="1:5" x14ac:dyDescent="0.25">
      <c r="A2074" s="41" t="s">
        <v>8157</v>
      </c>
      <c r="B2074" s="41" t="s">
        <v>7770</v>
      </c>
      <c r="C2074" s="41" t="s">
        <v>1352</v>
      </c>
      <c r="D2074" s="41" t="s">
        <v>8430</v>
      </c>
      <c r="E2074" s="41">
        <v>24600</v>
      </c>
    </row>
    <row r="2075" spans="1:5" x14ac:dyDescent="0.25">
      <c r="A2075" s="41" t="s">
        <v>8157</v>
      </c>
      <c r="B2075" s="41" t="s">
        <v>7770</v>
      </c>
      <c r="C2075" s="41" t="s">
        <v>1352</v>
      </c>
      <c r="D2075" s="41" t="s">
        <v>8431</v>
      </c>
      <c r="E2075" s="41">
        <v>22400</v>
      </c>
    </row>
    <row r="2076" spans="1:5" x14ac:dyDescent="0.25">
      <c r="A2076" s="41" t="s">
        <v>8157</v>
      </c>
      <c r="B2076" s="41" t="s">
        <v>7770</v>
      </c>
      <c r="C2076" s="41" t="s">
        <v>1352</v>
      </c>
      <c r="D2076" s="41" t="s">
        <v>8432</v>
      </c>
      <c r="E2076" s="41">
        <v>20200</v>
      </c>
    </row>
    <row r="2077" spans="1:5" x14ac:dyDescent="0.25">
      <c r="A2077" s="41" t="s">
        <v>8157</v>
      </c>
      <c r="B2077" s="41" t="s">
        <v>7772</v>
      </c>
      <c r="C2077" s="41" t="s">
        <v>1352</v>
      </c>
      <c r="D2077" s="41" t="s">
        <v>8185</v>
      </c>
      <c r="E2077" s="41">
        <v>30700</v>
      </c>
    </row>
    <row r="2078" spans="1:5" x14ac:dyDescent="0.25">
      <c r="A2078" s="41" t="s">
        <v>8157</v>
      </c>
      <c r="B2078" s="41" t="s">
        <v>7772</v>
      </c>
      <c r="C2078" s="41" t="s">
        <v>1352</v>
      </c>
      <c r="D2078" s="41" t="s">
        <v>8433</v>
      </c>
      <c r="E2078" s="41">
        <v>29900</v>
      </c>
    </row>
    <row r="2079" spans="1:5" x14ac:dyDescent="0.25">
      <c r="A2079" s="41" t="s">
        <v>8157</v>
      </c>
      <c r="B2079" s="41" t="s">
        <v>7772</v>
      </c>
      <c r="C2079" s="41" t="s">
        <v>1352</v>
      </c>
      <c r="D2079" s="41" t="s">
        <v>8434</v>
      </c>
      <c r="E2079" s="41">
        <v>29000</v>
      </c>
    </row>
    <row r="2080" spans="1:5" x14ac:dyDescent="0.25">
      <c r="A2080" s="41" t="s">
        <v>8157</v>
      </c>
      <c r="B2080" s="41" t="s">
        <v>7772</v>
      </c>
      <c r="C2080" s="41" t="s">
        <v>1352</v>
      </c>
      <c r="D2080" s="41" t="s">
        <v>8347</v>
      </c>
      <c r="E2080" s="41">
        <v>27300</v>
      </c>
    </row>
    <row r="2081" spans="1:5" x14ac:dyDescent="0.25">
      <c r="A2081" s="41" t="s">
        <v>8157</v>
      </c>
      <c r="B2081" s="41" t="s">
        <v>7774</v>
      </c>
      <c r="C2081" s="41" t="s">
        <v>1352</v>
      </c>
      <c r="D2081" s="41" t="s">
        <v>8158</v>
      </c>
      <c r="E2081" s="41">
        <v>33500</v>
      </c>
    </row>
    <row r="2082" spans="1:5" x14ac:dyDescent="0.25">
      <c r="A2082" s="41" t="s">
        <v>8157</v>
      </c>
      <c r="B2082" s="41" t="s">
        <v>7776</v>
      </c>
      <c r="C2082" s="41" t="s">
        <v>1352</v>
      </c>
      <c r="D2082" s="41" t="s">
        <v>8158</v>
      </c>
      <c r="E2082" s="41">
        <v>23000</v>
      </c>
    </row>
    <row r="2083" spans="1:5" x14ac:dyDescent="0.25">
      <c r="A2083" s="41" t="s">
        <v>8157</v>
      </c>
      <c r="B2083" s="41" t="s">
        <v>7778</v>
      </c>
      <c r="C2083" s="41" t="s">
        <v>1352</v>
      </c>
      <c r="D2083" s="41" t="s">
        <v>8158</v>
      </c>
      <c r="E2083" s="41">
        <v>29100</v>
      </c>
    </row>
    <row r="2084" spans="1:5" x14ac:dyDescent="0.25">
      <c r="A2084" s="41" t="s">
        <v>8157</v>
      </c>
      <c r="B2084" s="41" t="s">
        <v>7780</v>
      </c>
      <c r="C2084" s="41" t="s">
        <v>1352</v>
      </c>
      <c r="D2084" s="41" t="s">
        <v>8158</v>
      </c>
      <c r="E2084" s="41">
        <v>16700</v>
      </c>
    </row>
    <row r="2085" spans="1:5" x14ac:dyDescent="0.25">
      <c r="A2085" s="41" t="s">
        <v>8157</v>
      </c>
      <c r="B2085" s="41" t="s">
        <v>7782</v>
      </c>
      <c r="C2085" s="41" t="s">
        <v>1352</v>
      </c>
      <c r="D2085" s="41" t="s">
        <v>8158</v>
      </c>
      <c r="E2085" s="41">
        <v>48400</v>
      </c>
    </row>
    <row r="2086" spans="1:5" x14ac:dyDescent="0.25">
      <c r="A2086" s="41" t="s">
        <v>8157</v>
      </c>
      <c r="B2086" s="41" t="s">
        <v>7784</v>
      </c>
      <c r="C2086" s="41" t="s">
        <v>1352</v>
      </c>
      <c r="D2086" s="41" t="s">
        <v>8158</v>
      </c>
      <c r="E2086" s="41">
        <v>46100</v>
      </c>
    </row>
    <row r="2087" spans="1:5" x14ac:dyDescent="0.25">
      <c r="A2087" s="41" t="s">
        <v>8157</v>
      </c>
      <c r="B2087" s="41" t="s">
        <v>1331</v>
      </c>
      <c r="C2087" s="41" t="s">
        <v>1352</v>
      </c>
      <c r="D2087" s="41" t="s">
        <v>8158</v>
      </c>
      <c r="E2087" s="41">
        <v>46100</v>
      </c>
    </row>
    <row r="2088" spans="1:5" x14ac:dyDescent="0.25">
      <c r="A2088" s="41" t="s">
        <v>8157</v>
      </c>
      <c r="B2088" s="41" t="s">
        <v>1333</v>
      </c>
      <c r="C2088" s="41" t="s">
        <v>1352</v>
      </c>
      <c r="D2088" s="41" t="s">
        <v>8158</v>
      </c>
      <c r="E2088" s="41">
        <v>59900</v>
      </c>
    </row>
    <row r="2089" spans="1:5" x14ac:dyDescent="0.25">
      <c r="A2089" s="41" t="s">
        <v>8157</v>
      </c>
      <c r="B2089" s="41" t="s">
        <v>1335</v>
      </c>
      <c r="C2089" s="41" t="s">
        <v>1352</v>
      </c>
      <c r="D2089" s="41" t="s">
        <v>8262</v>
      </c>
      <c r="E2089" s="41">
        <v>29800</v>
      </c>
    </row>
    <row r="2090" spans="1:5" x14ac:dyDescent="0.25">
      <c r="A2090" s="41" t="s">
        <v>8157</v>
      </c>
      <c r="B2090" s="41" t="s">
        <v>1335</v>
      </c>
      <c r="C2090" s="41" t="s">
        <v>1352</v>
      </c>
      <c r="D2090" s="41" t="s">
        <v>8256</v>
      </c>
      <c r="E2090" s="41">
        <v>30900</v>
      </c>
    </row>
    <row r="2091" spans="1:5" x14ac:dyDescent="0.25">
      <c r="A2091" s="41" t="s">
        <v>8157</v>
      </c>
      <c r="B2091" s="41" t="s">
        <v>1335</v>
      </c>
      <c r="C2091" s="41" t="s">
        <v>1352</v>
      </c>
      <c r="D2091" s="41" t="s">
        <v>8435</v>
      </c>
      <c r="E2091" s="41">
        <v>30900</v>
      </c>
    </row>
    <row r="2092" spans="1:5" x14ac:dyDescent="0.25">
      <c r="A2092" s="41" t="s">
        <v>8157</v>
      </c>
      <c r="B2092" s="41" t="s">
        <v>1335</v>
      </c>
      <c r="C2092" s="41" t="s">
        <v>1352</v>
      </c>
      <c r="D2092" s="41" t="s">
        <v>8436</v>
      </c>
      <c r="E2092" s="41">
        <v>30900</v>
      </c>
    </row>
    <row r="2093" spans="1:5" x14ac:dyDescent="0.25">
      <c r="A2093" s="41" t="s">
        <v>8157</v>
      </c>
      <c r="B2093" s="41" t="s">
        <v>7786</v>
      </c>
      <c r="C2093" s="41" t="s">
        <v>1352</v>
      </c>
      <c r="D2093" s="41" t="s">
        <v>8360</v>
      </c>
      <c r="E2093" s="41">
        <v>33800</v>
      </c>
    </row>
    <row r="2094" spans="1:5" x14ac:dyDescent="0.25">
      <c r="A2094" s="41" t="s">
        <v>8157</v>
      </c>
      <c r="B2094" s="41" t="s">
        <v>7786</v>
      </c>
      <c r="C2094" s="41" t="s">
        <v>1352</v>
      </c>
      <c r="D2094" s="41" t="s">
        <v>8162</v>
      </c>
      <c r="E2094" s="41">
        <v>31400</v>
      </c>
    </row>
    <row r="2095" spans="1:5" x14ac:dyDescent="0.25">
      <c r="A2095" s="41" t="s">
        <v>8157</v>
      </c>
      <c r="B2095" s="41" t="s">
        <v>7788</v>
      </c>
      <c r="C2095" s="41" t="s">
        <v>1352</v>
      </c>
      <c r="D2095" s="41" t="s">
        <v>8158</v>
      </c>
      <c r="E2095" s="41">
        <v>22900</v>
      </c>
    </row>
    <row r="2096" spans="1:5" x14ac:dyDescent="0.25">
      <c r="A2096" s="41" t="s">
        <v>8157</v>
      </c>
      <c r="B2096" s="41" t="s">
        <v>7790</v>
      </c>
      <c r="C2096" s="41" t="s">
        <v>1352</v>
      </c>
      <c r="D2096" s="41" t="s">
        <v>8287</v>
      </c>
      <c r="E2096" s="41">
        <v>31200</v>
      </c>
    </row>
    <row r="2097" spans="1:5" x14ac:dyDescent="0.25">
      <c r="A2097" s="41" t="s">
        <v>8157</v>
      </c>
      <c r="B2097" s="41" t="s">
        <v>7790</v>
      </c>
      <c r="C2097" s="41" t="s">
        <v>1352</v>
      </c>
      <c r="D2097" s="41" t="s">
        <v>8437</v>
      </c>
      <c r="E2097" s="41">
        <v>30400</v>
      </c>
    </row>
    <row r="2098" spans="1:5" x14ac:dyDescent="0.25">
      <c r="A2098" s="41" t="s">
        <v>8157</v>
      </c>
      <c r="B2098" s="41" t="s">
        <v>7790</v>
      </c>
      <c r="C2098" s="41" t="s">
        <v>1352</v>
      </c>
      <c r="D2098" s="41" t="s">
        <v>8438</v>
      </c>
      <c r="E2098" s="41">
        <v>29700</v>
      </c>
    </row>
    <row r="2099" spans="1:5" x14ac:dyDescent="0.25">
      <c r="A2099" s="41" t="s">
        <v>8157</v>
      </c>
      <c r="B2099" s="41" t="s">
        <v>7792</v>
      </c>
      <c r="C2099" s="41" t="s">
        <v>1352</v>
      </c>
      <c r="D2099" s="41" t="s">
        <v>8158</v>
      </c>
      <c r="E2099" s="41">
        <v>46500</v>
      </c>
    </row>
    <row r="2100" spans="1:5" x14ac:dyDescent="0.25">
      <c r="A2100" s="41" t="s">
        <v>8157</v>
      </c>
      <c r="B2100" s="41" t="s">
        <v>8439</v>
      </c>
      <c r="C2100" s="41" t="s">
        <v>1352</v>
      </c>
      <c r="D2100" s="41" t="s">
        <v>8158</v>
      </c>
      <c r="E2100" s="41">
        <v>43000</v>
      </c>
    </row>
    <row r="2101" spans="1:5" x14ac:dyDescent="0.25">
      <c r="A2101" s="41" t="s">
        <v>8157</v>
      </c>
      <c r="B2101" s="41" t="s">
        <v>8440</v>
      </c>
      <c r="C2101" s="41" t="s">
        <v>1352</v>
      </c>
      <c r="D2101" s="41" t="s">
        <v>8158</v>
      </c>
      <c r="E2101" s="41">
        <v>46500</v>
      </c>
    </row>
    <row r="2102" spans="1:5" x14ac:dyDescent="0.25">
      <c r="A2102" s="41" t="s">
        <v>8157</v>
      </c>
      <c r="B2102" s="41" t="s">
        <v>7794</v>
      </c>
      <c r="C2102" s="41" t="s">
        <v>1352</v>
      </c>
      <c r="D2102" s="41" t="s">
        <v>8233</v>
      </c>
      <c r="E2102" s="41">
        <v>47700</v>
      </c>
    </row>
    <row r="2103" spans="1:5" x14ac:dyDescent="0.25">
      <c r="A2103" s="41" t="s">
        <v>8157</v>
      </c>
      <c r="B2103" s="41" t="s">
        <v>7794</v>
      </c>
      <c r="C2103" s="41" t="s">
        <v>1352</v>
      </c>
      <c r="D2103" s="41" t="s">
        <v>8161</v>
      </c>
      <c r="E2103" s="41">
        <v>45500</v>
      </c>
    </row>
    <row r="2104" spans="1:5" x14ac:dyDescent="0.25">
      <c r="A2104" s="41" t="s">
        <v>8157</v>
      </c>
      <c r="B2104" s="41" t="s">
        <v>7794</v>
      </c>
      <c r="C2104" s="41" t="s">
        <v>1352</v>
      </c>
      <c r="D2104" s="41" t="s">
        <v>8162</v>
      </c>
      <c r="E2104" s="41">
        <v>37900</v>
      </c>
    </row>
    <row r="2105" spans="1:5" x14ac:dyDescent="0.25">
      <c r="A2105" s="41" t="s">
        <v>8157</v>
      </c>
      <c r="B2105" s="41" t="s">
        <v>7796</v>
      </c>
      <c r="C2105" s="41" t="s">
        <v>1352</v>
      </c>
      <c r="D2105" s="41" t="s">
        <v>8334</v>
      </c>
      <c r="E2105" s="41">
        <v>71300</v>
      </c>
    </row>
    <row r="2106" spans="1:5" x14ac:dyDescent="0.25">
      <c r="A2106" s="41" t="s">
        <v>8157</v>
      </c>
      <c r="B2106" s="41" t="s">
        <v>7796</v>
      </c>
      <c r="C2106" s="41" t="s">
        <v>1352</v>
      </c>
      <c r="D2106" s="41" t="s">
        <v>8335</v>
      </c>
      <c r="E2106" s="41">
        <v>61100</v>
      </c>
    </row>
    <row r="2107" spans="1:5" x14ac:dyDescent="0.25">
      <c r="A2107" s="41" t="s">
        <v>8157</v>
      </c>
      <c r="B2107" s="41" t="s">
        <v>7796</v>
      </c>
      <c r="C2107" s="41" t="s">
        <v>1352</v>
      </c>
      <c r="D2107" s="41" t="s">
        <v>8249</v>
      </c>
      <c r="E2107" s="41">
        <v>58200</v>
      </c>
    </row>
    <row r="2108" spans="1:5" x14ac:dyDescent="0.25">
      <c r="A2108" s="41" t="s">
        <v>8157</v>
      </c>
      <c r="B2108" s="41" t="s">
        <v>7796</v>
      </c>
      <c r="C2108" s="41" t="s">
        <v>1352</v>
      </c>
      <c r="D2108" s="41" t="s">
        <v>8331</v>
      </c>
      <c r="E2108" s="41">
        <v>48400</v>
      </c>
    </row>
    <row r="2109" spans="1:5" x14ac:dyDescent="0.25">
      <c r="A2109" s="41" t="s">
        <v>8157</v>
      </c>
      <c r="B2109" s="41" t="s">
        <v>7798</v>
      </c>
      <c r="C2109" s="41" t="s">
        <v>1352</v>
      </c>
      <c r="D2109" s="41" t="s">
        <v>8158</v>
      </c>
      <c r="E2109" s="41">
        <v>46200</v>
      </c>
    </row>
    <row r="2110" spans="1:5" x14ac:dyDescent="0.25">
      <c r="A2110" s="41" t="s">
        <v>8157</v>
      </c>
      <c r="B2110" s="41" t="s">
        <v>7800</v>
      </c>
      <c r="C2110" s="41" t="s">
        <v>1352</v>
      </c>
      <c r="D2110" s="41" t="s">
        <v>8158</v>
      </c>
      <c r="E2110" s="41">
        <v>480000</v>
      </c>
    </row>
    <row r="2111" spans="1:5" x14ac:dyDescent="0.25">
      <c r="A2111" s="41" t="s">
        <v>8157</v>
      </c>
      <c r="B2111" s="41" t="s">
        <v>7802</v>
      </c>
      <c r="C2111" s="41" t="s">
        <v>1352</v>
      </c>
      <c r="D2111" s="41" t="s">
        <v>8158</v>
      </c>
      <c r="E2111" s="41">
        <v>306700</v>
      </c>
    </row>
    <row r="2112" spans="1:5" x14ac:dyDescent="0.25">
      <c r="A2112" s="41" t="s">
        <v>8157</v>
      </c>
      <c r="B2112" s="41" t="s">
        <v>7804</v>
      </c>
      <c r="C2112" s="41" t="s">
        <v>1352</v>
      </c>
      <c r="D2112" s="41" t="s">
        <v>8287</v>
      </c>
      <c r="E2112" s="41">
        <v>54100</v>
      </c>
    </row>
    <row r="2113" spans="1:5" x14ac:dyDescent="0.25">
      <c r="A2113" s="41" t="s">
        <v>8157</v>
      </c>
      <c r="B2113" s="41" t="s">
        <v>7804</v>
      </c>
      <c r="C2113" s="41" t="s">
        <v>1352</v>
      </c>
      <c r="D2113" s="41" t="s">
        <v>8174</v>
      </c>
      <c r="E2113" s="41">
        <v>51500</v>
      </c>
    </row>
    <row r="2114" spans="1:5" x14ac:dyDescent="0.25">
      <c r="A2114" s="41" t="s">
        <v>8157</v>
      </c>
      <c r="B2114" s="41" t="s">
        <v>7804</v>
      </c>
      <c r="C2114" s="41" t="s">
        <v>1352</v>
      </c>
      <c r="D2114" s="41" t="s">
        <v>8162</v>
      </c>
      <c r="E2114" s="41">
        <v>42900</v>
      </c>
    </row>
    <row r="2115" spans="1:5" x14ac:dyDescent="0.25">
      <c r="A2115" s="41" t="s">
        <v>8157</v>
      </c>
      <c r="B2115" s="41" t="s">
        <v>7806</v>
      </c>
      <c r="C2115" s="41" t="s">
        <v>1352</v>
      </c>
      <c r="D2115" s="41" t="s">
        <v>8298</v>
      </c>
      <c r="E2115" s="41">
        <v>18100</v>
      </c>
    </row>
    <row r="2116" spans="1:5" x14ac:dyDescent="0.25">
      <c r="A2116" s="41" t="s">
        <v>8157</v>
      </c>
      <c r="B2116" s="41" t="s">
        <v>7806</v>
      </c>
      <c r="C2116" s="41" t="s">
        <v>1352</v>
      </c>
      <c r="D2116" s="41" t="s">
        <v>8299</v>
      </c>
      <c r="E2116" s="41">
        <v>12200</v>
      </c>
    </row>
    <row r="2117" spans="1:5" x14ac:dyDescent="0.25">
      <c r="A2117" s="41" t="s">
        <v>8157</v>
      </c>
      <c r="B2117" s="41" t="s">
        <v>7806</v>
      </c>
      <c r="C2117" s="41" t="s">
        <v>1352</v>
      </c>
      <c r="D2117" s="41" t="s">
        <v>8243</v>
      </c>
      <c r="E2117" s="41">
        <v>14800</v>
      </c>
    </row>
    <row r="2118" spans="1:5" x14ac:dyDescent="0.25">
      <c r="A2118" s="41" t="s">
        <v>8157</v>
      </c>
      <c r="B2118" s="41" t="s">
        <v>7808</v>
      </c>
      <c r="C2118" s="41" t="s">
        <v>1352</v>
      </c>
      <c r="D2118" s="41" t="s">
        <v>8158</v>
      </c>
      <c r="E2118" s="41">
        <v>9800</v>
      </c>
    </row>
    <row r="2119" spans="1:5" x14ac:dyDescent="0.25">
      <c r="A2119" s="41" t="s">
        <v>8157</v>
      </c>
      <c r="B2119" s="41" t="s">
        <v>7810</v>
      </c>
      <c r="C2119" s="41" t="s">
        <v>1352</v>
      </c>
      <c r="D2119" s="41" t="s">
        <v>8158</v>
      </c>
      <c r="E2119" s="41">
        <v>16100</v>
      </c>
    </row>
    <row r="2120" spans="1:5" x14ac:dyDescent="0.25">
      <c r="A2120" s="41" t="s">
        <v>8157</v>
      </c>
      <c r="B2120" s="41" t="s">
        <v>7812</v>
      </c>
      <c r="C2120" s="41" t="s">
        <v>1352</v>
      </c>
      <c r="D2120" s="41" t="s">
        <v>8158</v>
      </c>
      <c r="E2120" s="41">
        <v>18000</v>
      </c>
    </row>
    <row r="2121" spans="1:5" x14ac:dyDescent="0.25">
      <c r="A2121" s="41" t="s">
        <v>8157</v>
      </c>
      <c r="B2121" s="41" t="s">
        <v>7815</v>
      </c>
      <c r="C2121" s="41" t="s">
        <v>1352</v>
      </c>
      <c r="D2121" s="41" t="s">
        <v>8158</v>
      </c>
      <c r="E2121" s="41">
        <v>27000</v>
      </c>
    </row>
    <row r="2122" spans="1:5" x14ac:dyDescent="0.25">
      <c r="A2122" s="41" t="s">
        <v>8157</v>
      </c>
      <c r="B2122" s="41" t="s">
        <v>7818</v>
      </c>
      <c r="C2122" s="41" t="s">
        <v>1352</v>
      </c>
      <c r="D2122" s="41" t="s">
        <v>8158</v>
      </c>
      <c r="E2122" s="41">
        <v>7900</v>
      </c>
    </row>
    <row r="2123" spans="1:5" x14ac:dyDescent="0.25">
      <c r="A2123" s="41" t="s">
        <v>8157</v>
      </c>
      <c r="B2123" s="41" t="s">
        <v>7433</v>
      </c>
      <c r="C2123" s="41" t="s">
        <v>1352</v>
      </c>
      <c r="D2123" s="41" t="s">
        <v>8287</v>
      </c>
      <c r="E2123" s="41">
        <v>3900</v>
      </c>
    </row>
    <row r="2124" spans="1:5" x14ac:dyDescent="0.25">
      <c r="A2124" s="41" t="s">
        <v>8157</v>
      </c>
      <c r="B2124" s="41" t="s">
        <v>7433</v>
      </c>
      <c r="C2124" s="41" t="s">
        <v>1352</v>
      </c>
      <c r="D2124" s="41" t="s">
        <v>8297</v>
      </c>
      <c r="E2124" s="41">
        <v>3600</v>
      </c>
    </row>
    <row r="2125" spans="1:5" x14ac:dyDescent="0.25">
      <c r="A2125" s="41" t="s">
        <v>8157</v>
      </c>
      <c r="B2125" s="41" t="s">
        <v>7821</v>
      </c>
      <c r="C2125" s="41" t="s">
        <v>1352</v>
      </c>
      <c r="D2125" s="41" t="s">
        <v>8158</v>
      </c>
      <c r="E2125" s="41">
        <v>12400</v>
      </c>
    </row>
    <row r="2126" spans="1:5" x14ac:dyDescent="0.25">
      <c r="A2126" s="41" t="s">
        <v>8157</v>
      </c>
      <c r="B2126" s="41" t="s">
        <v>7823</v>
      </c>
      <c r="C2126" s="41" t="s">
        <v>1352</v>
      </c>
      <c r="D2126" s="41" t="s">
        <v>8158</v>
      </c>
      <c r="E2126" s="41">
        <v>14400</v>
      </c>
    </row>
    <row r="2127" spans="1:5" x14ac:dyDescent="0.25">
      <c r="A2127" s="41" t="s">
        <v>8157</v>
      </c>
      <c r="B2127" s="41" t="s">
        <v>7825</v>
      </c>
      <c r="C2127" s="41" t="s">
        <v>1352</v>
      </c>
      <c r="D2127" s="41" t="s">
        <v>8287</v>
      </c>
      <c r="E2127" s="41">
        <v>32600</v>
      </c>
    </row>
    <row r="2128" spans="1:5" x14ac:dyDescent="0.25">
      <c r="A2128" s="41" t="s">
        <v>8157</v>
      </c>
      <c r="B2128" s="41" t="s">
        <v>7825</v>
      </c>
      <c r="C2128" s="41" t="s">
        <v>1352</v>
      </c>
      <c r="D2128" s="41" t="s">
        <v>8288</v>
      </c>
      <c r="E2128" s="41">
        <v>31000</v>
      </c>
    </row>
    <row r="2129" spans="1:5" x14ac:dyDescent="0.25">
      <c r="A2129" s="41" t="s">
        <v>8157</v>
      </c>
      <c r="B2129" s="41" t="s">
        <v>7825</v>
      </c>
      <c r="C2129" s="41" t="s">
        <v>1352</v>
      </c>
      <c r="D2129" s="41" t="s">
        <v>8265</v>
      </c>
      <c r="E2129" s="41">
        <v>28800</v>
      </c>
    </row>
    <row r="2130" spans="1:5" x14ac:dyDescent="0.25">
      <c r="A2130" s="41" t="s">
        <v>8157</v>
      </c>
      <c r="B2130" s="41" t="s">
        <v>7825</v>
      </c>
      <c r="C2130" s="41" t="s">
        <v>1352</v>
      </c>
      <c r="D2130" s="41" t="s">
        <v>8289</v>
      </c>
      <c r="E2130" s="41">
        <v>27400</v>
      </c>
    </row>
    <row r="2131" spans="1:5" x14ac:dyDescent="0.25">
      <c r="A2131" s="41" t="s">
        <v>8157</v>
      </c>
      <c r="B2131" s="41" t="s">
        <v>7825</v>
      </c>
      <c r="C2131" s="41" t="s">
        <v>1352</v>
      </c>
      <c r="D2131" s="41" t="s">
        <v>8290</v>
      </c>
      <c r="E2131" s="41">
        <v>25400</v>
      </c>
    </row>
    <row r="2132" spans="1:5" x14ac:dyDescent="0.25">
      <c r="A2132" s="41" t="s">
        <v>8157</v>
      </c>
      <c r="B2132" s="41" t="s">
        <v>7825</v>
      </c>
      <c r="C2132" s="41" t="s">
        <v>1352</v>
      </c>
      <c r="D2132" s="41" t="s">
        <v>8258</v>
      </c>
      <c r="E2132" s="41">
        <v>24200</v>
      </c>
    </row>
    <row r="2133" spans="1:5" x14ac:dyDescent="0.25">
      <c r="A2133" s="41" t="s">
        <v>8157</v>
      </c>
      <c r="B2133" s="41" t="s">
        <v>7443</v>
      </c>
      <c r="C2133" s="41" t="s">
        <v>1352</v>
      </c>
      <c r="D2133" s="41" t="s">
        <v>8158</v>
      </c>
      <c r="E2133" s="41">
        <v>14700</v>
      </c>
    </row>
    <row r="2134" spans="1:5" x14ac:dyDescent="0.25">
      <c r="A2134" s="41" t="s">
        <v>8157</v>
      </c>
      <c r="B2134" s="41" t="s">
        <v>7509</v>
      </c>
      <c r="C2134" s="41" t="s">
        <v>1353</v>
      </c>
      <c r="D2134" s="41" t="s">
        <v>8158</v>
      </c>
      <c r="E2134" s="41">
        <v>3200</v>
      </c>
    </row>
    <row r="2135" spans="1:5" x14ac:dyDescent="0.25">
      <c r="A2135" s="41" t="s">
        <v>8157</v>
      </c>
      <c r="B2135" s="41" t="s">
        <v>7414</v>
      </c>
      <c r="C2135" s="41" t="s">
        <v>1353</v>
      </c>
      <c r="D2135" s="41" t="s">
        <v>8158</v>
      </c>
      <c r="E2135" s="41">
        <v>16110</v>
      </c>
    </row>
    <row r="2136" spans="1:5" x14ac:dyDescent="0.25">
      <c r="A2136" s="41" t="s">
        <v>8157</v>
      </c>
      <c r="B2136" s="41" t="s">
        <v>67</v>
      </c>
      <c r="C2136" s="41" t="s">
        <v>1353</v>
      </c>
      <c r="D2136" s="41" t="s">
        <v>8159</v>
      </c>
      <c r="E2136" s="41">
        <v>15160</v>
      </c>
    </row>
    <row r="2137" spans="1:5" x14ac:dyDescent="0.25">
      <c r="A2137" s="41" t="s">
        <v>8157</v>
      </c>
      <c r="B2137" s="41" t="s">
        <v>67</v>
      </c>
      <c r="C2137" s="41" t="s">
        <v>1353</v>
      </c>
      <c r="D2137" s="41" t="s">
        <v>8160</v>
      </c>
      <c r="E2137" s="41">
        <v>14110</v>
      </c>
    </row>
    <row r="2138" spans="1:5" x14ac:dyDescent="0.25">
      <c r="A2138" s="41" t="s">
        <v>8157</v>
      </c>
      <c r="B2138" s="41" t="s">
        <v>67</v>
      </c>
      <c r="C2138" s="41" t="s">
        <v>1353</v>
      </c>
      <c r="D2138" s="41" t="s">
        <v>8161</v>
      </c>
      <c r="E2138" s="41">
        <v>12710</v>
      </c>
    </row>
    <row r="2139" spans="1:5" x14ac:dyDescent="0.25">
      <c r="A2139" s="41" t="s">
        <v>8157</v>
      </c>
      <c r="B2139" s="41" t="s">
        <v>67</v>
      </c>
      <c r="C2139" s="41" t="s">
        <v>1353</v>
      </c>
      <c r="D2139" s="41" t="s">
        <v>8162</v>
      </c>
      <c r="E2139" s="41">
        <v>11440</v>
      </c>
    </row>
    <row r="2140" spans="1:5" x14ac:dyDescent="0.25">
      <c r="A2140" s="41" t="s">
        <v>8157</v>
      </c>
      <c r="B2140" s="41" t="s">
        <v>7408</v>
      </c>
      <c r="C2140" s="41" t="s">
        <v>1353</v>
      </c>
      <c r="D2140" s="41" t="s">
        <v>8163</v>
      </c>
      <c r="E2140" s="41">
        <v>16700</v>
      </c>
    </row>
    <row r="2141" spans="1:5" x14ac:dyDescent="0.25">
      <c r="A2141" s="41" t="s">
        <v>8157</v>
      </c>
      <c r="B2141" s="41" t="s">
        <v>7408</v>
      </c>
      <c r="C2141" s="41" t="s">
        <v>1353</v>
      </c>
      <c r="D2141" s="41" t="s">
        <v>8164</v>
      </c>
      <c r="E2141" s="41">
        <v>16000</v>
      </c>
    </row>
    <row r="2142" spans="1:5" x14ac:dyDescent="0.25">
      <c r="A2142" s="41" t="s">
        <v>8157</v>
      </c>
      <c r="B2142" s="41" t="s">
        <v>7408</v>
      </c>
      <c r="C2142" s="41" t="s">
        <v>1353</v>
      </c>
      <c r="D2142" s="41" t="s">
        <v>8165</v>
      </c>
      <c r="E2142" s="41">
        <v>14800</v>
      </c>
    </row>
    <row r="2143" spans="1:5" x14ac:dyDescent="0.25">
      <c r="A2143" s="41" t="s">
        <v>8157</v>
      </c>
      <c r="B2143" s="41" t="s">
        <v>7408</v>
      </c>
      <c r="C2143" s="41" t="s">
        <v>1353</v>
      </c>
      <c r="D2143" s="41" t="s">
        <v>8166</v>
      </c>
      <c r="E2143" s="41">
        <v>13900</v>
      </c>
    </row>
    <row r="2144" spans="1:5" x14ac:dyDescent="0.25">
      <c r="A2144" s="41" t="s">
        <v>8157</v>
      </c>
      <c r="B2144" s="41" t="s">
        <v>7408</v>
      </c>
      <c r="C2144" s="41" t="s">
        <v>1353</v>
      </c>
      <c r="D2144" s="41" t="s">
        <v>8167</v>
      </c>
      <c r="E2144" s="41">
        <v>12900</v>
      </c>
    </row>
    <row r="2145" spans="1:5" x14ac:dyDescent="0.25">
      <c r="A2145" s="41" t="s">
        <v>8157</v>
      </c>
      <c r="B2145" s="41" t="s">
        <v>7408</v>
      </c>
      <c r="C2145" s="41" t="s">
        <v>1353</v>
      </c>
      <c r="D2145" s="41" t="s">
        <v>8168</v>
      </c>
      <c r="E2145" s="41">
        <v>12100</v>
      </c>
    </row>
    <row r="2146" spans="1:5" x14ac:dyDescent="0.25">
      <c r="A2146" s="41" t="s">
        <v>8157</v>
      </c>
      <c r="B2146" s="41" t="s">
        <v>7409</v>
      </c>
      <c r="C2146" s="41" t="s">
        <v>1353</v>
      </c>
      <c r="D2146" s="41" t="s">
        <v>8169</v>
      </c>
      <c r="E2146" s="41">
        <v>17400</v>
      </c>
    </row>
    <row r="2147" spans="1:5" x14ac:dyDescent="0.25">
      <c r="A2147" s="41" t="s">
        <v>8157</v>
      </c>
      <c r="B2147" s="41" t="s">
        <v>7409</v>
      </c>
      <c r="C2147" s="41" t="s">
        <v>1353</v>
      </c>
      <c r="D2147" s="41" t="s">
        <v>8170</v>
      </c>
      <c r="E2147" s="41">
        <v>16100</v>
      </c>
    </row>
    <row r="2148" spans="1:5" x14ac:dyDescent="0.25">
      <c r="A2148" s="41" t="s">
        <v>8157</v>
      </c>
      <c r="B2148" s="41" t="s">
        <v>7409</v>
      </c>
      <c r="C2148" s="41" t="s">
        <v>1353</v>
      </c>
      <c r="D2148" s="41" t="s">
        <v>8171</v>
      </c>
      <c r="E2148" s="41">
        <v>14600</v>
      </c>
    </row>
    <row r="2149" spans="1:5" x14ac:dyDescent="0.25">
      <c r="A2149" s="41" t="s">
        <v>8157</v>
      </c>
      <c r="B2149" s="41" t="s">
        <v>7483</v>
      </c>
      <c r="C2149" s="41" t="s">
        <v>1353</v>
      </c>
      <c r="D2149" s="41" t="s">
        <v>8172</v>
      </c>
      <c r="E2149" s="41">
        <v>11800</v>
      </c>
    </row>
    <row r="2150" spans="1:5" x14ac:dyDescent="0.25">
      <c r="A2150" s="41" t="s">
        <v>8157</v>
      </c>
      <c r="B2150" s="41" t="s">
        <v>7483</v>
      </c>
      <c r="C2150" s="41" t="s">
        <v>1353</v>
      </c>
      <c r="D2150" s="41" t="s">
        <v>8173</v>
      </c>
      <c r="E2150" s="41">
        <v>11000</v>
      </c>
    </row>
    <row r="2151" spans="1:5" x14ac:dyDescent="0.25">
      <c r="A2151" s="41" t="s">
        <v>8157</v>
      </c>
      <c r="B2151" s="41" t="s">
        <v>7483</v>
      </c>
      <c r="C2151" s="41" t="s">
        <v>1353</v>
      </c>
      <c r="D2151" s="41" t="s">
        <v>8174</v>
      </c>
      <c r="E2151" s="41">
        <v>10200</v>
      </c>
    </row>
    <row r="2152" spans="1:5" x14ac:dyDescent="0.25">
      <c r="A2152" s="41" t="s">
        <v>8157</v>
      </c>
      <c r="B2152" s="41" t="s">
        <v>7483</v>
      </c>
      <c r="C2152" s="41" t="s">
        <v>1353</v>
      </c>
      <c r="D2152" s="41" t="s">
        <v>8175</v>
      </c>
      <c r="E2152" s="41">
        <v>9400</v>
      </c>
    </row>
    <row r="2153" spans="1:5" x14ac:dyDescent="0.25">
      <c r="A2153" s="41" t="s">
        <v>8157</v>
      </c>
      <c r="B2153" s="41" t="s">
        <v>7483</v>
      </c>
      <c r="C2153" s="41" t="s">
        <v>1353</v>
      </c>
      <c r="D2153" s="41" t="s">
        <v>8176</v>
      </c>
      <c r="E2153" s="41">
        <v>8800</v>
      </c>
    </row>
    <row r="2154" spans="1:5" x14ac:dyDescent="0.25">
      <c r="A2154" s="41" t="s">
        <v>8157</v>
      </c>
      <c r="B2154" s="41" t="s">
        <v>7410</v>
      </c>
      <c r="C2154" s="41" t="s">
        <v>1353</v>
      </c>
      <c r="D2154" s="41" t="s">
        <v>8177</v>
      </c>
      <c r="E2154" s="41">
        <v>11100</v>
      </c>
    </row>
    <row r="2155" spans="1:5" x14ac:dyDescent="0.25">
      <c r="A2155" s="41" t="s">
        <v>8157</v>
      </c>
      <c r="B2155" s="41" t="s">
        <v>7410</v>
      </c>
      <c r="C2155" s="41" t="s">
        <v>1353</v>
      </c>
      <c r="D2155" s="41" t="s">
        <v>8178</v>
      </c>
      <c r="E2155" s="41">
        <v>10400</v>
      </c>
    </row>
    <row r="2156" spans="1:5" x14ac:dyDescent="0.25">
      <c r="A2156" s="41" t="s">
        <v>8157</v>
      </c>
      <c r="B2156" s="41" t="s">
        <v>7410</v>
      </c>
      <c r="C2156" s="41" t="s">
        <v>1353</v>
      </c>
      <c r="D2156" s="41" t="s">
        <v>8179</v>
      </c>
      <c r="E2156" s="41">
        <v>9900</v>
      </c>
    </row>
    <row r="2157" spans="1:5" x14ac:dyDescent="0.25">
      <c r="A2157" s="41" t="s">
        <v>8157</v>
      </c>
      <c r="B2157" s="41" t="s">
        <v>7410</v>
      </c>
      <c r="C2157" s="41" t="s">
        <v>1353</v>
      </c>
      <c r="D2157" s="41" t="s">
        <v>8180</v>
      </c>
      <c r="E2157" s="41">
        <v>9400</v>
      </c>
    </row>
    <row r="2158" spans="1:5" x14ac:dyDescent="0.25">
      <c r="A2158" s="41" t="s">
        <v>8157</v>
      </c>
      <c r="B2158" s="41" t="s">
        <v>7410</v>
      </c>
      <c r="C2158" s="41" t="s">
        <v>1353</v>
      </c>
      <c r="D2158" s="41" t="s">
        <v>8181</v>
      </c>
      <c r="E2158" s="41">
        <v>8700</v>
      </c>
    </row>
    <row r="2159" spans="1:5" x14ac:dyDescent="0.25">
      <c r="A2159" s="41" t="s">
        <v>8157</v>
      </c>
      <c r="B2159" s="41" t="s">
        <v>7410</v>
      </c>
      <c r="C2159" s="41" t="s">
        <v>1353</v>
      </c>
      <c r="D2159" s="41" t="s">
        <v>8182</v>
      </c>
      <c r="E2159" s="41">
        <v>8300</v>
      </c>
    </row>
    <row r="2160" spans="1:5" x14ac:dyDescent="0.25">
      <c r="A2160" s="41" t="s">
        <v>8157</v>
      </c>
      <c r="B2160" s="41" t="s">
        <v>7410</v>
      </c>
      <c r="C2160" s="41" t="s">
        <v>1353</v>
      </c>
      <c r="D2160" s="41" t="s">
        <v>8183</v>
      </c>
      <c r="E2160" s="41">
        <v>7700</v>
      </c>
    </row>
    <row r="2161" spans="1:5" x14ac:dyDescent="0.25">
      <c r="A2161" s="41" t="s">
        <v>8157</v>
      </c>
      <c r="B2161" s="41" t="s">
        <v>7410</v>
      </c>
      <c r="C2161" s="41" t="s">
        <v>1353</v>
      </c>
      <c r="D2161" s="41" t="s">
        <v>8184</v>
      </c>
      <c r="E2161" s="41">
        <v>7200</v>
      </c>
    </row>
    <row r="2162" spans="1:5" x14ac:dyDescent="0.25">
      <c r="A2162" s="41" t="s">
        <v>8157</v>
      </c>
      <c r="B2162" s="41" t="s">
        <v>7407</v>
      </c>
      <c r="C2162" s="41" t="s">
        <v>1353</v>
      </c>
      <c r="D2162" s="41" t="s">
        <v>8185</v>
      </c>
      <c r="E2162" s="41">
        <v>13300</v>
      </c>
    </row>
    <row r="2163" spans="1:5" x14ac:dyDescent="0.25">
      <c r="A2163" s="41" t="s">
        <v>8157</v>
      </c>
      <c r="B2163" s="41" t="s">
        <v>7407</v>
      </c>
      <c r="C2163" s="41" t="s">
        <v>1353</v>
      </c>
      <c r="D2163" s="41" t="s">
        <v>8186</v>
      </c>
      <c r="E2163" s="41">
        <v>12300</v>
      </c>
    </row>
    <row r="2164" spans="1:5" x14ac:dyDescent="0.25">
      <c r="A2164" s="41" t="s">
        <v>8157</v>
      </c>
      <c r="B2164" s="41" t="s">
        <v>7407</v>
      </c>
      <c r="C2164" s="41" t="s">
        <v>1353</v>
      </c>
      <c r="D2164" s="41" t="s">
        <v>8187</v>
      </c>
      <c r="E2164" s="41">
        <v>11500</v>
      </c>
    </row>
    <row r="2165" spans="1:5" x14ac:dyDescent="0.25">
      <c r="A2165" s="41" t="s">
        <v>8157</v>
      </c>
      <c r="B2165" s="41" t="s">
        <v>7407</v>
      </c>
      <c r="C2165" s="41" t="s">
        <v>1353</v>
      </c>
      <c r="D2165" s="41" t="s">
        <v>8188</v>
      </c>
      <c r="E2165" s="41">
        <v>10700</v>
      </c>
    </row>
    <row r="2166" spans="1:5" x14ac:dyDescent="0.25">
      <c r="A2166" s="41" t="s">
        <v>8157</v>
      </c>
      <c r="B2166" s="41" t="s">
        <v>7407</v>
      </c>
      <c r="C2166" s="41" t="s">
        <v>1353</v>
      </c>
      <c r="D2166" s="41" t="s">
        <v>8189</v>
      </c>
      <c r="E2166" s="41">
        <v>9900</v>
      </c>
    </row>
    <row r="2167" spans="1:5" x14ac:dyDescent="0.25">
      <c r="A2167" s="41" t="s">
        <v>8157</v>
      </c>
      <c r="B2167" s="41" t="s">
        <v>7407</v>
      </c>
      <c r="C2167" s="41" t="s">
        <v>1353</v>
      </c>
      <c r="D2167" s="41" t="s">
        <v>8190</v>
      </c>
      <c r="E2167" s="41">
        <v>9200</v>
      </c>
    </row>
    <row r="2168" spans="1:5" x14ac:dyDescent="0.25">
      <c r="A2168" s="41" t="s">
        <v>8157</v>
      </c>
      <c r="B2168" s="41" t="s">
        <v>7521</v>
      </c>
      <c r="C2168" s="41" t="s">
        <v>1353</v>
      </c>
      <c r="D2168" s="41" t="s">
        <v>8158</v>
      </c>
      <c r="E2168" s="41">
        <v>6900</v>
      </c>
    </row>
    <row r="2169" spans="1:5" x14ac:dyDescent="0.25">
      <c r="A2169" s="41" t="s">
        <v>8157</v>
      </c>
      <c r="B2169" s="41" t="s">
        <v>7523</v>
      </c>
      <c r="C2169" s="41" t="s">
        <v>1353</v>
      </c>
      <c r="D2169" s="41" t="s">
        <v>8158</v>
      </c>
      <c r="E2169" s="41">
        <v>6100</v>
      </c>
    </row>
    <row r="2170" spans="1:5" x14ac:dyDescent="0.25">
      <c r="A2170" s="41" t="s">
        <v>8157</v>
      </c>
      <c r="B2170" s="41" t="s">
        <v>7484</v>
      </c>
      <c r="C2170" s="41" t="s">
        <v>1353</v>
      </c>
      <c r="D2170" s="41" t="s">
        <v>8158</v>
      </c>
      <c r="E2170" s="41">
        <v>5500</v>
      </c>
    </row>
    <row r="2171" spans="1:5" x14ac:dyDescent="0.25">
      <c r="A2171" s="41" t="s">
        <v>8157</v>
      </c>
      <c r="B2171" s="41" t="s">
        <v>7526</v>
      </c>
      <c r="C2171" s="41" t="s">
        <v>1353</v>
      </c>
      <c r="D2171" s="41" t="s">
        <v>8158</v>
      </c>
      <c r="E2171" s="41">
        <v>6900</v>
      </c>
    </row>
    <row r="2172" spans="1:5" x14ac:dyDescent="0.25">
      <c r="A2172" s="41" t="s">
        <v>8157</v>
      </c>
      <c r="B2172" s="41" t="s">
        <v>7471</v>
      </c>
      <c r="C2172" s="41" t="s">
        <v>1353</v>
      </c>
      <c r="D2172" s="41" t="s">
        <v>8191</v>
      </c>
      <c r="E2172" s="41">
        <v>38000</v>
      </c>
    </row>
    <row r="2173" spans="1:5" x14ac:dyDescent="0.25">
      <c r="A2173" s="41" t="s">
        <v>8157</v>
      </c>
      <c r="B2173" s="41" t="s">
        <v>7471</v>
      </c>
      <c r="C2173" s="41" t="s">
        <v>1353</v>
      </c>
      <c r="D2173" s="41" t="s">
        <v>8192</v>
      </c>
      <c r="E2173" s="41">
        <v>37200</v>
      </c>
    </row>
    <row r="2174" spans="1:5" x14ac:dyDescent="0.25">
      <c r="A2174" s="41" t="s">
        <v>8157</v>
      </c>
      <c r="B2174" s="41" t="s">
        <v>7471</v>
      </c>
      <c r="C2174" s="41" t="s">
        <v>1353</v>
      </c>
      <c r="D2174" s="41" t="s">
        <v>8193</v>
      </c>
      <c r="E2174" s="41">
        <v>36100</v>
      </c>
    </row>
    <row r="2175" spans="1:5" x14ac:dyDescent="0.25">
      <c r="A2175" s="41" t="s">
        <v>8157</v>
      </c>
      <c r="B2175" s="41" t="s">
        <v>1298</v>
      </c>
      <c r="C2175" s="41" t="s">
        <v>1353</v>
      </c>
      <c r="D2175" s="41" t="s">
        <v>8194</v>
      </c>
      <c r="E2175" s="41">
        <v>41400</v>
      </c>
    </row>
    <row r="2176" spans="1:5" x14ac:dyDescent="0.25">
      <c r="A2176" s="41" t="s">
        <v>8157</v>
      </c>
      <c r="B2176" s="41" t="s">
        <v>1298</v>
      </c>
      <c r="C2176" s="41" t="s">
        <v>1353</v>
      </c>
      <c r="D2176" s="41" t="s">
        <v>8195</v>
      </c>
      <c r="E2176" s="41">
        <v>40200</v>
      </c>
    </row>
    <row r="2177" spans="1:5" x14ac:dyDescent="0.25">
      <c r="A2177" s="41" t="s">
        <v>8157</v>
      </c>
      <c r="B2177" s="41" t="s">
        <v>1298</v>
      </c>
      <c r="C2177" s="41" t="s">
        <v>1353</v>
      </c>
      <c r="D2177" s="41" t="s">
        <v>8196</v>
      </c>
      <c r="E2177" s="41">
        <v>39000</v>
      </c>
    </row>
    <row r="2178" spans="1:5" x14ac:dyDescent="0.25">
      <c r="A2178" s="41" t="s">
        <v>8157</v>
      </c>
      <c r="B2178" s="41" t="s">
        <v>1298</v>
      </c>
      <c r="C2178" s="41" t="s">
        <v>1353</v>
      </c>
      <c r="D2178" s="41" t="s">
        <v>8197</v>
      </c>
      <c r="E2178" s="41">
        <v>37800</v>
      </c>
    </row>
    <row r="2179" spans="1:5" x14ac:dyDescent="0.25">
      <c r="A2179" s="41" t="s">
        <v>8157</v>
      </c>
      <c r="B2179" s="41" t="s">
        <v>1298</v>
      </c>
      <c r="C2179" s="41" t="s">
        <v>1353</v>
      </c>
      <c r="D2179" s="41" t="s">
        <v>8198</v>
      </c>
      <c r="E2179" s="41">
        <v>37100</v>
      </c>
    </row>
    <row r="2180" spans="1:5" x14ac:dyDescent="0.25">
      <c r="A2180" s="41" t="s">
        <v>8157</v>
      </c>
      <c r="B2180" s="41" t="s">
        <v>1298</v>
      </c>
      <c r="C2180" s="41" t="s">
        <v>1353</v>
      </c>
      <c r="D2180" s="41" t="s">
        <v>8199</v>
      </c>
      <c r="E2180" s="41">
        <v>36300</v>
      </c>
    </row>
    <row r="2181" spans="1:5" x14ac:dyDescent="0.25">
      <c r="A2181" s="41" t="s">
        <v>8157</v>
      </c>
      <c r="B2181" s="41" t="s">
        <v>1301</v>
      </c>
      <c r="C2181" s="41" t="s">
        <v>1353</v>
      </c>
      <c r="D2181" s="41" t="s">
        <v>8163</v>
      </c>
      <c r="E2181" s="41">
        <v>33300</v>
      </c>
    </row>
    <row r="2182" spans="1:5" x14ac:dyDescent="0.25">
      <c r="A2182" s="41" t="s">
        <v>8157</v>
      </c>
      <c r="B2182" s="41" t="s">
        <v>1301</v>
      </c>
      <c r="C2182" s="41" t="s">
        <v>1353</v>
      </c>
      <c r="D2182" s="41" t="s">
        <v>8200</v>
      </c>
      <c r="E2182" s="41">
        <v>31000</v>
      </c>
    </row>
    <row r="2183" spans="1:5" x14ac:dyDescent="0.25">
      <c r="A2183" s="41" t="s">
        <v>8157</v>
      </c>
      <c r="B2183" s="41" t="s">
        <v>1301</v>
      </c>
      <c r="C2183" s="41" t="s">
        <v>1353</v>
      </c>
      <c r="D2183" s="41" t="s">
        <v>8201</v>
      </c>
      <c r="E2183" s="41">
        <v>29400</v>
      </c>
    </row>
    <row r="2184" spans="1:5" x14ac:dyDescent="0.25">
      <c r="A2184" s="41" t="s">
        <v>8157</v>
      </c>
      <c r="B2184" s="41" t="s">
        <v>1301</v>
      </c>
      <c r="C2184" s="41" t="s">
        <v>1353</v>
      </c>
      <c r="D2184" s="41" t="s">
        <v>8202</v>
      </c>
      <c r="E2184" s="41">
        <v>27300</v>
      </c>
    </row>
    <row r="2185" spans="1:5" x14ac:dyDescent="0.25">
      <c r="A2185" s="41" t="s">
        <v>8157</v>
      </c>
      <c r="B2185" s="41" t="s">
        <v>1301</v>
      </c>
      <c r="C2185" s="41" t="s">
        <v>1353</v>
      </c>
      <c r="D2185" s="41" t="s">
        <v>8203</v>
      </c>
      <c r="E2185" s="41">
        <v>26000</v>
      </c>
    </row>
    <row r="2186" spans="1:5" x14ac:dyDescent="0.25">
      <c r="A2186" s="41" t="s">
        <v>8157</v>
      </c>
      <c r="B2186" s="41" t="s">
        <v>1301</v>
      </c>
      <c r="C2186" s="41" t="s">
        <v>1353</v>
      </c>
      <c r="D2186" s="41" t="s">
        <v>8204</v>
      </c>
      <c r="E2186" s="41">
        <v>24700</v>
      </c>
    </row>
    <row r="2187" spans="1:5" x14ac:dyDescent="0.25">
      <c r="A2187" s="41" t="s">
        <v>8157</v>
      </c>
      <c r="B2187" s="41" t="s">
        <v>1301</v>
      </c>
      <c r="C2187" s="41" t="s">
        <v>1353</v>
      </c>
      <c r="D2187" s="41" t="s">
        <v>8205</v>
      </c>
      <c r="E2187" s="41">
        <v>23400</v>
      </c>
    </row>
    <row r="2188" spans="1:5" x14ac:dyDescent="0.25">
      <c r="A2188" s="41" t="s">
        <v>8157</v>
      </c>
      <c r="B2188" s="41" t="s">
        <v>1303</v>
      </c>
      <c r="C2188" s="41" t="s">
        <v>1353</v>
      </c>
      <c r="D2188" s="41" t="s">
        <v>8206</v>
      </c>
      <c r="E2188" s="41">
        <v>42200</v>
      </c>
    </row>
    <row r="2189" spans="1:5" x14ac:dyDescent="0.25">
      <c r="A2189" s="41" t="s">
        <v>8157</v>
      </c>
      <c r="B2189" s="41" t="s">
        <v>1303</v>
      </c>
      <c r="C2189" s="41" t="s">
        <v>1353</v>
      </c>
      <c r="D2189" s="41" t="s">
        <v>8207</v>
      </c>
      <c r="E2189" s="41">
        <v>40900</v>
      </c>
    </row>
    <row r="2190" spans="1:5" x14ac:dyDescent="0.25">
      <c r="A2190" s="41" t="s">
        <v>8157</v>
      </c>
      <c r="B2190" s="41" t="s">
        <v>1303</v>
      </c>
      <c r="C2190" s="41" t="s">
        <v>1353</v>
      </c>
      <c r="D2190" s="41" t="s">
        <v>8208</v>
      </c>
      <c r="E2190" s="41">
        <v>38100</v>
      </c>
    </row>
    <row r="2191" spans="1:5" x14ac:dyDescent="0.25">
      <c r="A2191" s="41" t="s">
        <v>8157</v>
      </c>
      <c r="B2191" s="41" t="s">
        <v>1303</v>
      </c>
      <c r="C2191" s="41" t="s">
        <v>1353</v>
      </c>
      <c r="D2191" s="41" t="s">
        <v>8209</v>
      </c>
      <c r="E2191" s="41">
        <v>36900</v>
      </c>
    </row>
    <row r="2192" spans="1:5" x14ac:dyDescent="0.25">
      <c r="A2192" s="41" t="s">
        <v>8157</v>
      </c>
      <c r="B2192" s="41" t="s">
        <v>1303</v>
      </c>
      <c r="C2192" s="41" t="s">
        <v>1353</v>
      </c>
      <c r="D2192" s="41" t="s">
        <v>8210</v>
      </c>
      <c r="E2192" s="41">
        <v>34000</v>
      </c>
    </row>
    <row r="2193" spans="1:5" x14ac:dyDescent="0.25">
      <c r="A2193" s="41" t="s">
        <v>8157</v>
      </c>
      <c r="B2193" s="41" t="s">
        <v>1303</v>
      </c>
      <c r="C2193" s="41" t="s">
        <v>1353</v>
      </c>
      <c r="D2193" s="41" t="s">
        <v>8211</v>
      </c>
      <c r="E2193" s="41">
        <v>32900</v>
      </c>
    </row>
    <row r="2194" spans="1:5" x14ac:dyDescent="0.25">
      <c r="A2194" s="41" t="s">
        <v>8157</v>
      </c>
      <c r="B2194" s="41" t="s">
        <v>1305</v>
      </c>
      <c r="C2194" s="41" t="s">
        <v>1353</v>
      </c>
      <c r="D2194" s="41" t="s">
        <v>8212</v>
      </c>
      <c r="E2194" s="41">
        <v>51600</v>
      </c>
    </row>
    <row r="2195" spans="1:5" x14ac:dyDescent="0.25">
      <c r="A2195" s="41" t="s">
        <v>8157</v>
      </c>
      <c r="B2195" s="41" t="s">
        <v>1305</v>
      </c>
      <c r="C2195" s="41" t="s">
        <v>1353</v>
      </c>
      <c r="D2195" s="41" t="s">
        <v>8213</v>
      </c>
      <c r="E2195" s="41">
        <v>49000</v>
      </c>
    </row>
    <row r="2196" spans="1:5" x14ac:dyDescent="0.25">
      <c r="A2196" s="41" t="s">
        <v>8157</v>
      </c>
      <c r="B2196" s="41" t="s">
        <v>1305</v>
      </c>
      <c r="C2196" s="41" t="s">
        <v>1353</v>
      </c>
      <c r="D2196" s="41" t="s">
        <v>8214</v>
      </c>
      <c r="E2196" s="41">
        <v>47400</v>
      </c>
    </row>
    <row r="2197" spans="1:5" x14ac:dyDescent="0.25">
      <c r="A2197" s="41" t="s">
        <v>8157</v>
      </c>
      <c r="B2197" s="41" t="s">
        <v>1305</v>
      </c>
      <c r="C2197" s="41" t="s">
        <v>1353</v>
      </c>
      <c r="D2197" s="41" t="s">
        <v>8167</v>
      </c>
      <c r="E2197" s="41">
        <v>46100</v>
      </c>
    </row>
    <row r="2198" spans="1:5" x14ac:dyDescent="0.25">
      <c r="A2198" s="41" t="s">
        <v>8157</v>
      </c>
      <c r="B2198" s="41" t="s">
        <v>1305</v>
      </c>
      <c r="C2198" s="41" t="s">
        <v>1353</v>
      </c>
      <c r="D2198" s="41" t="s">
        <v>8215</v>
      </c>
      <c r="E2198" s="41">
        <v>41900</v>
      </c>
    </row>
    <row r="2199" spans="1:5" x14ac:dyDescent="0.25">
      <c r="A2199" s="41" t="s">
        <v>8157</v>
      </c>
      <c r="B2199" s="41" t="s">
        <v>1305</v>
      </c>
      <c r="C2199" s="41" t="s">
        <v>1353</v>
      </c>
      <c r="D2199" s="41" t="s">
        <v>8216</v>
      </c>
      <c r="E2199" s="41">
        <v>36900</v>
      </c>
    </row>
    <row r="2200" spans="1:5" x14ac:dyDescent="0.25">
      <c r="A2200" s="41" t="s">
        <v>8157</v>
      </c>
      <c r="B2200" s="41" t="s">
        <v>1305</v>
      </c>
      <c r="C2200" s="41" t="s">
        <v>1353</v>
      </c>
      <c r="D2200" s="41" t="s">
        <v>8217</v>
      </c>
      <c r="E2200" s="41">
        <v>32500</v>
      </c>
    </row>
    <row r="2201" spans="1:5" x14ac:dyDescent="0.25">
      <c r="A2201" s="41" t="s">
        <v>8157</v>
      </c>
      <c r="B2201" s="41" t="s">
        <v>1307</v>
      </c>
      <c r="C2201" s="41" t="s">
        <v>1353</v>
      </c>
      <c r="D2201" s="41" t="s">
        <v>8177</v>
      </c>
      <c r="E2201" s="41">
        <v>36300</v>
      </c>
    </row>
    <row r="2202" spans="1:5" x14ac:dyDescent="0.25">
      <c r="A2202" s="41" t="s">
        <v>8157</v>
      </c>
      <c r="B2202" s="41" t="s">
        <v>1307</v>
      </c>
      <c r="C2202" s="41" t="s">
        <v>1353</v>
      </c>
      <c r="D2202" s="41" t="s">
        <v>8178</v>
      </c>
      <c r="E2202" s="41">
        <v>35300</v>
      </c>
    </row>
    <row r="2203" spans="1:5" x14ac:dyDescent="0.25">
      <c r="A2203" s="41" t="s">
        <v>8157</v>
      </c>
      <c r="B2203" s="41" t="s">
        <v>1307</v>
      </c>
      <c r="C2203" s="41" t="s">
        <v>1353</v>
      </c>
      <c r="D2203" s="41" t="s">
        <v>8218</v>
      </c>
      <c r="E2203" s="41">
        <v>33500</v>
      </c>
    </row>
    <row r="2204" spans="1:5" x14ac:dyDescent="0.25">
      <c r="A2204" s="41" t="s">
        <v>8157</v>
      </c>
      <c r="B2204" s="41" t="s">
        <v>1307</v>
      </c>
      <c r="C2204" s="41" t="s">
        <v>1353</v>
      </c>
      <c r="D2204" s="41" t="s">
        <v>8219</v>
      </c>
      <c r="E2204" s="41">
        <v>32500</v>
      </c>
    </row>
    <row r="2205" spans="1:5" x14ac:dyDescent="0.25">
      <c r="A2205" s="41" t="s">
        <v>8157</v>
      </c>
      <c r="B2205" s="41" t="s">
        <v>1307</v>
      </c>
      <c r="C2205" s="41" t="s">
        <v>1353</v>
      </c>
      <c r="D2205" s="41" t="s">
        <v>8220</v>
      </c>
      <c r="E2205" s="41">
        <v>30900</v>
      </c>
    </row>
    <row r="2206" spans="1:5" x14ac:dyDescent="0.25">
      <c r="A2206" s="41" t="s">
        <v>8157</v>
      </c>
      <c r="B2206" s="41" t="s">
        <v>1307</v>
      </c>
      <c r="C2206" s="41" t="s">
        <v>1353</v>
      </c>
      <c r="D2206" s="41" t="s">
        <v>8221</v>
      </c>
      <c r="E2206" s="41">
        <v>29900</v>
      </c>
    </row>
    <row r="2207" spans="1:5" x14ac:dyDescent="0.25">
      <c r="A2207" s="41" t="s">
        <v>8157</v>
      </c>
      <c r="B2207" s="41" t="s">
        <v>1307</v>
      </c>
      <c r="C2207" s="41" t="s">
        <v>1353</v>
      </c>
      <c r="D2207" s="41" t="s">
        <v>8222</v>
      </c>
      <c r="E2207" s="41">
        <v>29000</v>
      </c>
    </row>
    <row r="2208" spans="1:5" x14ac:dyDescent="0.25">
      <c r="A2208" s="41" t="s">
        <v>8157</v>
      </c>
      <c r="B2208" s="41" t="s">
        <v>7533</v>
      </c>
      <c r="C2208" s="41" t="s">
        <v>1353</v>
      </c>
      <c r="D2208" s="41" t="s">
        <v>8223</v>
      </c>
      <c r="E2208" s="41">
        <v>21100</v>
      </c>
    </row>
    <row r="2209" spans="1:5" x14ac:dyDescent="0.25">
      <c r="A2209" s="41" t="s">
        <v>8157</v>
      </c>
      <c r="B2209" s="41" t="s">
        <v>7533</v>
      </c>
      <c r="C2209" s="41" t="s">
        <v>1353</v>
      </c>
      <c r="D2209" s="41" t="s">
        <v>8224</v>
      </c>
      <c r="E2209" s="41">
        <v>20200</v>
      </c>
    </row>
    <row r="2210" spans="1:5" x14ac:dyDescent="0.25">
      <c r="A2210" s="41" t="s">
        <v>8157</v>
      </c>
      <c r="B2210" s="41" t="s">
        <v>7533</v>
      </c>
      <c r="C2210" s="41" t="s">
        <v>1353</v>
      </c>
      <c r="D2210" s="41" t="s">
        <v>8225</v>
      </c>
      <c r="E2210" s="41">
        <v>19375</v>
      </c>
    </row>
    <row r="2211" spans="1:5" x14ac:dyDescent="0.25">
      <c r="A2211" s="41" t="s">
        <v>8157</v>
      </c>
      <c r="B2211" s="41" t="s">
        <v>7533</v>
      </c>
      <c r="C2211" s="41" t="s">
        <v>1353</v>
      </c>
      <c r="D2211" s="41" t="s">
        <v>8226</v>
      </c>
      <c r="E2211" s="41">
        <v>18750</v>
      </c>
    </row>
    <row r="2212" spans="1:5" x14ac:dyDescent="0.25">
      <c r="A2212" s="41" t="s">
        <v>8157</v>
      </c>
      <c r="B2212" s="41" t="s">
        <v>7533</v>
      </c>
      <c r="C2212" s="41" t="s">
        <v>1353</v>
      </c>
      <c r="D2212" s="41" t="s">
        <v>8215</v>
      </c>
      <c r="E2212" s="41">
        <v>18625</v>
      </c>
    </row>
    <row r="2213" spans="1:5" x14ac:dyDescent="0.25">
      <c r="A2213" s="41" t="s">
        <v>8157</v>
      </c>
      <c r="B2213" s="41" t="s">
        <v>7533</v>
      </c>
      <c r="C2213" s="41" t="s">
        <v>1353</v>
      </c>
      <c r="D2213" s="41" t="s">
        <v>8227</v>
      </c>
      <c r="E2213" s="41">
        <v>18125</v>
      </c>
    </row>
    <row r="2214" spans="1:5" x14ac:dyDescent="0.25">
      <c r="A2214" s="41" t="s">
        <v>8157</v>
      </c>
      <c r="B2214" s="41" t="s">
        <v>1309</v>
      </c>
      <c r="C2214" s="41" t="s">
        <v>1353</v>
      </c>
      <c r="D2214" s="41" t="s">
        <v>8228</v>
      </c>
      <c r="E2214" s="41">
        <v>41100</v>
      </c>
    </row>
    <row r="2215" spans="1:5" x14ac:dyDescent="0.25">
      <c r="A2215" s="41" t="s">
        <v>8157</v>
      </c>
      <c r="B2215" s="41" t="s">
        <v>1309</v>
      </c>
      <c r="C2215" s="41" t="s">
        <v>1353</v>
      </c>
      <c r="D2215" s="41" t="s">
        <v>8203</v>
      </c>
      <c r="E2215" s="41">
        <v>40700</v>
      </c>
    </row>
    <row r="2216" spans="1:5" x14ac:dyDescent="0.25">
      <c r="A2216" s="41" t="s">
        <v>8157</v>
      </c>
      <c r="B2216" s="41" t="s">
        <v>1309</v>
      </c>
      <c r="C2216" s="41" t="s">
        <v>1353</v>
      </c>
      <c r="D2216" s="41" t="s">
        <v>8229</v>
      </c>
      <c r="E2216" s="41">
        <v>40800</v>
      </c>
    </row>
    <row r="2217" spans="1:5" x14ac:dyDescent="0.25">
      <c r="A2217" s="41" t="s">
        <v>8157</v>
      </c>
      <c r="B2217" s="41" t="s">
        <v>1309</v>
      </c>
      <c r="C2217" s="41" t="s">
        <v>1353</v>
      </c>
      <c r="D2217" s="41" t="s">
        <v>8210</v>
      </c>
      <c r="E2217" s="41">
        <v>34000</v>
      </c>
    </row>
    <row r="2218" spans="1:5" x14ac:dyDescent="0.25">
      <c r="A2218" s="41" t="s">
        <v>8157</v>
      </c>
      <c r="B2218" s="41" t="s">
        <v>1309</v>
      </c>
      <c r="C2218" s="41" t="s">
        <v>1353</v>
      </c>
      <c r="D2218" s="41" t="s">
        <v>8230</v>
      </c>
      <c r="E2218" s="41">
        <v>32300</v>
      </c>
    </row>
    <row r="2219" spans="1:5" x14ac:dyDescent="0.25">
      <c r="A2219" s="41" t="s">
        <v>8157</v>
      </c>
      <c r="B2219" s="41" t="s">
        <v>1309</v>
      </c>
      <c r="C2219" s="41" t="s">
        <v>1353</v>
      </c>
      <c r="D2219" s="41" t="s">
        <v>8231</v>
      </c>
      <c r="E2219" s="41">
        <v>32000</v>
      </c>
    </row>
    <row r="2220" spans="1:5" x14ac:dyDescent="0.25">
      <c r="A2220" s="41" t="s">
        <v>8157</v>
      </c>
      <c r="B2220" s="41" t="s">
        <v>1309</v>
      </c>
      <c r="C2220" s="41" t="s">
        <v>1353</v>
      </c>
      <c r="D2220" s="41" t="s">
        <v>8232</v>
      </c>
      <c r="E2220" s="41">
        <v>31100</v>
      </c>
    </row>
    <row r="2221" spans="1:5" x14ac:dyDescent="0.25">
      <c r="A2221" s="41" t="s">
        <v>8157</v>
      </c>
      <c r="B2221" s="41" t="s">
        <v>7536</v>
      </c>
      <c r="C2221" s="41" t="s">
        <v>1353</v>
      </c>
      <c r="D2221" s="41" t="s">
        <v>8233</v>
      </c>
      <c r="E2221" s="41">
        <v>22880</v>
      </c>
    </row>
    <row r="2222" spans="1:5" x14ac:dyDescent="0.25">
      <c r="A2222" s="41" t="s">
        <v>8157</v>
      </c>
      <c r="B2222" s="41" t="s">
        <v>7536</v>
      </c>
      <c r="C2222" s="41" t="s">
        <v>1353</v>
      </c>
      <c r="D2222" s="41" t="s">
        <v>8234</v>
      </c>
      <c r="E2222" s="41">
        <v>22750</v>
      </c>
    </row>
    <row r="2223" spans="1:5" x14ac:dyDescent="0.25">
      <c r="A2223" s="41" t="s">
        <v>8157</v>
      </c>
      <c r="B2223" s="41" t="s">
        <v>7536</v>
      </c>
      <c r="C2223" s="41" t="s">
        <v>1353</v>
      </c>
      <c r="D2223" s="41" t="s">
        <v>8178</v>
      </c>
      <c r="E2223" s="41">
        <v>22490</v>
      </c>
    </row>
    <row r="2224" spans="1:5" x14ac:dyDescent="0.25">
      <c r="A2224" s="41" t="s">
        <v>8157</v>
      </c>
      <c r="B2224" s="41" t="s">
        <v>7536</v>
      </c>
      <c r="C2224" s="41" t="s">
        <v>1353</v>
      </c>
      <c r="D2224" s="41" t="s">
        <v>8179</v>
      </c>
      <c r="E2224" s="41">
        <v>21970</v>
      </c>
    </row>
    <row r="2225" spans="1:5" x14ac:dyDescent="0.25">
      <c r="A2225" s="41" t="s">
        <v>8157</v>
      </c>
      <c r="B2225" s="41" t="s">
        <v>7536</v>
      </c>
      <c r="C2225" s="41" t="s">
        <v>1353</v>
      </c>
      <c r="D2225" s="41" t="s">
        <v>8180</v>
      </c>
      <c r="E2225" s="41">
        <v>21190</v>
      </c>
    </row>
    <row r="2226" spans="1:5" x14ac:dyDescent="0.25">
      <c r="A2226" s="41" t="s">
        <v>8157</v>
      </c>
      <c r="B2226" s="41" t="s">
        <v>7536</v>
      </c>
      <c r="C2226" s="41" t="s">
        <v>1353</v>
      </c>
      <c r="D2226" s="41" t="s">
        <v>8235</v>
      </c>
      <c r="E2226" s="41">
        <v>20930</v>
      </c>
    </row>
    <row r="2227" spans="1:5" x14ac:dyDescent="0.25">
      <c r="A2227" s="41" t="s">
        <v>8157</v>
      </c>
      <c r="B2227" s="41" t="s">
        <v>7536</v>
      </c>
      <c r="C2227" s="41" t="s">
        <v>1353</v>
      </c>
      <c r="D2227" s="41" t="s">
        <v>8236</v>
      </c>
      <c r="E2227" s="41">
        <v>19890</v>
      </c>
    </row>
    <row r="2228" spans="1:5" x14ac:dyDescent="0.25">
      <c r="A2228" s="41" t="s">
        <v>8157</v>
      </c>
      <c r="B2228" s="41" t="s">
        <v>7536</v>
      </c>
      <c r="C2228" s="41" t="s">
        <v>1353</v>
      </c>
      <c r="D2228" s="41" t="s">
        <v>8237</v>
      </c>
      <c r="E2228" s="41">
        <v>19760</v>
      </c>
    </row>
    <row r="2229" spans="1:5" x14ac:dyDescent="0.25">
      <c r="A2229" s="41" t="s">
        <v>8157</v>
      </c>
      <c r="B2229" s="41" t="s">
        <v>7538</v>
      </c>
      <c r="C2229" s="41" t="s">
        <v>1353</v>
      </c>
      <c r="D2229" s="41" t="s">
        <v>8158</v>
      </c>
      <c r="E2229" s="41">
        <v>31300</v>
      </c>
    </row>
    <row r="2230" spans="1:5" x14ac:dyDescent="0.25">
      <c r="A2230" s="41" t="s">
        <v>8157</v>
      </c>
      <c r="B2230" s="41" t="s">
        <v>7540</v>
      </c>
      <c r="C2230" s="41" t="s">
        <v>1353</v>
      </c>
      <c r="D2230" s="41" t="s">
        <v>8185</v>
      </c>
      <c r="E2230" s="41">
        <v>20600</v>
      </c>
    </row>
    <row r="2231" spans="1:5" x14ac:dyDescent="0.25">
      <c r="A2231" s="41" t="s">
        <v>8157</v>
      </c>
      <c r="B2231" s="41" t="s">
        <v>7540</v>
      </c>
      <c r="C2231" s="41" t="s">
        <v>1353</v>
      </c>
      <c r="D2231" s="41" t="s">
        <v>8193</v>
      </c>
      <c r="E2231" s="41">
        <v>20000</v>
      </c>
    </row>
    <row r="2232" spans="1:5" x14ac:dyDescent="0.25">
      <c r="A2232" s="41" t="s">
        <v>8157</v>
      </c>
      <c r="B2232" s="41" t="s">
        <v>7542</v>
      </c>
      <c r="C2232" s="41" t="s">
        <v>1353</v>
      </c>
      <c r="D2232" s="41" t="s">
        <v>8238</v>
      </c>
      <c r="E2232" s="41">
        <v>50600</v>
      </c>
    </row>
    <row r="2233" spans="1:5" x14ac:dyDescent="0.25">
      <c r="A2233" s="41" t="s">
        <v>8157</v>
      </c>
      <c r="B2233" s="41" t="s">
        <v>7542</v>
      </c>
      <c r="C2233" s="41" t="s">
        <v>1353</v>
      </c>
      <c r="D2233" s="41" t="s">
        <v>1138</v>
      </c>
      <c r="E2233" s="41">
        <v>48100</v>
      </c>
    </row>
    <row r="2234" spans="1:5" x14ac:dyDescent="0.25">
      <c r="A2234" s="41" t="s">
        <v>8157</v>
      </c>
      <c r="B2234" s="41" t="s">
        <v>7542</v>
      </c>
      <c r="C2234" s="41" t="s">
        <v>1353</v>
      </c>
      <c r="D2234" s="41" t="s">
        <v>821</v>
      </c>
      <c r="E2234" s="41">
        <v>47600</v>
      </c>
    </row>
    <row r="2235" spans="1:5" x14ac:dyDescent="0.25">
      <c r="A2235" s="41" t="s">
        <v>8157</v>
      </c>
      <c r="B2235" s="41" t="s">
        <v>7542</v>
      </c>
      <c r="C2235" s="41" t="s">
        <v>1353</v>
      </c>
      <c r="D2235" s="41" t="s">
        <v>8239</v>
      </c>
      <c r="E2235" s="41">
        <v>39500</v>
      </c>
    </row>
    <row r="2236" spans="1:5" x14ac:dyDescent="0.25">
      <c r="A2236" s="41" t="s">
        <v>8157</v>
      </c>
      <c r="B2236" s="41" t="s">
        <v>7542</v>
      </c>
      <c r="C2236" s="41" t="s">
        <v>1353</v>
      </c>
      <c r="D2236" s="41" t="s">
        <v>8240</v>
      </c>
      <c r="E2236" s="41">
        <v>26500</v>
      </c>
    </row>
    <row r="2237" spans="1:5" x14ac:dyDescent="0.25">
      <c r="A2237" s="41" t="s">
        <v>8157</v>
      </c>
      <c r="B2237" s="41" t="s">
        <v>7542</v>
      </c>
      <c r="C2237" s="41" t="s">
        <v>1353</v>
      </c>
      <c r="D2237" s="41" t="s">
        <v>8241</v>
      </c>
      <c r="E2237" s="41">
        <v>28950</v>
      </c>
    </row>
    <row r="2238" spans="1:5" x14ac:dyDescent="0.25">
      <c r="A2238" s="41" t="s">
        <v>8157</v>
      </c>
      <c r="B2238" s="41" t="s">
        <v>7544</v>
      </c>
      <c r="C2238" s="41" t="s">
        <v>1353</v>
      </c>
      <c r="D2238" s="41" t="s">
        <v>8242</v>
      </c>
      <c r="E2238" s="41">
        <v>21450</v>
      </c>
    </row>
    <row r="2239" spans="1:5" x14ac:dyDescent="0.25">
      <c r="A2239" s="41" t="s">
        <v>8157</v>
      </c>
      <c r="B2239" s="41" t="s">
        <v>7544</v>
      </c>
      <c r="C2239" s="41" t="s">
        <v>1353</v>
      </c>
      <c r="D2239" s="41" t="s">
        <v>8243</v>
      </c>
      <c r="E2239" s="41">
        <v>21195</v>
      </c>
    </row>
    <row r="2240" spans="1:5" x14ac:dyDescent="0.25">
      <c r="A2240" s="41" t="s">
        <v>8157</v>
      </c>
      <c r="B2240" s="41" t="s">
        <v>1311</v>
      </c>
      <c r="C2240" s="41" t="s">
        <v>1353</v>
      </c>
      <c r="D2240" s="41" t="s">
        <v>8244</v>
      </c>
      <c r="E2240" s="41">
        <v>33460</v>
      </c>
    </row>
    <row r="2241" spans="1:5" x14ac:dyDescent="0.25">
      <c r="A2241" s="41" t="s">
        <v>8157</v>
      </c>
      <c r="B2241" s="41" t="s">
        <v>1311</v>
      </c>
      <c r="C2241" s="41" t="s">
        <v>1353</v>
      </c>
      <c r="D2241" s="41" t="s">
        <v>8245</v>
      </c>
      <c r="E2241" s="41">
        <v>30520</v>
      </c>
    </row>
    <row r="2242" spans="1:5" x14ac:dyDescent="0.25">
      <c r="A2242" s="41" t="s">
        <v>8157</v>
      </c>
      <c r="B2242" s="41" t="s">
        <v>1313</v>
      </c>
      <c r="C2242" s="41" t="s">
        <v>1353</v>
      </c>
      <c r="D2242" s="41" t="s">
        <v>8246</v>
      </c>
      <c r="E2242" s="41">
        <v>37600</v>
      </c>
    </row>
    <row r="2243" spans="1:5" x14ac:dyDescent="0.25">
      <c r="A2243" s="41" t="s">
        <v>8157</v>
      </c>
      <c r="B2243" s="41" t="s">
        <v>1313</v>
      </c>
      <c r="C2243" s="41" t="s">
        <v>1353</v>
      </c>
      <c r="D2243" s="41" t="s">
        <v>8247</v>
      </c>
      <c r="E2243" s="41">
        <v>36600</v>
      </c>
    </row>
    <row r="2244" spans="1:5" x14ac:dyDescent="0.25">
      <c r="A2244" s="41" t="s">
        <v>8157</v>
      </c>
      <c r="B2244" s="41" t="s">
        <v>1313</v>
      </c>
      <c r="C2244" s="41" t="s">
        <v>1353</v>
      </c>
      <c r="D2244" s="41" t="s">
        <v>8248</v>
      </c>
      <c r="E2244" s="41">
        <v>34600</v>
      </c>
    </row>
    <row r="2245" spans="1:5" x14ac:dyDescent="0.25">
      <c r="A2245" s="41" t="s">
        <v>8157</v>
      </c>
      <c r="B2245" s="41" t="s">
        <v>1313</v>
      </c>
      <c r="C2245" s="41" t="s">
        <v>1353</v>
      </c>
      <c r="D2245" s="41" t="s">
        <v>8249</v>
      </c>
      <c r="E2245" s="41">
        <v>36400</v>
      </c>
    </row>
    <row r="2246" spans="1:5" x14ac:dyDescent="0.25">
      <c r="A2246" s="41" t="s">
        <v>8157</v>
      </c>
      <c r="B2246" s="41" t="s">
        <v>1313</v>
      </c>
      <c r="C2246" s="41" t="s">
        <v>1353</v>
      </c>
      <c r="D2246" s="41" t="s">
        <v>8250</v>
      </c>
      <c r="E2246" s="41">
        <v>33800</v>
      </c>
    </row>
    <row r="2247" spans="1:5" x14ac:dyDescent="0.25">
      <c r="A2247" s="41" t="s">
        <v>8157</v>
      </c>
      <c r="B2247" s="41" t="s">
        <v>1313</v>
      </c>
      <c r="C2247" s="41" t="s">
        <v>1353</v>
      </c>
      <c r="D2247" s="41" t="s">
        <v>8251</v>
      </c>
      <c r="E2247" s="41">
        <v>32800</v>
      </c>
    </row>
    <row r="2248" spans="1:5" x14ac:dyDescent="0.25">
      <c r="A2248" s="41" t="s">
        <v>8157</v>
      </c>
      <c r="B2248" s="41" t="s">
        <v>7468</v>
      </c>
      <c r="C2248" s="41" t="s">
        <v>1353</v>
      </c>
      <c r="D2248" s="41" t="s">
        <v>8158</v>
      </c>
      <c r="E2248" s="41">
        <v>23355</v>
      </c>
    </row>
    <row r="2249" spans="1:5" x14ac:dyDescent="0.25">
      <c r="A2249" s="41" t="s">
        <v>8157</v>
      </c>
      <c r="B2249" s="41" t="s">
        <v>7467</v>
      </c>
      <c r="C2249" s="41" t="s">
        <v>1353</v>
      </c>
      <c r="D2249" s="41" t="s">
        <v>8172</v>
      </c>
      <c r="E2249" s="41">
        <v>34100</v>
      </c>
    </row>
    <row r="2250" spans="1:5" x14ac:dyDescent="0.25">
      <c r="A2250" s="41" t="s">
        <v>8157</v>
      </c>
      <c r="B2250" s="41" t="s">
        <v>7467</v>
      </c>
      <c r="C2250" s="41" t="s">
        <v>1353</v>
      </c>
      <c r="D2250" s="41" t="s">
        <v>8173</v>
      </c>
      <c r="E2250" s="41">
        <v>31700</v>
      </c>
    </row>
    <row r="2251" spans="1:5" x14ac:dyDescent="0.25">
      <c r="A2251" s="41" t="s">
        <v>8157</v>
      </c>
      <c r="B2251" s="41" t="s">
        <v>7467</v>
      </c>
      <c r="C2251" s="41" t="s">
        <v>1353</v>
      </c>
      <c r="D2251" s="41" t="s">
        <v>8252</v>
      </c>
      <c r="E2251" s="41">
        <v>30100</v>
      </c>
    </row>
    <row r="2252" spans="1:5" x14ac:dyDescent="0.25">
      <c r="A2252" s="41" t="s">
        <v>8157</v>
      </c>
      <c r="B2252" s="41" t="s">
        <v>7467</v>
      </c>
      <c r="C2252" s="41" t="s">
        <v>1353</v>
      </c>
      <c r="D2252" s="41" t="s">
        <v>8243</v>
      </c>
      <c r="E2252" s="41">
        <v>28600</v>
      </c>
    </row>
    <row r="2253" spans="1:5" x14ac:dyDescent="0.25">
      <c r="A2253" s="41" t="s">
        <v>8157</v>
      </c>
      <c r="B2253" s="41" t="s">
        <v>7548</v>
      </c>
      <c r="C2253" s="41" t="s">
        <v>1353</v>
      </c>
      <c r="D2253" s="41" t="s">
        <v>8158</v>
      </c>
      <c r="E2253" s="41">
        <v>8375</v>
      </c>
    </row>
    <row r="2254" spans="1:5" x14ac:dyDescent="0.25">
      <c r="A2254" s="41" t="s">
        <v>8157</v>
      </c>
      <c r="B2254" s="41" t="s">
        <v>7550</v>
      </c>
      <c r="C2254" s="41" t="s">
        <v>1353</v>
      </c>
      <c r="D2254" s="41" t="s">
        <v>8158</v>
      </c>
      <c r="E2254" s="41">
        <v>35995</v>
      </c>
    </row>
    <row r="2255" spans="1:5" x14ac:dyDescent="0.25">
      <c r="A2255" s="41" t="s">
        <v>8157</v>
      </c>
      <c r="B2255" s="41" t="s">
        <v>1315</v>
      </c>
      <c r="C2255" s="41" t="s">
        <v>1353</v>
      </c>
      <c r="D2255" s="41" t="s">
        <v>8253</v>
      </c>
      <c r="E2255" s="41">
        <v>35600</v>
      </c>
    </row>
    <row r="2256" spans="1:5" x14ac:dyDescent="0.25">
      <c r="A2256" s="41" t="s">
        <v>8157</v>
      </c>
      <c r="B2256" s="41" t="s">
        <v>1315</v>
      </c>
      <c r="C2256" s="41" t="s">
        <v>1353</v>
      </c>
      <c r="D2256" s="41" t="s">
        <v>8254</v>
      </c>
      <c r="E2256" s="41">
        <v>35000</v>
      </c>
    </row>
    <row r="2257" spans="1:5" x14ac:dyDescent="0.25">
      <c r="A2257" s="41" t="s">
        <v>8157</v>
      </c>
      <c r="B2257" s="41" t="s">
        <v>1315</v>
      </c>
      <c r="C2257" s="41" t="s">
        <v>1353</v>
      </c>
      <c r="D2257" s="41" t="s">
        <v>8255</v>
      </c>
      <c r="E2257" s="41">
        <v>34400</v>
      </c>
    </row>
    <row r="2258" spans="1:5" x14ac:dyDescent="0.25">
      <c r="A2258" s="41" t="s">
        <v>8157</v>
      </c>
      <c r="B2258" s="41" t="s">
        <v>1315</v>
      </c>
      <c r="C2258" s="41" t="s">
        <v>1353</v>
      </c>
      <c r="D2258" s="41" t="s">
        <v>8256</v>
      </c>
      <c r="E2258" s="41">
        <v>32120</v>
      </c>
    </row>
    <row r="2259" spans="1:5" x14ac:dyDescent="0.25">
      <c r="A2259" s="41" t="s">
        <v>8157</v>
      </c>
      <c r="B2259" s="41" t="s">
        <v>1315</v>
      </c>
      <c r="C2259" s="41" t="s">
        <v>1353</v>
      </c>
      <c r="D2259" s="41" t="s">
        <v>8257</v>
      </c>
      <c r="E2259" s="41">
        <v>30600</v>
      </c>
    </row>
    <row r="2260" spans="1:5" x14ac:dyDescent="0.25">
      <c r="A2260" s="41" t="s">
        <v>8157</v>
      </c>
      <c r="B2260" s="41" t="s">
        <v>1315</v>
      </c>
      <c r="C2260" s="41" t="s">
        <v>1353</v>
      </c>
      <c r="D2260" s="41" t="s">
        <v>8258</v>
      </c>
      <c r="E2260" s="41">
        <v>23250</v>
      </c>
    </row>
    <row r="2261" spans="1:5" x14ac:dyDescent="0.25">
      <c r="A2261" s="41" t="s">
        <v>8157</v>
      </c>
      <c r="B2261" s="41" t="s">
        <v>1317</v>
      </c>
      <c r="C2261" s="41" t="s">
        <v>1353</v>
      </c>
      <c r="D2261" s="41" t="s">
        <v>8233</v>
      </c>
      <c r="E2261" s="41">
        <v>24400</v>
      </c>
    </row>
    <row r="2262" spans="1:5" x14ac:dyDescent="0.25">
      <c r="A2262" s="41" t="s">
        <v>8157</v>
      </c>
      <c r="B2262" s="41" t="s">
        <v>1317</v>
      </c>
      <c r="C2262" s="41" t="s">
        <v>1353</v>
      </c>
      <c r="D2262" s="41" t="s">
        <v>8259</v>
      </c>
      <c r="E2262" s="41">
        <v>19700</v>
      </c>
    </row>
    <row r="2263" spans="1:5" x14ac:dyDescent="0.25">
      <c r="A2263" s="41" t="s">
        <v>8157</v>
      </c>
      <c r="B2263" s="41" t="s">
        <v>1317</v>
      </c>
      <c r="C2263" s="41" t="s">
        <v>1353</v>
      </c>
      <c r="D2263" s="41" t="s">
        <v>8260</v>
      </c>
      <c r="E2263" s="41">
        <v>14900</v>
      </c>
    </row>
    <row r="2264" spans="1:5" x14ac:dyDescent="0.25">
      <c r="A2264" s="41" t="s">
        <v>8157</v>
      </c>
      <c r="B2264" s="41" t="s">
        <v>1319</v>
      </c>
      <c r="C2264" s="41" t="s">
        <v>1353</v>
      </c>
      <c r="D2264" s="41" t="s">
        <v>8261</v>
      </c>
      <c r="E2264" s="41">
        <v>30100</v>
      </c>
    </row>
    <row r="2265" spans="1:5" x14ac:dyDescent="0.25">
      <c r="A2265" s="41" t="s">
        <v>8157</v>
      </c>
      <c r="B2265" s="41" t="s">
        <v>1319</v>
      </c>
      <c r="C2265" s="41" t="s">
        <v>1353</v>
      </c>
      <c r="D2265" s="41" t="s">
        <v>8166</v>
      </c>
      <c r="E2265" s="41">
        <v>28900</v>
      </c>
    </row>
    <row r="2266" spans="1:5" x14ac:dyDescent="0.25">
      <c r="A2266" s="41" t="s">
        <v>8157</v>
      </c>
      <c r="B2266" s="41" t="s">
        <v>1319</v>
      </c>
      <c r="C2266" s="41" t="s">
        <v>1353</v>
      </c>
      <c r="D2266" s="41" t="s">
        <v>8237</v>
      </c>
      <c r="E2266" s="41">
        <v>26100</v>
      </c>
    </row>
    <row r="2267" spans="1:5" x14ac:dyDescent="0.25">
      <c r="A2267" s="41" t="s">
        <v>8157</v>
      </c>
      <c r="B2267" s="41" t="s">
        <v>1321</v>
      </c>
      <c r="C2267" s="41" t="s">
        <v>1353</v>
      </c>
      <c r="D2267" s="41" t="s">
        <v>8262</v>
      </c>
      <c r="E2267" s="41">
        <v>24970</v>
      </c>
    </row>
    <row r="2268" spans="1:5" x14ac:dyDescent="0.25">
      <c r="A2268" s="41" t="s">
        <v>8157</v>
      </c>
      <c r="B2268" s="41" t="s">
        <v>1321</v>
      </c>
      <c r="C2268" s="41" t="s">
        <v>1353</v>
      </c>
      <c r="D2268" s="41" t="s">
        <v>8263</v>
      </c>
      <c r="E2268" s="41">
        <v>23980</v>
      </c>
    </row>
    <row r="2269" spans="1:5" x14ac:dyDescent="0.25">
      <c r="A2269" s="41" t="s">
        <v>8157</v>
      </c>
      <c r="B2269" s="41" t="s">
        <v>1321</v>
      </c>
      <c r="C2269" s="41" t="s">
        <v>1353</v>
      </c>
      <c r="D2269" s="41" t="s">
        <v>8264</v>
      </c>
      <c r="E2269" s="41">
        <v>22880</v>
      </c>
    </row>
    <row r="2270" spans="1:5" x14ac:dyDescent="0.25">
      <c r="A2270" s="41" t="s">
        <v>8157</v>
      </c>
      <c r="B2270" s="41" t="s">
        <v>7554</v>
      </c>
      <c r="C2270" s="41" t="s">
        <v>1353</v>
      </c>
      <c r="D2270" s="41" t="s">
        <v>8233</v>
      </c>
      <c r="E2270" s="41">
        <v>19600</v>
      </c>
    </row>
    <row r="2271" spans="1:5" x14ac:dyDescent="0.25">
      <c r="A2271" s="41" t="s">
        <v>8157</v>
      </c>
      <c r="B2271" s="41" t="s">
        <v>7554</v>
      </c>
      <c r="C2271" s="41" t="s">
        <v>1353</v>
      </c>
      <c r="D2271" s="41" t="s">
        <v>8265</v>
      </c>
      <c r="E2271" s="41">
        <v>17820</v>
      </c>
    </row>
    <row r="2272" spans="1:5" x14ac:dyDescent="0.25">
      <c r="A2272" s="41" t="s">
        <v>8157</v>
      </c>
      <c r="B2272" s="41" t="s">
        <v>7554</v>
      </c>
      <c r="C2272" s="41" t="s">
        <v>1353</v>
      </c>
      <c r="D2272" s="41" t="s">
        <v>8190</v>
      </c>
      <c r="E2272" s="41">
        <v>13970</v>
      </c>
    </row>
    <row r="2273" spans="1:5" x14ac:dyDescent="0.25">
      <c r="A2273" s="41" t="s">
        <v>8157</v>
      </c>
      <c r="B2273" s="41" t="s">
        <v>7556</v>
      </c>
      <c r="C2273" s="41" t="s">
        <v>1353</v>
      </c>
      <c r="D2273" s="41" t="s">
        <v>8158</v>
      </c>
      <c r="E2273" s="41">
        <v>15600</v>
      </c>
    </row>
    <row r="2274" spans="1:5" x14ac:dyDescent="0.25">
      <c r="A2274" s="41" t="s">
        <v>8157</v>
      </c>
      <c r="B2274" s="41" t="s">
        <v>7558</v>
      </c>
      <c r="C2274" s="41" t="s">
        <v>1353</v>
      </c>
      <c r="D2274" s="41" t="s">
        <v>8233</v>
      </c>
      <c r="E2274" s="41">
        <v>30900</v>
      </c>
    </row>
    <row r="2275" spans="1:5" x14ac:dyDescent="0.25">
      <c r="A2275" s="41" t="s">
        <v>8157</v>
      </c>
      <c r="B2275" s="41" t="s">
        <v>7558</v>
      </c>
      <c r="C2275" s="41" t="s">
        <v>1353</v>
      </c>
      <c r="D2275" s="41" t="s">
        <v>8161</v>
      </c>
      <c r="E2275" s="41">
        <v>28740</v>
      </c>
    </row>
    <row r="2276" spans="1:5" x14ac:dyDescent="0.25">
      <c r="A2276" s="41" t="s">
        <v>8157</v>
      </c>
      <c r="B2276" s="41" t="s">
        <v>7558</v>
      </c>
      <c r="C2276" s="41" t="s">
        <v>1353</v>
      </c>
      <c r="D2276" s="41" t="s">
        <v>8165</v>
      </c>
      <c r="E2276" s="41">
        <v>26730</v>
      </c>
    </row>
    <row r="2277" spans="1:5" x14ac:dyDescent="0.25">
      <c r="A2277" s="41" t="s">
        <v>8157</v>
      </c>
      <c r="B2277" s="41" t="s">
        <v>7558</v>
      </c>
      <c r="C2277" s="41" t="s">
        <v>1353</v>
      </c>
      <c r="D2277" s="41" t="s">
        <v>8266</v>
      </c>
      <c r="E2277" s="41">
        <v>24860</v>
      </c>
    </row>
    <row r="2278" spans="1:5" x14ac:dyDescent="0.25">
      <c r="A2278" s="41" t="s">
        <v>8157</v>
      </c>
      <c r="B2278" s="41" t="s">
        <v>7560</v>
      </c>
      <c r="C2278" s="41" t="s">
        <v>1353</v>
      </c>
      <c r="D2278" s="41" t="s">
        <v>8244</v>
      </c>
      <c r="E2278" s="41">
        <v>18100</v>
      </c>
    </row>
    <row r="2279" spans="1:5" x14ac:dyDescent="0.25">
      <c r="A2279" s="41" t="s">
        <v>8157</v>
      </c>
      <c r="B2279" s="41" t="s">
        <v>7560</v>
      </c>
      <c r="C2279" s="41" t="s">
        <v>1353</v>
      </c>
      <c r="D2279" s="41" t="s">
        <v>8267</v>
      </c>
      <c r="E2279" s="41">
        <v>18100</v>
      </c>
    </row>
    <row r="2280" spans="1:5" x14ac:dyDescent="0.25">
      <c r="A2280" s="41" t="s">
        <v>8157</v>
      </c>
      <c r="B2280" s="41" t="s">
        <v>7560</v>
      </c>
      <c r="C2280" s="41" t="s">
        <v>1353</v>
      </c>
      <c r="D2280" s="41" t="s">
        <v>8266</v>
      </c>
      <c r="E2280" s="41">
        <v>17400</v>
      </c>
    </row>
    <row r="2281" spans="1:5" x14ac:dyDescent="0.25">
      <c r="A2281" s="41" t="s">
        <v>8157</v>
      </c>
      <c r="B2281" s="41" t="s">
        <v>7562</v>
      </c>
      <c r="C2281" s="41" t="s">
        <v>1353</v>
      </c>
      <c r="D2281" s="41" t="s">
        <v>8158</v>
      </c>
      <c r="E2281" s="41">
        <v>12180</v>
      </c>
    </row>
    <row r="2282" spans="1:5" x14ac:dyDescent="0.25">
      <c r="A2282" s="41" t="s">
        <v>8157</v>
      </c>
      <c r="B2282" s="41" t="s">
        <v>7564</v>
      </c>
      <c r="C2282" s="41" t="s">
        <v>1353</v>
      </c>
      <c r="D2282" s="41" t="s">
        <v>8158</v>
      </c>
      <c r="E2282" s="41">
        <v>13000</v>
      </c>
    </row>
    <row r="2283" spans="1:5" x14ac:dyDescent="0.25">
      <c r="A2283" s="41" t="s">
        <v>8157</v>
      </c>
      <c r="B2283" s="41" t="s">
        <v>7566</v>
      </c>
      <c r="C2283" s="41" t="s">
        <v>1353</v>
      </c>
      <c r="D2283" s="41" t="s">
        <v>8233</v>
      </c>
      <c r="E2283" s="41">
        <v>20100</v>
      </c>
    </row>
    <row r="2284" spans="1:5" x14ac:dyDescent="0.25">
      <c r="A2284" s="41" t="s">
        <v>8157</v>
      </c>
      <c r="B2284" s="41" t="s">
        <v>7566</v>
      </c>
      <c r="C2284" s="41" t="s">
        <v>1353</v>
      </c>
      <c r="D2284" s="41" t="s">
        <v>8161</v>
      </c>
      <c r="E2284" s="41">
        <v>19700</v>
      </c>
    </row>
    <row r="2285" spans="1:5" x14ac:dyDescent="0.25">
      <c r="A2285" s="41" t="s">
        <v>8157</v>
      </c>
      <c r="B2285" s="41" t="s">
        <v>7566</v>
      </c>
      <c r="C2285" s="41" t="s">
        <v>1353</v>
      </c>
      <c r="D2285" s="41" t="s">
        <v>8162</v>
      </c>
      <c r="E2285" s="41">
        <v>19400</v>
      </c>
    </row>
    <row r="2286" spans="1:5" x14ac:dyDescent="0.25">
      <c r="A2286" s="41" t="s">
        <v>8157</v>
      </c>
      <c r="B2286" s="41" t="s">
        <v>7568</v>
      </c>
      <c r="C2286" s="41" t="s">
        <v>1353</v>
      </c>
      <c r="D2286" s="41" t="s">
        <v>8158</v>
      </c>
      <c r="E2286" s="41">
        <v>10800</v>
      </c>
    </row>
    <row r="2287" spans="1:5" x14ac:dyDescent="0.25">
      <c r="A2287" s="41" t="s">
        <v>8157</v>
      </c>
      <c r="B2287" s="41" t="s">
        <v>7570</v>
      </c>
      <c r="C2287" s="41" t="s">
        <v>1353</v>
      </c>
      <c r="D2287" s="41" t="s">
        <v>8158</v>
      </c>
      <c r="E2287" s="41">
        <v>18200</v>
      </c>
    </row>
    <row r="2288" spans="1:5" x14ac:dyDescent="0.25">
      <c r="A2288" s="41" t="s">
        <v>8157</v>
      </c>
      <c r="B2288" s="41" t="s">
        <v>7572</v>
      </c>
      <c r="C2288" s="41" t="s">
        <v>1353</v>
      </c>
      <c r="D2288" s="41" t="s">
        <v>8158</v>
      </c>
      <c r="E2288" s="41">
        <v>13520</v>
      </c>
    </row>
    <row r="2289" spans="1:5" x14ac:dyDescent="0.25">
      <c r="A2289" s="41" t="s">
        <v>8157</v>
      </c>
      <c r="B2289" s="41" t="s">
        <v>7574</v>
      </c>
      <c r="C2289" s="41" t="s">
        <v>1353</v>
      </c>
      <c r="D2289" s="41" t="s">
        <v>8158</v>
      </c>
      <c r="E2289" s="41">
        <v>14560</v>
      </c>
    </row>
    <row r="2290" spans="1:5" x14ac:dyDescent="0.25">
      <c r="A2290" s="41" t="s">
        <v>8157</v>
      </c>
      <c r="B2290" s="41" t="s">
        <v>7576</v>
      </c>
      <c r="C2290" s="41" t="s">
        <v>1353</v>
      </c>
      <c r="D2290" s="41" t="s">
        <v>8158</v>
      </c>
      <c r="E2290" s="41">
        <v>13520</v>
      </c>
    </row>
    <row r="2291" spans="1:5" x14ac:dyDescent="0.25">
      <c r="A2291" s="41" t="s">
        <v>8157</v>
      </c>
      <c r="B2291" s="41" t="s">
        <v>7578</v>
      </c>
      <c r="C2291" s="41" t="s">
        <v>1353</v>
      </c>
      <c r="D2291" s="41" t="s">
        <v>8158</v>
      </c>
      <c r="E2291" s="41">
        <v>7900</v>
      </c>
    </row>
    <row r="2292" spans="1:5" x14ac:dyDescent="0.25">
      <c r="A2292" s="41" t="s">
        <v>8157</v>
      </c>
      <c r="B2292" s="41" t="s">
        <v>1323</v>
      </c>
      <c r="C2292" s="41" t="s">
        <v>1353</v>
      </c>
      <c r="D2292" s="41" t="s">
        <v>8261</v>
      </c>
      <c r="E2292" s="41">
        <v>39600</v>
      </c>
    </row>
    <row r="2293" spans="1:5" x14ac:dyDescent="0.25">
      <c r="A2293" s="41" t="s">
        <v>8157</v>
      </c>
      <c r="B2293" s="41" t="s">
        <v>1323</v>
      </c>
      <c r="C2293" s="41" t="s">
        <v>1353</v>
      </c>
      <c r="D2293" s="41" t="s">
        <v>8166</v>
      </c>
      <c r="E2293" s="41">
        <v>37600</v>
      </c>
    </row>
    <row r="2294" spans="1:5" x14ac:dyDescent="0.25">
      <c r="A2294" s="41" t="s">
        <v>8157</v>
      </c>
      <c r="B2294" s="41" t="s">
        <v>1323</v>
      </c>
      <c r="C2294" s="41" t="s">
        <v>1353</v>
      </c>
      <c r="D2294" s="41" t="s">
        <v>8268</v>
      </c>
      <c r="E2294" s="41">
        <v>35000</v>
      </c>
    </row>
    <row r="2295" spans="1:5" x14ac:dyDescent="0.25">
      <c r="A2295" s="41" t="s">
        <v>8157</v>
      </c>
      <c r="B2295" s="41" t="s">
        <v>1323</v>
      </c>
      <c r="C2295" s="41" t="s">
        <v>1353</v>
      </c>
      <c r="D2295" s="41" t="s">
        <v>8269</v>
      </c>
      <c r="E2295" s="41">
        <v>32500</v>
      </c>
    </row>
    <row r="2296" spans="1:5" x14ac:dyDescent="0.25">
      <c r="A2296" s="41" t="s">
        <v>8157</v>
      </c>
      <c r="B2296" s="41" t="s">
        <v>1323</v>
      </c>
      <c r="C2296" s="41" t="s">
        <v>1353</v>
      </c>
      <c r="D2296" s="41" t="s">
        <v>8270</v>
      </c>
      <c r="E2296" s="41">
        <v>30900</v>
      </c>
    </row>
    <row r="2297" spans="1:5" x14ac:dyDescent="0.25">
      <c r="A2297" s="41" t="s">
        <v>8157</v>
      </c>
      <c r="B2297" s="41" t="s">
        <v>1325</v>
      </c>
      <c r="C2297" s="41" t="s">
        <v>1353</v>
      </c>
      <c r="D2297" s="41" t="s">
        <v>8271</v>
      </c>
      <c r="E2297" s="41">
        <v>63000</v>
      </c>
    </row>
    <row r="2298" spans="1:5" x14ac:dyDescent="0.25">
      <c r="A2298" s="41" t="s">
        <v>8157</v>
      </c>
      <c r="B2298" s="41" t="s">
        <v>1325</v>
      </c>
      <c r="C2298" s="41" t="s">
        <v>1353</v>
      </c>
      <c r="D2298" s="41" t="s">
        <v>8272</v>
      </c>
      <c r="E2298" s="41">
        <v>61100</v>
      </c>
    </row>
    <row r="2299" spans="1:5" x14ac:dyDescent="0.25">
      <c r="A2299" s="41" t="s">
        <v>8157</v>
      </c>
      <c r="B2299" s="41" t="s">
        <v>1325</v>
      </c>
      <c r="C2299" s="41" t="s">
        <v>1353</v>
      </c>
      <c r="D2299" s="41" t="s">
        <v>8273</v>
      </c>
      <c r="E2299" s="41">
        <v>56800</v>
      </c>
    </row>
    <row r="2300" spans="1:5" x14ac:dyDescent="0.25">
      <c r="A2300" s="41" t="s">
        <v>8157</v>
      </c>
      <c r="B2300" s="41" t="s">
        <v>1325</v>
      </c>
      <c r="C2300" s="41" t="s">
        <v>1353</v>
      </c>
      <c r="D2300" s="41" t="s">
        <v>8274</v>
      </c>
      <c r="E2300" s="41">
        <v>54000</v>
      </c>
    </row>
    <row r="2301" spans="1:5" x14ac:dyDescent="0.25">
      <c r="A2301" s="41" t="s">
        <v>8157</v>
      </c>
      <c r="B2301" s="41" t="s">
        <v>1325</v>
      </c>
      <c r="C2301" s="41" t="s">
        <v>1353</v>
      </c>
      <c r="D2301" s="41" t="s">
        <v>8275</v>
      </c>
      <c r="E2301" s="41">
        <v>51300</v>
      </c>
    </row>
    <row r="2302" spans="1:5" x14ac:dyDescent="0.25">
      <c r="A2302" s="41" t="s">
        <v>8157</v>
      </c>
      <c r="B2302" s="41" t="s">
        <v>1325</v>
      </c>
      <c r="C2302" s="41" t="s">
        <v>1353</v>
      </c>
      <c r="D2302" s="41" t="s">
        <v>8276</v>
      </c>
      <c r="E2302" s="41">
        <v>52400</v>
      </c>
    </row>
    <row r="2303" spans="1:5" x14ac:dyDescent="0.25">
      <c r="A2303" s="41" t="s">
        <v>8157</v>
      </c>
      <c r="B2303" s="41" t="s">
        <v>1325</v>
      </c>
      <c r="C2303" s="41" t="s">
        <v>1353</v>
      </c>
      <c r="D2303" s="41" t="s">
        <v>8277</v>
      </c>
      <c r="E2303" s="41">
        <v>49800</v>
      </c>
    </row>
    <row r="2304" spans="1:5" x14ac:dyDescent="0.25">
      <c r="A2304" s="41" t="s">
        <v>8157</v>
      </c>
      <c r="B2304" s="41" t="s">
        <v>1327</v>
      </c>
      <c r="C2304" s="41" t="s">
        <v>1353</v>
      </c>
      <c r="D2304" s="41" t="s">
        <v>8278</v>
      </c>
      <c r="E2304" s="41">
        <v>37600</v>
      </c>
    </row>
    <row r="2305" spans="1:5" x14ac:dyDescent="0.25">
      <c r="A2305" s="41" t="s">
        <v>8157</v>
      </c>
      <c r="B2305" s="41" t="s">
        <v>1327</v>
      </c>
      <c r="C2305" s="41" t="s">
        <v>1353</v>
      </c>
      <c r="D2305" s="41" t="s">
        <v>8279</v>
      </c>
      <c r="E2305" s="41">
        <v>35800</v>
      </c>
    </row>
    <row r="2306" spans="1:5" x14ac:dyDescent="0.25">
      <c r="A2306" s="41" t="s">
        <v>8157</v>
      </c>
      <c r="B2306" s="41" t="s">
        <v>7744</v>
      </c>
      <c r="C2306" s="41" t="s">
        <v>1353</v>
      </c>
      <c r="D2306" s="41" t="s">
        <v>8218</v>
      </c>
      <c r="E2306" s="41">
        <v>17200</v>
      </c>
    </row>
    <row r="2307" spans="1:5" x14ac:dyDescent="0.25">
      <c r="A2307" s="41" t="s">
        <v>8157</v>
      </c>
      <c r="B2307" s="41" t="s">
        <v>7744</v>
      </c>
      <c r="C2307" s="41" t="s">
        <v>1353</v>
      </c>
      <c r="D2307" s="41" t="s">
        <v>8412</v>
      </c>
      <c r="E2307" s="41">
        <v>16000</v>
      </c>
    </row>
    <row r="2308" spans="1:5" x14ac:dyDescent="0.25">
      <c r="A2308" s="41" t="s">
        <v>8157</v>
      </c>
      <c r="B2308" s="41" t="s">
        <v>7744</v>
      </c>
      <c r="C2308" s="41" t="s">
        <v>1353</v>
      </c>
      <c r="D2308" s="41" t="s">
        <v>8383</v>
      </c>
      <c r="E2308" s="41">
        <v>14900</v>
      </c>
    </row>
    <row r="2309" spans="1:5" x14ac:dyDescent="0.25">
      <c r="A2309" s="41" t="s">
        <v>8157</v>
      </c>
      <c r="B2309" s="41" t="s">
        <v>7746</v>
      </c>
      <c r="C2309" s="41" t="s">
        <v>1353</v>
      </c>
      <c r="D2309" s="41" t="s">
        <v>8360</v>
      </c>
      <c r="E2309" s="41">
        <v>31700</v>
      </c>
    </row>
    <row r="2310" spans="1:5" x14ac:dyDescent="0.25">
      <c r="A2310" s="41" t="s">
        <v>8157</v>
      </c>
      <c r="B2310" s="41" t="s">
        <v>7746</v>
      </c>
      <c r="C2310" s="41" t="s">
        <v>1353</v>
      </c>
      <c r="D2310" s="41" t="s">
        <v>8413</v>
      </c>
      <c r="E2310" s="41">
        <v>29500</v>
      </c>
    </row>
    <row r="2311" spans="1:5" x14ac:dyDescent="0.25">
      <c r="A2311" s="41" t="s">
        <v>8157</v>
      </c>
      <c r="B2311" s="41" t="s">
        <v>7746</v>
      </c>
      <c r="C2311" s="41" t="s">
        <v>1353</v>
      </c>
      <c r="D2311" s="41" t="s">
        <v>8257</v>
      </c>
      <c r="E2311" s="41">
        <v>27400</v>
      </c>
    </row>
    <row r="2312" spans="1:5" x14ac:dyDescent="0.25">
      <c r="A2312" s="41" t="s">
        <v>8157</v>
      </c>
      <c r="B2312" s="41" t="s">
        <v>1327</v>
      </c>
      <c r="C2312" s="41" t="s">
        <v>1353</v>
      </c>
      <c r="D2312" s="41" t="s">
        <v>8280</v>
      </c>
      <c r="E2312" s="41">
        <v>33500</v>
      </c>
    </row>
    <row r="2313" spans="1:5" x14ac:dyDescent="0.25">
      <c r="A2313" s="41" t="s">
        <v>8157</v>
      </c>
      <c r="B2313" s="41" t="s">
        <v>1327</v>
      </c>
      <c r="C2313" s="41" t="s">
        <v>1353</v>
      </c>
      <c r="D2313" s="41" t="s">
        <v>8281</v>
      </c>
      <c r="E2313" s="41">
        <v>31300</v>
      </c>
    </row>
    <row r="2314" spans="1:5" x14ac:dyDescent="0.25">
      <c r="A2314" s="41" t="s">
        <v>8157</v>
      </c>
      <c r="B2314" s="41" t="s">
        <v>1327</v>
      </c>
      <c r="C2314" s="41" t="s">
        <v>1353</v>
      </c>
      <c r="D2314" s="41" t="s">
        <v>8282</v>
      </c>
      <c r="E2314" s="41">
        <v>29800</v>
      </c>
    </row>
    <row r="2315" spans="1:5" x14ac:dyDescent="0.25">
      <c r="A2315" s="41" t="s">
        <v>8157</v>
      </c>
      <c r="B2315" s="41" t="s">
        <v>1327</v>
      </c>
      <c r="C2315" s="41" t="s">
        <v>1353</v>
      </c>
      <c r="D2315" s="41" t="s">
        <v>8283</v>
      </c>
      <c r="E2315" s="41">
        <v>29100</v>
      </c>
    </row>
    <row r="2316" spans="1:5" x14ac:dyDescent="0.25">
      <c r="A2316" s="41" t="s">
        <v>8157</v>
      </c>
      <c r="B2316" s="41" t="s">
        <v>1327</v>
      </c>
      <c r="C2316" s="41" t="s">
        <v>1353</v>
      </c>
      <c r="D2316" s="41" t="s">
        <v>8168</v>
      </c>
      <c r="E2316" s="41">
        <v>28200</v>
      </c>
    </row>
    <row r="2317" spans="1:5" x14ac:dyDescent="0.25">
      <c r="A2317" s="41" t="s">
        <v>8157</v>
      </c>
      <c r="B2317" s="41" t="s">
        <v>1329</v>
      </c>
      <c r="C2317" s="41" t="s">
        <v>1353</v>
      </c>
      <c r="D2317" s="41" t="s">
        <v>8284</v>
      </c>
      <c r="E2317" s="41">
        <v>35400</v>
      </c>
    </row>
    <row r="2318" spans="1:5" x14ac:dyDescent="0.25">
      <c r="A2318" s="41" t="s">
        <v>8157</v>
      </c>
      <c r="B2318" s="41" t="s">
        <v>1329</v>
      </c>
      <c r="C2318" s="41" t="s">
        <v>1353</v>
      </c>
      <c r="D2318" s="41" t="s">
        <v>8285</v>
      </c>
      <c r="E2318" s="41">
        <v>26900</v>
      </c>
    </row>
    <row r="2319" spans="1:5" x14ac:dyDescent="0.25">
      <c r="A2319" s="41" t="s">
        <v>8157</v>
      </c>
      <c r="B2319" s="41" t="s">
        <v>1329</v>
      </c>
      <c r="C2319" s="41" t="s">
        <v>1353</v>
      </c>
      <c r="D2319" s="41" t="s">
        <v>8286</v>
      </c>
      <c r="E2319" s="41">
        <v>25500</v>
      </c>
    </row>
    <row r="2320" spans="1:5" x14ac:dyDescent="0.25">
      <c r="A2320" s="41" t="s">
        <v>8157</v>
      </c>
      <c r="B2320" s="41" t="s">
        <v>1329</v>
      </c>
      <c r="C2320" s="41" t="s">
        <v>1353</v>
      </c>
      <c r="D2320" s="41" t="s">
        <v>8260</v>
      </c>
      <c r="E2320" s="41">
        <v>23800</v>
      </c>
    </row>
    <row r="2321" spans="1:5" x14ac:dyDescent="0.25">
      <c r="A2321" s="41" t="s">
        <v>8157</v>
      </c>
      <c r="B2321" s="41" t="s">
        <v>7441</v>
      </c>
      <c r="C2321" s="41" t="s">
        <v>1353</v>
      </c>
      <c r="D2321" s="41" t="s">
        <v>8287</v>
      </c>
      <c r="E2321" s="41">
        <v>22800</v>
      </c>
    </row>
    <row r="2322" spans="1:5" x14ac:dyDescent="0.25">
      <c r="A2322" s="41" t="s">
        <v>8157</v>
      </c>
      <c r="B2322" s="41" t="s">
        <v>7441</v>
      </c>
      <c r="C2322" s="41" t="s">
        <v>1353</v>
      </c>
      <c r="D2322" s="41" t="s">
        <v>8288</v>
      </c>
      <c r="E2322" s="41">
        <v>22900</v>
      </c>
    </row>
    <row r="2323" spans="1:5" x14ac:dyDescent="0.25">
      <c r="A2323" s="41" t="s">
        <v>8157</v>
      </c>
      <c r="B2323" s="41" t="s">
        <v>7441</v>
      </c>
      <c r="C2323" s="41" t="s">
        <v>1353</v>
      </c>
      <c r="D2323" s="41" t="s">
        <v>8265</v>
      </c>
      <c r="E2323" s="41">
        <v>21300</v>
      </c>
    </row>
    <row r="2324" spans="1:5" x14ac:dyDescent="0.25">
      <c r="A2324" s="41" t="s">
        <v>8157</v>
      </c>
      <c r="B2324" s="41" t="s">
        <v>7441</v>
      </c>
      <c r="C2324" s="41" t="s">
        <v>1353</v>
      </c>
      <c r="D2324" s="41" t="s">
        <v>8289</v>
      </c>
      <c r="E2324" s="41">
        <v>20300</v>
      </c>
    </row>
    <row r="2325" spans="1:5" x14ac:dyDescent="0.25">
      <c r="A2325" s="41" t="s">
        <v>8157</v>
      </c>
      <c r="B2325" s="41" t="s">
        <v>7441</v>
      </c>
      <c r="C2325" s="41" t="s">
        <v>1353</v>
      </c>
      <c r="D2325" s="41" t="s">
        <v>8290</v>
      </c>
      <c r="E2325" s="41">
        <v>18800</v>
      </c>
    </row>
    <row r="2326" spans="1:5" x14ac:dyDescent="0.25">
      <c r="A2326" s="41" t="s">
        <v>8157</v>
      </c>
      <c r="B2326" s="41" t="s">
        <v>7441</v>
      </c>
      <c r="C2326" s="41" t="s">
        <v>1353</v>
      </c>
      <c r="D2326" s="41" t="s">
        <v>8258</v>
      </c>
      <c r="E2326" s="41">
        <v>17900</v>
      </c>
    </row>
    <row r="2327" spans="1:5" x14ac:dyDescent="0.25">
      <c r="A2327" s="41" t="s">
        <v>8157</v>
      </c>
      <c r="B2327" s="41" t="s">
        <v>7429</v>
      </c>
      <c r="C2327" s="41" t="s">
        <v>1353</v>
      </c>
      <c r="D2327" s="41" t="s">
        <v>8233</v>
      </c>
      <c r="E2327" s="41">
        <v>38300</v>
      </c>
    </row>
    <row r="2328" spans="1:5" x14ac:dyDescent="0.25">
      <c r="A2328" s="41" t="s">
        <v>8157</v>
      </c>
      <c r="B2328" s="41" t="s">
        <v>7429</v>
      </c>
      <c r="C2328" s="41" t="s">
        <v>1353</v>
      </c>
      <c r="D2328" s="41" t="s">
        <v>8265</v>
      </c>
      <c r="E2328" s="41">
        <v>35600</v>
      </c>
    </row>
    <row r="2329" spans="1:5" x14ac:dyDescent="0.25">
      <c r="A2329" s="41" t="s">
        <v>8157</v>
      </c>
      <c r="B2329" s="41" t="s">
        <v>7429</v>
      </c>
      <c r="C2329" s="41" t="s">
        <v>1353</v>
      </c>
      <c r="D2329" s="41" t="s">
        <v>8291</v>
      </c>
      <c r="E2329" s="41">
        <v>33100</v>
      </c>
    </row>
    <row r="2330" spans="1:5" x14ac:dyDescent="0.25">
      <c r="A2330" s="41" t="s">
        <v>8157</v>
      </c>
      <c r="B2330" s="41" t="s">
        <v>7429</v>
      </c>
      <c r="C2330" s="41" t="s">
        <v>1353</v>
      </c>
      <c r="D2330" s="41" t="s">
        <v>8292</v>
      </c>
      <c r="E2330" s="41">
        <v>30800</v>
      </c>
    </row>
    <row r="2331" spans="1:5" x14ac:dyDescent="0.25">
      <c r="A2331" s="41" t="s">
        <v>8157</v>
      </c>
      <c r="B2331" s="41" t="s">
        <v>7429</v>
      </c>
      <c r="C2331" s="41" t="s">
        <v>1353</v>
      </c>
      <c r="D2331" s="41" t="s">
        <v>8229</v>
      </c>
      <c r="E2331" s="41">
        <v>28700</v>
      </c>
    </row>
    <row r="2332" spans="1:5" x14ac:dyDescent="0.25">
      <c r="A2332" s="41" t="s">
        <v>8157</v>
      </c>
      <c r="B2332" s="41" t="s">
        <v>7429</v>
      </c>
      <c r="C2332" s="41" t="s">
        <v>1353</v>
      </c>
      <c r="D2332" s="41" t="s">
        <v>8168</v>
      </c>
      <c r="E2332" s="41">
        <v>26700</v>
      </c>
    </row>
    <row r="2333" spans="1:5" x14ac:dyDescent="0.25">
      <c r="A2333" s="41" t="s">
        <v>8157</v>
      </c>
      <c r="B2333" s="41" t="s">
        <v>7584</v>
      </c>
      <c r="C2333" s="41" t="s">
        <v>1353</v>
      </c>
      <c r="D2333" s="41" t="s">
        <v>8287</v>
      </c>
      <c r="E2333" s="41">
        <v>15400</v>
      </c>
    </row>
    <row r="2334" spans="1:5" x14ac:dyDescent="0.25">
      <c r="A2334" s="41" t="s">
        <v>8157</v>
      </c>
      <c r="B2334" s="41" t="s">
        <v>7584</v>
      </c>
      <c r="C2334" s="41" t="s">
        <v>1353</v>
      </c>
      <c r="D2334" s="41" t="s">
        <v>8293</v>
      </c>
      <c r="E2334" s="41">
        <v>14400</v>
      </c>
    </row>
    <row r="2335" spans="1:5" x14ac:dyDescent="0.25">
      <c r="A2335" s="41" t="s">
        <v>8157</v>
      </c>
      <c r="B2335" s="41" t="s">
        <v>7584</v>
      </c>
      <c r="C2335" s="41" t="s">
        <v>1353</v>
      </c>
      <c r="D2335" s="41" t="s">
        <v>8294</v>
      </c>
      <c r="E2335" s="41">
        <v>13200</v>
      </c>
    </row>
    <row r="2336" spans="1:5" x14ac:dyDescent="0.25">
      <c r="A2336" s="41" t="s">
        <v>8157</v>
      </c>
      <c r="B2336" s="41" t="s">
        <v>7584</v>
      </c>
      <c r="C2336" s="41" t="s">
        <v>1353</v>
      </c>
      <c r="D2336" s="41" t="s">
        <v>8266</v>
      </c>
      <c r="E2336" s="41">
        <v>12400</v>
      </c>
    </row>
    <row r="2337" spans="1:5" x14ac:dyDescent="0.25">
      <c r="A2337" s="41" t="s">
        <v>8157</v>
      </c>
      <c r="B2337" s="41" t="s">
        <v>7586</v>
      </c>
      <c r="C2337" s="41" t="s">
        <v>1353</v>
      </c>
      <c r="D2337" s="41" t="s">
        <v>8295</v>
      </c>
      <c r="E2337" s="41">
        <v>36400</v>
      </c>
    </row>
    <row r="2338" spans="1:5" x14ac:dyDescent="0.25">
      <c r="A2338" s="41" t="s">
        <v>8157</v>
      </c>
      <c r="B2338" s="41" t="s">
        <v>7586</v>
      </c>
      <c r="C2338" s="41" t="s">
        <v>1353</v>
      </c>
      <c r="D2338" s="41" t="s">
        <v>8296</v>
      </c>
      <c r="E2338" s="41">
        <v>35230</v>
      </c>
    </row>
    <row r="2339" spans="1:5" x14ac:dyDescent="0.25">
      <c r="A2339" s="41" t="s">
        <v>8157</v>
      </c>
      <c r="B2339" s="41" t="s">
        <v>7586</v>
      </c>
      <c r="C2339" s="41" t="s">
        <v>1353</v>
      </c>
      <c r="D2339" s="41" t="s">
        <v>8260</v>
      </c>
      <c r="E2339" s="41">
        <v>34190</v>
      </c>
    </row>
    <row r="2340" spans="1:5" x14ac:dyDescent="0.25">
      <c r="A2340" s="41" t="s">
        <v>8157</v>
      </c>
      <c r="B2340" s="41" t="s">
        <v>7756</v>
      </c>
      <c r="C2340" s="41" t="s">
        <v>1353</v>
      </c>
      <c r="D2340" s="41" t="s">
        <v>8168</v>
      </c>
      <c r="E2340" s="41">
        <v>42100</v>
      </c>
    </row>
    <row r="2341" spans="1:5" x14ac:dyDescent="0.25">
      <c r="A2341" s="41" t="s">
        <v>8157</v>
      </c>
      <c r="B2341" s="41" t="s">
        <v>7758</v>
      </c>
      <c r="C2341" s="41" t="s">
        <v>1353</v>
      </c>
      <c r="D2341" s="41" t="s">
        <v>8158</v>
      </c>
      <c r="E2341" s="41">
        <v>31600</v>
      </c>
    </row>
    <row r="2342" spans="1:5" x14ac:dyDescent="0.25">
      <c r="A2342" s="41" t="s">
        <v>8157</v>
      </c>
      <c r="B2342" s="41" t="s">
        <v>7760</v>
      </c>
      <c r="C2342" s="41" t="s">
        <v>1353</v>
      </c>
      <c r="D2342" s="41" t="s">
        <v>8158</v>
      </c>
      <c r="E2342" s="41">
        <v>16800</v>
      </c>
    </row>
    <row r="2343" spans="1:5" x14ac:dyDescent="0.25">
      <c r="A2343" s="41" t="s">
        <v>8157</v>
      </c>
      <c r="B2343" s="41" t="s">
        <v>7475</v>
      </c>
      <c r="C2343" s="41" t="s">
        <v>1353</v>
      </c>
      <c r="D2343" s="41" t="s">
        <v>8172</v>
      </c>
      <c r="E2343" s="41">
        <v>16100</v>
      </c>
    </row>
    <row r="2344" spans="1:5" x14ac:dyDescent="0.25">
      <c r="A2344" s="41" t="s">
        <v>8157</v>
      </c>
      <c r="B2344" s="41" t="s">
        <v>7475</v>
      </c>
      <c r="C2344" s="41" t="s">
        <v>1353</v>
      </c>
      <c r="D2344" s="41" t="s">
        <v>8173</v>
      </c>
      <c r="E2344" s="41">
        <v>15100</v>
      </c>
    </row>
    <row r="2345" spans="1:5" x14ac:dyDescent="0.25">
      <c r="A2345" s="41" t="s">
        <v>8157</v>
      </c>
      <c r="B2345" s="41" t="s">
        <v>7475</v>
      </c>
      <c r="C2345" s="41" t="s">
        <v>1353</v>
      </c>
      <c r="D2345" s="41" t="s">
        <v>8297</v>
      </c>
      <c r="E2345" s="41">
        <v>14100</v>
      </c>
    </row>
    <row r="2346" spans="1:5" x14ac:dyDescent="0.25">
      <c r="A2346" s="41" t="s">
        <v>8157</v>
      </c>
      <c r="B2346" s="41" t="s">
        <v>7589</v>
      </c>
      <c r="C2346" s="41" t="s">
        <v>1353</v>
      </c>
      <c r="D2346" s="41" t="s">
        <v>8158</v>
      </c>
      <c r="E2346" s="41">
        <v>17980</v>
      </c>
    </row>
    <row r="2347" spans="1:5" x14ac:dyDescent="0.25">
      <c r="A2347" s="41" t="s">
        <v>8157</v>
      </c>
      <c r="B2347" s="41" t="s">
        <v>7591</v>
      </c>
      <c r="C2347" s="41" t="s">
        <v>1353</v>
      </c>
      <c r="D2347" s="41" t="s">
        <v>8298</v>
      </c>
      <c r="E2347" s="41">
        <v>18270</v>
      </c>
    </row>
    <row r="2348" spans="1:5" x14ac:dyDescent="0.25">
      <c r="A2348" s="41" t="s">
        <v>8157</v>
      </c>
      <c r="B2348" s="41" t="s">
        <v>7591</v>
      </c>
      <c r="C2348" s="41" t="s">
        <v>1353</v>
      </c>
      <c r="D2348" s="41" t="s">
        <v>8299</v>
      </c>
      <c r="E2348" s="41">
        <v>17400</v>
      </c>
    </row>
    <row r="2349" spans="1:5" x14ac:dyDescent="0.25">
      <c r="A2349" s="41" t="s">
        <v>8157</v>
      </c>
      <c r="B2349" s="41" t="s">
        <v>7591</v>
      </c>
      <c r="C2349" s="41" t="s">
        <v>1353</v>
      </c>
      <c r="D2349" s="41" t="s">
        <v>8243</v>
      </c>
      <c r="E2349" s="41">
        <v>16530</v>
      </c>
    </row>
    <row r="2350" spans="1:5" x14ac:dyDescent="0.25">
      <c r="A2350" s="41" t="s">
        <v>8157</v>
      </c>
      <c r="B2350" s="41" t="s">
        <v>7594</v>
      </c>
      <c r="C2350" s="41" t="s">
        <v>1353</v>
      </c>
      <c r="D2350" s="41" t="s">
        <v>8300</v>
      </c>
      <c r="E2350" s="41">
        <v>25700</v>
      </c>
    </row>
    <row r="2351" spans="1:5" x14ac:dyDescent="0.25">
      <c r="A2351" s="41" t="s">
        <v>8157</v>
      </c>
      <c r="B2351" s="41" t="s">
        <v>7594</v>
      </c>
      <c r="C2351" s="41" t="s">
        <v>1353</v>
      </c>
      <c r="D2351" s="41" t="s">
        <v>8301</v>
      </c>
      <c r="E2351" s="41">
        <v>23800</v>
      </c>
    </row>
    <row r="2352" spans="1:5" x14ac:dyDescent="0.25">
      <c r="A2352" s="41" t="s">
        <v>8157</v>
      </c>
      <c r="B2352" s="41" t="s">
        <v>7594</v>
      </c>
      <c r="C2352" s="41" t="s">
        <v>1353</v>
      </c>
      <c r="D2352" s="41" t="s">
        <v>8302</v>
      </c>
      <c r="E2352" s="41">
        <v>23100</v>
      </c>
    </row>
    <row r="2353" spans="1:5" x14ac:dyDescent="0.25">
      <c r="A2353" s="41" t="s">
        <v>8157</v>
      </c>
      <c r="B2353" s="41" t="s">
        <v>7597</v>
      </c>
      <c r="C2353" s="41" t="s">
        <v>1353</v>
      </c>
      <c r="D2353" s="41" t="s">
        <v>8303</v>
      </c>
      <c r="E2353" s="41">
        <v>10700</v>
      </c>
    </row>
    <row r="2354" spans="1:5" x14ac:dyDescent="0.25">
      <c r="A2354" s="41" t="s">
        <v>8157</v>
      </c>
      <c r="B2354" s="41" t="s">
        <v>7597</v>
      </c>
      <c r="C2354" s="41" t="s">
        <v>1353</v>
      </c>
      <c r="D2354" s="41" t="s">
        <v>1133</v>
      </c>
      <c r="E2354" s="41">
        <v>8500</v>
      </c>
    </row>
    <row r="2355" spans="1:5" x14ac:dyDescent="0.25">
      <c r="A2355" s="41" t="s">
        <v>8157</v>
      </c>
      <c r="B2355" s="41" t="s">
        <v>7597</v>
      </c>
      <c r="C2355" s="41" t="s">
        <v>1353</v>
      </c>
      <c r="D2355" s="41" t="s">
        <v>8304</v>
      </c>
      <c r="E2355" s="41">
        <v>7300</v>
      </c>
    </row>
    <row r="2356" spans="1:5" x14ac:dyDescent="0.25">
      <c r="A2356" s="41" t="s">
        <v>8157</v>
      </c>
      <c r="B2356" s="41" t="s">
        <v>7597</v>
      </c>
      <c r="C2356" s="41" t="s">
        <v>1353</v>
      </c>
      <c r="D2356" s="41" t="s">
        <v>8305</v>
      </c>
      <c r="E2356" s="41">
        <v>6300</v>
      </c>
    </row>
    <row r="2357" spans="1:5" x14ac:dyDescent="0.25">
      <c r="A2357" s="41" t="s">
        <v>8157</v>
      </c>
      <c r="B2357" s="41" t="s">
        <v>7474</v>
      </c>
      <c r="C2357" s="41" t="s">
        <v>1353</v>
      </c>
      <c r="D2357" s="41" t="s">
        <v>8306</v>
      </c>
      <c r="E2357" s="41">
        <v>17000</v>
      </c>
    </row>
    <row r="2358" spans="1:5" x14ac:dyDescent="0.25">
      <c r="A2358" s="41" t="s">
        <v>8157</v>
      </c>
      <c r="B2358" s="41" t="s">
        <v>7474</v>
      </c>
      <c r="C2358" s="41" t="s">
        <v>1353</v>
      </c>
      <c r="D2358" s="41" t="s">
        <v>8307</v>
      </c>
      <c r="E2358" s="41">
        <v>14600</v>
      </c>
    </row>
    <row r="2359" spans="1:5" x14ac:dyDescent="0.25">
      <c r="A2359" s="41" t="s">
        <v>8157</v>
      </c>
      <c r="B2359" s="41" t="s">
        <v>7474</v>
      </c>
      <c r="C2359" s="41" t="s">
        <v>1353</v>
      </c>
      <c r="D2359" s="41" t="s">
        <v>8308</v>
      </c>
      <c r="E2359" s="41">
        <v>12100</v>
      </c>
    </row>
    <row r="2360" spans="1:5" x14ac:dyDescent="0.25">
      <c r="A2360" s="41" t="s">
        <v>8157</v>
      </c>
      <c r="B2360" s="41" t="s">
        <v>7600</v>
      </c>
      <c r="C2360" s="41" t="s">
        <v>1353</v>
      </c>
      <c r="D2360" s="41" t="s">
        <v>8309</v>
      </c>
      <c r="E2360" s="41">
        <v>14800</v>
      </c>
    </row>
    <row r="2361" spans="1:5" x14ac:dyDescent="0.25">
      <c r="A2361" s="41" t="s">
        <v>8157</v>
      </c>
      <c r="B2361" s="41" t="s">
        <v>7600</v>
      </c>
      <c r="C2361" s="41" t="s">
        <v>1353</v>
      </c>
      <c r="D2361" s="41" t="s">
        <v>8310</v>
      </c>
      <c r="E2361" s="41">
        <v>13800</v>
      </c>
    </row>
    <row r="2362" spans="1:5" x14ac:dyDescent="0.25">
      <c r="A2362" s="41" t="s">
        <v>8157</v>
      </c>
      <c r="B2362" s="41" t="s">
        <v>7600</v>
      </c>
      <c r="C2362" s="41" t="s">
        <v>1353</v>
      </c>
      <c r="D2362" s="41" t="s">
        <v>8311</v>
      </c>
      <c r="E2362" s="41">
        <v>12900</v>
      </c>
    </row>
    <row r="2363" spans="1:5" x14ac:dyDescent="0.25">
      <c r="A2363" s="41" t="s">
        <v>8157</v>
      </c>
      <c r="B2363" s="41" t="s">
        <v>7600</v>
      </c>
      <c r="C2363" s="41" t="s">
        <v>1353</v>
      </c>
      <c r="D2363" s="41" t="s">
        <v>8312</v>
      </c>
      <c r="E2363" s="41">
        <v>12200</v>
      </c>
    </row>
    <row r="2364" spans="1:5" x14ac:dyDescent="0.25">
      <c r="A2364" s="41" t="s">
        <v>8157</v>
      </c>
      <c r="B2364" s="41" t="s">
        <v>7600</v>
      </c>
      <c r="C2364" s="41" t="s">
        <v>1353</v>
      </c>
      <c r="D2364" s="41" t="s">
        <v>8313</v>
      </c>
      <c r="E2364" s="41">
        <v>11600</v>
      </c>
    </row>
    <row r="2365" spans="1:5" x14ac:dyDescent="0.25">
      <c r="A2365" s="41" t="s">
        <v>8157</v>
      </c>
      <c r="B2365" s="41" t="s">
        <v>7600</v>
      </c>
      <c r="C2365" s="41" t="s">
        <v>1353</v>
      </c>
      <c r="D2365" s="41" t="s">
        <v>8245</v>
      </c>
      <c r="E2365" s="41">
        <v>11000</v>
      </c>
    </row>
    <row r="2366" spans="1:5" x14ac:dyDescent="0.25">
      <c r="A2366" s="41" t="s">
        <v>8157</v>
      </c>
      <c r="B2366" s="41" t="s">
        <v>7602</v>
      </c>
      <c r="C2366" s="41" t="s">
        <v>1353</v>
      </c>
      <c r="D2366" s="41" t="s">
        <v>8228</v>
      </c>
      <c r="E2366" s="41">
        <v>10200</v>
      </c>
    </row>
    <row r="2367" spans="1:5" x14ac:dyDescent="0.25">
      <c r="A2367" s="41" t="s">
        <v>8157</v>
      </c>
      <c r="B2367" s="41" t="s">
        <v>7602</v>
      </c>
      <c r="C2367" s="41" t="s">
        <v>1353</v>
      </c>
      <c r="D2367" s="41" t="s">
        <v>8176</v>
      </c>
      <c r="E2367" s="41">
        <v>9700</v>
      </c>
    </row>
    <row r="2368" spans="1:5" x14ac:dyDescent="0.25">
      <c r="A2368" s="41" t="s">
        <v>8157</v>
      </c>
      <c r="B2368" s="41" t="s">
        <v>7604</v>
      </c>
      <c r="C2368" s="41" t="s">
        <v>1353</v>
      </c>
      <c r="D2368" s="41" t="s">
        <v>8314</v>
      </c>
      <c r="E2368" s="41">
        <v>9200</v>
      </c>
    </row>
    <row r="2369" spans="1:5" x14ac:dyDescent="0.25">
      <c r="A2369" s="41" t="s">
        <v>8157</v>
      </c>
      <c r="B2369" s="41" t="s">
        <v>7604</v>
      </c>
      <c r="C2369" s="41" t="s">
        <v>1353</v>
      </c>
      <c r="D2369" s="41" t="s">
        <v>8315</v>
      </c>
      <c r="E2369" s="41">
        <v>8700</v>
      </c>
    </row>
    <row r="2370" spans="1:5" x14ac:dyDescent="0.25">
      <c r="A2370" s="41" t="s">
        <v>8157</v>
      </c>
      <c r="B2370" s="41" t="s">
        <v>7604</v>
      </c>
      <c r="C2370" s="41" t="s">
        <v>1353</v>
      </c>
      <c r="D2370" s="41" t="s">
        <v>8316</v>
      </c>
      <c r="E2370" s="41">
        <v>8400</v>
      </c>
    </row>
    <row r="2371" spans="1:5" x14ac:dyDescent="0.25">
      <c r="A2371" s="41" t="s">
        <v>8157</v>
      </c>
      <c r="B2371" s="41" t="s">
        <v>7604</v>
      </c>
      <c r="C2371" s="41" t="s">
        <v>1353</v>
      </c>
      <c r="D2371" s="41" t="s">
        <v>8229</v>
      </c>
      <c r="E2371" s="41">
        <v>7700</v>
      </c>
    </row>
    <row r="2372" spans="1:5" x14ac:dyDescent="0.25">
      <c r="A2372" s="41" t="s">
        <v>8157</v>
      </c>
      <c r="B2372" s="41" t="s">
        <v>7604</v>
      </c>
      <c r="C2372" s="41" t="s">
        <v>1353</v>
      </c>
      <c r="D2372" s="41" t="s">
        <v>8317</v>
      </c>
      <c r="E2372" s="41">
        <v>7200</v>
      </c>
    </row>
    <row r="2373" spans="1:5" x14ac:dyDescent="0.25">
      <c r="A2373" s="41" t="s">
        <v>8157</v>
      </c>
      <c r="B2373" s="41" t="s">
        <v>7604</v>
      </c>
      <c r="C2373" s="41" t="s">
        <v>1353</v>
      </c>
      <c r="D2373" s="41" t="s">
        <v>8318</v>
      </c>
      <c r="E2373" s="41">
        <v>6800</v>
      </c>
    </row>
    <row r="2374" spans="1:5" x14ac:dyDescent="0.25">
      <c r="A2374" s="41" t="s">
        <v>8157</v>
      </c>
      <c r="B2374" s="41" t="s">
        <v>7604</v>
      </c>
      <c r="C2374" s="41" t="s">
        <v>1353</v>
      </c>
      <c r="D2374" s="41" t="s">
        <v>8319</v>
      </c>
      <c r="E2374" s="41">
        <v>6500</v>
      </c>
    </row>
    <row r="2375" spans="1:5" x14ac:dyDescent="0.25">
      <c r="A2375" s="41" t="s">
        <v>8157</v>
      </c>
      <c r="B2375" s="41" t="s">
        <v>7604</v>
      </c>
      <c r="C2375" s="41" t="s">
        <v>1353</v>
      </c>
      <c r="D2375" s="41" t="s">
        <v>8320</v>
      </c>
      <c r="E2375" s="41">
        <v>6200</v>
      </c>
    </row>
    <row r="2376" spans="1:5" x14ac:dyDescent="0.25">
      <c r="A2376" s="41" t="s">
        <v>8157</v>
      </c>
      <c r="B2376" s="41" t="s">
        <v>7604</v>
      </c>
      <c r="C2376" s="41" t="s">
        <v>1353</v>
      </c>
      <c r="D2376" s="41" t="s">
        <v>8321</v>
      </c>
      <c r="E2376" s="41">
        <v>5900</v>
      </c>
    </row>
    <row r="2377" spans="1:5" x14ac:dyDescent="0.25">
      <c r="A2377" s="41" t="s">
        <v>8157</v>
      </c>
      <c r="B2377" s="41" t="s">
        <v>7604</v>
      </c>
      <c r="C2377" s="41" t="s">
        <v>1353</v>
      </c>
      <c r="D2377" s="41" t="s">
        <v>8322</v>
      </c>
      <c r="E2377" s="41">
        <v>5600</v>
      </c>
    </row>
    <row r="2378" spans="1:5" x14ac:dyDescent="0.25">
      <c r="A2378" s="41" t="s">
        <v>8157</v>
      </c>
      <c r="B2378" s="41" t="s">
        <v>7604</v>
      </c>
      <c r="C2378" s="41" t="s">
        <v>1353</v>
      </c>
      <c r="D2378" s="41" t="s">
        <v>8323</v>
      </c>
      <c r="E2378" s="41">
        <v>5300</v>
      </c>
    </row>
    <row r="2379" spans="1:5" x14ac:dyDescent="0.25">
      <c r="A2379" s="41" t="s">
        <v>8157</v>
      </c>
      <c r="B2379" s="41" t="s">
        <v>7606</v>
      </c>
      <c r="C2379" s="41" t="s">
        <v>1353</v>
      </c>
      <c r="D2379" s="41" t="s">
        <v>8158</v>
      </c>
      <c r="E2379" s="41">
        <v>16400</v>
      </c>
    </row>
    <row r="2380" spans="1:5" x14ac:dyDescent="0.25">
      <c r="A2380" s="41" t="s">
        <v>8157</v>
      </c>
      <c r="B2380" s="41" t="s">
        <v>7455</v>
      </c>
      <c r="C2380" s="41" t="s">
        <v>1353</v>
      </c>
      <c r="D2380" s="41" t="s">
        <v>8287</v>
      </c>
      <c r="E2380" s="41">
        <v>14560</v>
      </c>
    </row>
    <row r="2381" spans="1:5" x14ac:dyDescent="0.25">
      <c r="A2381" s="41" t="s">
        <v>8157</v>
      </c>
      <c r="B2381" s="41" t="s">
        <v>7455</v>
      </c>
      <c r="C2381" s="41" t="s">
        <v>1353</v>
      </c>
      <c r="D2381" s="41" t="s">
        <v>8324</v>
      </c>
      <c r="E2381" s="41">
        <v>14170</v>
      </c>
    </row>
    <row r="2382" spans="1:5" x14ac:dyDescent="0.25">
      <c r="A2382" s="41" t="s">
        <v>8157</v>
      </c>
      <c r="B2382" s="41" t="s">
        <v>7455</v>
      </c>
      <c r="C2382" s="41" t="s">
        <v>1353</v>
      </c>
      <c r="D2382" s="41" t="s">
        <v>8325</v>
      </c>
      <c r="E2382" s="41">
        <v>13125</v>
      </c>
    </row>
    <row r="2383" spans="1:5" x14ac:dyDescent="0.25">
      <c r="A2383" s="41" t="s">
        <v>8157</v>
      </c>
      <c r="B2383" s="41" t="s">
        <v>7455</v>
      </c>
      <c r="C2383" s="41" t="s">
        <v>1353</v>
      </c>
      <c r="D2383" s="41" t="s">
        <v>8326</v>
      </c>
      <c r="E2383" s="41">
        <v>12125</v>
      </c>
    </row>
    <row r="2384" spans="1:5" x14ac:dyDescent="0.25">
      <c r="A2384" s="41" t="s">
        <v>8157</v>
      </c>
      <c r="B2384" s="41" t="s">
        <v>7455</v>
      </c>
      <c r="C2384" s="41" t="s">
        <v>1353</v>
      </c>
      <c r="D2384" s="41" t="s">
        <v>8313</v>
      </c>
      <c r="E2384" s="41">
        <v>11125</v>
      </c>
    </row>
    <row r="2385" spans="1:5" x14ac:dyDescent="0.25">
      <c r="A2385" s="41" t="s">
        <v>8157</v>
      </c>
      <c r="B2385" s="41" t="s">
        <v>7455</v>
      </c>
      <c r="C2385" s="41" t="s">
        <v>1353</v>
      </c>
      <c r="D2385" s="41" t="s">
        <v>8245</v>
      </c>
      <c r="E2385" s="41">
        <v>10125</v>
      </c>
    </row>
    <row r="2386" spans="1:5" x14ac:dyDescent="0.25">
      <c r="A2386" s="41" t="s">
        <v>8157</v>
      </c>
      <c r="B2386" s="41" t="s">
        <v>7424</v>
      </c>
      <c r="C2386" s="41" t="s">
        <v>1353</v>
      </c>
      <c r="D2386" s="41" t="s">
        <v>8242</v>
      </c>
      <c r="E2386" s="41">
        <v>9800</v>
      </c>
    </row>
    <row r="2387" spans="1:5" x14ac:dyDescent="0.25">
      <c r="A2387" s="41" t="s">
        <v>8157</v>
      </c>
      <c r="B2387" s="41" t="s">
        <v>7424</v>
      </c>
      <c r="C2387" s="41" t="s">
        <v>1353</v>
      </c>
      <c r="D2387" s="41" t="s">
        <v>8327</v>
      </c>
      <c r="E2387" s="41">
        <v>8800</v>
      </c>
    </row>
    <row r="2388" spans="1:5" x14ac:dyDescent="0.25">
      <c r="A2388" s="41" t="s">
        <v>8157</v>
      </c>
      <c r="B2388" s="41" t="s">
        <v>7424</v>
      </c>
      <c r="C2388" s="41" t="s">
        <v>1353</v>
      </c>
      <c r="D2388" s="41" t="s">
        <v>8328</v>
      </c>
      <c r="E2388" s="41">
        <v>8100</v>
      </c>
    </row>
    <row r="2389" spans="1:5" x14ac:dyDescent="0.25">
      <c r="A2389" s="41" t="s">
        <v>8157</v>
      </c>
      <c r="B2389" s="41" t="s">
        <v>7437</v>
      </c>
      <c r="C2389" s="41" t="s">
        <v>1353</v>
      </c>
      <c r="D2389" s="41" t="s">
        <v>8287</v>
      </c>
      <c r="E2389" s="41">
        <v>7560</v>
      </c>
    </row>
    <row r="2390" spans="1:5" x14ac:dyDescent="0.25">
      <c r="A2390" s="41" t="s">
        <v>8157</v>
      </c>
      <c r="B2390" s="41" t="s">
        <v>7437</v>
      </c>
      <c r="C2390" s="41" t="s">
        <v>1353</v>
      </c>
      <c r="D2390" s="41" t="s">
        <v>8329</v>
      </c>
      <c r="E2390" s="41">
        <v>6840</v>
      </c>
    </row>
    <row r="2391" spans="1:5" x14ac:dyDescent="0.25">
      <c r="A2391" s="41" t="s">
        <v>8157</v>
      </c>
      <c r="B2391" s="41" t="s">
        <v>7437</v>
      </c>
      <c r="C2391" s="41" t="s">
        <v>1353</v>
      </c>
      <c r="D2391" s="41" t="s">
        <v>8330</v>
      </c>
      <c r="E2391" s="41">
        <v>6480</v>
      </c>
    </row>
    <row r="2392" spans="1:5" x14ac:dyDescent="0.25">
      <c r="A2392" s="41" t="s">
        <v>8157</v>
      </c>
      <c r="B2392" s="41" t="s">
        <v>7437</v>
      </c>
      <c r="C2392" s="41" t="s">
        <v>1353</v>
      </c>
      <c r="D2392" s="41" t="s">
        <v>8331</v>
      </c>
      <c r="E2392" s="41">
        <v>6240</v>
      </c>
    </row>
    <row r="2393" spans="1:5" x14ac:dyDescent="0.25">
      <c r="A2393" s="41" t="s">
        <v>8157</v>
      </c>
      <c r="B2393" s="41" t="s">
        <v>7445</v>
      </c>
      <c r="C2393" s="41" t="s">
        <v>1353</v>
      </c>
      <c r="D2393" s="41" t="s">
        <v>8332</v>
      </c>
      <c r="E2393" s="41">
        <v>9000</v>
      </c>
    </row>
    <row r="2394" spans="1:5" x14ac:dyDescent="0.25">
      <c r="A2394" s="41" t="s">
        <v>8157</v>
      </c>
      <c r="B2394" s="41" t="s">
        <v>7445</v>
      </c>
      <c r="C2394" s="41" t="s">
        <v>1353</v>
      </c>
      <c r="D2394" s="41" t="s">
        <v>8333</v>
      </c>
      <c r="E2394" s="41">
        <v>8600</v>
      </c>
    </row>
    <row r="2395" spans="1:5" x14ac:dyDescent="0.25">
      <c r="A2395" s="41" t="s">
        <v>8157</v>
      </c>
      <c r="B2395" s="41" t="s">
        <v>7445</v>
      </c>
      <c r="C2395" s="41" t="s">
        <v>1353</v>
      </c>
      <c r="D2395" s="41" t="s">
        <v>8193</v>
      </c>
      <c r="E2395" s="41">
        <v>8000</v>
      </c>
    </row>
    <row r="2396" spans="1:5" x14ac:dyDescent="0.25">
      <c r="A2396" s="41" t="s">
        <v>8157</v>
      </c>
      <c r="B2396" s="41" t="s">
        <v>7612</v>
      </c>
      <c r="C2396" s="41" t="s">
        <v>1353</v>
      </c>
      <c r="D2396" s="41" t="s">
        <v>8158</v>
      </c>
      <c r="E2396" s="41">
        <v>7000</v>
      </c>
    </row>
    <row r="2397" spans="1:5" x14ac:dyDescent="0.25">
      <c r="A2397" s="41" t="s">
        <v>8157</v>
      </c>
      <c r="B2397" s="41" t="s">
        <v>7614</v>
      </c>
      <c r="C2397" s="41" t="s">
        <v>1353</v>
      </c>
      <c r="D2397" s="41" t="s">
        <v>8158</v>
      </c>
      <c r="E2397" s="41">
        <v>28300</v>
      </c>
    </row>
    <row r="2398" spans="1:5" x14ac:dyDescent="0.25">
      <c r="A2398" s="41" t="s">
        <v>8157</v>
      </c>
      <c r="B2398" s="41" t="s">
        <v>7616</v>
      </c>
      <c r="C2398" s="41" t="s">
        <v>1353</v>
      </c>
      <c r="D2398" s="41" t="s">
        <v>8158</v>
      </c>
      <c r="E2398" s="41">
        <v>11400</v>
      </c>
    </row>
    <row r="2399" spans="1:5" x14ac:dyDescent="0.25">
      <c r="A2399" s="41" t="s">
        <v>8157</v>
      </c>
      <c r="B2399" s="41" t="s">
        <v>7435</v>
      </c>
      <c r="C2399" s="41" t="s">
        <v>1353</v>
      </c>
      <c r="D2399" s="41" t="s">
        <v>8287</v>
      </c>
      <c r="E2399" s="41">
        <v>8100</v>
      </c>
    </row>
    <row r="2400" spans="1:5" x14ac:dyDescent="0.25">
      <c r="A2400" s="41" t="s">
        <v>8157</v>
      </c>
      <c r="B2400" s="41" t="s">
        <v>7435</v>
      </c>
      <c r="C2400" s="41" t="s">
        <v>1353</v>
      </c>
      <c r="D2400" s="41" t="s">
        <v>8249</v>
      </c>
      <c r="E2400" s="41">
        <v>7700</v>
      </c>
    </row>
    <row r="2401" spans="1:5" x14ac:dyDescent="0.25">
      <c r="A2401" s="41" t="s">
        <v>8157</v>
      </c>
      <c r="B2401" s="41" t="s">
        <v>7435</v>
      </c>
      <c r="C2401" s="41" t="s">
        <v>1353</v>
      </c>
      <c r="D2401" s="41" t="s">
        <v>8336</v>
      </c>
      <c r="E2401" s="41">
        <v>7200</v>
      </c>
    </row>
    <row r="2402" spans="1:5" x14ac:dyDescent="0.25">
      <c r="A2402" s="41" t="s">
        <v>8157</v>
      </c>
      <c r="B2402" s="41" t="s">
        <v>7435</v>
      </c>
      <c r="C2402" s="41" t="s">
        <v>1353</v>
      </c>
      <c r="D2402" s="41" t="s">
        <v>8337</v>
      </c>
      <c r="E2402" s="41">
        <v>7000</v>
      </c>
    </row>
    <row r="2403" spans="1:5" x14ac:dyDescent="0.25">
      <c r="A2403" s="41" t="s">
        <v>8157</v>
      </c>
      <c r="B2403" s="41" t="s">
        <v>7619</v>
      </c>
      <c r="C2403" s="41" t="s">
        <v>1353</v>
      </c>
      <c r="D2403" s="41" t="s">
        <v>8158</v>
      </c>
      <c r="E2403" s="41">
        <v>10400</v>
      </c>
    </row>
    <row r="2404" spans="1:5" x14ac:dyDescent="0.25">
      <c r="A2404" s="41" t="s">
        <v>8157</v>
      </c>
      <c r="B2404" s="41" t="s">
        <v>7621</v>
      </c>
      <c r="C2404" s="41" t="s">
        <v>1353</v>
      </c>
      <c r="D2404" s="41" t="s">
        <v>8158</v>
      </c>
      <c r="E2404" s="41">
        <v>6700</v>
      </c>
    </row>
    <row r="2405" spans="1:5" x14ac:dyDescent="0.25">
      <c r="A2405" s="41" t="s">
        <v>8157</v>
      </c>
      <c r="B2405" s="41" t="s">
        <v>7623</v>
      </c>
      <c r="C2405" s="41" t="s">
        <v>1353</v>
      </c>
      <c r="D2405" s="41" t="s">
        <v>8338</v>
      </c>
      <c r="E2405" s="41">
        <v>6400</v>
      </c>
    </row>
    <row r="2406" spans="1:5" x14ac:dyDescent="0.25">
      <c r="A2406" s="41" t="s">
        <v>8157</v>
      </c>
      <c r="B2406" s="41" t="s">
        <v>7623</v>
      </c>
      <c r="C2406" s="41" t="s">
        <v>1353</v>
      </c>
      <c r="D2406" s="41" t="s">
        <v>8339</v>
      </c>
      <c r="E2406" s="41">
        <v>4900</v>
      </c>
    </row>
    <row r="2407" spans="1:5" x14ac:dyDescent="0.25">
      <c r="A2407" s="41" t="s">
        <v>8157</v>
      </c>
      <c r="B2407" s="41" t="s">
        <v>7623</v>
      </c>
      <c r="C2407" s="41" t="s">
        <v>1353</v>
      </c>
      <c r="D2407" s="41" t="s">
        <v>8340</v>
      </c>
      <c r="E2407" s="41">
        <v>3800</v>
      </c>
    </row>
    <row r="2408" spans="1:5" x14ac:dyDescent="0.25">
      <c r="A2408" s="41" t="s">
        <v>8157</v>
      </c>
      <c r="B2408" s="41" t="s">
        <v>7625</v>
      </c>
      <c r="C2408" s="41" t="s">
        <v>1353</v>
      </c>
      <c r="D2408" s="41" t="s">
        <v>8341</v>
      </c>
      <c r="E2408" s="41">
        <v>6700</v>
      </c>
    </row>
    <row r="2409" spans="1:5" x14ac:dyDescent="0.25">
      <c r="A2409" s="41" t="s">
        <v>8157</v>
      </c>
      <c r="B2409" s="41" t="s">
        <v>7625</v>
      </c>
      <c r="C2409" s="41" t="s">
        <v>1353</v>
      </c>
      <c r="D2409" s="41" t="s">
        <v>8342</v>
      </c>
      <c r="E2409" s="41">
        <v>6600</v>
      </c>
    </row>
    <row r="2410" spans="1:5" x14ac:dyDescent="0.25">
      <c r="A2410" s="41" t="s">
        <v>8157</v>
      </c>
      <c r="B2410" s="41" t="s">
        <v>7625</v>
      </c>
      <c r="C2410" s="41" t="s">
        <v>1353</v>
      </c>
      <c r="D2410" s="41" t="s">
        <v>8343</v>
      </c>
      <c r="E2410" s="41">
        <v>6200</v>
      </c>
    </row>
    <row r="2411" spans="1:5" x14ac:dyDescent="0.25">
      <c r="A2411" s="41" t="s">
        <v>8157</v>
      </c>
      <c r="B2411" s="41" t="s">
        <v>7625</v>
      </c>
      <c r="C2411" s="41" t="s">
        <v>1353</v>
      </c>
      <c r="D2411" s="41" t="s">
        <v>8344</v>
      </c>
      <c r="E2411" s="41">
        <v>6000</v>
      </c>
    </row>
    <row r="2412" spans="1:5" x14ac:dyDescent="0.25">
      <c r="A2412" s="41" t="s">
        <v>8157</v>
      </c>
      <c r="B2412" s="41" t="s">
        <v>7439</v>
      </c>
      <c r="C2412" s="41" t="s">
        <v>1353</v>
      </c>
      <c r="D2412" s="41" t="s">
        <v>8345</v>
      </c>
      <c r="E2412" s="41">
        <v>6100</v>
      </c>
    </row>
    <row r="2413" spans="1:5" x14ac:dyDescent="0.25">
      <c r="A2413" s="41" t="s">
        <v>8157</v>
      </c>
      <c r="B2413" s="41" t="s">
        <v>7439</v>
      </c>
      <c r="C2413" s="41" t="s">
        <v>1353</v>
      </c>
      <c r="D2413" s="41" t="s">
        <v>8346</v>
      </c>
      <c r="E2413" s="41">
        <v>5900</v>
      </c>
    </row>
    <row r="2414" spans="1:5" x14ac:dyDescent="0.25">
      <c r="A2414" s="41" t="s">
        <v>8157</v>
      </c>
      <c r="B2414" s="41" t="s">
        <v>7439</v>
      </c>
      <c r="C2414" s="41" t="s">
        <v>1353</v>
      </c>
      <c r="D2414" s="41" t="s">
        <v>8288</v>
      </c>
      <c r="E2414" s="41">
        <v>5600</v>
      </c>
    </row>
    <row r="2415" spans="1:5" x14ac:dyDescent="0.25">
      <c r="A2415" s="41" t="s">
        <v>8157</v>
      </c>
      <c r="B2415" s="41" t="s">
        <v>7439</v>
      </c>
      <c r="C2415" s="41" t="s">
        <v>1353</v>
      </c>
      <c r="D2415" s="41" t="s">
        <v>8347</v>
      </c>
      <c r="E2415" s="41">
        <v>5400</v>
      </c>
    </row>
    <row r="2416" spans="1:5" x14ac:dyDescent="0.25">
      <c r="A2416" s="41" t="s">
        <v>8157</v>
      </c>
      <c r="B2416" s="41" t="s">
        <v>7628</v>
      </c>
      <c r="C2416" s="41" t="s">
        <v>1353</v>
      </c>
      <c r="D2416" s="41" t="s">
        <v>8158</v>
      </c>
      <c r="E2416" s="41">
        <v>8800</v>
      </c>
    </row>
    <row r="2417" spans="1:5" x14ac:dyDescent="0.25">
      <c r="A2417" s="41" t="s">
        <v>8157</v>
      </c>
      <c r="B2417" s="41" t="s">
        <v>7630</v>
      </c>
      <c r="C2417" s="41" t="s">
        <v>1353</v>
      </c>
      <c r="D2417" s="41" t="s">
        <v>8158</v>
      </c>
      <c r="E2417" s="41">
        <v>9600</v>
      </c>
    </row>
    <row r="2418" spans="1:5" x14ac:dyDescent="0.25">
      <c r="A2418" s="41" t="s">
        <v>8157</v>
      </c>
      <c r="B2418" s="41" t="s">
        <v>7632</v>
      </c>
      <c r="C2418" s="41" t="s">
        <v>1353</v>
      </c>
      <c r="D2418" s="41" t="s">
        <v>8158</v>
      </c>
      <c r="E2418" s="41">
        <v>12800</v>
      </c>
    </row>
    <row r="2419" spans="1:5" x14ac:dyDescent="0.25">
      <c r="A2419" s="41" t="s">
        <v>8157</v>
      </c>
      <c r="B2419" s="41" t="s">
        <v>7634</v>
      </c>
      <c r="C2419" s="41" t="s">
        <v>1353</v>
      </c>
      <c r="D2419" s="41" t="s">
        <v>8348</v>
      </c>
      <c r="E2419" s="41">
        <v>9200</v>
      </c>
    </row>
    <row r="2420" spans="1:5" x14ac:dyDescent="0.25">
      <c r="A2420" s="41" t="s">
        <v>8157</v>
      </c>
      <c r="B2420" s="41" t="s">
        <v>7634</v>
      </c>
      <c r="C2420" s="41" t="s">
        <v>1353</v>
      </c>
      <c r="D2420" s="41" t="s">
        <v>8349</v>
      </c>
      <c r="E2420" s="41">
        <v>6700</v>
      </c>
    </row>
    <row r="2421" spans="1:5" x14ac:dyDescent="0.25">
      <c r="A2421" s="41" t="s">
        <v>8157</v>
      </c>
      <c r="B2421" s="41" t="s">
        <v>7636</v>
      </c>
      <c r="C2421" s="41" t="s">
        <v>1353</v>
      </c>
      <c r="D2421" s="41" t="s">
        <v>8158</v>
      </c>
      <c r="E2421" s="41">
        <v>6800</v>
      </c>
    </row>
    <row r="2422" spans="1:5" x14ac:dyDescent="0.25">
      <c r="A2422" s="41" t="s">
        <v>8157</v>
      </c>
      <c r="B2422" s="41" t="s">
        <v>7638</v>
      </c>
      <c r="C2422" s="41" t="s">
        <v>1353</v>
      </c>
      <c r="D2422" s="41" t="s">
        <v>8212</v>
      </c>
      <c r="E2422" s="41">
        <v>7900</v>
      </c>
    </row>
    <row r="2423" spans="1:5" x14ac:dyDescent="0.25">
      <c r="A2423" s="41" t="s">
        <v>8157</v>
      </c>
      <c r="B2423" s="41" t="s">
        <v>7638</v>
      </c>
      <c r="C2423" s="41" t="s">
        <v>1353</v>
      </c>
      <c r="D2423" s="41" t="s">
        <v>8350</v>
      </c>
      <c r="E2423" s="41">
        <v>7500</v>
      </c>
    </row>
    <row r="2424" spans="1:5" x14ac:dyDescent="0.25">
      <c r="A2424" s="41" t="s">
        <v>8157</v>
      </c>
      <c r="B2424" s="41" t="s">
        <v>7450</v>
      </c>
      <c r="C2424" s="41" t="s">
        <v>1353</v>
      </c>
      <c r="D2424" s="41" t="s">
        <v>8233</v>
      </c>
      <c r="E2424" s="41">
        <v>8600</v>
      </c>
    </row>
    <row r="2425" spans="1:5" x14ac:dyDescent="0.25">
      <c r="A2425" s="41" t="s">
        <v>8157</v>
      </c>
      <c r="B2425" s="41" t="s">
        <v>7450</v>
      </c>
      <c r="C2425" s="41" t="s">
        <v>1353</v>
      </c>
      <c r="D2425" s="41" t="s">
        <v>8351</v>
      </c>
      <c r="E2425" s="41">
        <v>8500</v>
      </c>
    </row>
    <row r="2426" spans="1:5" x14ac:dyDescent="0.25">
      <c r="A2426" s="41" t="s">
        <v>8157</v>
      </c>
      <c r="B2426" s="41" t="s">
        <v>7450</v>
      </c>
      <c r="C2426" s="41" t="s">
        <v>1353</v>
      </c>
      <c r="D2426" s="41" t="s">
        <v>8352</v>
      </c>
      <c r="E2426" s="41">
        <v>8300</v>
      </c>
    </row>
    <row r="2427" spans="1:5" x14ac:dyDescent="0.25">
      <c r="A2427" s="41" t="s">
        <v>8157</v>
      </c>
      <c r="B2427" s="41" t="s">
        <v>7450</v>
      </c>
      <c r="C2427" s="41" t="s">
        <v>1353</v>
      </c>
      <c r="D2427" s="41" t="s">
        <v>8178</v>
      </c>
      <c r="E2427" s="41">
        <v>8000</v>
      </c>
    </row>
    <row r="2428" spans="1:5" x14ac:dyDescent="0.25">
      <c r="A2428" s="41" t="s">
        <v>8157</v>
      </c>
      <c r="B2428" s="41" t="s">
        <v>7450</v>
      </c>
      <c r="C2428" s="41" t="s">
        <v>1353</v>
      </c>
      <c r="D2428" s="41" t="s">
        <v>8165</v>
      </c>
      <c r="E2428" s="41">
        <v>7700</v>
      </c>
    </row>
    <row r="2429" spans="1:5" x14ac:dyDescent="0.25">
      <c r="A2429" s="41" t="s">
        <v>8157</v>
      </c>
      <c r="B2429" s="41" t="s">
        <v>7450</v>
      </c>
      <c r="C2429" s="41" t="s">
        <v>1353</v>
      </c>
      <c r="D2429" s="41" t="s">
        <v>8266</v>
      </c>
      <c r="E2429" s="41">
        <v>7500</v>
      </c>
    </row>
    <row r="2430" spans="1:5" x14ac:dyDescent="0.25">
      <c r="A2430" s="41" t="s">
        <v>8157</v>
      </c>
      <c r="B2430" s="41" t="s">
        <v>7641</v>
      </c>
      <c r="C2430" s="41" t="s">
        <v>1353</v>
      </c>
      <c r="D2430" s="41" t="s">
        <v>8353</v>
      </c>
      <c r="E2430" s="41">
        <v>18700</v>
      </c>
    </row>
    <row r="2431" spans="1:5" x14ac:dyDescent="0.25">
      <c r="A2431" s="41" t="s">
        <v>8157</v>
      </c>
      <c r="B2431" s="41" t="s">
        <v>7641</v>
      </c>
      <c r="C2431" s="41" t="s">
        <v>1353</v>
      </c>
      <c r="D2431" s="41" t="s">
        <v>8354</v>
      </c>
      <c r="E2431" s="41">
        <v>17400</v>
      </c>
    </row>
    <row r="2432" spans="1:5" x14ac:dyDescent="0.25">
      <c r="A2432" s="41" t="s">
        <v>8157</v>
      </c>
      <c r="B2432" s="41" t="s">
        <v>7641</v>
      </c>
      <c r="C2432" s="41" t="s">
        <v>1353</v>
      </c>
      <c r="D2432" s="41" t="s">
        <v>8355</v>
      </c>
      <c r="E2432" s="41">
        <v>16100</v>
      </c>
    </row>
    <row r="2433" spans="1:5" x14ac:dyDescent="0.25">
      <c r="A2433" s="41" t="s">
        <v>8157</v>
      </c>
      <c r="B2433" s="41" t="s">
        <v>7641</v>
      </c>
      <c r="C2433" s="41" t="s">
        <v>1353</v>
      </c>
      <c r="D2433" s="41" t="s">
        <v>8178</v>
      </c>
      <c r="E2433" s="41">
        <v>15400</v>
      </c>
    </row>
    <row r="2434" spans="1:5" x14ac:dyDescent="0.25">
      <c r="A2434" s="41" t="s">
        <v>8157</v>
      </c>
      <c r="B2434" s="41" t="s">
        <v>7641</v>
      </c>
      <c r="C2434" s="41" t="s">
        <v>1353</v>
      </c>
      <c r="D2434" s="41" t="s">
        <v>8179</v>
      </c>
      <c r="E2434" s="41">
        <v>14600</v>
      </c>
    </row>
    <row r="2435" spans="1:5" x14ac:dyDescent="0.25">
      <c r="A2435" s="41" t="s">
        <v>8157</v>
      </c>
      <c r="B2435" s="41" t="s">
        <v>7641</v>
      </c>
      <c r="C2435" s="41" t="s">
        <v>1353</v>
      </c>
      <c r="D2435" s="41" t="s">
        <v>8337</v>
      </c>
      <c r="E2435" s="41">
        <v>13800</v>
      </c>
    </row>
    <row r="2436" spans="1:5" x14ac:dyDescent="0.25">
      <c r="A2436" s="41" t="s">
        <v>8157</v>
      </c>
      <c r="B2436" s="41" t="s">
        <v>7643</v>
      </c>
      <c r="C2436" s="41" t="s">
        <v>1353</v>
      </c>
      <c r="D2436" s="41" t="s">
        <v>8228</v>
      </c>
      <c r="E2436" s="41">
        <v>8970</v>
      </c>
    </row>
    <row r="2437" spans="1:5" x14ac:dyDescent="0.25">
      <c r="A2437" s="41" t="s">
        <v>8157</v>
      </c>
      <c r="B2437" s="41" t="s">
        <v>7643</v>
      </c>
      <c r="C2437" s="41" t="s">
        <v>1353</v>
      </c>
      <c r="D2437" s="41" t="s">
        <v>8176</v>
      </c>
      <c r="E2437" s="41">
        <v>9120</v>
      </c>
    </row>
    <row r="2438" spans="1:5" x14ac:dyDescent="0.25">
      <c r="A2438" s="41" t="s">
        <v>8157</v>
      </c>
      <c r="B2438" s="41" t="s">
        <v>7645</v>
      </c>
      <c r="C2438" s="41" t="s">
        <v>1353</v>
      </c>
      <c r="D2438" s="41" t="s">
        <v>8356</v>
      </c>
      <c r="E2438" s="41">
        <v>6670</v>
      </c>
    </row>
    <row r="2439" spans="1:5" x14ac:dyDescent="0.25">
      <c r="A2439" s="41" t="s">
        <v>8157</v>
      </c>
      <c r="B2439" s="41" t="s">
        <v>7645</v>
      </c>
      <c r="C2439" s="41" t="s">
        <v>1353</v>
      </c>
      <c r="D2439" s="41" t="s">
        <v>8357</v>
      </c>
      <c r="E2439" s="41">
        <v>6018</v>
      </c>
    </row>
    <row r="2440" spans="1:5" x14ac:dyDescent="0.25">
      <c r="A2440" s="41" t="s">
        <v>8157</v>
      </c>
      <c r="B2440" s="41" t="s">
        <v>7645</v>
      </c>
      <c r="C2440" s="41" t="s">
        <v>1353</v>
      </c>
      <c r="D2440" s="41" t="s">
        <v>8358</v>
      </c>
      <c r="E2440" s="41">
        <v>5192</v>
      </c>
    </row>
    <row r="2441" spans="1:5" x14ac:dyDescent="0.25">
      <c r="A2441" s="41" t="s">
        <v>8157</v>
      </c>
      <c r="B2441" s="41" t="s">
        <v>7645</v>
      </c>
      <c r="C2441" s="41" t="s">
        <v>1353</v>
      </c>
      <c r="D2441" s="41" t="s">
        <v>8168</v>
      </c>
      <c r="E2441" s="41">
        <v>4945</v>
      </c>
    </row>
    <row r="2442" spans="1:5" x14ac:dyDescent="0.25">
      <c r="A2442" s="41" t="s">
        <v>8157</v>
      </c>
      <c r="B2442" s="41" t="s">
        <v>7647</v>
      </c>
      <c r="C2442" s="41" t="s">
        <v>1353</v>
      </c>
      <c r="D2442" s="41" t="s">
        <v>8356</v>
      </c>
      <c r="E2442" s="41">
        <v>14400</v>
      </c>
    </row>
    <row r="2443" spans="1:5" x14ac:dyDescent="0.25">
      <c r="A2443" s="41" t="s">
        <v>8157</v>
      </c>
      <c r="B2443" s="41" t="s">
        <v>7647</v>
      </c>
      <c r="C2443" s="41" t="s">
        <v>1353</v>
      </c>
      <c r="D2443" s="41" t="s">
        <v>8359</v>
      </c>
      <c r="E2443" s="41">
        <v>13600</v>
      </c>
    </row>
    <row r="2444" spans="1:5" x14ac:dyDescent="0.25">
      <c r="A2444" s="41" t="s">
        <v>8157</v>
      </c>
      <c r="B2444" s="41" t="s">
        <v>7647</v>
      </c>
      <c r="C2444" s="41" t="s">
        <v>1353</v>
      </c>
      <c r="D2444" s="41" t="s">
        <v>8211</v>
      </c>
      <c r="E2444" s="41">
        <v>12900</v>
      </c>
    </row>
    <row r="2445" spans="1:5" x14ac:dyDescent="0.25">
      <c r="A2445" s="41" t="s">
        <v>8157</v>
      </c>
      <c r="B2445" s="41" t="s">
        <v>7649</v>
      </c>
      <c r="C2445" s="41" t="s">
        <v>1353</v>
      </c>
      <c r="D2445" s="41" t="s">
        <v>8158</v>
      </c>
      <c r="E2445" s="41">
        <v>6400</v>
      </c>
    </row>
    <row r="2446" spans="1:5" x14ac:dyDescent="0.25">
      <c r="A2446" s="41" t="s">
        <v>8157</v>
      </c>
      <c r="B2446" s="41" t="s">
        <v>7651</v>
      </c>
      <c r="C2446" s="41" t="s">
        <v>1353</v>
      </c>
      <c r="D2446" s="41" t="s">
        <v>8158</v>
      </c>
      <c r="E2446" s="41">
        <v>5400</v>
      </c>
    </row>
    <row r="2447" spans="1:5" x14ac:dyDescent="0.25">
      <c r="A2447" s="41" t="s">
        <v>8157</v>
      </c>
      <c r="B2447" s="41" t="s">
        <v>7653</v>
      </c>
      <c r="C2447" s="41" t="s">
        <v>1353</v>
      </c>
      <c r="D2447" s="41" t="s">
        <v>8158</v>
      </c>
      <c r="E2447" s="41">
        <v>6300</v>
      </c>
    </row>
    <row r="2448" spans="1:5" x14ac:dyDescent="0.25">
      <c r="A2448" s="41" t="s">
        <v>8157</v>
      </c>
      <c r="B2448" s="41" t="s">
        <v>7431</v>
      </c>
      <c r="C2448" s="41" t="s">
        <v>1353</v>
      </c>
      <c r="D2448" s="41" t="s">
        <v>8158</v>
      </c>
      <c r="E2448" s="41">
        <v>7600</v>
      </c>
    </row>
    <row r="2449" spans="1:5" x14ac:dyDescent="0.25">
      <c r="A2449" s="41" t="s">
        <v>8157</v>
      </c>
      <c r="B2449" s="41" t="s">
        <v>7656</v>
      </c>
      <c r="C2449" s="41" t="s">
        <v>1353</v>
      </c>
      <c r="D2449" s="41" t="s">
        <v>8360</v>
      </c>
      <c r="E2449" s="41">
        <v>22770</v>
      </c>
    </row>
    <row r="2450" spans="1:5" x14ac:dyDescent="0.25">
      <c r="A2450" s="41" t="s">
        <v>8157</v>
      </c>
      <c r="B2450" s="41" t="s">
        <v>7656</v>
      </c>
      <c r="C2450" s="41" t="s">
        <v>1353</v>
      </c>
      <c r="D2450" s="41" t="s">
        <v>8165</v>
      </c>
      <c r="E2450" s="41">
        <v>22550</v>
      </c>
    </row>
    <row r="2451" spans="1:5" x14ac:dyDescent="0.25">
      <c r="A2451" s="41" t="s">
        <v>8157</v>
      </c>
      <c r="B2451" s="41" t="s">
        <v>7656</v>
      </c>
      <c r="C2451" s="41" t="s">
        <v>1353</v>
      </c>
      <c r="D2451" s="41" t="s">
        <v>8266</v>
      </c>
      <c r="E2451" s="41">
        <v>22220</v>
      </c>
    </row>
    <row r="2452" spans="1:5" x14ac:dyDescent="0.25">
      <c r="A2452" s="41" t="s">
        <v>8157</v>
      </c>
      <c r="B2452" s="41" t="s">
        <v>7658</v>
      </c>
      <c r="C2452" s="41" t="s">
        <v>1353</v>
      </c>
      <c r="D2452" s="41" t="s">
        <v>8158</v>
      </c>
      <c r="E2452" s="41">
        <v>9100</v>
      </c>
    </row>
    <row r="2453" spans="1:5" x14ac:dyDescent="0.25">
      <c r="A2453" s="41" t="s">
        <v>8157</v>
      </c>
      <c r="B2453" s="41" t="s">
        <v>7660</v>
      </c>
      <c r="C2453" s="41" t="s">
        <v>1353</v>
      </c>
      <c r="D2453" s="41" t="s">
        <v>8158</v>
      </c>
      <c r="E2453" s="41">
        <v>22500</v>
      </c>
    </row>
    <row r="2454" spans="1:5" x14ac:dyDescent="0.25">
      <c r="A2454" s="41" t="s">
        <v>8157</v>
      </c>
      <c r="B2454" s="41" t="s">
        <v>7662</v>
      </c>
      <c r="C2454" s="41" t="s">
        <v>1353</v>
      </c>
      <c r="D2454" s="41" t="s">
        <v>8233</v>
      </c>
      <c r="E2454" s="41">
        <v>38100</v>
      </c>
    </row>
    <row r="2455" spans="1:5" x14ac:dyDescent="0.25">
      <c r="A2455" s="41" t="s">
        <v>8157</v>
      </c>
      <c r="B2455" s="41" t="s">
        <v>7662</v>
      </c>
      <c r="C2455" s="41" t="s">
        <v>1353</v>
      </c>
      <c r="D2455" s="41" t="s">
        <v>8361</v>
      </c>
      <c r="E2455" s="41">
        <v>34400</v>
      </c>
    </row>
    <row r="2456" spans="1:5" x14ac:dyDescent="0.25">
      <c r="A2456" s="41" t="s">
        <v>8157</v>
      </c>
      <c r="B2456" s="41" t="s">
        <v>7662</v>
      </c>
      <c r="C2456" s="41" t="s">
        <v>1353</v>
      </c>
      <c r="D2456" s="41" t="s">
        <v>8362</v>
      </c>
      <c r="E2456" s="41">
        <v>33400</v>
      </c>
    </row>
    <row r="2457" spans="1:5" x14ac:dyDescent="0.25">
      <c r="A2457" s="41" t="s">
        <v>8157</v>
      </c>
      <c r="B2457" s="41" t="s">
        <v>7662</v>
      </c>
      <c r="C2457" s="41" t="s">
        <v>1353</v>
      </c>
      <c r="D2457" s="41" t="s">
        <v>8166</v>
      </c>
      <c r="E2457" s="41">
        <v>32100</v>
      </c>
    </row>
    <row r="2458" spans="1:5" x14ac:dyDescent="0.25">
      <c r="A2458" s="41" t="s">
        <v>8157</v>
      </c>
      <c r="B2458" s="41" t="s">
        <v>7662</v>
      </c>
      <c r="C2458" s="41" t="s">
        <v>1353</v>
      </c>
      <c r="D2458" s="41" t="s">
        <v>8237</v>
      </c>
      <c r="E2458" s="41">
        <v>31000</v>
      </c>
    </row>
    <row r="2459" spans="1:5" x14ac:dyDescent="0.25">
      <c r="A2459" s="41" t="s">
        <v>8157</v>
      </c>
      <c r="B2459" s="41" t="s">
        <v>7664</v>
      </c>
      <c r="C2459" s="41" t="s">
        <v>1353</v>
      </c>
      <c r="D2459" s="41" t="s">
        <v>8158</v>
      </c>
      <c r="E2459" s="41">
        <v>21300</v>
      </c>
    </row>
    <row r="2460" spans="1:5" x14ac:dyDescent="0.25">
      <c r="A2460" s="41" t="s">
        <v>8157</v>
      </c>
      <c r="B2460" s="41" t="s">
        <v>7666</v>
      </c>
      <c r="C2460" s="41" t="s">
        <v>1353</v>
      </c>
      <c r="D2460" s="41" t="s">
        <v>8158</v>
      </c>
      <c r="E2460" s="41">
        <v>15100</v>
      </c>
    </row>
    <row r="2461" spans="1:5" x14ac:dyDescent="0.25">
      <c r="A2461" s="41" t="s">
        <v>8157</v>
      </c>
      <c r="B2461" s="41" t="s">
        <v>7668</v>
      </c>
      <c r="C2461" s="41" t="s">
        <v>1353</v>
      </c>
      <c r="D2461" s="41" t="s">
        <v>8158</v>
      </c>
      <c r="E2461" s="41">
        <v>17900</v>
      </c>
    </row>
    <row r="2462" spans="1:5" x14ac:dyDescent="0.25">
      <c r="A2462" s="41" t="s">
        <v>8157</v>
      </c>
      <c r="B2462" s="41" t="s">
        <v>7670</v>
      </c>
      <c r="C2462" s="41" t="s">
        <v>1353</v>
      </c>
      <c r="D2462" s="41" t="s">
        <v>8246</v>
      </c>
      <c r="E2462" s="41">
        <v>18300</v>
      </c>
    </row>
    <row r="2463" spans="1:5" x14ac:dyDescent="0.25">
      <c r="A2463" s="41" t="s">
        <v>8157</v>
      </c>
      <c r="B2463" s="41" t="s">
        <v>7670</v>
      </c>
      <c r="C2463" s="41" t="s">
        <v>1353</v>
      </c>
      <c r="D2463" s="41" t="s">
        <v>8363</v>
      </c>
      <c r="E2463" s="41">
        <v>18100</v>
      </c>
    </row>
    <row r="2464" spans="1:5" x14ac:dyDescent="0.25">
      <c r="A2464" s="41" t="s">
        <v>8157</v>
      </c>
      <c r="B2464" s="41" t="s">
        <v>7670</v>
      </c>
      <c r="C2464" s="41" t="s">
        <v>1353</v>
      </c>
      <c r="D2464" s="41" t="s">
        <v>8364</v>
      </c>
      <c r="E2464" s="41">
        <v>17400</v>
      </c>
    </row>
    <row r="2465" spans="1:5" x14ac:dyDescent="0.25">
      <c r="A2465" s="41" t="s">
        <v>8157</v>
      </c>
      <c r="B2465" s="41" t="s">
        <v>7670</v>
      </c>
      <c r="C2465" s="41" t="s">
        <v>1353</v>
      </c>
      <c r="D2465" s="41" t="s">
        <v>8188</v>
      </c>
      <c r="E2465" s="41">
        <v>14500</v>
      </c>
    </row>
    <row r="2466" spans="1:5" x14ac:dyDescent="0.25">
      <c r="A2466" s="41" t="s">
        <v>8157</v>
      </c>
      <c r="B2466" s="41" t="s">
        <v>7670</v>
      </c>
      <c r="C2466" s="41" t="s">
        <v>1353</v>
      </c>
      <c r="D2466" s="41" t="s">
        <v>8365</v>
      </c>
      <c r="E2466" s="41">
        <v>11000</v>
      </c>
    </row>
    <row r="2467" spans="1:5" x14ac:dyDescent="0.25">
      <c r="A2467" s="41" t="s">
        <v>8157</v>
      </c>
      <c r="B2467" s="41" t="s">
        <v>7670</v>
      </c>
      <c r="C2467" s="41" t="s">
        <v>1353</v>
      </c>
      <c r="D2467" s="41" t="s">
        <v>8234</v>
      </c>
      <c r="E2467" s="41">
        <v>10800</v>
      </c>
    </row>
    <row r="2468" spans="1:5" x14ac:dyDescent="0.25">
      <c r="A2468" s="41" t="s">
        <v>8157</v>
      </c>
      <c r="B2468" s="41" t="s">
        <v>7670</v>
      </c>
      <c r="C2468" s="41" t="s">
        <v>1353</v>
      </c>
      <c r="D2468" s="41" t="s">
        <v>8331</v>
      </c>
      <c r="E2468" s="41">
        <v>9500</v>
      </c>
    </row>
    <row r="2469" spans="1:5" x14ac:dyDescent="0.25">
      <c r="A2469" s="41" t="s">
        <v>8157</v>
      </c>
      <c r="B2469" s="41" t="s">
        <v>7673</v>
      </c>
      <c r="C2469" s="41" t="s">
        <v>1353</v>
      </c>
      <c r="D2469" s="41" t="s">
        <v>8298</v>
      </c>
      <c r="E2469" s="41">
        <v>11600</v>
      </c>
    </row>
    <row r="2470" spans="1:5" x14ac:dyDescent="0.25">
      <c r="A2470" s="41" t="s">
        <v>8157</v>
      </c>
      <c r="B2470" s="41" t="s">
        <v>7673</v>
      </c>
      <c r="C2470" s="41" t="s">
        <v>1353</v>
      </c>
      <c r="D2470" s="41" t="s">
        <v>8299</v>
      </c>
      <c r="E2470" s="41">
        <v>11300</v>
      </c>
    </row>
    <row r="2471" spans="1:5" x14ac:dyDescent="0.25">
      <c r="A2471" s="41" t="s">
        <v>8157</v>
      </c>
      <c r="B2471" s="41" t="s">
        <v>7673</v>
      </c>
      <c r="C2471" s="41" t="s">
        <v>1353</v>
      </c>
      <c r="D2471" s="41" t="s">
        <v>8327</v>
      </c>
      <c r="E2471" s="41">
        <v>11100</v>
      </c>
    </row>
    <row r="2472" spans="1:5" x14ac:dyDescent="0.25">
      <c r="A2472" s="41" t="s">
        <v>8157</v>
      </c>
      <c r="B2472" s="41" t="s">
        <v>7673</v>
      </c>
      <c r="C2472" s="41" t="s">
        <v>1353</v>
      </c>
      <c r="D2472" s="41" t="s">
        <v>8328</v>
      </c>
      <c r="E2472" s="41">
        <v>10700</v>
      </c>
    </row>
    <row r="2473" spans="1:5" x14ac:dyDescent="0.25">
      <c r="A2473" s="41" t="s">
        <v>8157</v>
      </c>
      <c r="B2473" s="41" t="s">
        <v>7676</v>
      </c>
      <c r="C2473" s="41" t="s">
        <v>1353</v>
      </c>
      <c r="D2473" s="41" t="s">
        <v>8366</v>
      </c>
      <c r="E2473" s="41">
        <v>10800</v>
      </c>
    </row>
    <row r="2474" spans="1:5" x14ac:dyDescent="0.25">
      <c r="A2474" s="41" t="s">
        <v>8157</v>
      </c>
      <c r="B2474" s="41" t="s">
        <v>7676</v>
      </c>
      <c r="C2474" s="41" t="s">
        <v>1353</v>
      </c>
      <c r="D2474" s="41" t="s">
        <v>8367</v>
      </c>
      <c r="E2474" s="41">
        <v>10400</v>
      </c>
    </row>
    <row r="2475" spans="1:5" x14ac:dyDescent="0.25">
      <c r="A2475" s="41" t="s">
        <v>8157</v>
      </c>
      <c r="B2475" s="41" t="s">
        <v>7676</v>
      </c>
      <c r="C2475" s="41" t="s">
        <v>1353</v>
      </c>
      <c r="D2475" s="41" t="s">
        <v>8368</v>
      </c>
      <c r="E2475" s="41">
        <v>10000</v>
      </c>
    </row>
    <row r="2476" spans="1:5" x14ac:dyDescent="0.25">
      <c r="A2476" s="41" t="s">
        <v>8157</v>
      </c>
      <c r="B2476" s="41" t="s">
        <v>7678</v>
      </c>
      <c r="C2476" s="41" t="s">
        <v>1353</v>
      </c>
      <c r="D2476" s="41" t="s">
        <v>8158</v>
      </c>
      <c r="E2476" s="41">
        <v>4000</v>
      </c>
    </row>
    <row r="2477" spans="1:5" x14ac:dyDescent="0.25">
      <c r="A2477" s="41" t="s">
        <v>8157</v>
      </c>
      <c r="B2477" s="41" t="s">
        <v>7680</v>
      </c>
      <c r="C2477" s="41" t="s">
        <v>1353</v>
      </c>
      <c r="D2477" s="41" t="s">
        <v>8360</v>
      </c>
      <c r="E2477" s="41">
        <v>40900</v>
      </c>
    </row>
    <row r="2478" spans="1:5" x14ac:dyDescent="0.25">
      <c r="A2478" s="41" t="s">
        <v>8157</v>
      </c>
      <c r="B2478" s="41" t="s">
        <v>7680</v>
      </c>
      <c r="C2478" s="41" t="s">
        <v>1353</v>
      </c>
      <c r="D2478" s="41" t="s">
        <v>8175</v>
      </c>
      <c r="E2478" s="41">
        <v>27200</v>
      </c>
    </row>
    <row r="2479" spans="1:5" x14ac:dyDescent="0.25">
      <c r="A2479" s="41" t="s">
        <v>8157</v>
      </c>
      <c r="B2479" s="41" t="s">
        <v>7680</v>
      </c>
      <c r="C2479" s="41" t="s">
        <v>1353</v>
      </c>
      <c r="D2479" s="41" t="s">
        <v>8176</v>
      </c>
      <c r="E2479" s="41">
        <v>23600</v>
      </c>
    </row>
    <row r="2480" spans="1:5" x14ac:dyDescent="0.25">
      <c r="A2480" s="41" t="s">
        <v>8157</v>
      </c>
      <c r="B2480" s="41" t="s">
        <v>7682</v>
      </c>
      <c r="C2480" s="41" t="s">
        <v>1353</v>
      </c>
      <c r="D2480" s="41" t="s">
        <v>8158</v>
      </c>
      <c r="E2480" s="41">
        <v>36100</v>
      </c>
    </row>
    <row r="2481" spans="1:5" x14ac:dyDescent="0.25">
      <c r="A2481" s="41" t="s">
        <v>8157</v>
      </c>
      <c r="B2481" s="41" t="s">
        <v>7684</v>
      </c>
      <c r="C2481" s="41" t="s">
        <v>1353</v>
      </c>
      <c r="D2481" s="41" t="s">
        <v>8158</v>
      </c>
      <c r="E2481" s="41">
        <v>20800</v>
      </c>
    </row>
    <row r="2482" spans="1:5" x14ac:dyDescent="0.25">
      <c r="A2482" s="41" t="s">
        <v>8157</v>
      </c>
      <c r="B2482" s="41" t="s">
        <v>7426</v>
      </c>
      <c r="C2482" s="41" t="s">
        <v>1353</v>
      </c>
      <c r="D2482" s="41" t="s">
        <v>8158</v>
      </c>
      <c r="E2482" s="41">
        <v>2300</v>
      </c>
    </row>
    <row r="2483" spans="1:5" x14ac:dyDescent="0.25">
      <c r="A2483" s="41" t="s">
        <v>8157</v>
      </c>
      <c r="B2483" s="41" t="s">
        <v>7687</v>
      </c>
      <c r="C2483" s="41" t="s">
        <v>1353</v>
      </c>
      <c r="D2483" s="41" t="s">
        <v>8348</v>
      </c>
      <c r="E2483" s="41">
        <v>19700</v>
      </c>
    </row>
    <row r="2484" spans="1:5" x14ac:dyDescent="0.25">
      <c r="A2484" s="41" t="s">
        <v>8157</v>
      </c>
      <c r="B2484" s="41" t="s">
        <v>7687</v>
      </c>
      <c r="C2484" s="41" t="s">
        <v>1353</v>
      </c>
      <c r="D2484" s="41" t="s">
        <v>8349</v>
      </c>
      <c r="E2484" s="41">
        <v>19100</v>
      </c>
    </row>
    <row r="2485" spans="1:5" x14ac:dyDescent="0.25">
      <c r="A2485" s="41" t="s">
        <v>8157</v>
      </c>
      <c r="B2485" s="41" t="s">
        <v>7689</v>
      </c>
      <c r="C2485" s="41" t="s">
        <v>1353</v>
      </c>
      <c r="D2485" s="41" t="s">
        <v>8158</v>
      </c>
      <c r="E2485" s="41">
        <v>31900</v>
      </c>
    </row>
    <row r="2486" spans="1:5" x14ac:dyDescent="0.25">
      <c r="A2486" s="41" t="s">
        <v>8157</v>
      </c>
      <c r="B2486" s="41" t="s">
        <v>7691</v>
      </c>
      <c r="C2486" s="41" t="s">
        <v>1353</v>
      </c>
      <c r="D2486" s="41" t="s">
        <v>8369</v>
      </c>
      <c r="E2486" s="41">
        <v>116200</v>
      </c>
    </row>
    <row r="2487" spans="1:5" x14ac:dyDescent="0.25">
      <c r="A2487" s="41" t="s">
        <v>8157</v>
      </c>
      <c r="B2487" s="41" t="s">
        <v>7691</v>
      </c>
      <c r="C2487" s="41" t="s">
        <v>1353</v>
      </c>
      <c r="D2487" s="41" t="s">
        <v>8370</v>
      </c>
      <c r="E2487" s="41">
        <v>77600</v>
      </c>
    </row>
    <row r="2488" spans="1:5" x14ac:dyDescent="0.25">
      <c r="A2488" s="41" t="s">
        <v>8157</v>
      </c>
      <c r="B2488" s="41" t="s">
        <v>7691</v>
      </c>
      <c r="C2488" s="41" t="s">
        <v>1353</v>
      </c>
      <c r="D2488" s="41" t="s">
        <v>8371</v>
      </c>
      <c r="E2488" s="41">
        <v>40900</v>
      </c>
    </row>
    <row r="2489" spans="1:5" x14ac:dyDescent="0.25">
      <c r="A2489" s="41" t="s">
        <v>8157</v>
      </c>
      <c r="B2489" s="41" t="s">
        <v>7691</v>
      </c>
      <c r="C2489" s="41" t="s">
        <v>1353</v>
      </c>
      <c r="D2489" s="41" t="s">
        <v>8372</v>
      </c>
      <c r="E2489" s="41">
        <v>21500</v>
      </c>
    </row>
    <row r="2490" spans="1:5" x14ac:dyDescent="0.25">
      <c r="A2490" s="41" t="s">
        <v>8157</v>
      </c>
      <c r="B2490" s="41" t="s">
        <v>7691</v>
      </c>
      <c r="C2490" s="41" t="s">
        <v>1353</v>
      </c>
      <c r="D2490" s="41" t="s">
        <v>8373</v>
      </c>
      <c r="E2490" s="41">
        <v>18900</v>
      </c>
    </row>
    <row r="2491" spans="1:5" x14ac:dyDescent="0.25">
      <c r="A2491" s="41" t="s">
        <v>8157</v>
      </c>
      <c r="B2491" s="41" t="s">
        <v>7693</v>
      </c>
      <c r="C2491" s="41" t="s">
        <v>1353</v>
      </c>
      <c r="D2491" s="41" t="s">
        <v>8374</v>
      </c>
      <c r="E2491" s="41">
        <v>34400</v>
      </c>
    </row>
    <row r="2492" spans="1:5" x14ac:dyDescent="0.25">
      <c r="A2492" s="41" t="s">
        <v>8157</v>
      </c>
      <c r="B2492" s="41" t="s">
        <v>7693</v>
      </c>
      <c r="C2492" s="41" t="s">
        <v>1353</v>
      </c>
      <c r="D2492" s="41" t="s">
        <v>8257</v>
      </c>
      <c r="E2492" s="41">
        <v>26400</v>
      </c>
    </row>
    <row r="2493" spans="1:5" x14ac:dyDescent="0.25">
      <c r="A2493" s="41" t="s">
        <v>8157</v>
      </c>
      <c r="B2493" s="41" t="s">
        <v>7693</v>
      </c>
      <c r="C2493" s="41" t="s">
        <v>1353</v>
      </c>
      <c r="D2493" s="41" t="s">
        <v>8375</v>
      </c>
      <c r="E2493" s="41">
        <v>23900</v>
      </c>
    </row>
    <row r="2494" spans="1:5" x14ac:dyDescent="0.25">
      <c r="A2494" s="41" t="s">
        <v>8157</v>
      </c>
      <c r="B2494" s="41" t="s">
        <v>7693</v>
      </c>
      <c r="C2494" s="41" t="s">
        <v>1353</v>
      </c>
      <c r="D2494" s="41" t="s">
        <v>8376</v>
      </c>
      <c r="E2494" s="41">
        <v>22300</v>
      </c>
    </row>
    <row r="2495" spans="1:5" x14ac:dyDescent="0.25">
      <c r="A2495" s="41" t="s">
        <v>8157</v>
      </c>
      <c r="B2495" s="41" t="s">
        <v>7693</v>
      </c>
      <c r="C2495" s="41" t="s">
        <v>1353</v>
      </c>
      <c r="D2495" s="41" t="s">
        <v>8377</v>
      </c>
      <c r="E2495" s="41">
        <v>19500</v>
      </c>
    </row>
    <row r="2496" spans="1:5" x14ac:dyDescent="0.25">
      <c r="A2496" s="41" t="s">
        <v>8157</v>
      </c>
      <c r="B2496" s="41" t="s">
        <v>7693</v>
      </c>
      <c r="C2496" s="41" t="s">
        <v>1353</v>
      </c>
      <c r="D2496" s="41" t="s">
        <v>8378</v>
      </c>
      <c r="E2496" s="41">
        <v>18800</v>
      </c>
    </row>
    <row r="2497" spans="1:5" x14ac:dyDescent="0.25">
      <c r="A2497" s="41" t="s">
        <v>8157</v>
      </c>
      <c r="B2497" s="41" t="s">
        <v>7693</v>
      </c>
      <c r="C2497" s="41" t="s">
        <v>1353</v>
      </c>
      <c r="D2497" s="41" t="s">
        <v>8379</v>
      </c>
      <c r="E2497" s="41">
        <v>18100</v>
      </c>
    </row>
    <row r="2498" spans="1:5" x14ac:dyDescent="0.25">
      <c r="A2498" s="41" t="s">
        <v>8157</v>
      </c>
      <c r="B2498" s="41" t="s">
        <v>7693</v>
      </c>
      <c r="C2498" s="41" t="s">
        <v>1353</v>
      </c>
      <c r="D2498" s="41" t="s">
        <v>8380</v>
      </c>
      <c r="E2498" s="41">
        <v>17400</v>
      </c>
    </row>
    <row r="2499" spans="1:5" x14ac:dyDescent="0.25">
      <c r="A2499" s="41" t="s">
        <v>8157</v>
      </c>
      <c r="B2499" s="41" t="s">
        <v>7693</v>
      </c>
      <c r="C2499" s="41" t="s">
        <v>1353</v>
      </c>
      <c r="D2499" s="41" t="s">
        <v>8381</v>
      </c>
      <c r="E2499" s="41">
        <v>15700</v>
      </c>
    </row>
    <row r="2500" spans="1:5" x14ac:dyDescent="0.25">
      <c r="A2500" s="41" t="s">
        <v>8157</v>
      </c>
      <c r="B2500" s="41" t="s">
        <v>7695</v>
      </c>
      <c r="C2500" s="41" t="s">
        <v>1353</v>
      </c>
      <c r="D2500" s="41" t="s">
        <v>8244</v>
      </c>
      <c r="E2500" s="41">
        <v>27200</v>
      </c>
    </row>
    <row r="2501" spans="1:5" x14ac:dyDescent="0.25">
      <c r="A2501" s="41" t="s">
        <v>8157</v>
      </c>
      <c r="B2501" s="41" t="s">
        <v>7695</v>
      </c>
      <c r="C2501" s="41" t="s">
        <v>1353</v>
      </c>
      <c r="D2501" s="41" t="s">
        <v>8382</v>
      </c>
      <c r="E2501" s="41">
        <v>26200</v>
      </c>
    </row>
    <row r="2502" spans="1:5" x14ac:dyDescent="0.25">
      <c r="A2502" s="41" t="s">
        <v>8157</v>
      </c>
      <c r="B2502" s="41" t="s">
        <v>7695</v>
      </c>
      <c r="C2502" s="41" t="s">
        <v>1353</v>
      </c>
      <c r="D2502" s="41" t="s">
        <v>8383</v>
      </c>
      <c r="E2502" s="41">
        <v>25200</v>
      </c>
    </row>
    <row r="2503" spans="1:5" x14ac:dyDescent="0.25">
      <c r="A2503" s="41" t="s">
        <v>8157</v>
      </c>
      <c r="B2503" s="41" t="s">
        <v>7697</v>
      </c>
      <c r="C2503" s="41" t="s">
        <v>1353</v>
      </c>
      <c r="D2503" s="41" t="s">
        <v>8384</v>
      </c>
      <c r="E2503" s="41">
        <v>7800</v>
      </c>
    </row>
    <row r="2504" spans="1:5" x14ac:dyDescent="0.25">
      <c r="A2504" s="41" t="s">
        <v>8157</v>
      </c>
      <c r="B2504" s="41" t="s">
        <v>7697</v>
      </c>
      <c r="C2504" s="41" t="s">
        <v>1353</v>
      </c>
      <c r="D2504" s="41" t="s">
        <v>8385</v>
      </c>
      <c r="E2504" s="41">
        <v>10300</v>
      </c>
    </row>
    <row r="2505" spans="1:5" x14ac:dyDescent="0.25">
      <c r="A2505" s="41" t="s">
        <v>8157</v>
      </c>
      <c r="B2505" s="41" t="s">
        <v>7697</v>
      </c>
      <c r="C2505" s="41" t="s">
        <v>1353</v>
      </c>
      <c r="D2505" s="41" t="s">
        <v>8386</v>
      </c>
      <c r="E2505" s="41">
        <v>18400</v>
      </c>
    </row>
    <row r="2506" spans="1:5" x14ac:dyDescent="0.25">
      <c r="A2506" s="41" t="s">
        <v>8157</v>
      </c>
      <c r="B2506" s="41" t="s">
        <v>7697</v>
      </c>
      <c r="C2506" s="41" t="s">
        <v>1353</v>
      </c>
      <c r="D2506" s="41" t="s">
        <v>8387</v>
      </c>
      <c r="E2506" s="41">
        <v>14100</v>
      </c>
    </row>
    <row r="2507" spans="1:5" x14ac:dyDescent="0.25">
      <c r="A2507" s="41" t="s">
        <v>8157</v>
      </c>
      <c r="B2507" s="41" t="s">
        <v>7699</v>
      </c>
      <c r="C2507" s="41" t="s">
        <v>1353</v>
      </c>
      <c r="D2507" s="41" t="s">
        <v>8158</v>
      </c>
      <c r="E2507" s="41">
        <v>10300</v>
      </c>
    </row>
    <row r="2508" spans="1:5" x14ac:dyDescent="0.25">
      <c r="A2508" s="41" t="s">
        <v>8157</v>
      </c>
      <c r="B2508" s="41" t="s">
        <v>7701</v>
      </c>
      <c r="C2508" s="41" t="s">
        <v>1353</v>
      </c>
      <c r="D2508" s="41" t="s">
        <v>8233</v>
      </c>
      <c r="E2508" s="41">
        <v>10000</v>
      </c>
    </row>
    <row r="2509" spans="1:5" x14ac:dyDescent="0.25">
      <c r="A2509" s="41" t="s">
        <v>8157</v>
      </c>
      <c r="B2509" s="41" t="s">
        <v>7701</v>
      </c>
      <c r="C2509" s="41" t="s">
        <v>1353</v>
      </c>
      <c r="D2509" s="41" t="s">
        <v>8347</v>
      </c>
      <c r="E2509" s="41">
        <v>8200</v>
      </c>
    </row>
    <row r="2510" spans="1:5" x14ac:dyDescent="0.25">
      <c r="A2510" s="41" t="s">
        <v>8157</v>
      </c>
      <c r="B2510" s="41" t="s">
        <v>7703</v>
      </c>
      <c r="C2510" s="41" t="s">
        <v>1353</v>
      </c>
      <c r="D2510" s="41" t="s">
        <v>8163</v>
      </c>
      <c r="E2510" s="41">
        <v>35800</v>
      </c>
    </row>
    <row r="2511" spans="1:5" x14ac:dyDescent="0.25">
      <c r="A2511" s="41" t="s">
        <v>8157</v>
      </c>
      <c r="B2511" s="41" t="s">
        <v>7703</v>
      </c>
      <c r="C2511" s="41" t="s">
        <v>1353</v>
      </c>
      <c r="D2511" s="41" t="s">
        <v>8388</v>
      </c>
      <c r="E2511" s="41">
        <v>33300</v>
      </c>
    </row>
    <row r="2512" spans="1:5" x14ac:dyDescent="0.25">
      <c r="A2512" s="41" t="s">
        <v>8157</v>
      </c>
      <c r="B2512" s="41" t="s">
        <v>7703</v>
      </c>
      <c r="C2512" s="41" t="s">
        <v>1353</v>
      </c>
      <c r="D2512" s="41" t="s">
        <v>8389</v>
      </c>
      <c r="E2512" s="41">
        <v>31000</v>
      </c>
    </row>
    <row r="2513" spans="1:5" x14ac:dyDescent="0.25">
      <c r="A2513" s="41" t="s">
        <v>8157</v>
      </c>
      <c r="B2513" s="41" t="s">
        <v>7703</v>
      </c>
      <c r="C2513" s="41" t="s">
        <v>1353</v>
      </c>
      <c r="D2513" s="41" t="s">
        <v>8199</v>
      </c>
      <c r="E2513" s="41">
        <v>28900</v>
      </c>
    </row>
    <row r="2514" spans="1:5" x14ac:dyDescent="0.25">
      <c r="A2514" s="41" t="s">
        <v>8157</v>
      </c>
      <c r="B2514" s="41" t="s">
        <v>7705</v>
      </c>
      <c r="C2514" s="41" t="s">
        <v>1353</v>
      </c>
      <c r="D2514" s="41" t="s">
        <v>8360</v>
      </c>
      <c r="E2514" s="41">
        <v>31200</v>
      </c>
    </row>
    <row r="2515" spans="1:5" x14ac:dyDescent="0.25">
      <c r="A2515" s="41" t="s">
        <v>8157</v>
      </c>
      <c r="B2515" s="41" t="s">
        <v>7705</v>
      </c>
      <c r="C2515" s="41" t="s">
        <v>1353</v>
      </c>
      <c r="D2515" s="41" t="s">
        <v>8218</v>
      </c>
      <c r="E2515" s="41">
        <v>31300</v>
      </c>
    </row>
    <row r="2516" spans="1:5" x14ac:dyDescent="0.25">
      <c r="A2516" s="41" t="s">
        <v>8157</v>
      </c>
      <c r="B2516" s="41" t="s">
        <v>7705</v>
      </c>
      <c r="C2516" s="41" t="s">
        <v>1353</v>
      </c>
      <c r="D2516" s="41" t="s">
        <v>8260</v>
      </c>
      <c r="E2516" s="41">
        <v>44000</v>
      </c>
    </row>
    <row r="2517" spans="1:5" x14ac:dyDescent="0.25">
      <c r="A2517" s="41" t="s">
        <v>8157</v>
      </c>
      <c r="B2517" s="41" t="s">
        <v>7707</v>
      </c>
      <c r="C2517" s="41" t="s">
        <v>1353</v>
      </c>
      <c r="D2517" s="41" t="s">
        <v>8360</v>
      </c>
      <c r="E2517" s="41">
        <v>42400</v>
      </c>
    </row>
    <row r="2518" spans="1:5" x14ac:dyDescent="0.25">
      <c r="A2518" s="41" t="s">
        <v>8157</v>
      </c>
      <c r="B2518" s="41" t="s">
        <v>7707</v>
      </c>
      <c r="C2518" s="41" t="s">
        <v>1353</v>
      </c>
      <c r="D2518" s="41" t="s">
        <v>8390</v>
      </c>
      <c r="E2518" s="41">
        <v>41100</v>
      </c>
    </row>
    <row r="2519" spans="1:5" x14ac:dyDescent="0.25">
      <c r="A2519" s="41" t="s">
        <v>8157</v>
      </c>
      <c r="B2519" s="41" t="s">
        <v>7707</v>
      </c>
      <c r="C2519" s="41" t="s">
        <v>1353</v>
      </c>
      <c r="D2519" s="41" t="s">
        <v>8391</v>
      </c>
      <c r="E2519" s="41">
        <v>38000</v>
      </c>
    </row>
    <row r="2520" spans="1:5" x14ac:dyDescent="0.25">
      <c r="A2520" s="41" t="s">
        <v>8157</v>
      </c>
      <c r="B2520" s="41" t="s">
        <v>7707</v>
      </c>
      <c r="C2520" s="41" t="s">
        <v>1353</v>
      </c>
      <c r="D2520" s="41" t="s">
        <v>8392</v>
      </c>
      <c r="E2520" s="41">
        <v>37300</v>
      </c>
    </row>
    <row r="2521" spans="1:5" x14ac:dyDescent="0.25">
      <c r="A2521" s="41" t="s">
        <v>8157</v>
      </c>
      <c r="B2521" s="41" t="s">
        <v>7707</v>
      </c>
      <c r="C2521" s="41" t="s">
        <v>1353</v>
      </c>
      <c r="D2521" s="41" t="s">
        <v>8393</v>
      </c>
      <c r="E2521" s="41">
        <v>29600</v>
      </c>
    </row>
    <row r="2522" spans="1:5" x14ac:dyDescent="0.25">
      <c r="A2522" s="41" t="s">
        <v>8157</v>
      </c>
      <c r="B2522" s="41" t="s">
        <v>7707</v>
      </c>
      <c r="C2522" s="41" t="s">
        <v>1353</v>
      </c>
      <c r="D2522" s="41" t="s">
        <v>8205</v>
      </c>
      <c r="E2522" s="41">
        <v>27700</v>
      </c>
    </row>
    <row r="2523" spans="1:5" x14ac:dyDescent="0.25">
      <c r="A2523" s="41" t="s">
        <v>8157</v>
      </c>
      <c r="B2523" s="41" t="s">
        <v>7709</v>
      </c>
      <c r="C2523" s="41" t="s">
        <v>1353</v>
      </c>
      <c r="D2523" s="41" t="s">
        <v>8158</v>
      </c>
      <c r="E2523" s="41">
        <v>37500</v>
      </c>
    </row>
    <row r="2524" spans="1:5" x14ac:dyDescent="0.25">
      <c r="A2524" s="41" t="s">
        <v>8157</v>
      </c>
      <c r="B2524" s="41" t="s">
        <v>7711</v>
      </c>
      <c r="C2524" s="41" t="s">
        <v>1353</v>
      </c>
      <c r="D2524" s="41" t="s">
        <v>8394</v>
      </c>
      <c r="E2524" s="41">
        <v>26240</v>
      </c>
    </row>
    <row r="2525" spans="1:5" x14ac:dyDescent="0.25">
      <c r="A2525" s="41" t="s">
        <v>8157</v>
      </c>
      <c r="B2525" s="41" t="s">
        <v>7711</v>
      </c>
      <c r="C2525" s="41" t="s">
        <v>1353</v>
      </c>
      <c r="D2525" s="41" t="s">
        <v>8395</v>
      </c>
      <c r="E2525" s="41">
        <v>27920</v>
      </c>
    </row>
    <row r="2526" spans="1:5" x14ac:dyDescent="0.25">
      <c r="A2526" s="41" t="s">
        <v>8157</v>
      </c>
      <c r="B2526" s="41" t="s">
        <v>7711</v>
      </c>
      <c r="C2526" s="41" t="s">
        <v>1353</v>
      </c>
      <c r="D2526" s="41" t="s">
        <v>8396</v>
      </c>
      <c r="E2526" s="41">
        <v>28880</v>
      </c>
    </row>
    <row r="2527" spans="1:5" x14ac:dyDescent="0.25">
      <c r="A2527" s="41" t="s">
        <v>8157</v>
      </c>
      <c r="B2527" s="41" t="s">
        <v>7713</v>
      </c>
      <c r="C2527" s="41" t="s">
        <v>1353</v>
      </c>
      <c r="D2527" s="41" t="s">
        <v>8158</v>
      </c>
      <c r="E2527" s="41">
        <v>57700</v>
      </c>
    </row>
    <row r="2528" spans="1:5" x14ac:dyDescent="0.25">
      <c r="A2528" s="41" t="s">
        <v>8157</v>
      </c>
      <c r="B2528" s="41" t="s">
        <v>7715</v>
      </c>
      <c r="C2528" s="41" t="s">
        <v>1353</v>
      </c>
      <c r="D2528" s="41" t="s">
        <v>8158</v>
      </c>
      <c r="E2528" s="41">
        <v>52200</v>
      </c>
    </row>
    <row r="2529" spans="1:5" x14ac:dyDescent="0.25">
      <c r="A2529" s="41" t="s">
        <v>8157</v>
      </c>
      <c r="B2529" s="41" t="s">
        <v>7717</v>
      </c>
      <c r="C2529" s="41" t="s">
        <v>1353</v>
      </c>
      <c r="D2529" s="41" t="s">
        <v>8158</v>
      </c>
      <c r="E2529" s="41">
        <v>78200</v>
      </c>
    </row>
    <row r="2530" spans="1:5" x14ac:dyDescent="0.25">
      <c r="A2530" s="41" t="s">
        <v>8157</v>
      </c>
      <c r="B2530" s="41" t="s">
        <v>7719</v>
      </c>
      <c r="C2530" s="41" t="s">
        <v>1353</v>
      </c>
      <c r="D2530" s="41" t="s">
        <v>8158</v>
      </c>
      <c r="E2530" s="41">
        <v>47500</v>
      </c>
    </row>
    <row r="2531" spans="1:5" x14ac:dyDescent="0.25">
      <c r="A2531" s="41" t="s">
        <v>8157</v>
      </c>
      <c r="B2531" s="41" t="s">
        <v>7721</v>
      </c>
      <c r="C2531" s="41" t="s">
        <v>1353</v>
      </c>
      <c r="D2531" s="41" t="s">
        <v>8158</v>
      </c>
      <c r="E2531" s="41">
        <v>56100</v>
      </c>
    </row>
    <row r="2532" spans="1:5" x14ac:dyDescent="0.25">
      <c r="A2532" s="41" t="s">
        <v>8157</v>
      </c>
      <c r="B2532" s="41" t="s">
        <v>7723</v>
      </c>
      <c r="C2532" s="41" t="s">
        <v>1353</v>
      </c>
      <c r="D2532" s="41" t="s">
        <v>8158</v>
      </c>
      <c r="E2532" s="41">
        <v>26800</v>
      </c>
    </row>
    <row r="2533" spans="1:5" x14ac:dyDescent="0.25">
      <c r="A2533" s="41" t="s">
        <v>8157</v>
      </c>
      <c r="B2533" s="41" t="s">
        <v>7725</v>
      </c>
      <c r="C2533" s="41" t="s">
        <v>1353</v>
      </c>
      <c r="D2533" s="41" t="s">
        <v>8158</v>
      </c>
      <c r="E2533" s="41">
        <v>31200</v>
      </c>
    </row>
    <row r="2534" spans="1:5" x14ac:dyDescent="0.25">
      <c r="A2534" s="41" t="s">
        <v>8157</v>
      </c>
      <c r="B2534" s="41" t="s">
        <v>7727</v>
      </c>
      <c r="C2534" s="41" t="s">
        <v>1353</v>
      </c>
      <c r="D2534" s="41" t="s">
        <v>8177</v>
      </c>
      <c r="E2534" s="41">
        <v>15500</v>
      </c>
    </row>
    <row r="2535" spans="1:5" x14ac:dyDescent="0.25">
      <c r="A2535" s="41" t="s">
        <v>8157</v>
      </c>
      <c r="B2535" s="41" t="s">
        <v>7727</v>
      </c>
      <c r="C2535" s="41" t="s">
        <v>1353</v>
      </c>
      <c r="D2535" s="41" t="s">
        <v>8336</v>
      </c>
      <c r="E2535" s="41">
        <v>14400</v>
      </c>
    </row>
    <row r="2536" spans="1:5" x14ac:dyDescent="0.25">
      <c r="A2536" s="41" t="s">
        <v>8157</v>
      </c>
      <c r="B2536" s="41" t="s">
        <v>7727</v>
      </c>
      <c r="C2536" s="41" t="s">
        <v>1353</v>
      </c>
      <c r="D2536" s="41" t="s">
        <v>8397</v>
      </c>
      <c r="E2536" s="41">
        <v>13400</v>
      </c>
    </row>
    <row r="2537" spans="1:5" x14ac:dyDescent="0.25">
      <c r="A2537" s="41" t="s">
        <v>8157</v>
      </c>
      <c r="B2537" s="41" t="s">
        <v>7727</v>
      </c>
      <c r="C2537" s="41" t="s">
        <v>1353</v>
      </c>
      <c r="D2537" s="41" t="s">
        <v>8398</v>
      </c>
      <c r="E2537" s="41">
        <v>12500</v>
      </c>
    </row>
    <row r="2538" spans="1:5" x14ac:dyDescent="0.25">
      <c r="A2538" s="41" t="s">
        <v>8157</v>
      </c>
      <c r="B2538" s="41" t="s">
        <v>7731</v>
      </c>
      <c r="C2538" s="41" t="s">
        <v>1353</v>
      </c>
      <c r="D2538" s="41" t="s">
        <v>8158</v>
      </c>
      <c r="E2538" s="41">
        <v>24100</v>
      </c>
    </row>
    <row r="2539" spans="1:5" x14ac:dyDescent="0.25">
      <c r="A2539" s="41" t="s">
        <v>8157</v>
      </c>
      <c r="B2539" s="41" t="s">
        <v>7733</v>
      </c>
      <c r="C2539" s="41" t="s">
        <v>1353</v>
      </c>
      <c r="D2539" s="41" t="s">
        <v>8158</v>
      </c>
      <c r="E2539" s="41">
        <v>23500</v>
      </c>
    </row>
    <row r="2540" spans="1:5" x14ac:dyDescent="0.25">
      <c r="A2540" s="41" t="s">
        <v>8157</v>
      </c>
      <c r="B2540" s="41" t="s">
        <v>7729</v>
      </c>
      <c r="C2540" s="41" t="s">
        <v>1353</v>
      </c>
      <c r="D2540" s="41" t="s">
        <v>8399</v>
      </c>
      <c r="E2540" s="41">
        <v>15960</v>
      </c>
    </row>
    <row r="2541" spans="1:5" x14ac:dyDescent="0.25">
      <c r="A2541" s="41" t="s">
        <v>8157</v>
      </c>
      <c r="B2541" s="41" t="s">
        <v>7729</v>
      </c>
      <c r="C2541" s="41" t="s">
        <v>1353</v>
      </c>
      <c r="D2541" s="41" t="s">
        <v>8400</v>
      </c>
      <c r="E2541" s="41">
        <v>18000</v>
      </c>
    </row>
    <row r="2542" spans="1:5" x14ac:dyDescent="0.25">
      <c r="A2542" s="41" t="s">
        <v>8157</v>
      </c>
      <c r="B2542" s="41" t="s">
        <v>7729</v>
      </c>
      <c r="C2542" s="41" t="s">
        <v>1353</v>
      </c>
      <c r="D2542" s="41" t="s">
        <v>8401</v>
      </c>
      <c r="E2542" s="41">
        <v>16200</v>
      </c>
    </row>
    <row r="2543" spans="1:5" x14ac:dyDescent="0.25">
      <c r="A2543" s="41" t="s">
        <v>8157</v>
      </c>
      <c r="B2543" s="41" t="s">
        <v>7729</v>
      </c>
      <c r="C2543" s="41" t="s">
        <v>1353</v>
      </c>
      <c r="D2543" s="41" t="s">
        <v>8402</v>
      </c>
      <c r="E2543" s="41">
        <v>15360</v>
      </c>
    </row>
    <row r="2544" spans="1:5" x14ac:dyDescent="0.25">
      <c r="A2544" s="41" t="s">
        <v>8157</v>
      </c>
      <c r="B2544" s="41" t="s">
        <v>7729</v>
      </c>
      <c r="C2544" s="41" t="s">
        <v>1353</v>
      </c>
      <c r="D2544" s="41" t="s">
        <v>8403</v>
      </c>
      <c r="E2544" s="41">
        <v>14640</v>
      </c>
    </row>
    <row r="2545" spans="1:5" x14ac:dyDescent="0.25">
      <c r="A2545" s="41" t="s">
        <v>8157</v>
      </c>
      <c r="B2545" s="41" t="s">
        <v>7447</v>
      </c>
      <c r="C2545" s="41" t="s">
        <v>1353</v>
      </c>
      <c r="D2545" s="41" t="s">
        <v>8404</v>
      </c>
      <c r="E2545" s="41">
        <v>23200</v>
      </c>
    </row>
    <row r="2546" spans="1:5" x14ac:dyDescent="0.25">
      <c r="A2546" s="41" t="s">
        <v>8157</v>
      </c>
      <c r="B2546" s="41" t="s">
        <v>7447</v>
      </c>
      <c r="C2546" s="41" t="s">
        <v>1353</v>
      </c>
      <c r="D2546" s="41" t="s">
        <v>8405</v>
      </c>
      <c r="E2546" s="41">
        <v>21600</v>
      </c>
    </row>
    <row r="2547" spans="1:5" x14ac:dyDescent="0.25">
      <c r="A2547" s="41" t="s">
        <v>8157</v>
      </c>
      <c r="B2547" s="41" t="s">
        <v>7447</v>
      </c>
      <c r="C2547" s="41" t="s">
        <v>1353</v>
      </c>
      <c r="D2547" s="41" t="s">
        <v>8406</v>
      </c>
      <c r="E2547" s="41">
        <v>20100</v>
      </c>
    </row>
    <row r="2548" spans="1:5" x14ac:dyDescent="0.25">
      <c r="A2548" s="41" t="s">
        <v>8157</v>
      </c>
      <c r="B2548" s="41" t="s">
        <v>7447</v>
      </c>
      <c r="C2548" s="41" t="s">
        <v>1353</v>
      </c>
      <c r="D2548" s="41" t="s">
        <v>8407</v>
      </c>
      <c r="E2548" s="41">
        <v>18600</v>
      </c>
    </row>
    <row r="2549" spans="1:5" x14ac:dyDescent="0.25">
      <c r="A2549" s="41" t="s">
        <v>8157</v>
      </c>
      <c r="B2549" s="41" t="s">
        <v>7447</v>
      </c>
      <c r="C2549" s="41" t="s">
        <v>1353</v>
      </c>
      <c r="D2549" s="41" t="s">
        <v>8408</v>
      </c>
      <c r="E2549" s="41">
        <v>17300</v>
      </c>
    </row>
    <row r="2550" spans="1:5" x14ac:dyDescent="0.25">
      <c r="A2550" s="41" t="s">
        <v>8157</v>
      </c>
      <c r="B2550" s="41" t="s">
        <v>7736</v>
      </c>
      <c r="C2550" s="41" t="s">
        <v>1353</v>
      </c>
      <c r="D2550" s="41" t="s">
        <v>8360</v>
      </c>
      <c r="E2550" s="41">
        <v>18100</v>
      </c>
    </row>
    <row r="2551" spans="1:5" x14ac:dyDescent="0.25">
      <c r="A2551" s="41" t="s">
        <v>8157</v>
      </c>
      <c r="B2551" s="41" t="s">
        <v>7736</v>
      </c>
      <c r="C2551" s="41" t="s">
        <v>1353</v>
      </c>
      <c r="D2551" s="41" t="s">
        <v>8162</v>
      </c>
      <c r="E2551" s="41">
        <v>18900</v>
      </c>
    </row>
    <row r="2552" spans="1:5" x14ac:dyDescent="0.25">
      <c r="A2552" s="41" t="s">
        <v>8157</v>
      </c>
      <c r="B2552" s="41" t="s">
        <v>7738</v>
      </c>
      <c r="C2552" s="41" t="s">
        <v>1353</v>
      </c>
      <c r="D2552" s="41" t="s">
        <v>8172</v>
      </c>
      <c r="E2552" s="41">
        <v>21800</v>
      </c>
    </row>
    <row r="2553" spans="1:5" x14ac:dyDescent="0.25">
      <c r="A2553" s="41" t="s">
        <v>8157</v>
      </c>
      <c r="B2553" s="41" t="s">
        <v>7738</v>
      </c>
      <c r="C2553" s="41" t="s">
        <v>1353</v>
      </c>
      <c r="D2553" s="41" t="s">
        <v>8173</v>
      </c>
      <c r="E2553" s="41">
        <v>20300</v>
      </c>
    </row>
    <row r="2554" spans="1:5" x14ac:dyDescent="0.25">
      <c r="A2554" s="41" t="s">
        <v>8157</v>
      </c>
      <c r="B2554" s="41" t="s">
        <v>7738</v>
      </c>
      <c r="C2554" s="41" t="s">
        <v>1353</v>
      </c>
      <c r="D2554" s="41" t="s">
        <v>8409</v>
      </c>
      <c r="E2554" s="41">
        <v>18800</v>
      </c>
    </row>
    <row r="2555" spans="1:5" x14ac:dyDescent="0.25">
      <c r="A2555" s="41" t="s">
        <v>8157</v>
      </c>
      <c r="B2555" s="41" t="s">
        <v>7738</v>
      </c>
      <c r="C2555" s="41" t="s">
        <v>1353</v>
      </c>
      <c r="D2555" s="41" t="s">
        <v>8410</v>
      </c>
      <c r="E2555" s="41">
        <v>17500</v>
      </c>
    </row>
    <row r="2556" spans="1:5" x14ac:dyDescent="0.25">
      <c r="A2556" s="41" t="s">
        <v>8157</v>
      </c>
      <c r="B2556" s="41" t="s">
        <v>7738</v>
      </c>
      <c r="C2556" s="41" t="s">
        <v>1353</v>
      </c>
      <c r="D2556" s="41" t="s">
        <v>8411</v>
      </c>
      <c r="E2556" s="41">
        <v>16300</v>
      </c>
    </row>
    <row r="2557" spans="1:5" x14ac:dyDescent="0.25">
      <c r="A2557" s="41" t="s">
        <v>8157</v>
      </c>
      <c r="B2557" s="41" t="s">
        <v>7738</v>
      </c>
      <c r="C2557" s="41" t="s">
        <v>1353</v>
      </c>
      <c r="D2557" s="41" t="s">
        <v>8260</v>
      </c>
      <c r="E2557" s="41">
        <v>14700</v>
      </c>
    </row>
    <row r="2558" spans="1:5" x14ac:dyDescent="0.25">
      <c r="A2558" s="41" t="s">
        <v>8157</v>
      </c>
      <c r="B2558" s="41" t="s">
        <v>7740</v>
      </c>
      <c r="C2558" s="41" t="s">
        <v>1353</v>
      </c>
      <c r="D2558" s="41" t="s">
        <v>8158</v>
      </c>
      <c r="E2558" s="41">
        <v>20000</v>
      </c>
    </row>
    <row r="2559" spans="1:5" x14ac:dyDescent="0.25">
      <c r="A2559" s="41" t="s">
        <v>8157</v>
      </c>
      <c r="B2559" s="41" t="s">
        <v>7742</v>
      </c>
      <c r="C2559" s="41" t="s">
        <v>1353</v>
      </c>
      <c r="D2559" s="41" t="s">
        <v>8158</v>
      </c>
      <c r="E2559" s="41">
        <v>29700</v>
      </c>
    </row>
    <row r="2560" spans="1:5" x14ac:dyDescent="0.25">
      <c r="A2560" s="41" t="s">
        <v>8157</v>
      </c>
      <c r="B2560" s="41" t="s">
        <v>7744</v>
      </c>
      <c r="C2560" s="41" t="s">
        <v>1353</v>
      </c>
      <c r="D2560" s="41" t="s">
        <v>8177</v>
      </c>
      <c r="E2560" s="41">
        <v>19500</v>
      </c>
    </row>
    <row r="2561" spans="1:5" x14ac:dyDescent="0.25">
      <c r="A2561" s="41" t="s">
        <v>8157</v>
      </c>
      <c r="B2561" s="41" t="s">
        <v>7744</v>
      </c>
      <c r="C2561" s="41" t="s">
        <v>1353</v>
      </c>
      <c r="D2561" s="41" t="s">
        <v>8178</v>
      </c>
      <c r="E2561" s="41">
        <v>18500</v>
      </c>
    </row>
    <row r="2562" spans="1:5" x14ac:dyDescent="0.25">
      <c r="A2562" s="41" t="s">
        <v>8157</v>
      </c>
      <c r="B2562" s="41" t="s">
        <v>7746</v>
      </c>
      <c r="C2562" s="41" t="s">
        <v>1353</v>
      </c>
      <c r="D2562" s="41" t="s">
        <v>8414</v>
      </c>
      <c r="E2562" s="41">
        <v>25500</v>
      </c>
    </row>
    <row r="2563" spans="1:5" x14ac:dyDescent="0.25">
      <c r="A2563" s="41" t="s">
        <v>8157</v>
      </c>
      <c r="B2563" s="41" t="s">
        <v>7746</v>
      </c>
      <c r="C2563" s="41" t="s">
        <v>1353</v>
      </c>
      <c r="D2563" s="41" t="s">
        <v>8403</v>
      </c>
      <c r="E2563" s="41">
        <v>23000</v>
      </c>
    </row>
    <row r="2564" spans="1:5" x14ac:dyDescent="0.25">
      <c r="A2564" s="41" t="s">
        <v>8157</v>
      </c>
      <c r="B2564" s="41" t="s">
        <v>7748</v>
      </c>
      <c r="C2564" s="41" t="s">
        <v>1353</v>
      </c>
      <c r="D2564" s="41" t="s">
        <v>8261</v>
      </c>
      <c r="E2564" s="41">
        <v>21800</v>
      </c>
    </row>
    <row r="2565" spans="1:5" x14ac:dyDescent="0.25">
      <c r="A2565" s="41" t="s">
        <v>8157</v>
      </c>
      <c r="B2565" s="41" t="s">
        <v>7748</v>
      </c>
      <c r="C2565" s="41" t="s">
        <v>1353</v>
      </c>
      <c r="D2565" s="41" t="s">
        <v>8181</v>
      </c>
      <c r="E2565" s="41">
        <v>20300</v>
      </c>
    </row>
    <row r="2566" spans="1:5" x14ac:dyDescent="0.25">
      <c r="A2566" s="41" t="s">
        <v>8157</v>
      </c>
      <c r="B2566" s="41" t="s">
        <v>7748</v>
      </c>
      <c r="C2566" s="41" t="s">
        <v>1353</v>
      </c>
      <c r="D2566" s="41" t="s">
        <v>8208</v>
      </c>
      <c r="E2566" s="41">
        <v>18800</v>
      </c>
    </row>
    <row r="2567" spans="1:5" x14ac:dyDescent="0.25">
      <c r="A2567" s="41" t="s">
        <v>8157</v>
      </c>
      <c r="B2567" s="41" t="s">
        <v>7748</v>
      </c>
      <c r="C2567" s="41" t="s">
        <v>1353</v>
      </c>
      <c r="D2567" s="41" t="s">
        <v>8415</v>
      </c>
      <c r="E2567" s="41">
        <v>17500</v>
      </c>
    </row>
    <row r="2568" spans="1:5" x14ac:dyDescent="0.25">
      <c r="A2568" s="41" t="s">
        <v>8157</v>
      </c>
      <c r="B2568" s="41" t="s">
        <v>7748</v>
      </c>
      <c r="C2568" s="41" t="s">
        <v>1353</v>
      </c>
      <c r="D2568" s="41" t="s">
        <v>8416</v>
      </c>
      <c r="E2568" s="41">
        <v>16300</v>
      </c>
    </row>
    <row r="2569" spans="1:5" x14ac:dyDescent="0.25">
      <c r="A2569" s="41" t="s">
        <v>8157</v>
      </c>
      <c r="B2569" s="41" t="s">
        <v>7748</v>
      </c>
      <c r="C2569" s="41" t="s">
        <v>1353</v>
      </c>
      <c r="D2569" s="41" t="s">
        <v>8417</v>
      </c>
      <c r="E2569" s="41">
        <v>15200</v>
      </c>
    </row>
    <row r="2570" spans="1:5" x14ac:dyDescent="0.25">
      <c r="A2570" s="41" t="s">
        <v>8157</v>
      </c>
      <c r="B2570" s="41" t="s">
        <v>7748</v>
      </c>
      <c r="C2570" s="41" t="s">
        <v>1353</v>
      </c>
      <c r="D2570" s="41" t="s">
        <v>8418</v>
      </c>
      <c r="E2570" s="41">
        <v>14100</v>
      </c>
    </row>
    <row r="2571" spans="1:5" x14ac:dyDescent="0.25">
      <c r="A2571" s="41" t="s">
        <v>8157</v>
      </c>
      <c r="B2571" s="41" t="s">
        <v>7750</v>
      </c>
      <c r="C2571" s="41" t="s">
        <v>1353</v>
      </c>
      <c r="D2571" s="41" t="s">
        <v>8177</v>
      </c>
      <c r="E2571" s="41">
        <v>21300</v>
      </c>
    </row>
    <row r="2572" spans="1:5" x14ac:dyDescent="0.25">
      <c r="A2572" s="41" t="s">
        <v>8157</v>
      </c>
      <c r="B2572" s="41" t="s">
        <v>7750</v>
      </c>
      <c r="C2572" s="41" t="s">
        <v>1353</v>
      </c>
      <c r="D2572" s="41" t="s">
        <v>8178</v>
      </c>
      <c r="E2572" s="41">
        <v>19500</v>
      </c>
    </row>
    <row r="2573" spans="1:5" x14ac:dyDescent="0.25">
      <c r="A2573" s="41" t="s">
        <v>8157</v>
      </c>
      <c r="B2573" s="41" t="s">
        <v>7750</v>
      </c>
      <c r="C2573" s="41" t="s">
        <v>1353</v>
      </c>
      <c r="D2573" s="41" t="s">
        <v>8419</v>
      </c>
      <c r="E2573" s="41">
        <v>18900</v>
      </c>
    </row>
    <row r="2574" spans="1:5" x14ac:dyDescent="0.25">
      <c r="A2574" s="41" t="s">
        <v>8157</v>
      </c>
      <c r="B2574" s="41" t="s">
        <v>7750</v>
      </c>
      <c r="C2574" s="41" t="s">
        <v>1353</v>
      </c>
      <c r="D2574" s="41" t="s">
        <v>8420</v>
      </c>
      <c r="E2574" s="41">
        <v>18400</v>
      </c>
    </row>
    <row r="2575" spans="1:5" x14ac:dyDescent="0.25">
      <c r="A2575" s="41" t="s">
        <v>8157</v>
      </c>
      <c r="B2575" s="41" t="s">
        <v>7750</v>
      </c>
      <c r="C2575" s="41" t="s">
        <v>1353</v>
      </c>
      <c r="D2575" s="41" t="s">
        <v>8199</v>
      </c>
      <c r="E2575" s="41">
        <v>17500</v>
      </c>
    </row>
    <row r="2576" spans="1:5" x14ac:dyDescent="0.25">
      <c r="A2576" s="41" t="s">
        <v>8157</v>
      </c>
      <c r="B2576" s="41" t="s">
        <v>7752</v>
      </c>
      <c r="C2576" s="41" t="s">
        <v>1353</v>
      </c>
      <c r="D2576" s="41" t="s">
        <v>8300</v>
      </c>
      <c r="E2576" s="41">
        <v>21300</v>
      </c>
    </row>
    <row r="2577" spans="1:5" x14ac:dyDescent="0.25">
      <c r="A2577" s="41" t="s">
        <v>8157</v>
      </c>
      <c r="B2577" s="41" t="s">
        <v>7752</v>
      </c>
      <c r="C2577" s="41" t="s">
        <v>1353</v>
      </c>
      <c r="D2577" s="41" t="s">
        <v>8421</v>
      </c>
      <c r="E2577" s="41">
        <v>20900</v>
      </c>
    </row>
    <row r="2578" spans="1:5" x14ac:dyDescent="0.25">
      <c r="A2578" s="41" t="s">
        <v>8157</v>
      </c>
      <c r="B2578" s="41" t="s">
        <v>7752</v>
      </c>
      <c r="C2578" s="41" t="s">
        <v>1353</v>
      </c>
      <c r="D2578" s="41" t="s">
        <v>8422</v>
      </c>
      <c r="E2578" s="41">
        <v>20400</v>
      </c>
    </row>
    <row r="2579" spans="1:5" x14ac:dyDescent="0.25">
      <c r="A2579" s="41" t="s">
        <v>8157</v>
      </c>
      <c r="B2579" s="41" t="s">
        <v>7752</v>
      </c>
      <c r="C2579" s="41" t="s">
        <v>1353</v>
      </c>
      <c r="D2579" s="41" t="s">
        <v>8248</v>
      </c>
      <c r="E2579" s="41">
        <v>19500</v>
      </c>
    </row>
    <row r="2580" spans="1:5" x14ac:dyDescent="0.25">
      <c r="A2580" s="41" t="s">
        <v>8157</v>
      </c>
      <c r="B2580" s="41" t="s">
        <v>7752</v>
      </c>
      <c r="C2580" s="41" t="s">
        <v>1353</v>
      </c>
      <c r="D2580" s="41" t="s">
        <v>8288</v>
      </c>
      <c r="E2580" s="41">
        <v>18400</v>
      </c>
    </row>
    <row r="2581" spans="1:5" x14ac:dyDescent="0.25">
      <c r="A2581" s="41" t="s">
        <v>8157</v>
      </c>
      <c r="B2581" s="41" t="s">
        <v>7752</v>
      </c>
      <c r="C2581" s="41" t="s">
        <v>1353</v>
      </c>
      <c r="D2581" s="41" t="s">
        <v>8234</v>
      </c>
      <c r="E2581" s="41">
        <v>18000</v>
      </c>
    </row>
    <row r="2582" spans="1:5" x14ac:dyDescent="0.25">
      <c r="A2582" s="41" t="s">
        <v>8157</v>
      </c>
      <c r="B2582" s="41" t="s">
        <v>7752</v>
      </c>
      <c r="C2582" s="41" t="s">
        <v>1353</v>
      </c>
      <c r="D2582" s="41" t="s">
        <v>8331</v>
      </c>
      <c r="E2582" s="41">
        <v>17500</v>
      </c>
    </row>
    <row r="2583" spans="1:5" x14ac:dyDescent="0.25">
      <c r="A2583" s="41" t="s">
        <v>8157</v>
      </c>
      <c r="B2583" s="41" t="s">
        <v>7754</v>
      </c>
      <c r="C2583" s="41" t="s">
        <v>1353</v>
      </c>
      <c r="D2583" s="41" t="s">
        <v>8242</v>
      </c>
      <c r="E2583" s="41">
        <v>41300</v>
      </c>
    </row>
    <row r="2584" spans="1:5" x14ac:dyDescent="0.25">
      <c r="A2584" s="41" t="s">
        <v>8157</v>
      </c>
      <c r="B2584" s="41" t="s">
        <v>7754</v>
      </c>
      <c r="C2584" s="41" t="s">
        <v>1353</v>
      </c>
      <c r="D2584" s="41" t="s">
        <v>8423</v>
      </c>
      <c r="E2584" s="41">
        <v>37520</v>
      </c>
    </row>
    <row r="2585" spans="1:5" x14ac:dyDescent="0.25">
      <c r="A2585" s="41" t="s">
        <v>8157</v>
      </c>
      <c r="B2585" s="41" t="s">
        <v>7754</v>
      </c>
      <c r="C2585" s="41" t="s">
        <v>1353</v>
      </c>
      <c r="D2585" s="41" t="s">
        <v>8424</v>
      </c>
      <c r="E2585" s="41">
        <v>34945</v>
      </c>
    </row>
    <row r="2586" spans="1:5" x14ac:dyDescent="0.25">
      <c r="A2586" s="41" t="s">
        <v>8157</v>
      </c>
      <c r="B2586" s="41" t="s">
        <v>7756</v>
      </c>
      <c r="C2586" s="41" t="s">
        <v>1353</v>
      </c>
      <c r="D2586" s="41" t="s">
        <v>8374</v>
      </c>
      <c r="E2586" s="41">
        <v>47600</v>
      </c>
    </row>
    <row r="2587" spans="1:5" x14ac:dyDescent="0.25">
      <c r="A2587" s="41" t="s">
        <v>8157</v>
      </c>
      <c r="B2587" s="41" t="s">
        <v>7756</v>
      </c>
      <c r="C2587" s="41" t="s">
        <v>1353</v>
      </c>
      <c r="D2587" s="41" t="s">
        <v>8425</v>
      </c>
      <c r="E2587" s="41">
        <v>46200</v>
      </c>
    </row>
    <row r="2588" spans="1:5" x14ac:dyDescent="0.25">
      <c r="A2588" s="41" t="s">
        <v>8157</v>
      </c>
      <c r="B2588" s="41" t="s">
        <v>7756</v>
      </c>
      <c r="C2588" s="41" t="s">
        <v>1353</v>
      </c>
      <c r="D2588" s="41" t="s">
        <v>8203</v>
      </c>
      <c r="E2588" s="41">
        <v>44800</v>
      </c>
    </row>
    <row r="2589" spans="1:5" x14ac:dyDescent="0.25">
      <c r="A2589" s="41" t="s">
        <v>8157</v>
      </c>
      <c r="B2589" s="41" t="s">
        <v>7756</v>
      </c>
      <c r="C2589" s="41" t="s">
        <v>1353</v>
      </c>
      <c r="D2589" s="41" t="s">
        <v>8229</v>
      </c>
      <c r="E2589" s="41">
        <v>43500</v>
      </c>
    </row>
    <row r="2590" spans="1:5" x14ac:dyDescent="0.25">
      <c r="A2590" s="41" t="s">
        <v>8157</v>
      </c>
      <c r="B2590" s="41" t="s">
        <v>7762</v>
      </c>
      <c r="C2590" s="41" t="s">
        <v>1353</v>
      </c>
      <c r="D2590" s="41" t="s">
        <v>8228</v>
      </c>
      <c r="E2590" s="41">
        <v>49700</v>
      </c>
    </row>
    <row r="2591" spans="1:5" x14ac:dyDescent="0.25">
      <c r="A2591" s="41" t="s">
        <v>8157</v>
      </c>
      <c r="B2591" s="41" t="s">
        <v>7762</v>
      </c>
      <c r="C2591" s="41" t="s">
        <v>1353</v>
      </c>
      <c r="D2591" s="41" t="s">
        <v>8426</v>
      </c>
      <c r="E2591" s="41">
        <v>41580</v>
      </c>
    </row>
    <row r="2592" spans="1:5" x14ac:dyDescent="0.25">
      <c r="A2592" s="41" t="s">
        <v>8157</v>
      </c>
      <c r="B2592" s="41" t="s">
        <v>7762</v>
      </c>
      <c r="C2592" s="41" t="s">
        <v>1353</v>
      </c>
      <c r="D2592" s="41" t="s">
        <v>8392</v>
      </c>
      <c r="E2592" s="41">
        <v>42140</v>
      </c>
    </row>
    <row r="2593" spans="1:5" x14ac:dyDescent="0.25">
      <c r="A2593" s="41" t="s">
        <v>8157</v>
      </c>
      <c r="B2593" s="41" t="s">
        <v>7762</v>
      </c>
      <c r="C2593" s="41" t="s">
        <v>1353</v>
      </c>
      <c r="D2593" s="41" t="s">
        <v>8393</v>
      </c>
      <c r="E2593" s="41">
        <v>32480</v>
      </c>
    </row>
    <row r="2594" spans="1:5" x14ac:dyDescent="0.25">
      <c r="A2594" s="41" t="s">
        <v>8157</v>
      </c>
      <c r="B2594" s="41" t="s">
        <v>7762</v>
      </c>
      <c r="C2594" s="41" t="s">
        <v>1353</v>
      </c>
      <c r="D2594" s="41" t="s">
        <v>8205</v>
      </c>
      <c r="E2594" s="41">
        <v>37380</v>
      </c>
    </row>
    <row r="2595" spans="1:5" x14ac:dyDescent="0.25">
      <c r="A2595" s="41" t="s">
        <v>8157</v>
      </c>
      <c r="B2595" s="41" t="s">
        <v>7764</v>
      </c>
      <c r="C2595" s="41" t="s">
        <v>1353</v>
      </c>
      <c r="D2595" s="41" t="s">
        <v>8287</v>
      </c>
      <c r="E2595" s="41">
        <v>22300</v>
      </c>
    </row>
    <row r="2596" spans="1:5" x14ac:dyDescent="0.25">
      <c r="A2596" s="41" t="s">
        <v>8157</v>
      </c>
      <c r="B2596" s="41" t="s">
        <v>7764</v>
      </c>
      <c r="C2596" s="41" t="s">
        <v>1353</v>
      </c>
      <c r="D2596" s="41" t="s">
        <v>8329</v>
      </c>
      <c r="E2596" s="41">
        <v>21300</v>
      </c>
    </row>
    <row r="2597" spans="1:5" x14ac:dyDescent="0.25">
      <c r="A2597" s="41" t="s">
        <v>8157</v>
      </c>
      <c r="B2597" s="41" t="s">
        <v>7764</v>
      </c>
      <c r="C2597" s="41" t="s">
        <v>1353</v>
      </c>
      <c r="D2597" s="41" t="s">
        <v>8328</v>
      </c>
      <c r="E2597" s="41">
        <v>20300</v>
      </c>
    </row>
    <row r="2598" spans="1:5" x14ac:dyDescent="0.25">
      <c r="A2598" s="41" t="s">
        <v>8157</v>
      </c>
      <c r="B2598" s="41" t="s">
        <v>7766</v>
      </c>
      <c r="C2598" s="41" t="s">
        <v>1353</v>
      </c>
      <c r="D2598" s="41" t="s">
        <v>8172</v>
      </c>
      <c r="E2598" s="41">
        <v>20700</v>
      </c>
    </row>
    <row r="2599" spans="1:5" x14ac:dyDescent="0.25">
      <c r="A2599" s="41" t="s">
        <v>8157</v>
      </c>
      <c r="B2599" s="41" t="s">
        <v>7766</v>
      </c>
      <c r="C2599" s="41" t="s">
        <v>1353</v>
      </c>
      <c r="D2599" s="41" t="s">
        <v>8427</v>
      </c>
      <c r="E2599" s="41">
        <v>17900</v>
      </c>
    </row>
    <row r="2600" spans="1:5" x14ac:dyDescent="0.25">
      <c r="A2600" s="41" t="s">
        <v>8157</v>
      </c>
      <c r="B2600" s="41" t="s">
        <v>7766</v>
      </c>
      <c r="C2600" s="41" t="s">
        <v>1353</v>
      </c>
      <c r="D2600" s="41" t="s">
        <v>8428</v>
      </c>
      <c r="E2600" s="41">
        <v>30600</v>
      </c>
    </row>
    <row r="2601" spans="1:5" x14ac:dyDescent="0.25">
      <c r="A2601" s="41" t="s">
        <v>8157</v>
      </c>
      <c r="B2601" s="41" t="s">
        <v>7766</v>
      </c>
      <c r="C2601" s="41" t="s">
        <v>1353</v>
      </c>
      <c r="D2601" s="41" t="s">
        <v>8243</v>
      </c>
      <c r="E2601" s="41">
        <v>29700</v>
      </c>
    </row>
    <row r="2602" spans="1:5" x14ac:dyDescent="0.25">
      <c r="A2602" s="41" t="s">
        <v>8157</v>
      </c>
      <c r="B2602" s="41" t="s">
        <v>7768</v>
      </c>
      <c r="C2602" s="41" t="s">
        <v>1353</v>
      </c>
      <c r="D2602" s="41" t="s">
        <v>8233</v>
      </c>
      <c r="E2602" s="41">
        <v>35600</v>
      </c>
    </row>
    <row r="2603" spans="1:5" x14ac:dyDescent="0.25">
      <c r="A2603" s="41" t="s">
        <v>8157</v>
      </c>
      <c r="B2603" s="41" t="s">
        <v>7768</v>
      </c>
      <c r="C2603" s="41" t="s">
        <v>1353</v>
      </c>
      <c r="D2603" s="41" t="s">
        <v>8234</v>
      </c>
      <c r="E2603" s="41">
        <v>33900</v>
      </c>
    </row>
    <row r="2604" spans="1:5" x14ac:dyDescent="0.25">
      <c r="A2604" s="41" t="s">
        <v>8157</v>
      </c>
      <c r="B2604" s="41" t="s">
        <v>7768</v>
      </c>
      <c r="C2604" s="41" t="s">
        <v>1353</v>
      </c>
      <c r="D2604" s="41" t="s">
        <v>8429</v>
      </c>
      <c r="E2604" s="41">
        <v>32300</v>
      </c>
    </row>
    <row r="2605" spans="1:5" x14ac:dyDescent="0.25">
      <c r="A2605" s="41" t="s">
        <v>8157</v>
      </c>
      <c r="B2605" s="41" t="s">
        <v>7768</v>
      </c>
      <c r="C2605" s="41" t="s">
        <v>1353</v>
      </c>
      <c r="D2605" s="41" t="s">
        <v>8245</v>
      </c>
      <c r="E2605" s="41">
        <v>30800</v>
      </c>
    </row>
    <row r="2606" spans="1:5" x14ac:dyDescent="0.25">
      <c r="A2606" s="41" t="s">
        <v>8157</v>
      </c>
      <c r="B2606" s="41" t="s">
        <v>7770</v>
      </c>
      <c r="C2606" s="41" t="s">
        <v>1353</v>
      </c>
      <c r="D2606" s="41" t="s">
        <v>8332</v>
      </c>
      <c r="E2606" s="41">
        <v>22200</v>
      </c>
    </row>
    <row r="2607" spans="1:5" x14ac:dyDescent="0.25">
      <c r="A2607" s="41" t="s">
        <v>8157</v>
      </c>
      <c r="B2607" s="41" t="s">
        <v>7770</v>
      </c>
      <c r="C2607" s="41" t="s">
        <v>1353</v>
      </c>
      <c r="D2607" s="41" t="s">
        <v>8430</v>
      </c>
      <c r="E2607" s="41">
        <v>18900</v>
      </c>
    </row>
    <row r="2608" spans="1:5" x14ac:dyDescent="0.25">
      <c r="A2608" s="41" t="s">
        <v>8157</v>
      </c>
      <c r="B2608" s="41" t="s">
        <v>7770</v>
      </c>
      <c r="C2608" s="41" t="s">
        <v>1353</v>
      </c>
      <c r="D2608" s="41" t="s">
        <v>8431</v>
      </c>
      <c r="E2608" s="41">
        <v>17200</v>
      </c>
    </row>
    <row r="2609" spans="1:5" x14ac:dyDescent="0.25">
      <c r="A2609" s="41" t="s">
        <v>8157</v>
      </c>
      <c r="B2609" s="41" t="s">
        <v>7770</v>
      </c>
      <c r="C2609" s="41" t="s">
        <v>1353</v>
      </c>
      <c r="D2609" s="41" t="s">
        <v>8432</v>
      </c>
      <c r="E2609" s="41">
        <v>15500</v>
      </c>
    </row>
    <row r="2610" spans="1:5" x14ac:dyDescent="0.25">
      <c r="A2610" s="41" t="s">
        <v>8157</v>
      </c>
      <c r="B2610" s="41" t="s">
        <v>7772</v>
      </c>
      <c r="C2610" s="41" t="s">
        <v>1353</v>
      </c>
      <c r="D2610" s="41" t="s">
        <v>8185</v>
      </c>
      <c r="E2610" s="41">
        <v>27900</v>
      </c>
    </row>
    <row r="2611" spans="1:5" x14ac:dyDescent="0.25">
      <c r="A2611" s="41" t="s">
        <v>8157</v>
      </c>
      <c r="B2611" s="41" t="s">
        <v>7772</v>
      </c>
      <c r="C2611" s="41" t="s">
        <v>1353</v>
      </c>
      <c r="D2611" s="41" t="s">
        <v>8433</v>
      </c>
      <c r="E2611" s="41">
        <v>27200</v>
      </c>
    </row>
    <row r="2612" spans="1:5" x14ac:dyDescent="0.25">
      <c r="A2612" s="41" t="s">
        <v>8157</v>
      </c>
      <c r="B2612" s="41" t="s">
        <v>7772</v>
      </c>
      <c r="C2612" s="41" t="s">
        <v>1353</v>
      </c>
      <c r="D2612" s="41" t="s">
        <v>8434</v>
      </c>
      <c r="E2612" s="41">
        <v>26400</v>
      </c>
    </row>
    <row r="2613" spans="1:5" x14ac:dyDescent="0.25">
      <c r="A2613" s="41" t="s">
        <v>8157</v>
      </c>
      <c r="B2613" s="41" t="s">
        <v>7772</v>
      </c>
      <c r="C2613" s="41" t="s">
        <v>1353</v>
      </c>
      <c r="D2613" s="41" t="s">
        <v>8347</v>
      </c>
      <c r="E2613" s="41">
        <v>24800</v>
      </c>
    </row>
    <row r="2614" spans="1:5" x14ac:dyDescent="0.25">
      <c r="A2614" s="41" t="s">
        <v>8157</v>
      </c>
      <c r="B2614" s="41" t="s">
        <v>7774</v>
      </c>
      <c r="C2614" s="41" t="s">
        <v>1353</v>
      </c>
      <c r="D2614" s="41" t="s">
        <v>8158</v>
      </c>
      <c r="E2614" s="41">
        <v>26200</v>
      </c>
    </row>
    <row r="2615" spans="1:5" x14ac:dyDescent="0.25">
      <c r="A2615" s="41" t="s">
        <v>8157</v>
      </c>
      <c r="B2615" s="41" t="s">
        <v>7776</v>
      </c>
      <c r="C2615" s="41" t="s">
        <v>1353</v>
      </c>
      <c r="D2615" s="41" t="s">
        <v>8158</v>
      </c>
      <c r="E2615" s="41">
        <v>21200</v>
      </c>
    </row>
    <row r="2616" spans="1:5" x14ac:dyDescent="0.25">
      <c r="A2616" s="41" t="s">
        <v>8157</v>
      </c>
      <c r="B2616" s="41" t="s">
        <v>7778</v>
      </c>
      <c r="C2616" s="41" t="s">
        <v>1353</v>
      </c>
      <c r="D2616" s="41" t="s">
        <v>8158</v>
      </c>
      <c r="E2616" s="41">
        <v>26800</v>
      </c>
    </row>
    <row r="2617" spans="1:5" x14ac:dyDescent="0.25">
      <c r="A2617" s="41" t="s">
        <v>8157</v>
      </c>
      <c r="B2617" s="41" t="s">
        <v>7780</v>
      </c>
      <c r="C2617" s="41" t="s">
        <v>1353</v>
      </c>
      <c r="D2617" s="41" t="s">
        <v>8158</v>
      </c>
      <c r="E2617" s="41">
        <v>16300</v>
      </c>
    </row>
    <row r="2618" spans="1:5" x14ac:dyDescent="0.25">
      <c r="A2618" s="41" t="s">
        <v>8157</v>
      </c>
      <c r="B2618" s="41" t="s">
        <v>7782</v>
      </c>
      <c r="C2618" s="41" t="s">
        <v>1353</v>
      </c>
      <c r="D2618" s="41" t="s">
        <v>8158</v>
      </c>
      <c r="E2618" s="41">
        <v>41200</v>
      </c>
    </row>
    <row r="2619" spans="1:5" x14ac:dyDescent="0.25">
      <c r="A2619" s="41" t="s">
        <v>8157</v>
      </c>
      <c r="B2619" s="41" t="s">
        <v>7784</v>
      </c>
      <c r="C2619" s="41" t="s">
        <v>1353</v>
      </c>
      <c r="D2619" s="41" t="s">
        <v>8158</v>
      </c>
      <c r="E2619" s="41">
        <v>38800</v>
      </c>
    </row>
    <row r="2620" spans="1:5" x14ac:dyDescent="0.25">
      <c r="A2620" s="41" t="s">
        <v>8157</v>
      </c>
      <c r="B2620" s="41" t="s">
        <v>1331</v>
      </c>
      <c r="C2620" s="41" t="s">
        <v>1353</v>
      </c>
      <c r="D2620" s="41" t="s">
        <v>8158</v>
      </c>
      <c r="E2620" s="41">
        <v>39600</v>
      </c>
    </row>
    <row r="2621" spans="1:5" x14ac:dyDescent="0.25">
      <c r="A2621" s="41" t="s">
        <v>8157</v>
      </c>
      <c r="B2621" s="41" t="s">
        <v>1333</v>
      </c>
      <c r="C2621" s="41" t="s">
        <v>1353</v>
      </c>
      <c r="D2621" s="41" t="s">
        <v>8158</v>
      </c>
      <c r="E2621" s="41">
        <v>49900</v>
      </c>
    </row>
    <row r="2622" spans="1:5" x14ac:dyDescent="0.25">
      <c r="A2622" s="41" t="s">
        <v>8157</v>
      </c>
      <c r="B2622" s="41" t="s">
        <v>1335</v>
      </c>
      <c r="C2622" s="41" t="s">
        <v>1353</v>
      </c>
      <c r="D2622" s="41" t="s">
        <v>8262</v>
      </c>
      <c r="E2622" s="41">
        <v>29800</v>
      </c>
    </row>
    <row r="2623" spans="1:5" x14ac:dyDescent="0.25">
      <c r="A2623" s="41" t="s">
        <v>8157</v>
      </c>
      <c r="B2623" s="41" t="s">
        <v>1335</v>
      </c>
      <c r="C2623" s="41" t="s">
        <v>1353</v>
      </c>
      <c r="D2623" s="41" t="s">
        <v>8256</v>
      </c>
      <c r="E2623" s="41">
        <v>30900</v>
      </c>
    </row>
    <row r="2624" spans="1:5" x14ac:dyDescent="0.25">
      <c r="A2624" s="41" t="s">
        <v>8157</v>
      </c>
      <c r="B2624" s="41" t="s">
        <v>1335</v>
      </c>
      <c r="C2624" s="41" t="s">
        <v>1353</v>
      </c>
      <c r="D2624" s="41" t="s">
        <v>8435</v>
      </c>
      <c r="E2624" s="41">
        <v>30900</v>
      </c>
    </row>
    <row r="2625" spans="1:5" x14ac:dyDescent="0.25">
      <c r="A2625" s="41" t="s">
        <v>8157</v>
      </c>
      <c r="B2625" s="41" t="s">
        <v>1335</v>
      </c>
      <c r="C2625" s="41" t="s">
        <v>1353</v>
      </c>
      <c r="D2625" s="41" t="s">
        <v>8436</v>
      </c>
      <c r="E2625" s="41">
        <v>30900</v>
      </c>
    </row>
    <row r="2626" spans="1:5" x14ac:dyDescent="0.25">
      <c r="A2626" s="41" t="s">
        <v>8157</v>
      </c>
      <c r="B2626" s="41" t="s">
        <v>7786</v>
      </c>
      <c r="C2626" s="41" t="s">
        <v>1353</v>
      </c>
      <c r="D2626" s="41" t="s">
        <v>8360</v>
      </c>
      <c r="E2626" s="41">
        <v>25000</v>
      </c>
    </row>
    <row r="2627" spans="1:5" x14ac:dyDescent="0.25">
      <c r="A2627" s="41" t="s">
        <v>8157</v>
      </c>
      <c r="B2627" s="41" t="s">
        <v>7786</v>
      </c>
      <c r="C2627" s="41" t="s">
        <v>1353</v>
      </c>
      <c r="D2627" s="41" t="s">
        <v>8162</v>
      </c>
      <c r="E2627" s="41">
        <v>23200</v>
      </c>
    </row>
    <row r="2628" spans="1:5" x14ac:dyDescent="0.25">
      <c r="A2628" s="41" t="s">
        <v>8157</v>
      </c>
      <c r="B2628" s="41" t="s">
        <v>7788</v>
      </c>
      <c r="C2628" s="41" t="s">
        <v>1353</v>
      </c>
      <c r="D2628" s="41" t="s">
        <v>8158</v>
      </c>
      <c r="E2628" s="41">
        <v>20200</v>
      </c>
    </row>
    <row r="2629" spans="1:5" x14ac:dyDescent="0.25">
      <c r="A2629" s="41" t="s">
        <v>8157</v>
      </c>
      <c r="B2629" s="41" t="s">
        <v>7790</v>
      </c>
      <c r="C2629" s="41" t="s">
        <v>1353</v>
      </c>
      <c r="D2629" s="41" t="s">
        <v>8287</v>
      </c>
      <c r="E2629" s="41">
        <v>24000</v>
      </c>
    </row>
    <row r="2630" spans="1:5" x14ac:dyDescent="0.25">
      <c r="A2630" s="41" t="s">
        <v>8157</v>
      </c>
      <c r="B2630" s="41" t="s">
        <v>7790</v>
      </c>
      <c r="C2630" s="41" t="s">
        <v>1353</v>
      </c>
      <c r="D2630" s="41" t="s">
        <v>8437</v>
      </c>
      <c r="E2630" s="41">
        <v>23400</v>
      </c>
    </row>
    <row r="2631" spans="1:5" x14ac:dyDescent="0.25">
      <c r="A2631" s="41" t="s">
        <v>8157</v>
      </c>
      <c r="B2631" s="41" t="s">
        <v>7790</v>
      </c>
      <c r="C2631" s="41" t="s">
        <v>1353</v>
      </c>
      <c r="D2631" s="41" t="s">
        <v>8438</v>
      </c>
      <c r="E2631" s="41">
        <v>22900</v>
      </c>
    </row>
    <row r="2632" spans="1:5" x14ac:dyDescent="0.25">
      <c r="A2632" s="41" t="s">
        <v>8157</v>
      </c>
      <c r="B2632" s="41" t="s">
        <v>7792</v>
      </c>
      <c r="C2632" s="41" t="s">
        <v>1353</v>
      </c>
      <c r="D2632" s="41" t="s">
        <v>8158</v>
      </c>
      <c r="E2632" s="41">
        <v>34400</v>
      </c>
    </row>
    <row r="2633" spans="1:5" x14ac:dyDescent="0.25">
      <c r="A2633" s="41" t="s">
        <v>8157</v>
      </c>
      <c r="B2633" s="41" t="s">
        <v>8439</v>
      </c>
      <c r="C2633" s="41" t="s">
        <v>1353</v>
      </c>
      <c r="D2633" s="41" t="s">
        <v>8158</v>
      </c>
      <c r="E2633" s="41">
        <v>31800</v>
      </c>
    </row>
    <row r="2634" spans="1:5" x14ac:dyDescent="0.25">
      <c r="A2634" s="41" t="s">
        <v>8157</v>
      </c>
      <c r="B2634" s="41" t="s">
        <v>8440</v>
      </c>
      <c r="C2634" s="41" t="s">
        <v>1353</v>
      </c>
      <c r="D2634" s="41" t="s">
        <v>8158</v>
      </c>
      <c r="E2634" s="41">
        <v>34400</v>
      </c>
    </row>
    <row r="2635" spans="1:5" x14ac:dyDescent="0.25">
      <c r="A2635" s="41" t="s">
        <v>8157</v>
      </c>
      <c r="B2635" s="41" t="s">
        <v>7794</v>
      </c>
      <c r="C2635" s="41" t="s">
        <v>1353</v>
      </c>
      <c r="D2635" s="41" t="s">
        <v>8233</v>
      </c>
      <c r="E2635" s="41">
        <v>44000</v>
      </c>
    </row>
    <row r="2636" spans="1:5" x14ac:dyDescent="0.25">
      <c r="A2636" s="41" t="s">
        <v>8157</v>
      </c>
      <c r="B2636" s="41" t="s">
        <v>7794</v>
      </c>
      <c r="C2636" s="41" t="s">
        <v>1353</v>
      </c>
      <c r="D2636" s="41" t="s">
        <v>8161</v>
      </c>
      <c r="E2636" s="41">
        <v>41900</v>
      </c>
    </row>
    <row r="2637" spans="1:5" x14ac:dyDescent="0.25">
      <c r="A2637" s="41" t="s">
        <v>8157</v>
      </c>
      <c r="B2637" s="41" t="s">
        <v>7794</v>
      </c>
      <c r="C2637" s="41" t="s">
        <v>1353</v>
      </c>
      <c r="D2637" s="41" t="s">
        <v>8162</v>
      </c>
      <c r="E2637" s="41">
        <v>34900</v>
      </c>
    </row>
    <row r="2638" spans="1:5" x14ac:dyDescent="0.25">
      <c r="A2638" s="41" t="s">
        <v>8157</v>
      </c>
      <c r="B2638" s="41" t="s">
        <v>7796</v>
      </c>
      <c r="C2638" s="41" t="s">
        <v>1353</v>
      </c>
      <c r="D2638" s="41" t="s">
        <v>8334</v>
      </c>
      <c r="E2638" s="41">
        <v>65100</v>
      </c>
    </row>
    <row r="2639" spans="1:5" x14ac:dyDescent="0.25">
      <c r="A2639" s="41" t="s">
        <v>8157</v>
      </c>
      <c r="B2639" s="41" t="s">
        <v>7796</v>
      </c>
      <c r="C2639" s="41" t="s">
        <v>1353</v>
      </c>
      <c r="D2639" s="41" t="s">
        <v>8335</v>
      </c>
      <c r="E2639" s="41">
        <v>56300</v>
      </c>
    </row>
    <row r="2640" spans="1:5" x14ac:dyDescent="0.25">
      <c r="A2640" s="41" t="s">
        <v>8157</v>
      </c>
      <c r="B2640" s="41" t="s">
        <v>7796</v>
      </c>
      <c r="C2640" s="41" t="s">
        <v>1353</v>
      </c>
      <c r="D2640" s="41" t="s">
        <v>8249</v>
      </c>
      <c r="E2640" s="41">
        <v>53600</v>
      </c>
    </row>
    <row r="2641" spans="1:5" x14ac:dyDescent="0.25">
      <c r="A2641" s="41" t="s">
        <v>8157</v>
      </c>
      <c r="B2641" s="41" t="s">
        <v>7796</v>
      </c>
      <c r="C2641" s="41" t="s">
        <v>1353</v>
      </c>
      <c r="D2641" s="41" t="s">
        <v>8331</v>
      </c>
      <c r="E2641" s="41">
        <v>44600</v>
      </c>
    </row>
    <row r="2642" spans="1:5" x14ac:dyDescent="0.25">
      <c r="A2642" s="41" t="s">
        <v>8157</v>
      </c>
      <c r="B2642" s="41" t="s">
        <v>7798</v>
      </c>
      <c r="C2642" s="41" t="s">
        <v>1353</v>
      </c>
      <c r="D2642" s="41" t="s">
        <v>8158</v>
      </c>
      <c r="E2642" s="41">
        <v>42600</v>
      </c>
    </row>
    <row r="2643" spans="1:5" x14ac:dyDescent="0.25">
      <c r="A2643" s="41" t="s">
        <v>8157</v>
      </c>
      <c r="B2643" s="41" t="s">
        <v>7800</v>
      </c>
      <c r="C2643" s="41" t="s">
        <v>1353</v>
      </c>
      <c r="D2643" s="41" t="s">
        <v>8158</v>
      </c>
      <c r="E2643" s="41">
        <v>453400</v>
      </c>
    </row>
    <row r="2644" spans="1:5" x14ac:dyDescent="0.25">
      <c r="A2644" s="41" t="s">
        <v>8157</v>
      </c>
      <c r="B2644" s="41" t="s">
        <v>7802</v>
      </c>
      <c r="C2644" s="41" t="s">
        <v>1353</v>
      </c>
      <c r="D2644" s="41" t="s">
        <v>8158</v>
      </c>
      <c r="E2644" s="41">
        <v>293600</v>
      </c>
    </row>
    <row r="2645" spans="1:5" x14ac:dyDescent="0.25">
      <c r="A2645" s="41" t="s">
        <v>8157</v>
      </c>
      <c r="B2645" s="41" t="s">
        <v>7804</v>
      </c>
      <c r="C2645" s="41" t="s">
        <v>1353</v>
      </c>
      <c r="D2645" s="41" t="s">
        <v>8287</v>
      </c>
      <c r="E2645" s="41">
        <v>49900</v>
      </c>
    </row>
    <row r="2646" spans="1:5" x14ac:dyDescent="0.25">
      <c r="A2646" s="41" t="s">
        <v>8157</v>
      </c>
      <c r="B2646" s="41" t="s">
        <v>7804</v>
      </c>
      <c r="C2646" s="41" t="s">
        <v>1353</v>
      </c>
      <c r="D2646" s="41" t="s">
        <v>8174</v>
      </c>
      <c r="E2646" s="41">
        <v>47500</v>
      </c>
    </row>
    <row r="2647" spans="1:5" x14ac:dyDescent="0.25">
      <c r="A2647" s="41" t="s">
        <v>8157</v>
      </c>
      <c r="B2647" s="41" t="s">
        <v>7804</v>
      </c>
      <c r="C2647" s="41" t="s">
        <v>1353</v>
      </c>
      <c r="D2647" s="41" t="s">
        <v>8162</v>
      </c>
      <c r="E2647" s="41">
        <v>39600</v>
      </c>
    </row>
    <row r="2648" spans="1:5" x14ac:dyDescent="0.25">
      <c r="A2648" s="41" t="s">
        <v>8157</v>
      </c>
      <c r="B2648" s="41" t="s">
        <v>7806</v>
      </c>
      <c r="C2648" s="41" t="s">
        <v>1353</v>
      </c>
      <c r="D2648" s="41" t="s">
        <v>8298</v>
      </c>
      <c r="E2648" s="41">
        <v>16700</v>
      </c>
    </row>
    <row r="2649" spans="1:5" x14ac:dyDescent="0.25">
      <c r="A2649" s="41" t="s">
        <v>8157</v>
      </c>
      <c r="B2649" s="41" t="s">
        <v>7806</v>
      </c>
      <c r="C2649" s="41" t="s">
        <v>1353</v>
      </c>
      <c r="D2649" s="41" t="s">
        <v>8299</v>
      </c>
      <c r="E2649" s="41">
        <v>11300</v>
      </c>
    </row>
    <row r="2650" spans="1:5" x14ac:dyDescent="0.25">
      <c r="A2650" s="41" t="s">
        <v>8157</v>
      </c>
      <c r="B2650" s="41" t="s">
        <v>7806</v>
      </c>
      <c r="C2650" s="41" t="s">
        <v>1353</v>
      </c>
      <c r="D2650" s="41" t="s">
        <v>8243</v>
      </c>
      <c r="E2650" s="41">
        <v>13600</v>
      </c>
    </row>
    <row r="2651" spans="1:5" x14ac:dyDescent="0.25">
      <c r="A2651" s="41" t="s">
        <v>8157</v>
      </c>
      <c r="B2651" s="41" t="s">
        <v>7808</v>
      </c>
      <c r="C2651" s="41" t="s">
        <v>1353</v>
      </c>
      <c r="D2651" s="41" t="s">
        <v>8158</v>
      </c>
      <c r="E2651" s="41">
        <v>9300</v>
      </c>
    </row>
    <row r="2652" spans="1:5" x14ac:dyDescent="0.25">
      <c r="A2652" s="41" t="s">
        <v>8157</v>
      </c>
      <c r="B2652" s="41" t="s">
        <v>7810</v>
      </c>
      <c r="C2652" s="41" t="s">
        <v>1353</v>
      </c>
      <c r="D2652" s="41" t="s">
        <v>8158</v>
      </c>
      <c r="E2652" s="41">
        <v>14000</v>
      </c>
    </row>
    <row r="2653" spans="1:5" x14ac:dyDescent="0.25">
      <c r="A2653" s="41" t="s">
        <v>8157</v>
      </c>
      <c r="B2653" s="41" t="s">
        <v>7812</v>
      </c>
      <c r="C2653" s="41" t="s">
        <v>1353</v>
      </c>
      <c r="D2653" s="41" t="s">
        <v>8158</v>
      </c>
      <c r="E2653" s="41">
        <v>16100</v>
      </c>
    </row>
    <row r="2654" spans="1:5" x14ac:dyDescent="0.25">
      <c r="A2654" s="41" t="s">
        <v>8157</v>
      </c>
      <c r="B2654" s="41" t="s">
        <v>7815</v>
      </c>
      <c r="C2654" s="41" t="s">
        <v>1353</v>
      </c>
      <c r="D2654" s="41" t="s">
        <v>8158</v>
      </c>
      <c r="E2654" s="41">
        <v>25600</v>
      </c>
    </row>
    <row r="2655" spans="1:5" x14ac:dyDescent="0.25">
      <c r="A2655" s="41" t="s">
        <v>8157</v>
      </c>
      <c r="B2655" s="41" t="s">
        <v>7818</v>
      </c>
      <c r="C2655" s="41" t="s">
        <v>1353</v>
      </c>
      <c r="D2655" s="41" t="s">
        <v>8158</v>
      </c>
      <c r="E2655" s="41">
        <v>5800</v>
      </c>
    </row>
    <row r="2656" spans="1:5" x14ac:dyDescent="0.25">
      <c r="A2656" s="41" t="s">
        <v>8157</v>
      </c>
      <c r="B2656" s="41" t="s">
        <v>7433</v>
      </c>
      <c r="C2656" s="41" t="s">
        <v>1353</v>
      </c>
      <c r="D2656" s="41" t="s">
        <v>8287</v>
      </c>
      <c r="E2656" s="41">
        <v>2800</v>
      </c>
    </row>
    <row r="2657" spans="1:5" x14ac:dyDescent="0.25">
      <c r="A2657" s="41" t="s">
        <v>8157</v>
      </c>
      <c r="B2657" s="41" t="s">
        <v>7433</v>
      </c>
      <c r="C2657" s="41" t="s">
        <v>1353</v>
      </c>
      <c r="D2657" s="41" t="s">
        <v>8297</v>
      </c>
      <c r="E2657" s="41">
        <v>2600</v>
      </c>
    </row>
    <row r="2658" spans="1:5" x14ac:dyDescent="0.25">
      <c r="A2658" s="41" t="s">
        <v>8157</v>
      </c>
      <c r="B2658" s="41" t="s">
        <v>7821</v>
      </c>
      <c r="C2658" s="41" t="s">
        <v>1353</v>
      </c>
      <c r="D2658" s="41" t="s">
        <v>8158</v>
      </c>
      <c r="E2658" s="41">
        <v>9500</v>
      </c>
    </row>
    <row r="2659" spans="1:5" x14ac:dyDescent="0.25">
      <c r="A2659" s="41" t="s">
        <v>8157</v>
      </c>
      <c r="B2659" s="41" t="s">
        <v>7823</v>
      </c>
      <c r="C2659" s="41" t="s">
        <v>1353</v>
      </c>
      <c r="D2659" s="41" t="s">
        <v>8158</v>
      </c>
      <c r="E2659" s="41">
        <v>14000</v>
      </c>
    </row>
    <row r="2660" spans="1:5" x14ac:dyDescent="0.25">
      <c r="A2660" s="41" t="s">
        <v>8157</v>
      </c>
      <c r="B2660" s="41" t="s">
        <v>7825</v>
      </c>
      <c r="C2660" s="41" t="s">
        <v>1353</v>
      </c>
      <c r="D2660" s="41" t="s">
        <v>8287</v>
      </c>
      <c r="E2660" s="41">
        <v>22800</v>
      </c>
    </row>
    <row r="2661" spans="1:5" x14ac:dyDescent="0.25">
      <c r="A2661" s="41" t="s">
        <v>8157</v>
      </c>
      <c r="B2661" s="41" t="s">
        <v>7825</v>
      </c>
      <c r="C2661" s="41" t="s">
        <v>1353</v>
      </c>
      <c r="D2661" s="41" t="s">
        <v>8288</v>
      </c>
      <c r="E2661" s="41">
        <v>22900</v>
      </c>
    </row>
    <row r="2662" spans="1:5" x14ac:dyDescent="0.25">
      <c r="A2662" s="41" t="s">
        <v>8157</v>
      </c>
      <c r="B2662" s="41" t="s">
        <v>7825</v>
      </c>
      <c r="C2662" s="41" t="s">
        <v>1353</v>
      </c>
      <c r="D2662" s="41" t="s">
        <v>8265</v>
      </c>
      <c r="E2662" s="41">
        <v>21300</v>
      </c>
    </row>
    <row r="2663" spans="1:5" x14ac:dyDescent="0.25">
      <c r="A2663" s="41" t="s">
        <v>8157</v>
      </c>
      <c r="B2663" s="41" t="s">
        <v>7825</v>
      </c>
      <c r="C2663" s="41" t="s">
        <v>1353</v>
      </c>
      <c r="D2663" s="41" t="s">
        <v>8289</v>
      </c>
      <c r="E2663" s="41">
        <v>20300</v>
      </c>
    </row>
    <row r="2664" spans="1:5" x14ac:dyDescent="0.25">
      <c r="A2664" s="41" t="s">
        <v>8157</v>
      </c>
      <c r="B2664" s="41" t="s">
        <v>7825</v>
      </c>
      <c r="C2664" s="41" t="s">
        <v>1353</v>
      </c>
      <c r="D2664" s="41" t="s">
        <v>8290</v>
      </c>
      <c r="E2664" s="41">
        <v>18800</v>
      </c>
    </row>
    <row r="2665" spans="1:5" x14ac:dyDescent="0.25">
      <c r="A2665" s="41" t="s">
        <v>8157</v>
      </c>
      <c r="B2665" s="41" t="s">
        <v>7825</v>
      </c>
      <c r="C2665" s="41" t="s">
        <v>1353</v>
      </c>
      <c r="D2665" s="41" t="s">
        <v>8258</v>
      </c>
      <c r="E2665" s="41">
        <v>17900</v>
      </c>
    </row>
    <row r="2666" spans="1:5" x14ac:dyDescent="0.25">
      <c r="A2666" s="41" t="s">
        <v>8157</v>
      </c>
      <c r="B2666" s="41" t="s">
        <v>7443</v>
      </c>
      <c r="C2666" s="41" t="s">
        <v>1353</v>
      </c>
      <c r="D2666" s="41" t="s">
        <v>8158</v>
      </c>
      <c r="E2666" s="41">
        <v>12600</v>
      </c>
    </row>
    <row r="2667" spans="1:5" x14ac:dyDescent="0.25">
      <c r="A2667" s="41" t="s">
        <v>8157</v>
      </c>
      <c r="B2667" s="41" t="s">
        <v>1337</v>
      </c>
      <c r="C2667" s="41" t="s">
        <v>1350</v>
      </c>
      <c r="D2667" s="41" t="s">
        <v>8158</v>
      </c>
      <c r="E2667" s="41">
        <v>48940</v>
      </c>
    </row>
    <row r="2668" spans="1:5" x14ac:dyDescent="0.25">
      <c r="A2668" s="41" t="s">
        <v>8157</v>
      </c>
      <c r="B2668" s="41" t="s">
        <v>1339</v>
      </c>
      <c r="C2668" s="41" t="s">
        <v>1350</v>
      </c>
      <c r="D2668" s="41" t="s">
        <v>8158</v>
      </c>
      <c r="E2668" s="41">
        <v>51900</v>
      </c>
    </row>
    <row r="2669" spans="1:5" x14ac:dyDescent="0.25">
      <c r="A2669" s="41" t="s">
        <v>8157</v>
      </c>
      <c r="B2669" s="41" t="s">
        <v>1340</v>
      </c>
      <c r="C2669" s="41" t="s">
        <v>1350</v>
      </c>
      <c r="D2669" s="41" t="s">
        <v>8158</v>
      </c>
      <c r="E2669" s="41">
        <v>56700</v>
      </c>
    </row>
    <row r="2670" spans="1:5" x14ac:dyDescent="0.25">
      <c r="A2670" s="41" t="s">
        <v>8157</v>
      </c>
      <c r="B2670" s="41" t="s">
        <v>1341</v>
      </c>
      <c r="C2670" s="41" t="s">
        <v>1350</v>
      </c>
      <c r="D2670" s="41" t="s">
        <v>8158</v>
      </c>
      <c r="E2670" s="41">
        <v>59000</v>
      </c>
    </row>
    <row r="2671" spans="1:5" x14ac:dyDescent="0.25">
      <c r="A2671" s="41" t="s">
        <v>8157</v>
      </c>
      <c r="B2671" s="41" t="s">
        <v>1342</v>
      </c>
      <c r="C2671" s="41" t="s">
        <v>1350</v>
      </c>
      <c r="D2671" s="41" t="s">
        <v>8158</v>
      </c>
      <c r="E2671" s="41">
        <v>73600</v>
      </c>
    </row>
    <row r="2672" spans="1:5" x14ac:dyDescent="0.25">
      <c r="A2672" s="41" t="s">
        <v>8157</v>
      </c>
      <c r="B2672" s="41" t="s">
        <v>1343</v>
      </c>
      <c r="C2672" s="41" t="s">
        <v>1350</v>
      </c>
      <c r="D2672" s="41" t="s">
        <v>8158</v>
      </c>
      <c r="E2672" s="41">
        <v>76540</v>
      </c>
    </row>
    <row r="2673" spans="1:5" x14ac:dyDescent="0.25">
      <c r="A2673" s="41" t="s">
        <v>8157</v>
      </c>
      <c r="B2673" s="41" t="s">
        <v>7016</v>
      </c>
      <c r="C2673" s="41" t="s">
        <v>1350</v>
      </c>
      <c r="D2673" s="41" t="s">
        <v>8158</v>
      </c>
      <c r="E2673" s="41">
        <v>54500</v>
      </c>
    </row>
    <row r="2674" spans="1:5" x14ac:dyDescent="0.25">
      <c r="A2674" s="41" t="s">
        <v>8157</v>
      </c>
      <c r="B2674" s="41" t="s">
        <v>7017</v>
      </c>
      <c r="C2674" s="41" t="s">
        <v>1350</v>
      </c>
      <c r="D2674" s="41" t="s">
        <v>8441</v>
      </c>
      <c r="E2674" s="41">
        <v>42880</v>
      </c>
    </row>
    <row r="2675" spans="1:5" x14ac:dyDescent="0.25">
      <c r="A2675" s="41" t="s">
        <v>8157</v>
      </c>
      <c r="B2675" s="41" t="s">
        <v>7017</v>
      </c>
      <c r="C2675" s="41" t="s">
        <v>1350</v>
      </c>
      <c r="D2675" s="41" t="s">
        <v>8442</v>
      </c>
      <c r="E2675" s="41">
        <v>40700</v>
      </c>
    </row>
    <row r="2676" spans="1:5" x14ac:dyDescent="0.25">
      <c r="A2676" s="41" t="s">
        <v>8157</v>
      </c>
      <c r="B2676" s="41" t="s">
        <v>7017</v>
      </c>
      <c r="C2676" s="41" t="s">
        <v>1350</v>
      </c>
      <c r="D2676" s="41" t="s">
        <v>8443</v>
      </c>
      <c r="E2676" s="41">
        <v>40700</v>
      </c>
    </row>
    <row r="2677" spans="1:5" x14ac:dyDescent="0.25">
      <c r="A2677" s="41" t="s">
        <v>8157</v>
      </c>
      <c r="B2677" s="41" t="s">
        <v>7017</v>
      </c>
      <c r="C2677" s="41" t="s">
        <v>1350</v>
      </c>
      <c r="D2677" s="41" t="s">
        <v>8444</v>
      </c>
      <c r="E2677" s="41">
        <v>39500</v>
      </c>
    </row>
    <row r="2678" spans="1:5" x14ac:dyDescent="0.25">
      <c r="A2678" s="41" t="s">
        <v>8157</v>
      </c>
      <c r="B2678" s="41" t="s">
        <v>7017</v>
      </c>
      <c r="C2678" s="41" t="s">
        <v>1350</v>
      </c>
      <c r="D2678" s="41" t="s">
        <v>8445</v>
      </c>
      <c r="E2678" s="41">
        <v>38300</v>
      </c>
    </row>
    <row r="2679" spans="1:5" x14ac:dyDescent="0.25">
      <c r="A2679" s="41" t="s">
        <v>8157</v>
      </c>
      <c r="B2679" s="41" t="s">
        <v>7017</v>
      </c>
      <c r="C2679" s="41" t="s">
        <v>1350</v>
      </c>
      <c r="D2679" s="41" t="s">
        <v>8446</v>
      </c>
      <c r="E2679" s="41">
        <v>37200</v>
      </c>
    </row>
    <row r="2680" spans="1:5" x14ac:dyDescent="0.25">
      <c r="A2680" s="41" t="s">
        <v>8157</v>
      </c>
      <c r="B2680" s="41" t="s">
        <v>7017</v>
      </c>
      <c r="C2680" s="41" t="s">
        <v>1350</v>
      </c>
      <c r="D2680" s="41" t="s">
        <v>8447</v>
      </c>
      <c r="E2680" s="41">
        <v>36100</v>
      </c>
    </row>
    <row r="2681" spans="1:5" x14ac:dyDescent="0.25">
      <c r="A2681" s="41" t="s">
        <v>8157</v>
      </c>
      <c r="B2681" s="41" t="s">
        <v>7017</v>
      </c>
      <c r="C2681" s="41" t="s">
        <v>1350</v>
      </c>
      <c r="D2681" s="41" t="s">
        <v>8448</v>
      </c>
      <c r="E2681" s="41">
        <v>34300</v>
      </c>
    </row>
    <row r="2682" spans="1:5" x14ac:dyDescent="0.25">
      <c r="A2682" s="41" t="s">
        <v>8157</v>
      </c>
      <c r="B2682" s="41" t="s">
        <v>7017</v>
      </c>
      <c r="C2682" s="41" t="s">
        <v>1350</v>
      </c>
      <c r="D2682" s="41" t="s">
        <v>8449</v>
      </c>
      <c r="E2682" s="41">
        <v>32600</v>
      </c>
    </row>
    <row r="2683" spans="1:5" x14ac:dyDescent="0.25">
      <c r="A2683" s="41" t="s">
        <v>8157</v>
      </c>
      <c r="B2683" s="41" t="s">
        <v>7501</v>
      </c>
      <c r="C2683" s="41" t="s">
        <v>1350</v>
      </c>
      <c r="D2683" s="41" t="s">
        <v>8158</v>
      </c>
      <c r="E2683" s="41">
        <v>40180</v>
      </c>
    </row>
    <row r="2684" spans="1:5" x14ac:dyDescent="0.25">
      <c r="A2684" s="41" t="s">
        <v>8157</v>
      </c>
      <c r="B2684" s="41" t="s">
        <v>7018</v>
      </c>
      <c r="C2684" s="41" t="s">
        <v>1350</v>
      </c>
      <c r="D2684" s="41" t="s">
        <v>8158</v>
      </c>
      <c r="E2684" s="41">
        <v>45920</v>
      </c>
    </row>
    <row r="2685" spans="1:5" x14ac:dyDescent="0.25">
      <c r="A2685" s="41" t="s">
        <v>8157</v>
      </c>
      <c r="B2685" s="41" t="s">
        <v>7019</v>
      </c>
      <c r="C2685" s="41" t="s">
        <v>1350</v>
      </c>
      <c r="D2685" s="41" t="s">
        <v>8158</v>
      </c>
      <c r="E2685" s="41">
        <v>34500</v>
      </c>
    </row>
    <row r="2686" spans="1:5" x14ac:dyDescent="0.25">
      <c r="A2686" s="41" t="s">
        <v>8157</v>
      </c>
      <c r="B2686" s="41" t="s">
        <v>7505</v>
      </c>
      <c r="C2686" s="41" t="s">
        <v>1350</v>
      </c>
      <c r="D2686" s="41" t="s">
        <v>8158</v>
      </c>
      <c r="E2686" s="41">
        <v>22000</v>
      </c>
    </row>
    <row r="2687" spans="1:5" x14ac:dyDescent="0.25">
      <c r="A2687" s="41" t="s">
        <v>8157</v>
      </c>
      <c r="B2687" s="41" t="s">
        <v>7507</v>
      </c>
      <c r="C2687" s="41" t="s">
        <v>1350</v>
      </c>
      <c r="D2687" s="41" t="s">
        <v>8158</v>
      </c>
      <c r="E2687" s="41">
        <v>7800</v>
      </c>
    </row>
    <row r="2688" spans="1:5" x14ac:dyDescent="0.25">
      <c r="A2688" s="41" t="s">
        <v>8157</v>
      </c>
      <c r="B2688" s="41" t="s">
        <v>1337</v>
      </c>
      <c r="C2688" s="41" t="s">
        <v>1351</v>
      </c>
      <c r="D2688" s="41" t="s">
        <v>8158</v>
      </c>
      <c r="E2688" s="41">
        <v>45500</v>
      </c>
    </row>
    <row r="2689" spans="1:5" x14ac:dyDescent="0.25">
      <c r="A2689" s="41" t="s">
        <v>8157</v>
      </c>
      <c r="B2689" s="41" t="s">
        <v>1339</v>
      </c>
      <c r="C2689" s="41" t="s">
        <v>1351</v>
      </c>
      <c r="D2689" s="41" t="s">
        <v>8158</v>
      </c>
      <c r="E2689" s="41">
        <v>48300</v>
      </c>
    </row>
    <row r="2690" spans="1:5" x14ac:dyDescent="0.25">
      <c r="A2690" s="41" t="s">
        <v>8157</v>
      </c>
      <c r="B2690" s="41" t="s">
        <v>1340</v>
      </c>
      <c r="C2690" s="41" t="s">
        <v>1351</v>
      </c>
      <c r="D2690" s="41" t="s">
        <v>8158</v>
      </c>
      <c r="E2690" s="41">
        <v>52700</v>
      </c>
    </row>
    <row r="2691" spans="1:5" x14ac:dyDescent="0.25">
      <c r="A2691" s="41" t="s">
        <v>8157</v>
      </c>
      <c r="B2691" s="41" t="s">
        <v>1341</v>
      </c>
      <c r="C2691" s="41" t="s">
        <v>1351</v>
      </c>
      <c r="D2691" s="41" t="s">
        <v>8158</v>
      </c>
      <c r="E2691" s="41">
        <v>54900</v>
      </c>
    </row>
    <row r="2692" spans="1:5" x14ac:dyDescent="0.25">
      <c r="A2692" s="41" t="s">
        <v>8157</v>
      </c>
      <c r="B2692" s="41" t="s">
        <v>1342</v>
      </c>
      <c r="C2692" s="41" t="s">
        <v>1351</v>
      </c>
      <c r="D2692" s="41" t="s">
        <v>8158</v>
      </c>
      <c r="E2692" s="41">
        <v>68400</v>
      </c>
    </row>
    <row r="2693" spans="1:5" x14ac:dyDescent="0.25">
      <c r="A2693" s="41" t="s">
        <v>8157</v>
      </c>
      <c r="B2693" s="41" t="s">
        <v>1343</v>
      </c>
      <c r="C2693" s="41" t="s">
        <v>1351</v>
      </c>
      <c r="D2693" s="41" t="s">
        <v>8158</v>
      </c>
      <c r="E2693" s="41">
        <v>71200</v>
      </c>
    </row>
    <row r="2694" spans="1:5" x14ac:dyDescent="0.25">
      <c r="A2694" s="41" t="s">
        <v>8157</v>
      </c>
      <c r="B2694" s="41" t="s">
        <v>7016</v>
      </c>
      <c r="C2694" s="41" t="s">
        <v>1351</v>
      </c>
      <c r="D2694" s="41" t="s">
        <v>8158</v>
      </c>
      <c r="E2694" s="41">
        <v>50700</v>
      </c>
    </row>
    <row r="2695" spans="1:5" x14ac:dyDescent="0.25">
      <c r="A2695" s="41" t="s">
        <v>8157</v>
      </c>
      <c r="B2695" s="41" t="s">
        <v>7017</v>
      </c>
      <c r="C2695" s="41" t="s">
        <v>1351</v>
      </c>
      <c r="D2695" s="41" t="s">
        <v>8441</v>
      </c>
      <c r="E2695" s="41">
        <v>39900</v>
      </c>
    </row>
    <row r="2696" spans="1:5" x14ac:dyDescent="0.25">
      <c r="A2696" s="41" t="s">
        <v>8157</v>
      </c>
      <c r="B2696" s="41" t="s">
        <v>7017</v>
      </c>
      <c r="C2696" s="41" t="s">
        <v>1351</v>
      </c>
      <c r="D2696" s="41" t="s">
        <v>8442</v>
      </c>
      <c r="E2696" s="41">
        <v>39500</v>
      </c>
    </row>
    <row r="2697" spans="1:5" x14ac:dyDescent="0.25">
      <c r="A2697" s="41" t="s">
        <v>8157</v>
      </c>
      <c r="B2697" s="41" t="s">
        <v>7017</v>
      </c>
      <c r="C2697" s="41" t="s">
        <v>1351</v>
      </c>
      <c r="D2697" s="41" t="s">
        <v>8443</v>
      </c>
      <c r="E2697" s="41">
        <v>39500</v>
      </c>
    </row>
    <row r="2698" spans="1:5" x14ac:dyDescent="0.25">
      <c r="A2698" s="41" t="s">
        <v>8157</v>
      </c>
      <c r="B2698" s="41" t="s">
        <v>7017</v>
      </c>
      <c r="C2698" s="41" t="s">
        <v>1351</v>
      </c>
      <c r="D2698" s="41" t="s">
        <v>8444</v>
      </c>
      <c r="E2698" s="41">
        <v>38300</v>
      </c>
    </row>
    <row r="2699" spans="1:5" x14ac:dyDescent="0.25">
      <c r="A2699" s="41" t="s">
        <v>8157</v>
      </c>
      <c r="B2699" s="41" t="s">
        <v>7017</v>
      </c>
      <c r="C2699" s="41" t="s">
        <v>1351</v>
      </c>
      <c r="D2699" s="41" t="s">
        <v>8445</v>
      </c>
      <c r="E2699" s="41">
        <v>37200</v>
      </c>
    </row>
    <row r="2700" spans="1:5" x14ac:dyDescent="0.25">
      <c r="A2700" s="41" t="s">
        <v>8157</v>
      </c>
      <c r="B2700" s="41" t="s">
        <v>7017</v>
      </c>
      <c r="C2700" s="41" t="s">
        <v>1351</v>
      </c>
      <c r="D2700" s="41" t="s">
        <v>8446</v>
      </c>
      <c r="E2700" s="41">
        <v>36100</v>
      </c>
    </row>
    <row r="2701" spans="1:5" x14ac:dyDescent="0.25">
      <c r="A2701" s="41" t="s">
        <v>8157</v>
      </c>
      <c r="B2701" s="41" t="s">
        <v>7017</v>
      </c>
      <c r="C2701" s="41" t="s">
        <v>1351</v>
      </c>
      <c r="D2701" s="41" t="s">
        <v>8447</v>
      </c>
      <c r="E2701" s="41">
        <v>35000</v>
      </c>
    </row>
    <row r="2702" spans="1:5" x14ac:dyDescent="0.25">
      <c r="A2702" s="41" t="s">
        <v>8157</v>
      </c>
      <c r="B2702" s="41" t="s">
        <v>7017</v>
      </c>
      <c r="C2702" s="41" t="s">
        <v>1351</v>
      </c>
      <c r="D2702" s="41" t="s">
        <v>8448</v>
      </c>
      <c r="E2702" s="41">
        <v>33300</v>
      </c>
    </row>
    <row r="2703" spans="1:5" x14ac:dyDescent="0.25">
      <c r="A2703" s="41" t="s">
        <v>8157</v>
      </c>
      <c r="B2703" s="41" t="s">
        <v>7017</v>
      </c>
      <c r="C2703" s="41" t="s">
        <v>1351</v>
      </c>
      <c r="D2703" s="41" t="s">
        <v>8449</v>
      </c>
      <c r="E2703" s="41">
        <v>31600</v>
      </c>
    </row>
    <row r="2704" spans="1:5" x14ac:dyDescent="0.25">
      <c r="A2704" s="41" t="s">
        <v>8157</v>
      </c>
      <c r="B2704" s="41" t="s">
        <v>7501</v>
      </c>
      <c r="C2704" s="41" t="s">
        <v>1351</v>
      </c>
      <c r="D2704" s="41" t="s">
        <v>8158</v>
      </c>
      <c r="E2704" s="41">
        <v>39000</v>
      </c>
    </row>
    <row r="2705" spans="1:5" x14ac:dyDescent="0.25">
      <c r="A2705" s="41" t="s">
        <v>8157</v>
      </c>
      <c r="B2705" s="41" t="s">
        <v>7018</v>
      </c>
      <c r="C2705" s="41" t="s">
        <v>1351</v>
      </c>
      <c r="D2705" s="41" t="s">
        <v>8158</v>
      </c>
      <c r="E2705" s="41">
        <v>42700</v>
      </c>
    </row>
    <row r="2706" spans="1:5" x14ac:dyDescent="0.25">
      <c r="A2706" s="41" t="s">
        <v>8157</v>
      </c>
      <c r="B2706" s="41" t="s">
        <v>7019</v>
      </c>
      <c r="C2706" s="41" t="s">
        <v>1351</v>
      </c>
      <c r="D2706" s="41" t="s">
        <v>8158</v>
      </c>
      <c r="E2706" s="41">
        <v>33500</v>
      </c>
    </row>
    <row r="2707" spans="1:5" x14ac:dyDescent="0.25">
      <c r="A2707" s="41" t="s">
        <v>8157</v>
      </c>
      <c r="B2707" s="41" t="s">
        <v>7505</v>
      </c>
      <c r="C2707" s="41" t="s">
        <v>1351</v>
      </c>
      <c r="D2707" s="41" t="s">
        <v>8158</v>
      </c>
      <c r="E2707" s="41">
        <v>20900</v>
      </c>
    </row>
    <row r="2708" spans="1:5" x14ac:dyDescent="0.25">
      <c r="A2708" s="41" t="s">
        <v>8157</v>
      </c>
      <c r="B2708" s="41" t="s">
        <v>7507</v>
      </c>
      <c r="C2708" s="41" t="s">
        <v>1351</v>
      </c>
      <c r="D2708" s="41" t="s">
        <v>8158</v>
      </c>
      <c r="E2708" s="41">
        <v>7600</v>
      </c>
    </row>
    <row r="2709" spans="1:5" x14ac:dyDescent="0.25">
      <c r="A2709" s="41" t="s">
        <v>8157</v>
      </c>
      <c r="B2709" s="41" t="s">
        <v>1337</v>
      </c>
      <c r="C2709" s="41" t="s">
        <v>68</v>
      </c>
      <c r="D2709" s="41" t="s">
        <v>8158</v>
      </c>
      <c r="E2709" s="41">
        <v>39100</v>
      </c>
    </row>
    <row r="2710" spans="1:5" x14ac:dyDescent="0.25">
      <c r="A2710" s="41" t="s">
        <v>8157</v>
      </c>
      <c r="B2710" s="41" t="s">
        <v>1339</v>
      </c>
      <c r="C2710" s="41" t="s">
        <v>68</v>
      </c>
      <c r="D2710" s="41" t="s">
        <v>8158</v>
      </c>
      <c r="E2710" s="41">
        <v>41500</v>
      </c>
    </row>
    <row r="2711" spans="1:5" x14ac:dyDescent="0.25">
      <c r="A2711" s="41" t="s">
        <v>8157</v>
      </c>
      <c r="B2711" s="41" t="s">
        <v>1340</v>
      </c>
      <c r="C2711" s="41" t="s">
        <v>68</v>
      </c>
      <c r="D2711" s="41" t="s">
        <v>8158</v>
      </c>
      <c r="E2711" s="41">
        <v>45300</v>
      </c>
    </row>
    <row r="2712" spans="1:5" x14ac:dyDescent="0.25">
      <c r="A2712" s="41" t="s">
        <v>8157</v>
      </c>
      <c r="B2712" s="41" t="s">
        <v>1341</v>
      </c>
      <c r="C2712" s="41" t="s">
        <v>68</v>
      </c>
      <c r="D2712" s="41" t="s">
        <v>8158</v>
      </c>
      <c r="E2712" s="41">
        <v>47200</v>
      </c>
    </row>
    <row r="2713" spans="1:5" x14ac:dyDescent="0.25">
      <c r="A2713" s="41" t="s">
        <v>8157</v>
      </c>
      <c r="B2713" s="41" t="s">
        <v>1342</v>
      </c>
      <c r="C2713" s="41" t="s">
        <v>68</v>
      </c>
      <c r="D2713" s="41" t="s">
        <v>8158</v>
      </c>
      <c r="E2713" s="41">
        <v>58800</v>
      </c>
    </row>
    <row r="2714" spans="1:5" x14ac:dyDescent="0.25">
      <c r="A2714" s="41" t="s">
        <v>8157</v>
      </c>
      <c r="B2714" s="41" t="s">
        <v>1343</v>
      </c>
      <c r="C2714" s="41" t="s">
        <v>68</v>
      </c>
      <c r="D2714" s="41" t="s">
        <v>8158</v>
      </c>
      <c r="E2714" s="41">
        <v>61200</v>
      </c>
    </row>
    <row r="2715" spans="1:5" x14ac:dyDescent="0.25">
      <c r="A2715" s="41" t="s">
        <v>8157</v>
      </c>
      <c r="B2715" s="41" t="s">
        <v>7016</v>
      </c>
      <c r="C2715" s="41" t="s">
        <v>68</v>
      </c>
      <c r="D2715" s="41" t="s">
        <v>8158</v>
      </c>
      <c r="E2715" s="41">
        <v>45600</v>
      </c>
    </row>
    <row r="2716" spans="1:5" x14ac:dyDescent="0.25">
      <c r="A2716" s="41" t="s">
        <v>8157</v>
      </c>
      <c r="B2716" s="41" t="s">
        <v>7017</v>
      </c>
      <c r="C2716" s="41" t="s">
        <v>68</v>
      </c>
      <c r="D2716" s="41" t="s">
        <v>8441</v>
      </c>
      <c r="E2716" s="41">
        <v>35900</v>
      </c>
    </row>
    <row r="2717" spans="1:5" x14ac:dyDescent="0.25">
      <c r="A2717" s="41" t="s">
        <v>8157</v>
      </c>
      <c r="B2717" s="41" t="s">
        <v>7017</v>
      </c>
      <c r="C2717" s="41" t="s">
        <v>68</v>
      </c>
      <c r="D2717" s="41" t="s">
        <v>8442</v>
      </c>
      <c r="E2717" s="41">
        <v>36700</v>
      </c>
    </row>
    <row r="2718" spans="1:5" x14ac:dyDescent="0.25">
      <c r="A2718" s="41" t="s">
        <v>8157</v>
      </c>
      <c r="B2718" s="41" t="s">
        <v>7017</v>
      </c>
      <c r="C2718" s="41" t="s">
        <v>68</v>
      </c>
      <c r="D2718" s="41" t="s">
        <v>8443</v>
      </c>
      <c r="E2718" s="41">
        <v>36700</v>
      </c>
    </row>
    <row r="2719" spans="1:5" x14ac:dyDescent="0.25">
      <c r="A2719" s="41" t="s">
        <v>8157</v>
      </c>
      <c r="B2719" s="41" t="s">
        <v>7017</v>
      </c>
      <c r="C2719" s="41" t="s">
        <v>68</v>
      </c>
      <c r="D2719" s="41" t="s">
        <v>8444</v>
      </c>
      <c r="E2719" s="41">
        <v>35600</v>
      </c>
    </row>
    <row r="2720" spans="1:5" x14ac:dyDescent="0.25">
      <c r="A2720" s="41" t="s">
        <v>8157</v>
      </c>
      <c r="B2720" s="41" t="s">
        <v>7017</v>
      </c>
      <c r="C2720" s="41" t="s">
        <v>68</v>
      </c>
      <c r="D2720" s="41" t="s">
        <v>8445</v>
      </c>
      <c r="E2720" s="41">
        <v>34600</v>
      </c>
    </row>
    <row r="2721" spans="1:5" x14ac:dyDescent="0.25">
      <c r="A2721" s="41" t="s">
        <v>8157</v>
      </c>
      <c r="B2721" s="41" t="s">
        <v>7017</v>
      </c>
      <c r="C2721" s="41" t="s">
        <v>68</v>
      </c>
      <c r="D2721" s="41" t="s">
        <v>8446</v>
      </c>
      <c r="E2721" s="41">
        <v>33600</v>
      </c>
    </row>
    <row r="2722" spans="1:5" x14ac:dyDescent="0.25">
      <c r="A2722" s="41" t="s">
        <v>8157</v>
      </c>
      <c r="B2722" s="41" t="s">
        <v>7017</v>
      </c>
      <c r="C2722" s="41" t="s">
        <v>68</v>
      </c>
      <c r="D2722" s="41" t="s">
        <v>8447</v>
      </c>
      <c r="E2722" s="41">
        <v>32600</v>
      </c>
    </row>
    <row r="2723" spans="1:5" x14ac:dyDescent="0.25">
      <c r="A2723" s="41" t="s">
        <v>8157</v>
      </c>
      <c r="B2723" s="41" t="s">
        <v>7017</v>
      </c>
      <c r="C2723" s="41" t="s">
        <v>68</v>
      </c>
      <c r="D2723" s="41" t="s">
        <v>8448</v>
      </c>
      <c r="E2723" s="41">
        <v>31000</v>
      </c>
    </row>
    <row r="2724" spans="1:5" x14ac:dyDescent="0.25">
      <c r="A2724" s="41" t="s">
        <v>8157</v>
      </c>
      <c r="B2724" s="41" t="s">
        <v>7017</v>
      </c>
      <c r="C2724" s="41" t="s">
        <v>68</v>
      </c>
      <c r="D2724" s="41" t="s">
        <v>8449</v>
      </c>
      <c r="E2724" s="41">
        <v>29400</v>
      </c>
    </row>
    <row r="2725" spans="1:5" x14ac:dyDescent="0.25">
      <c r="A2725" s="41" t="s">
        <v>8157</v>
      </c>
      <c r="B2725" s="41" t="s">
        <v>7501</v>
      </c>
      <c r="C2725" s="41" t="s">
        <v>68</v>
      </c>
      <c r="D2725" s="41" t="s">
        <v>8158</v>
      </c>
      <c r="E2725" s="41">
        <v>36300</v>
      </c>
    </row>
    <row r="2726" spans="1:5" x14ac:dyDescent="0.25">
      <c r="A2726" s="41" t="s">
        <v>8157</v>
      </c>
      <c r="B2726" s="41" t="s">
        <v>7018</v>
      </c>
      <c r="C2726" s="41" t="s">
        <v>68</v>
      </c>
      <c r="D2726" s="41" t="s">
        <v>8158</v>
      </c>
      <c r="E2726" s="41">
        <v>39700</v>
      </c>
    </row>
    <row r="2727" spans="1:5" x14ac:dyDescent="0.25">
      <c r="A2727" s="41" t="s">
        <v>8157</v>
      </c>
      <c r="B2727" s="41" t="s">
        <v>7019</v>
      </c>
      <c r="C2727" s="41" t="s">
        <v>68</v>
      </c>
      <c r="D2727" s="41" t="s">
        <v>8158</v>
      </c>
      <c r="E2727" s="41">
        <v>31200</v>
      </c>
    </row>
    <row r="2728" spans="1:5" x14ac:dyDescent="0.25">
      <c r="A2728" s="41" t="s">
        <v>8157</v>
      </c>
      <c r="B2728" s="41" t="s">
        <v>7505</v>
      </c>
      <c r="C2728" s="41" t="s">
        <v>68</v>
      </c>
      <c r="D2728" s="41" t="s">
        <v>8158</v>
      </c>
      <c r="E2728" s="41">
        <v>19400</v>
      </c>
    </row>
    <row r="2729" spans="1:5" x14ac:dyDescent="0.25">
      <c r="A2729" s="41" t="s">
        <v>8157</v>
      </c>
      <c r="B2729" s="41" t="s">
        <v>7507</v>
      </c>
      <c r="C2729" s="41" t="s">
        <v>68</v>
      </c>
      <c r="D2729" s="41" t="s">
        <v>8158</v>
      </c>
      <c r="E2729" s="41">
        <v>7000</v>
      </c>
    </row>
    <row r="2730" spans="1:5" x14ac:dyDescent="0.25">
      <c r="A2730" s="41" t="s">
        <v>8157</v>
      </c>
      <c r="B2730" s="41" t="s">
        <v>1337</v>
      </c>
      <c r="C2730" s="41" t="s">
        <v>1352</v>
      </c>
      <c r="D2730" s="41" t="s">
        <v>8158</v>
      </c>
      <c r="E2730" s="41">
        <v>39100</v>
      </c>
    </row>
    <row r="2731" spans="1:5" x14ac:dyDescent="0.25">
      <c r="A2731" s="41" t="s">
        <v>8157</v>
      </c>
      <c r="B2731" s="41" t="s">
        <v>1339</v>
      </c>
      <c r="C2731" s="41" t="s">
        <v>1352</v>
      </c>
      <c r="D2731" s="41" t="s">
        <v>8158</v>
      </c>
      <c r="E2731" s="41">
        <v>41500</v>
      </c>
    </row>
    <row r="2732" spans="1:5" x14ac:dyDescent="0.25">
      <c r="A2732" s="41" t="s">
        <v>8157</v>
      </c>
      <c r="B2732" s="41" t="s">
        <v>1340</v>
      </c>
      <c r="C2732" s="41" t="s">
        <v>1352</v>
      </c>
      <c r="D2732" s="41" t="s">
        <v>8158</v>
      </c>
      <c r="E2732" s="41">
        <v>45300</v>
      </c>
    </row>
    <row r="2733" spans="1:5" x14ac:dyDescent="0.25">
      <c r="A2733" s="41" t="s">
        <v>8157</v>
      </c>
      <c r="B2733" s="41" t="s">
        <v>1341</v>
      </c>
      <c r="C2733" s="41" t="s">
        <v>1352</v>
      </c>
      <c r="D2733" s="41" t="s">
        <v>8158</v>
      </c>
      <c r="E2733" s="41">
        <v>47200</v>
      </c>
    </row>
    <row r="2734" spans="1:5" x14ac:dyDescent="0.25">
      <c r="A2734" s="41" t="s">
        <v>8157</v>
      </c>
      <c r="B2734" s="41" t="s">
        <v>1342</v>
      </c>
      <c r="C2734" s="41" t="s">
        <v>1352</v>
      </c>
      <c r="D2734" s="41" t="s">
        <v>8158</v>
      </c>
      <c r="E2734" s="41">
        <v>58800</v>
      </c>
    </row>
    <row r="2735" spans="1:5" x14ac:dyDescent="0.25">
      <c r="A2735" s="41" t="s">
        <v>8157</v>
      </c>
      <c r="B2735" s="41" t="s">
        <v>1343</v>
      </c>
      <c r="C2735" s="41" t="s">
        <v>1352</v>
      </c>
      <c r="D2735" s="41" t="s">
        <v>8158</v>
      </c>
      <c r="E2735" s="41">
        <v>61200</v>
      </c>
    </row>
    <row r="2736" spans="1:5" x14ac:dyDescent="0.25">
      <c r="A2736" s="41" t="s">
        <v>8157</v>
      </c>
      <c r="B2736" s="41" t="s">
        <v>7016</v>
      </c>
      <c r="C2736" s="41" t="s">
        <v>1352</v>
      </c>
      <c r="D2736" s="41" t="s">
        <v>8158</v>
      </c>
      <c r="E2736" s="41">
        <v>41000</v>
      </c>
    </row>
    <row r="2737" spans="1:5" x14ac:dyDescent="0.25">
      <c r="A2737" s="41" t="s">
        <v>8157</v>
      </c>
      <c r="B2737" s="41" t="s">
        <v>7017</v>
      </c>
      <c r="C2737" s="41" t="s">
        <v>1352</v>
      </c>
      <c r="D2737" s="41" t="s">
        <v>8441</v>
      </c>
      <c r="E2737" s="41">
        <v>30900</v>
      </c>
    </row>
    <row r="2738" spans="1:5" x14ac:dyDescent="0.25">
      <c r="A2738" s="41" t="s">
        <v>8157</v>
      </c>
      <c r="B2738" s="41" t="s">
        <v>7017</v>
      </c>
      <c r="C2738" s="41" t="s">
        <v>1352</v>
      </c>
      <c r="D2738" s="41" t="s">
        <v>8442</v>
      </c>
      <c r="E2738" s="41">
        <v>34100</v>
      </c>
    </row>
    <row r="2739" spans="1:5" x14ac:dyDescent="0.25">
      <c r="A2739" s="41" t="s">
        <v>8157</v>
      </c>
      <c r="B2739" s="41" t="s">
        <v>7017</v>
      </c>
      <c r="C2739" s="41" t="s">
        <v>1352</v>
      </c>
      <c r="D2739" s="41" t="s">
        <v>8443</v>
      </c>
      <c r="E2739" s="41">
        <v>34100</v>
      </c>
    </row>
    <row r="2740" spans="1:5" x14ac:dyDescent="0.25">
      <c r="A2740" s="41" t="s">
        <v>8157</v>
      </c>
      <c r="B2740" s="41" t="s">
        <v>7017</v>
      </c>
      <c r="C2740" s="41" t="s">
        <v>1352</v>
      </c>
      <c r="D2740" s="41" t="s">
        <v>8444</v>
      </c>
      <c r="E2740" s="41">
        <v>33100</v>
      </c>
    </row>
    <row r="2741" spans="1:5" x14ac:dyDescent="0.25">
      <c r="A2741" s="41" t="s">
        <v>8157</v>
      </c>
      <c r="B2741" s="41" t="s">
        <v>7017</v>
      </c>
      <c r="C2741" s="41" t="s">
        <v>1352</v>
      </c>
      <c r="D2741" s="41" t="s">
        <v>8445</v>
      </c>
      <c r="E2741" s="41">
        <v>32200</v>
      </c>
    </row>
    <row r="2742" spans="1:5" x14ac:dyDescent="0.25">
      <c r="A2742" s="41" t="s">
        <v>8157</v>
      </c>
      <c r="B2742" s="41" t="s">
        <v>7017</v>
      </c>
      <c r="C2742" s="41" t="s">
        <v>1352</v>
      </c>
      <c r="D2742" s="41" t="s">
        <v>8446</v>
      </c>
      <c r="E2742" s="41">
        <v>31200</v>
      </c>
    </row>
    <row r="2743" spans="1:5" x14ac:dyDescent="0.25">
      <c r="A2743" s="41" t="s">
        <v>8157</v>
      </c>
      <c r="B2743" s="41" t="s">
        <v>7017</v>
      </c>
      <c r="C2743" s="41" t="s">
        <v>1352</v>
      </c>
      <c r="D2743" s="41" t="s">
        <v>8447</v>
      </c>
      <c r="E2743" s="41">
        <v>30300</v>
      </c>
    </row>
    <row r="2744" spans="1:5" x14ac:dyDescent="0.25">
      <c r="A2744" s="41" t="s">
        <v>8157</v>
      </c>
      <c r="B2744" s="41" t="s">
        <v>7017</v>
      </c>
      <c r="C2744" s="41" t="s">
        <v>1352</v>
      </c>
      <c r="D2744" s="41" t="s">
        <v>8448</v>
      </c>
      <c r="E2744" s="41">
        <v>28800</v>
      </c>
    </row>
    <row r="2745" spans="1:5" x14ac:dyDescent="0.25">
      <c r="A2745" s="41" t="s">
        <v>8157</v>
      </c>
      <c r="B2745" s="41" t="s">
        <v>7017</v>
      </c>
      <c r="C2745" s="41" t="s">
        <v>1352</v>
      </c>
      <c r="D2745" s="41" t="s">
        <v>8449</v>
      </c>
      <c r="E2745" s="41">
        <v>27300</v>
      </c>
    </row>
    <row r="2746" spans="1:5" x14ac:dyDescent="0.25">
      <c r="A2746" s="41" t="s">
        <v>8157</v>
      </c>
      <c r="B2746" s="41" t="s">
        <v>7501</v>
      </c>
      <c r="C2746" s="41" t="s">
        <v>1352</v>
      </c>
      <c r="D2746" s="41" t="s">
        <v>8158</v>
      </c>
      <c r="E2746" s="41">
        <v>33800</v>
      </c>
    </row>
    <row r="2747" spans="1:5" x14ac:dyDescent="0.25">
      <c r="A2747" s="41" t="s">
        <v>8157</v>
      </c>
      <c r="B2747" s="41" t="s">
        <v>7018</v>
      </c>
      <c r="C2747" s="41" t="s">
        <v>1352</v>
      </c>
      <c r="D2747" s="41" t="s">
        <v>8158</v>
      </c>
      <c r="E2747" s="41">
        <v>37700</v>
      </c>
    </row>
    <row r="2748" spans="1:5" x14ac:dyDescent="0.25">
      <c r="A2748" s="41" t="s">
        <v>8157</v>
      </c>
      <c r="B2748" s="41" t="s">
        <v>7019</v>
      </c>
      <c r="C2748" s="41" t="s">
        <v>1352</v>
      </c>
      <c r="D2748" s="41" t="s">
        <v>8158</v>
      </c>
      <c r="E2748" s="41">
        <v>29000</v>
      </c>
    </row>
    <row r="2749" spans="1:5" x14ac:dyDescent="0.25">
      <c r="A2749" s="41" t="s">
        <v>8157</v>
      </c>
      <c r="B2749" s="41" t="s">
        <v>7505</v>
      </c>
      <c r="C2749" s="41" t="s">
        <v>1352</v>
      </c>
      <c r="D2749" s="41" t="s">
        <v>8158</v>
      </c>
      <c r="E2749" s="41">
        <v>18400</v>
      </c>
    </row>
    <row r="2750" spans="1:5" x14ac:dyDescent="0.25">
      <c r="A2750" s="41" t="s">
        <v>8157</v>
      </c>
      <c r="B2750" s="41" t="s">
        <v>7507</v>
      </c>
      <c r="C2750" s="41" t="s">
        <v>1352</v>
      </c>
      <c r="D2750" s="41" t="s">
        <v>8158</v>
      </c>
      <c r="E2750" s="41">
        <v>5400</v>
      </c>
    </row>
    <row r="2751" spans="1:5" x14ac:dyDescent="0.25">
      <c r="A2751" s="41" t="s">
        <v>8157</v>
      </c>
      <c r="B2751" s="41" t="s">
        <v>1337</v>
      </c>
      <c r="C2751" s="41" t="s">
        <v>1353</v>
      </c>
      <c r="D2751" s="41" t="s">
        <v>8158</v>
      </c>
      <c r="E2751" s="41">
        <v>39100</v>
      </c>
    </row>
    <row r="2752" spans="1:5" x14ac:dyDescent="0.25">
      <c r="A2752" s="41" t="s">
        <v>8157</v>
      </c>
      <c r="B2752" s="41" t="s">
        <v>1339</v>
      </c>
      <c r="C2752" s="41" t="s">
        <v>1353</v>
      </c>
      <c r="D2752" s="41" t="s">
        <v>8158</v>
      </c>
      <c r="E2752" s="41">
        <v>41500</v>
      </c>
    </row>
    <row r="2753" spans="1:5" x14ac:dyDescent="0.25">
      <c r="A2753" s="41" t="s">
        <v>8157</v>
      </c>
      <c r="B2753" s="41" t="s">
        <v>1340</v>
      </c>
      <c r="C2753" s="41" t="s">
        <v>1353</v>
      </c>
      <c r="D2753" s="41" t="s">
        <v>8158</v>
      </c>
      <c r="E2753" s="41">
        <v>45300</v>
      </c>
    </row>
    <row r="2754" spans="1:5" x14ac:dyDescent="0.25">
      <c r="A2754" s="41" t="s">
        <v>8157</v>
      </c>
      <c r="B2754" s="41" t="s">
        <v>1341</v>
      </c>
      <c r="C2754" s="41" t="s">
        <v>1353</v>
      </c>
      <c r="D2754" s="41" t="s">
        <v>8158</v>
      </c>
      <c r="E2754" s="41">
        <v>47200</v>
      </c>
    </row>
    <row r="2755" spans="1:5" x14ac:dyDescent="0.25">
      <c r="A2755" s="41" t="s">
        <v>8157</v>
      </c>
      <c r="B2755" s="41" t="s">
        <v>1342</v>
      </c>
      <c r="C2755" s="41" t="s">
        <v>1353</v>
      </c>
      <c r="D2755" s="41" t="s">
        <v>8158</v>
      </c>
      <c r="E2755" s="41">
        <v>58800</v>
      </c>
    </row>
    <row r="2756" spans="1:5" x14ac:dyDescent="0.25">
      <c r="A2756" s="41" t="s">
        <v>8157</v>
      </c>
      <c r="B2756" s="41" t="s">
        <v>1343</v>
      </c>
      <c r="C2756" s="41" t="s">
        <v>1353</v>
      </c>
      <c r="D2756" s="41" t="s">
        <v>8158</v>
      </c>
      <c r="E2756" s="41">
        <v>61200</v>
      </c>
    </row>
    <row r="2757" spans="1:5" x14ac:dyDescent="0.25">
      <c r="A2757" s="41" t="s">
        <v>8157</v>
      </c>
      <c r="B2757" s="41" t="s">
        <v>7016</v>
      </c>
      <c r="C2757" s="41" t="s">
        <v>1353</v>
      </c>
      <c r="D2757" s="41" t="s">
        <v>8158</v>
      </c>
      <c r="E2757" s="41">
        <v>41000</v>
      </c>
    </row>
    <row r="2758" spans="1:5" x14ac:dyDescent="0.25">
      <c r="A2758" s="41" t="s">
        <v>8157</v>
      </c>
      <c r="B2758" s="41" t="s">
        <v>7017</v>
      </c>
      <c r="C2758" s="41" t="s">
        <v>1353</v>
      </c>
      <c r="D2758" s="41" t="s">
        <v>8441</v>
      </c>
      <c r="E2758" s="41">
        <v>22900</v>
      </c>
    </row>
    <row r="2759" spans="1:5" x14ac:dyDescent="0.25">
      <c r="A2759" s="41" t="s">
        <v>8157</v>
      </c>
      <c r="B2759" s="41" t="s">
        <v>7017</v>
      </c>
      <c r="C2759" s="41" t="s">
        <v>1353</v>
      </c>
      <c r="D2759" s="41" t="s">
        <v>8442</v>
      </c>
      <c r="E2759" s="41">
        <v>25200</v>
      </c>
    </row>
    <row r="2760" spans="1:5" x14ac:dyDescent="0.25">
      <c r="A2760" s="41" t="s">
        <v>8157</v>
      </c>
      <c r="B2760" s="41" t="s">
        <v>7017</v>
      </c>
      <c r="C2760" s="41" t="s">
        <v>1353</v>
      </c>
      <c r="D2760" s="41" t="s">
        <v>8443</v>
      </c>
      <c r="E2760" s="41">
        <v>25200</v>
      </c>
    </row>
    <row r="2761" spans="1:5" x14ac:dyDescent="0.25">
      <c r="A2761" s="41" t="s">
        <v>8157</v>
      </c>
      <c r="B2761" s="41" t="s">
        <v>7017</v>
      </c>
      <c r="C2761" s="41" t="s">
        <v>1353</v>
      </c>
      <c r="D2761" s="41" t="s">
        <v>8444</v>
      </c>
      <c r="E2761" s="41">
        <v>24500</v>
      </c>
    </row>
    <row r="2762" spans="1:5" x14ac:dyDescent="0.25">
      <c r="A2762" s="41" t="s">
        <v>8157</v>
      </c>
      <c r="B2762" s="41" t="s">
        <v>7017</v>
      </c>
      <c r="C2762" s="41" t="s">
        <v>1353</v>
      </c>
      <c r="D2762" s="41" t="s">
        <v>8445</v>
      </c>
      <c r="E2762" s="41">
        <v>23800</v>
      </c>
    </row>
    <row r="2763" spans="1:5" x14ac:dyDescent="0.25">
      <c r="A2763" s="41" t="s">
        <v>8157</v>
      </c>
      <c r="B2763" s="41" t="s">
        <v>7017</v>
      </c>
      <c r="C2763" s="41" t="s">
        <v>1353</v>
      </c>
      <c r="D2763" s="41" t="s">
        <v>8446</v>
      </c>
      <c r="E2763" s="41">
        <v>23100</v>
      </c>
    </row>
    <row r="2764" spans="1:5" x14ac:dyDescent="0.25">
      <c r="A2764" s="41" t="s">
        <v>8157</v>
      </c>
      <c r="B2764" s="41" t="s">
        <v>7017</v>
      </c>
      <c r="C2764" s="41" t="s">
        <v>1353</v>
      </c>
      <c r="D2764" s="41" t="s">
        <v>8447</v>
      </c>
      <c r="E2764" s="41">
        <v>22400</v>
      </c>
    </row>
    <row r="2765" spans="1:5" x14ac:dyDescent="0.25">
      <c r="A2765" s="41" t="s">
        <v>8157</v>
      </c>
      <c r="B2765" s="41" t="s">
        <v>7017</v>
      </c>
      <c r="C2765" s="41" t="s">
        <v>1353</v>
      </c>
      <c r="D2765" s="41" t="s">
        <v>8448</v>
      </c>
      <c r="E2765" s="41">
        <v>21300</v>
      </c>
    </row>
    <row r="2766" spans="1:5" x14ac:dyDescent="0.25">
      <c r="A2766" s="41" t="s">
        <v>8157</v>
      </c>
      <c r="B2766" s="41" t="s">
        <v>7017</v>
      </c>
      <c r="C2766" s="41" t="s">
        <v>1353</v>
      </c>
      <c r="D2766" s="41" t="s">
        <v>8449</v>
      </c>
      <c r="E2766" s="41">
        <v>20200</v>
      </c>
    </row>
    <row r="2767" spans="1:5" x14ac:dyDescent="0.25">
      <c r="A2767" s="41" t="s">
        <v>8157</v>
      </c>
      <c r="B2767" s="41" t="s">
        <v>7501</v>
      </c>
      <c r="C2767" s="41" t="s">
        <v>1353</v>
      </c>
      <c r="D2767" s="41" t="s">
        <v>8158</v>
      </c>
      <c r="E2767" s="41">
        <v>33800</v>
      </c>
    </row>
    <row r="2768" spans="1:5" x14ac:dyDescent="0.25">
      <c r="A2768" s="41" t="s">
        <v>8157</v>
      </c>
      <c r="B2768" s="41" t="s">
        <v>7018</v>
      </c>
      <c r="C2768" s="41" t="s">
        <v>1353</v>
      </c>
      <c r="D2768" s="41" t="s">
        <v>8158</v>
      </c>
      <c r="E2768" s="41">
        <v>37700</v>
      </c>
    </row>
    <row r="2769" spans="1:5" x14ac:dyDescent="0.25">
      <c r="A2769" s="41" t="s">
        <v>8157</v>
      </c>
      <c r="B2769" s="41" t="s">
        <v>7019</v>
      </c>
      <c r="C2769" s="41" t="s">
        <v>1353</v>
      </c>
      <c r="D2769" s="41" t="s">
        <v>8158</v>
      </c>
      <c r="E2769" s="41">
        <v>21500</v>
      </c>
    </row>
    <row r="2770" spans="1:5" x14ac:dyDescent="0.25">
      <c r="A2770" s="41" t="s">
        <v>8157</v>
      </c>
      <c r="B2770" s="41" t="s">
        <v>7505</v>
      </c>
      <c r="C2770" s="41" t="s">
        <v>1353</v>
      </c>
      <c r="D2770" s="41" t="s">
        <v>8158</v>
      </c>
      <c r="E2770" s="41">
        <v>16600</v>
      </c>
    </row>
    <row r="2771" spans="1:5" x14ac:dyDescent="0.25">
      <c r="A2771" s="41" t="s">
        <v>8157</v>
      </c>
      <c r="B2771" s="41" t="s">
        <v>7507</v>
      </c>
      <c r="C2771" s="41" t="s">
        <v>1353</v>
      </c>
      <c r="D2771" s="41" t="s">
        <v>8158</v>
      </c>
      <c r="E2771" s="41">
        <v>3800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16021-028A-438F-BF62-7B543B0BC429}">
  <dimension ref="A1:B1"/>
  <sheetViews>
    <sheetView workbookViewId="0">
      <selection activeCell="B2" sqref="B2"/>
    </sheetView>
  </sheetViews>
  <sheetFormatPr defaultRowHeight="15" x14ac:dyDescent="0.25"/>
  <sheetData>
    <row r="1" spans="1:2" x14ac:dyDescent="0.25">
      <c r="A1">
        <v>0</v>
      </c>
      <c r="B1" t="s">
        <v>1361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779FF-31A4-414C-B5DD-FF9896DC628D}">
  <dimension ref="A1:E395"/>
  <sheetViews>
    <sheetView topLeftCell="A166" workbookViewId="0">
      <selection activeCell="B12" sqref="B12"/>
    </sheetView>
  </sheetViews>
  <sheetFormatPr defaultRowHeight="15" x14ac:dyDescent="0.25"/>
  <cols>
    <col min="1" max="1" width="62.7109375" customWidth="1"/>
    <col min="2" max="2" width="25.5703125" customWidth="1"/>
    <col min="3" max="3" width="28.28515625" customWidth="1"/>
    <col min="4" max="4" width="28.7109375" customWidth="1"/>
    <col min="5" max="5" width="21" customWidth="1"/>
  </cols>
  <sheetData>
    <row r="1" spans="1:5" x14ac:dyDescent="0.25">
      <c r="A1" t="s">
        <v>7405</v>
      </c>
      <c r="B1" t="s">
        <v>7406</v>
      </c>
      <c r="C1" t="s">
        <v>7411</v>
      </c>
      <c r="D1" t="s">
        <v>7412</v>
      </c>
      <c r="E1" t="s">
        <v>7413</v>
      </c>
    </row>
    <row r="2" spans="1:5" x14ac:dyDescent="0.25">
      <c r="A2" t="s">
        <v>7061</v>
      </c>
      <c r="B2">
        <v>1</v>
      </c>
      <c r="C2">
        <v>90</v>
      </c>
      <c r="D2" t="s">
        <v>7414</v>
      </c>
      <c r="E2" t="s">
        <v>7410</v>
      </c>
    </row>
    <row r="3" spans="1:5" x14ac:dyDescent="0.25">
      <c r="A3" t="s">
        <v>7088</v>
      </c>
      <c r="B3">
        <v>0</v>
      </c>
      <c r="C3">
        <v>0</v>
      </c>
      <c r="D3" t="s">
        <v>7410</v>
      </c>
      <c r="E3" t="s">
        <v>7410</v>
      </c>
    </row>
    <row r="4" spans="1:5" x14ac:dyDescent="0.25">
      <c r="A4" t="s">
        <v>7104</v>
      </c>
      <c r="B4">
        <v>1</v>
      </c>
      <c r="C4">
        <v>90</v>
      </c>
      <c r="D4" t="s">
        <v>7414</v>
      </c>
      <c r="E4" t="s">
        <v>7410</v>
      </c>
    </row>
    <row r="5" spans="1:5" x14ac:dyDescent="0.25">
      <c r="A5" t="s">
        <v>7108</v>
      </c>
      <c r="B5">
        <v>1</v>
      </c>
      <c r="C5">
        <v>90</v>
      </c>
      <c r="D5" t="s">
        <v>7414</v>
      </c>
      <c r="E5" t="s">
        <v>7410</v>
      </c>
    </row>
    <row r="6" spans="1:5" x14ac:dyDescent="0.25">
      <c r="A6" t="s">
        <v>7110</v>
      </c>
      <c r="B6">
        <v>1</v>
      </c>
      <c r="C6">
        <v>90</v>
      </c>
      <c r="D6" t="s">
        <v>7414</v>
      </c>
      <c r="E6" t="s">
        <v>7410</v>
      </c>
    </row>
    <row r="7" spans="1:5" x14ac:dyDescent="0.25">
      <c r="A7" t="s">
        <v>7119</v>
      </c>
      <c r="B7">
        <v>1</v>
      </c>
      <c r="C7">
        <v>90</v>
      </c>
      <c r="D7" t="s">
        <v>7414</v>
      </c>
      <c r="E7" t="s">
        <v>67</v>
      </c>
    </row>
    <row r="8" spans="1:5" x14ac:dyDescent="0.25">
      <c r="A8" t="s">
        <v>7140</v>
      </c>
      <c r="B8">
        <v>1</v>
      </c>
      <c r="C8">
        <v>90</v>
      </c>
      <c r="D8" t="s">
        <v>7414</v>
      </c>
      <c r="E8" t="s">
        <v>7410</v>
      </c>
    </row>
    <row r="9" spans="1:5" x14ac:dyDescent="0.25">
      <c r="A9" t="s">
        <v>7207</v>
      </c>
      <c r="B9">
        <v>0</v>
      </c>
      <c r="C9">
        <v>0</v>
      </c>
      <c r="D9" t="s">
        <v>7410</v>
      </c>
      <c r="E9" t="s">
        <v>7410</v>
      </c>
    </row>
    <row r="10" spans="1:5" x14ac:dyDescent="0.25">
      <c r="A10" t="s">
        <v>7242</v>
      </c>
      <c r="B10">
        <v>0</v>
      </c>
      <c r="C10">
        <v>0</v>
      </c>
      <c r="D10" t="s">
        <v>7410</v>
      </c>
      <c r="E10" t="s">
        <v>7410</v>
      </c>
    </row>
    <row r="11" spans="1:5" x14ac:dyDescent="0.25">
      <c r="A11" t="s">
        <v>7245</v>
      </c>
      <c r="B11">
        <v>1</v>
      </c>
      <c r="C11">
        <v>90</v>
      </c>
      <c r="D11" t="s">
        <v>7414</v>
      </c>
      <c r="E11" t="s">
        <v>67</v>
      </c>
    </row>
    <row r="12" spans="1:5" x14ac:dyDescent="0.25">
      <c r="A12" t="s">
        <v>7261</v>
      </c>
      <c r="B12">
        <v>0</v>
      </c>
      <c r="C12">
        <v>0</v>
      </c>
      <c r="D12" t="s">
        <v>7410</v>
      </c>
      <c r="E12" t="s">
        <v>7410</v>
      </c>
    </row>
    <row r="13" spans="1:5" x14ac:dyDescent="0.25">
      <c r="A13" t="s">
        <v>7268</v>
      </c>
      <c r="B13">
        <v>0</v>
      </c>
      <c r="C13">
        <v>0</v>
      </c>
      <c r="D13" t="s">
        <v>7410</v>
      </c>
      <c r="E13" t="s">
        <v>7410</v>
      </c>
    </row>
    <row r="14" spans="1:5" x14ac:dyDescent="0.25">
      <c r="A14" t="s">
        <v>7276</v>
      </c>
      <c r="B14">
        <v>1</v>
      </c>
      <c r="C14">
        <v>90</v>
      </c>
      <c r="D14" t="s">
        <v>7414</v>
      </c>
      <c r="E14" t="s">
        <v>7410</v>
      </c>
    </row>
    <row r="15" spans="1:5" x14ac:dyDescent="0.25">
      <c r="A15" t="s">
        <v>7296</v>
      </c>
      <c r="B15">
        <v>1</v>
      </c>
      <c r="C15">
        <v>90</v>
      </c>
      <c r="D15" t="s">
        <v>7414</v>
      </c>
      <c r="E15" t="s">
        <v>7410</v>
      </c>
    </row>
    <row r="16" spans="1:5" x14ac:dyDescent="0.25">
      <c r="A16" t="s">
        <v>7297</v>
      </c>
      <c r="B16">
        <v>1</v>
      </c>
      <c r="C16">
        <v>90</v>
      </c>
      <c r="D16" t="s">
        <v>7414</v>
      </c>
      <c r="E16" t="s">
        <v>7410</v>
      </c>
    </row>
    <row r="17" spans="1:5" x14ac:dyDescent="0.25">
      <c r="A17" t="s">
        <v>7310</v>
      </c>
      <c r="B17">
        <v>1</v>
      </c>
      <c r="C17">
        <v>90</v>
      </c>
      <c r="D17" t="s">
        <v>7414</v>
      </c>
      <c r="E17" t="s">
        <v>7410</v>
      </c>
    </row>
    <row r="18" spans="1:5" x14ac:dyDescent="0.25">
      <c r="A18" t="s">
        <v>7329</v>
      </c>
      <c r="B18">
        <v>0</v>
      </c>
      <c r="C18">
        <v>0</v>
      </c>
      <c r="D18" t="s">
        <v>7407</v>
      </c>
      <c r="E18" t="s">
        <v>7407</v>
      </c>
    </row>
    <row r="19" spans="1:5" x14ac:dyDescent="0.25">
      <c r="A19" t="s">
        <v>7330</v>
      </c>
      <c r="B19">
        <v>0</v>
      </c>
      <c r="C19">
        <v>0</v>
      </c>
      <c r="D19" t="s">
        <v>7407</v>
      </c>
      <c r="E19" t="s">
        <v>7407</v>
      </c>
    </row>
    <row r="20" spans="1:5" x14ac:dyDescent="0.25">
      <c r="A20" t="s">
        <v>7331</v>
      </c>
      <c r="B20">
        <v>0</v>
      </c>
      <c r="C20">
        <v>0</v>
      </c>
      <c r="D20" t="s">
        <v>7407</v>
      </c>
      <c r="E20" t="s">
        <v>7407</v>
      </c>
    </row>
    <row r="21" spans="1:5" x14ac:dyDescent="0.25">
      <c r="A21" t="s">
        <v>7332</v>
      </c>
      <c r="B21">
        <v>0</v>
      </c>
      <c r="C21">
        <v>0</v>
      </c>
      <c r="D21" t="s">
        <v>7407</v>
      </c>
      <c r="E21" t="s">
        <v>7407</v>
      </c>
    </row>
    <row r="22" spans="1:5" x14ac:dyDescent="0.25">
      <c r="A22" t="s">
        <v>7333</v>
      </c>
      <c r="B22">
        <v>0</v>
      </c>
      <c r="C22">
        <v>0</v>
      </c>
      <c r="D22" t="s">
        <v>7407</v>
      </c>
      <c r="E22" t="s">
        <v>7407</v>
      </c>
    </row>
    <row r="23" spans="1:5" x14ac:dyDescent="0.25">
      <c r="A23" t="s">
        <v>7334</v>
      </c>
      <c r="B23">
        <v>0</v>
      </c>
      <c r="C23">
        <v>0</v>
      </c>
      <c r="D23" t="s">
        <v>7407</v>
      </c>
      <c r="E23" t="s">
        <v>7407</v>
      </c>
    </row>
    <row r="24" spans="1:5" x14ac:dyDescent="0.25">
      <c r="A24" t="s">
        <v>7335</v>
      </c>
      <c r="B24">
        <v>0</v>
      </c>
      <c r="C24">
        <v>0</v>
      </c>
      <c r="D24" t="s">
        <v>7407</v>
      </c>
      <c r="E24" t="s">
        <v>7407</v>
      </c>
    </row>
    <row r="25" spans="1:5" x14ac:dyDescent="0.25">
      <c r="A25" t="s">
        <v>7336</v>
      </c>
      <c r="B25">
        <v>0</v>
      </c>
      <c r="C25">
        <v>0</v>
      </c>
      <c r="D25" t="s">
        <v>7407</v>
      </c>
      <c r="E25" t="s">
        <v>7407</v>
      </c>
    </row>
    <row r="26" spans="1:5" x14ac:dyDescent="0.25">
      <c r="A26" t="s">
        <v>7339</v>
      </c>
      <c r="B26">
        <v>0</v>
      </c>
      <c r="C26">
        <v>0</v>
      </c>
      <c r="D26" t="s">
        <v>7483</v>
      </c>
      <c r="E26" t="s">
        <v>7483</v>
      </c>
    </row>
    <row r="27" spans="1:5" x14ac:dyDescent="0.25">
      <c r="A27" t="s">
        <v>7375</v>
      </c>
      <c r="B27">
        <v>0</v>
      </c>
      <c r="C27">
        <v>0</v>
      </c>
      <c r="D27" t="s">
        <v>7408</v>
      </c>
      <c r="E27" t="s">
        <v>7408</v>
      </c>
    </row>
    <row r="28" spans="1:5" x14ac:dyDescent="0.25">
      <c r="A28" t="s">
        <v>7376</v>
      </c>
      <c r="B28">
        <v>0</v>
      </c>
      <c r="C28">
        <v>0</v>
      </c>
      <c r="D28" t="s">
        <v>7408</v>
      </c>
      <c r="E28" t="s">
        <v>7408</v>
      </c>
    </row>
    <row r="29" spans="1:5" x14ac:dyDescent="0.25">
      <c r="A29" t="s">
        <v>7377</v>
      </c>
      <c r="B29">
        <v>0</v>
      </c>
      <c r="C29">
        <v>0</v>
      </c>
      <c r="D29" t="s">
        <v>7407</v>
      </c>
      <c r="E29" t="s">
        <v>7407</v>
      </c>
    </row>
    <row r="30" spans="1:5" x14ac:dyDescent="0.25">
      <c r="A30" t="s">
        <v>7378</v>
      </c>
      <c r="B30">
        <v>0</v>
      </c>
      <c r="C30">
        <v>0</v>
      </c>
      <c r="D30" t="s">
        <v>7407</v>
      </c>
      <c r="E30" t="s">
        <v>7407</v>
      </c>
    </row>
    <row r="31" spans="1:5" x14ac:dyDescent="0.25">
      <c r="A31" t="s">
        <v>7379</v>
      </c>
      <c r="B31">
        <v>0</v>
      </c>
      <c r="C31">
        <v>0</v>
      </c>
      <c r="D31" t="s">
        <v>7407</v>
      </c>
      <c r="E31" t="s">
        <v>7407</v>
      </c>
    </row>
    <row r="32" spans="1:5" x14ac:dyDescent="0.25">
      <c r="A32" t="s">
        <v>7380</v>
      </c>
      <c r="B32">
        <v>0</v>
      </c>
      <c r="C32">
        <v>0</v>
      </c>
      <c r="D32" t="s">
        <v>7407</v>
      </c>
      <c r="E32" t="s">
        <v>7407</v>
      </c>
    </row>
    <row r="33" spans="1:5" x14ac:dyDescent="0.25">
      <c r="A33" t="s">
        <v>7381</v>
      </c>
      <c r="B33">
        <v>0</v>
      </c>
      <c r="C33">
        <v>0</v>
      </c>
      <c r="D33" t="s">
        <v>7407</v>
      </c>
      <c r="E33" t="s">
        <v>7407</v>
      </c>
    </row>
    <row r="34" spans="1:5" x14ac:dyDescent="0.25">
      <c r="A34" t="s">
        <v>8154</v>
      </c>
      <c r="B34">
        <v>0</v>
      </c>
      <c r="C34">
        <v>0</v>
      </c>
      <c r="D34" t="s">
        <v>7407</v>
      </c>
      <c r="E34" t="s">
        <v>7407</v>
      </c>
    </row>
    <row r="35" spans="1:5" x14ac:dyDescent="0.25">
      <c r="A35" t="s">
        <v>7382</v>
      </c>
      <c r="B35">
        <v>0</v>
      </c>
      <c r="C35">
        <v>0</v>
      </c>
      <c r="D35" t="s">
        <v>7407</v>
      </c>
      <c r="E35" t="s">
        <v>7407</v>
      </c>
    </row>
    <row r="36" spans="1:5" x14ac:dyDescent="0.25">
      <c r="A36" t="s">
        <v>7386</v>
      </c>
      <c r="B36">
        <v>0</v>
      </c>
      <c r="C36">
        <v>0</v>
      </c>
      <c r="D36" t="s">
        <v>7483</v>
      </c>
      <c r="E36" t="s">
        <v>7483</v>
      </c>
    </row>
    <row r="37" spans="1:5" x14ac:dyDescent="0.25">
      <c r="A37" t="s">
        <v>7388</v>
      </c>
      <c r="B37">
        <v>0</v>
      </c>
      <c r="C37">
        <v>0</v>
      </c>
      <c r="D37" t="s">
        <v>7407</v>
      </c>
      <c r="E37" t="s">
        <v>7407</v>
      </c>
    </row>
    <row r="38" spans="1:5" x14ac:dyDescent="0.25">
      <c r="A38" t="s">
        <v>7398</v>
      </c>
      <c r="B38">
        <v>0</v>
      </c>
      <c r="C38">
        <v>0</v>
      </c>
      <c r="D38" t="s">
        <v>7407</v>
      </c>
      <c r="E38" t="s">
        <v>7407</v>
      </c>
    </row>
    <row r="39" spans="1:5" x14ac:dyDescent="0.25">
      <c r="A39" t="s">
        <v>7423</v>
      </c>
      <c r="B39">
        <v>0</v>
      </c>
      <c r="C39">
        <v>0</v>
      </c>
      <c r="D39" t="s">
        <v>7424</v>
      </c>
      <c r="E39" t="s">
        <v>7424</v>
      </c>
    </row>
    <row r="40" spans="1:5" x14ac:dyDescent="0.25">
      <c r="A40" t="s">
        <v>7425</v>
      </c>
      <c r="B40">
        <v>0</v>
      </c>
      <c r="C40">
        <v>0</v>
      </c>
      <c r="D40" t="s">
        <v>7426</v>
      </c>
      <c r="E40" t="s">
        <v>7426</v>
      </c>
    </row>
    <row r="41" spans="1:5" x14ac:dyDescent="0.25">
      <c r="A41" t="s">
        <v>7427</v>
      </c>
      <c r="B41">
        <v>0</v>
      </c>
      <c r="C41">
        <v>0</v>
      </c>
      <c r="D41" t="s">
        <v>7424</v>
      </c>
      <c r="E41" t="s">
        <v>7424</v>
      </c>
    </row>
    <row r="42" spans="1:5" x14ac:dyDescent="0.25">
      <c r="A42" t="s">
        <v>7428</v>
      </c>
      <c r="B42">
        <v>0</v>
      </c>
      <c r="C42">
        <v>0</v>
      </c>
      <c r="D42" t="s">
        <v>7429</v>
      </c>
      <c r="E42" t="s">
        <v>7429</v>
      </c>
    </row>
    <row r="43" spans="1:5" x14ac:dyDescent="0.25">
      <c r="A43" t="s">
        <v>7430</v>
      </c>
      <c r="B43">
        <v>0</v>
      </c>
      <c r="C43">
        <v>0</v>
      </c>
      <c r="D43" t="s">
        <v>7431</v>
      </c>
      <c r="E43" t="s">
        <v>7431</v>
      </c>
    </row>
    <row r="44" spans="1:5" x14ac:dyDescent="0.25">
      <c r="A44" t="s">
        <v>7432</v>
      </c>
      <c r="B44">
        <v>0</v>
      </c>
      <c r="C44">
        <v>0</v>
      </c>
      <c r="D44" t="s">
        <v>7433</v>
      </c>
      <c r="E44" t="s">
        <v>7433</v>
      </c>
    </row>
    <row r="45" spans="1:5" x14ac:dyDescent="0.25">
      <c r="A45" t="s">
        <v>7434</v>
      </c>
      <c r="B45">
        <v>0</v>
      </c>
      <c r="C45">
        <v>0</v>
      </c>
      <c r="D45" t="s">
        <v>7435</v>
      </c>
      <c r="E45" t="s">
        <v>7435</v>
      </c>
    </row>
    <row r="46" spans="1:5" x14ac:dyDescent="0.25">
      <c r="A46" t="s">
        <v>7436</v>
      </c>
      <c r="B46">
        <v>0</v>
      </c>
      <c r="C46">
        <v>0</v>
      </c>
      <c r="D46" t="s">
        <v>7437</v>
      </c>
      <c r="E46" t="s">
        <v>7437</v>
      </c>
    </row>
    <row r="47" spans="1:5" x14ac:dyDescent="0.25">
      <c r="A47" t="s">
        <v>7438</v>
      </c>
      <c r="B47">
        <v>0</v>
      </c>
      <c r="C47">
        <v>0</v>
      </c>
      <c r="D47" t="s">
        <v>7439</v>
      </c>
      <c r="E47" t="s">
        <v>7439</v>
      </c>
    </row>
    <row r="48" spans="1:5" x14ac:dyDescent="0.25">
      <c r="A48" t="s">
        <v>7440</v>
      </c>
      <c r="B48">
        <v>0</v>
      </c>
      <c r="C48">
        <v>0</v>
      </c>
      <c r="D48" t="s">
        <v>7441</v>
      </c>
      <c r="E48" t="s">
        <v>7441</v>
      </c>
    </row>
    <row r="49" spans="1:5" x14ac:dyDescent="0.25">
      <c r="A49" t="s">
        <v>7442</v>
      </c>
      <c r="B49">
        <v>1</v>
      </c>
      <c r="C49">
        <v>50</v>
      </c>
      <c r="D49" t="s">
        <v>7443</v>
      </c>
      <c r="E49" t="s">
        <v>7766</v>
      </c>
    </row>
    <row r="50" spans="1:5" x14ac:dyDescent="0.25">
      <c r="A50" t="s">
        <v>7444</v>
      </c>
      <c r="B50">
        <v>0</v>
      </c>
      <c r="C50">
        <v>0</v>
      </c>
      <c r="D50" t="s">
        <v>7445</v>
      </c>
      <c r="E50" t="s">
        <v>7445</v>
      </c>
    </row>
    <row r="51" spans="1:5" x14ac:dyDescent="0.25">
      <c r="A51" t="s">
        <v>7446</v>
      </c>
      <c r="B51">
        <v>0</v>
      </c>
      <c r="C51">
        <v>0</v>
      </c>
      <c r="D51" t="s">
        <v>7447</v>
      </c>
      <c r="E51" t="s">
        <v>7447</v>
      </c>
    </row>
    <row r="52" spans="1:5" x14ac:dyDescent="0.25">
      <c r="A52" t="s">
        <v>7448</v>
      </c>
      <c r="B52">
        <v>0</v>
      </c>
      <c r="C52">
        <v>0</v>
      </c>
      <c r="D52" t="s">
        <v>7447</v>
      </c>
      <c r="E52" t="s">
        <v>7447</v>
      </c>
    </row>
    <row r="53" spans="1:5" x14ac:dyDescent="0.25">
      <c r="A53" t="s">
        <v>7449</v>
      </c>
      <c r="B53">
        <v>0</v>
      </c>
      <c r="C53">
        <v>0</v>
      </c>
      <c r="D53" t="s">
        <v>7450</v>
      </c>
      <c r="E53" t="s">
        <v>7450</v>
      </c>
    </row>
    <row r="54" spans="1:5" x14ac:dyDescent="0.25">
      <c r="A54" t="s">
        <v>7451</v>
      </c>
      <c r="B54">
        <v>0</v>
      </c>
      <c r="C54">
        <v>0</v>
      </c>
      <c r="D54" t="s">
        <v>7435</v>
      </c>
      <c r="E54" t="s">
        <v>7435</v>
      </c>
    </row>
    <row r="55" spans="1:5" x14ac:dyDescent="0.25">
      <c r="A55" t="s">
        <v>7452</v>
      </c>
      <c r="B55">
        <v>0</v>
      </c>
      <c r="C55">
        <v>0</v>
      </c>
      <c r="D55" t="s">
        <v>7435</v>
      </c>
      <c r="E55" t="s">
        <v>7435</v>
      </c>
    </row>
    <row r="56" spans="1:5" x14ac:dyDescent="0.25">
      <c r="A56" t="s">
        <v>7453</v>
      </c>
      <c r="B56">
        <v>0</v>
      </c>
      <c r="C56">
        <v>0</v>
      </c>
      <c r="D56" t="s">
        <v>7450</v>
      </c>
      <c r="E56" t="s">
        <v>7450</v>
      </c>
    </row>
    <row r="57" spans="1:5" x14ac:dyDescent="0.25">
      <c r="A57" t="s">
        <v>7454</v>
      </c>
      <c r="B57">
        <v>0</v>
      </c>
      <c r="C57">
        <v>0</v>
      </c>
      <c r="D57" t="s">
        <v>7455</v>
      </c>
      <c r="E57" t="s">
        <v>7455</v>
      </c>
    </row>
    <row r="58" spans="1:5" x14ac:dyDescent="0.25">
      <c r="A58" t="s">
        <v>7456</v>
      </c>
      <c r="B58">
        <v>0</v>
      </c>
      <c r="C58">
        <v>0</v>
      </c>
      <c r="D58" t="s">
        <v>7431</v>
      </c>
      <c r="E58" t="s">
        <v>7431</v>
      </c>
    </row>
    <row r="59" spans="1:5" x14ac:dyDescent="0.25">
      <c r="A59" t="s">
        <v>7457</v>
      </c>
      <c r="B59">
        <v>0</v>
      </c>
      <c r="C59">
        <v>0</v>
      </c>
      <c r="D59" t="s">
        <v>7437</v>
      </c>
      <c r="E59" t="s">
        <v>7437</v>
      </c>
    </row>
    <row r="60" spans="1:5" x14ac:dyDescent="0.25">
      <c r="A60" t="s">
        <v>7458</v>
      </c>
      <c r="B60">
        <v>0</v>
      </c>
      <c r="C60">
        <v>0</v>
      </c>
      <c r="D60" t="s">
        <v>7439</v>
      </c>
      <c r="E60" t="s">
        <v>7439</v>
      </c>
    </row>
    <row r="61" spans="1:5" x14ac:dyDescent="0.25">
      <c r="A61" t="s">
        <v>7459</v>
      </c>
      <c r="B61">
        <v>0</v>
      </c>
      <c r="C61">
        <v>0</v>
      </c>
      <c r="D61" t="s">
        <v>7441</v>
      </c>
      <c r="E61" t="s">
        <v>7441</v>
      </c>
    </row>
    <row r="62" spans="1:5" x14ac:dyDescent="0.25">
      <c r="A62" t="s">
        <v>7460</v>
      </c>
      <c r="B62">
        <v>0</v>
      </c>
      <c r="C62">
        <v>0</v>
      </c>
      <c r="D62" t="s">
        <v>7445</v>
      </c>
      <c r="E62" t="s">
        <v>7445</v>
      </c>
    </row>
    <row r="63" spans="1:5" x14ac:dyDescent="0.25">
      <c r="A63" t="s">
        <v>7461</v>
      </c>
      <c r="B63">
        <v>0</v>
      </c>
      <c r="C63">
        <v>0</v>
      </c>
      <c r="D63" t="s">
        <v>7475</v>
      </c>
      <c r="E63" t="s">
        <v>7475</v>
      </c>
    </row>
    <row r="64" spans="1:5" x14ac:dyDescent="0.25">
      <c r="A64" t="s">
        <v>7462</v>
      </c>
      <c r="B64">
        <v>1</v>
      </c>
      <c r="C64">
        <v>50</v>
      </c>
      <c r="D64" t="s">
        <v>7443</v>
      </c>
      <c r="E64" t="s">
        <v>7766</v>
      </c>
    </row>
    <row r="65" spans="1:5" x14ac:dyDescent="0.25">
      <c r="A65" t="s">
        <v>7463</v>
      </c>
      <c r="B65">
        <v>0</v>
      </c>
      <c r="C65">
        <v>0</v>
      </c>
      <c r="D65" t="s">
        <v>7429</v>
      </c>
      <c r="E65" t="s">
        <v>7429</v>
      </c>
    </row>
    <row r="66" spans="1:5" x14ac:dyDescent="0.25">
      <c r="A66" t="s">
        <v>7464</v>
      </c>
      <c r="B66">
        <v>0</v>
      </c>
      <c r="C66">
        <v>0</v>
      </c>
      <c r="D66" t="s">
        <v>7429</v>
      </c>
      <c r="E66" t="s">
        <v>7429</v>
      </c>
    </row>
    <row r="67" spans="1:5" x14ac:dyDescent="0.25">
      <c r="A67" t="s">
        <v>7465</v>
      </c>
      <c r="B67">
        <v>0</v>
      </c>
      <c r="C67">
        <v>0</v>
      </c>
      <c r="D67" t="s">
        <v>7439</v>
      </c>
      <c r="E67" t="s">
        <v>7439</v>
      </c>
    </row>
    <row r="68" spans="1:5" x14ac:dyDescent="0.25">
      <c r="A68" t="s">
        <v>7055</v>
      </c>
      <c r="B68">
        <v>1</v>
      </c>
      <c r="C68">
        <v>90</v>
      </c>
      <c r="D68" t="s">
        <v>7414</v>
      </c>
      <c r="E68" t="s">
        <v>67</v>
      </c>
    </row>
    <row r="69" spans="1:5" x14ac:dyDescent="0.25">
      <c r="A69" t="s">
        <v>7056</v>
      </c>
      <c r="B69">
        <v>1</v>
      </c>
      <c r="C69">
        <v>90</v>
      </c>
      <c r="D69" t="s">
        <v>7414</v>
      </c>
      <c r="E69" t="s">
        <v>67</v>
      </c>
    </row>
    <row r="70" spans="1:5" x14ac:dyDescent="0.25">
      <c r="A70" t="s">
        <v>7057</v>
      </c>
      <c r="B70">
        <v>0</v>
      </c>
      <c r="C70">
        <v>0</v>
      </c>
      <c r="D70" t="s">
        <v>7483</v>
      </c>
      <c r="E70" t="s">
        <v>7483</v>
      </c>
    </row>
    <row r="71" spans="1:5" x14ac:dyDescent="0.25">
      <c r="A71" t="s">
        <v>7058</v>
      </c>
      <c r="B71">
        <v>1</v>
      </c>
      <c r="C71">
        <v>90</v>
      </c>
      <c r="D71" t="s">
        <v>7414</v>
      </c>
      <c r="E71" t="s">
        <v>67</v>
      </c>
    </row>
    <row r="72" spans="1:5" x14ac:dyDescent="0.25">
      <c r="A72" t="s">
        <v>7059</v>
      </c>
      <c r="B72">
        <v>1</v>
      </c>
      <c r="C72">
        <v>90</v>
      </c>
      <c r="D72" t="s">
        <v>7414</v>
      </c>
      <c r="E72" t="s">
        <v>67</v>
      </c>
    </row>
    <row r="73" spans="1:5" x14ac:dyDescent="0.25">
      <c r="A73" t="s">
        <v>7060</v>
      </c>
      <c r="B73">
        <v>1</v>
      </c>
      <c r="C73">
        <v>90</v>
      </c>
      <c r="D73" t="s">
        <v>7414</v>
      </c>
      <c r="E73" t="s">
        <v>67</v>
      </c>
    </row>
    <row r="74" spans="1:5" x14ac:dyDescent="0.25">
      <c r="A74" t="s">
        <v>7062</v>
      </c>
      <c r="B74">
        <v>1</v>
      </c>
      <c r="C74">
        <v>90</v>
      </c>
      <c r="D74" t="s">
        <v>7414</v>
      </c>
      <c r="E74" t="s">
        <v>67</v>
      </c>
    </row>
    <row r="75" spans="1:5" x14ac:dyDescent="0.25">
      <c r="A75" t="s">
        <v>7063</v>
      </c>
      <c r="B75">
        <v>1</v>
      </c>
      <c r="C75">
        <v>90</v>
      </c>
      <c r="D75" t="s">
        <v>7414</v>
      </c>
      <c r="E75" t="s">
        <v>67</v>
      </c>
    </row>
    <row r="76" spans="1:5" x14ac:dyDescent="0.25">
      <c r="A76" t="s">
        <v>7064</v>
      </c>
      <c r="B76">
        <v>1</v>
      </c>
      <c r="C76">
        <v>90</v>
      </c>
      <c r="D76" t="s">
        <v>7414</v>
      </c>
      <c r="E76" t="s">
        <v>67</v>
      </c>
    </row>
    <row r="77" spans="1:5" x14ac:dyDescent="0.25">
      <c r="A77" t="s">
        <v>7065</v>
      </c>
      <c r="B77">
        <v>1</v>
      </c>
      <c r="C77">
        <v>90</v>
      </c>
      <c r="D77" t="s">
        <v>7414</v>
      </c>
      <c r="E77" t="s">
        <v>67</v>
      </c>
    </row>
    <row r="78" spans="1:5" x14ac:dyDescent="0.25">
      <c r="A78" t="s">
        <v>7066</v>
      </c>
      <c r="B78">
        <v>1</v>
      </c>
      <c r="C78">
        <v>90</v>
      </c>
      <c r="D78" t="s">
        <v>7414</v>
      </c>
      <c r="E78" t="s">
        <v>67</v>
      </c>
    </row>
    <row r="79" spans="1:5" x14ac:dyDescent="0.25">
      <c r="A79" t="s">
        <v>7067</v>
      </c>
      <c r="B79">
        <v>1</v>
      </c>
      <c r="C79">
        <v>90</v>
      </c>
      <c r="D79" t="s">
        <v>7414</v>
      </c>
      <c r="E79" t="s">
        <v>67</v>
      </c>
    </row>
    <row r="80" spans="1:5" x14ac:dyDescent="0.25">
      <c r="A80" t="s">
        <v>7068</v>
      </c>
      <c r="B80">
        <v>1</v>
      </c>
      <c r="C80">
        <v>90</v>
      </c>
      <c r="D80" t="s">
        <v>7414</v>
      </c>
      <c r="E80" t="s">
        <v>67</v>
      </c>
    </row>
    <row r="81" spans="1:5" x14ac:dyDescent="0.25">
      <c r="A81" t="s">
        <v>7069</v>
      </c>
      <c r="B81">
        <v>1</v>
      </c>
      <c r="C81">
        <v>90</v>
      </c>
      <c r="D81" t="s">
        <v>7414</v>
      </c>
      <c r="E81" t="s">
        <v>67</v>
      </c>
    </row>
    <row r="82" spans="1:5" x14ac:dyDescent="0.25">
      <c r="A82" t="s">
        <v>7070</v>
      </c>
      <c r="B82">
        <v>1</v>
      </c>
      <c r="C82">
        <v>90</v>
      </c>
      <c r="D82" t="s">
        <v>7414</v>
      </c>
      <c r="E82" t="s">
        <v>67</v>
      </c>
    </row>
    <row r="83" spans="1:5" x14ac:dyDescent="0.25">
      <c r="A83" t="s">
        <v>7071</v>
      </c>
      <c r="B83">
        <v>1</v>
      </c>
      <c r="C83">
        <v>90</v>
      </c>
      <c r="D83" t="s">
        <v>7414</v>
      </c>
      <c r="E83" t="s">
        <v>67</v>
      </c>
    </row>
    <row r="84" spans="1:5" x14ac:dyDescent="0.25">
      <c r="A84" t="s">
        <v>7072</v>
      </c>
      <c r="B84">
        <v>1</v>
      </c>
      <c r="C84">
        <v>90</v>
      </c>
      <c r="D84" t="s">
        <v>7414</v>
      </c>
      <c r="E84" t="s">
        <v>67</v>
      </c>
    </row>
    <row r="85" spans="1:5" x14ac:dyDescent="0.25">
      <c r="A85" t="s">
        <v>7073</v>
      </c>
      <c r="B85">
        <v>1</v>
      </c>
      <c r="C85">
        <v>90</v>
      </c>
      <c r="D85" t="s">
        <v>7414</v>
      </c>
      <c r="E85" t="s">
        <v>67</v>
      </c>
    </row>
    <row r="86" spans="1:5" x14ac:dyDescent="0.25">
      <c r="A86" t="s">
        <v>7074</v>
      </c>
      <c r="B86">
        <v>1</v>
      </c>
      <c r="C86">
        <v>90</v>
      </c>
      <c r="D86" t="s">
        <v>7414</v>
      </c>
      <c r="E86" t="s">
        <v>67</v>
      </c>
    </row>
    <row r="87" spans="1:5" x14ac:dyDescent="0.25">
      <c r="A87" t="s">
        <v>7075</v>
      </c>
      <c r="B87">
        <v>1</v>
      </c>
      <c r="C87">
        <v>90</v>
      </c>
      <c r="D87" t="s">
        <v>7414</v>
      </c>
      <c r="E87" t="s">
        <v>67</v>
      </c>
    </row>
    <row r="88" spans="1:5" x14ac:dyDescent="0.25">
      <c r="A88" t="s">
        <v>7076</v>
      </c>
      <c r="B88">
        <v>1</v>
      </c>
      <c r="C88">
        <v>90</v>
      </c>
      <c r="D88" t="s">
        <v>7414</v>
      </c>
      <c r="E88" t="s">
        <v>67</v>
      </c>
    </row>
    <row r="89" spans="1:5" x14ac:dyDescent="0.25">
      <c r="A89" t="s">
        <v>7077</v>
      </c>
      <c r="B89">
        <v>1</v>
      </c>
      <c r="C89">
        <v>90</v>
      </c>
      <c r="D89" t="s">
        <v>7414</v>
      </c>
      <c r="E89" t="s">
        <v>67</v>
      </c>
    </row>
    <row r="90" spans="1:5" x14ac:dyDescent="0.25">
      <c r="A90" t="s">
        <v>7078</v>
      </c>
      <c r="B90">
        <v>1</v>
      </c>
      <c r="C90">
        <v>90</v>
      </c>
      <c r="D90" t="s">
        <v>7414</v>
      </c>
      <c r="E90" t="s">
        <v>67</v>
      </c>
    </row>
    <row r="91" spans="1:5" x14ac:dyDescent="0.25">
      <c r="A91" t="s">
        <v>7079</v>
      </c>
      <c r="B91">
        <v>1</v>
      </c>
      <c r="C91">
        <v>90</v>
      </c>
      <c r="D91" t="s">
        <v>7414</v>
      </c>
      <c r="E91" t="s">
        <v>67</v>
      </c>
    </row>
    <row r="92" spans="1:5" x14ac:dyDescent="0.25">
      <c r="A92" t="s">
        <v>7080</v>
      </c>
      <c r="B92">
        <v>1</v>
      </c>
      <c r="C92">
        <v>90</v>
      </c>
      <c r="D92" t="s">
        <v>7414</v>
      </c>
      <c r="E92" t="s">
        <v>67</v>
      </c>
    </row>
    <row r="93" spans="1:5" x14ac:dyDescent="0.25">
      <c r="A93" t="s">
        <v>7081</v>
      </c>
      <c r="B93">
        <v>1</v>
      </c>
      <c r="C93">
        <v>90</v>
      </c>
      <c r="D93" t="s">
        <v>7414</v>
      </c>
      <c r="E93" t="s">
        <v>67</v>
      </c>
    </row>
    <row r="94" spans="1:5" x14ac:dyDescent="0.25">
      <c r="A94" t="s">
        <v>7082</v>
      </c>
      <c r="B94">
        <v>1</v>
      </c>
      <c r="C94">
        <v>90</v>
      </c>
      <c r="D94" t="s">
        <v>7414</v>
      </c>
      <c r="E94" t="s">
        <v>67</v>
      </c>
    </row>
    <row r="95" spans="1:5" x14ac:dyDescent="0.25">
      <c r="A95" t="s">
        <v>7083</v>
      </c>
      <c r="B95">
        <v>1</v>
      </c>
      <c r="C95">
        <v>90</v>
      </c>
      <c r="D95" t="s">
        <v>7414</v>
      </c>
      <c r="E95" t="s">
        <v>67</v>
      </c>
    </row>
    <row r="96" spans="1:5" x14ac:dyDescent="0.25">
      <c r="A96" t="s">
        <v>7084</v>
      </c>
      <c r="B96">
        <v>1</v>
      </c>
      <c r="C96">
        <v>90</v>
      </c>
      <c r="D96" t="s">
        <v>7414</v>
      </c>
      <c r="E96" t="s">
        <v>67</v>
      </c>
    </row>
    <row r="97" spans="1:5" x14ac:dyDescent="0.25">
      <c r="A97" t="s">
        <v>7085</v>
      </c>
      <c r="B97">
        <v>1</v>
      </c>
      <c r="C97">
        <v>90</v>
      </c>
      <c r="D97" t="s">
        <v>7414</v>
      </c>
      <c r="E97" t="s">
        <v>67</v>
      </c>
    </row>
    <row r="98" spans="1:5" x14ac:dyDescent="0.25">
      <c r="A98" t="s">
        <v>7086</v>
      </c>
      <c r="B98">
        <v>1</v>
      </c>
      <c r="C98">
        <v>90</v>
      </c>
      <c r="D98" t="s">
        <v>7414</v>
      </c>
      <c r="E98" t="s">
        <v>67</v>
      </c>
    </row>
    <row r="99" spans="1:5" x14ac:dyDescent="0.25">
      <c r="A99" t="s">
        <v>7087</v>
      </c>
      <c r="B99">
        <v>1</v>
      </c>
      <c r="C99">
        <v>90</v>
      </c>
      <c r="D99" t="s">
        <v>7414</v>
      </c>
      <c r="E99" t="s">
        <v>67</v>
      </c>
    </row>
    <row r="100" spans="1:5" x14ac:dyDescent="0.25">
      <c r="A100" t="s">
        <v>7089</v>
      </c>
      <c r="B100">
        <v>1</v>
      </c>
      <c r="C100">
        <v>90</v>
      </c>
      <c r="D100" t="s">
        <v>7414</v>
      </c>
      <c r="E100" t="s">
        <v>67</v>
      </c>
    </row>
    <row r="101" spans="1:5" x14ac:dyDescent="0.25">
      <c r="A101" t="s">
        <v>7090</v>
      </c>
      <c r="B101">
        <v>0</v>
      </c>
      <c r="C101">
        <v>0</v>
      </c>
      <c r="D101" t="s">
        <v>7407</v>
      </c>
      <c r="E101" t="s">
        <v>7407</v>
      </c>
    </row>
    <row r="102" spans="1:5" x14ac:dyDescent="0.25">
      <c r="A102" t="s">
        <v>7091</v>
      </c>
      <c r="B102">
        <v>1</v>
      </c>
      <c r="C102">
        <v>90</v>
      </c>
      <c r="D102" t="s">
        <v>7414</v>
      </c>
      <c r="E102" t="s">
        <v>67</v>
      </c>
    </row>
    <row r="103" spans="1:5" x14ac:dyDescent="0.25">
      <c r="A103" t="s">
        <v>7092</v>
      </c>
      <c r="B103">
        <v>0</v>
      </c>
      <c r="C103">
        <v>0</v>
      </c>
      <c r="D103" t="s">
        <v>7407</v>
      </c>
      <c r="E103" t="s">
        <v>7407</v>
      </c>
    </row>
    <row r="104" spans="1:5" x14ac:dyDescent="0.25">
      <c r="A104" t="s">
        <v>7093</v>
      </c>
      <c r="B104">
        <v>1</v>
      </c>
      <c r="C104">
        <v>90</v>
      </c>
      <c r="D104" t="s">
        <v>7414</v>
      </c>
      <c r="E104" t="s">
        <v>67</v>
      </c>
    </row>
    <row r="105" spans="1:5" x14ac:dyDescent="0.25">
      <c r="A105" t="s">
        <v>7094</v>
      </c>
      <c r="B105">
        <v>0</v>
      </c>
      <c r="C105">
        <v>0</v>
      </c>
      <c r="D105" t="s">
        <v>7407</v>
      </c>
      <c r="E105" t="s">
        <v>7407</v>
      </c>
    </row>
    <row r="106" spans="1:5" x14ac:dyDescent="0.25">
      <c r="A106" t="s">
        <v>7095</v>
      </c>
      <c r="B106">
        <v>1</v>
      </c>
      <c r="C106">
        <v>90</v>
      </c>
      <c r="D106" t="s">
        <v>7414</v>
      </c>
      <c r="E106" t="s">
        <v>67</v>
      </c>
    </row>
    <row r="107" spans="1:5" x14ac:dyDescent="0.25">
      <c r="A107" t="s">
        <v>7096</v>
      </c>
      <c r="B107">
        <v>1</v>
      </c>
      <c r="C107">
        <v>90</v>
      </c>
      <c r="D107" t="s">
        <v>7414</v>
      </c>
      <c r="E107" t="s">
        <v>67</v>
      </c>
    </row>
    <row r="108" spans="1:5" x14ac:dyDescent="0.25">
      <c r="A108" t="s">
        <v>7097</v>
      </c>
      <c r="B108">
        <v>1</v>
      </c>
      <c r="C108">
        <v>90</v>
      </c>
      <c r="D108" t="s">
        <v>7414</v>
      </c>
      <c r="E108" t="s">
        <v>67</v>
      </c>
    </row>
    <row r="109" spans="1:5" x14ac:dyDescent="0.25">
      <c r="A109" t="s">
        <v>7098</v>
      </c>
      <c r="B109">
        <v>1</v>
      </c>
      <c r="C109">
        <v>90</v>
      </c>
      <c r="D109" t="s">
        <v>7414</v>
      </c>
      <c r="E109" t="s">
        <v>67</v>
      </c>
    </row>
    <row r="110" spans="1:5" x14ac:dyDescent="0.25">
      <c r="A110" t="s">
        <v>7099</v>
      </c>
      <c r="B110">
        <v>1</v>
      </c>
      <c r="C110">
        <v>90</v>
      </c>
      <c r="D110" t="s">
        <v>7414</v>
      </c>
      <c r="E110" t="s">
        <v>67</v>
      </c>
    </row>
    <row r="111" spans="1:5" x14ac:dyDescent="0.25">
      <c r="A111" t="s">
        <v>7100</v>
      </c>
      <c r="B111">
        <v>1</v>
      </c>
      <c r="C111">
        <v>90</v>
      </c>
      <c r="D111" t="s">
        <v>7414</v>
      </c>
      <c r="E111" t="s">
        <v>67</v>
      </c>
    </row>
    <row r="112" spans="1:5" x14ac:dyDescent="0.25">
      <c r="A112" t="s">
        <v>7101</v>
      </c>
      <c r="B112">
        <v>0</v>
      </c>
      <c r="C112">
        <v>0</v>
      </c>
      <c r="D112" t="s">
        <v>7483</v>
      </c>
      <c r="E112" t="s">
        <v>7483</v>
      </c>
    </row>
    <row r="113" spans="1:5" x14ac:dyDescent="0.25">
      <c r="A113" t="s">
        <v>7102</v>
      </c>
      <c r="B113">
        <v>1</v>
      </c>
      <c r="C113">
        <v>90</v>
      </c>
      <c r="D113" t="s">
        <v>7414</v>
      </c>
      <c r="E113" t="s">
        <v>67</v>
      </c>
    </row>
    <row r="114" spans="1:5" x14ac:dyDescent="0.25">
      <c r="A114" t="s">
        <v>7103</v>
      </c>
      <c r="B114">
        <v>1</v>
      </c>
      <c r="C114">
        <v>90</v>
      </c>
      <c r="D114" t="s">
        <v>7414</v>
      </c>
      <c r="E114" t="s">
        <v>67</v>
      </c>
    </row>
    <row r="115" spans="1:5" x14ac:dyDescent="0.25">
      <c r="A115" t="s">
        <v>7105</v>
      </c>
      <c r="B115">
        <v>1</v>
      </c>
      <c r="C115">
        <v>90</v>
      </c>
      <c r="D115" t="s">
        <v>7414</v>
      </c>
      <c r="E115" t="s">
        <v>67</v>
      </c>
    </row>
    <row r="116" spans="1:5" x14ac:dyDescent="0.25">
      <c r="A116" t="s">
        <v>7106</v>
      </c>
      <c r="B116">
        <v>0</v>
      </c>
      <c r="C116">
        <v>0</v>
      </c>
      <c r="D116" t="s">
        <v>7407</v>
      </c>
      <c r="E116" t="s">
        <v>7407</v>
      </c>
    </row>
    <row r="117" spans="1:5" x14ac:dyDescent="0.25">
      <c r="A117" t="s">
        <v>7107</v>
      </c>
      <c r="B117">
        <v>1</v>
      </c>
      <c r="C117">
        <v>90</v>
      </c>
      <c r="D117" t="s">
        <v>7414</v>
      </c>
      <c r="E117" t="s">
        <v>67</v>
      </c>
    </row>
    <row r="118" spans="1:5" x14ac:dyDescent="0.25">
      <c r="A118" t="s">
        <v>7109</v>
      </c>
      <c r="B118">
        <v>1</v>
      </c>
      <c r="C118">
        <v>90</v>
      </c>
      <c r="D118" t="s">
        <v>7414</v>
      </c>
      <c r="E118" t="s">
        <v>67</v>
      </c>
    </row>
    <row r="119" spans="1:5" x14ac:dyDescent="0.25">
      <c r="A119" t="s">
        <v>7111</v>
      </c>
      <c r="B119">
        <v>1</v>
      </c>
      <c r="C119">
        <v>90</v>
      </c>
      <c r="D119" t="s">
        <v>7414</v>
      </c>
      <c r="E119" t="s">
        <v>67</v>
      </c>
    </row>
    <row r="120" spans="1:5" x14ac:dyDescent="0.25">
      <c r="A120" t="s">
        <v>7112</v>
      </c>
      <c r="B120">
        <v>1</v>
      </c>
      <c r="C120">
        <v>90</v>
      </c>
      <c r="D120" t="s">
        <v>7414</v>
      </c>
      <c r="E120" t="s">
        <v>67</v>
      </c>
    </row>
    <row r="121" spans="1:5" x14ac:dyDescent="0.25">
      <c r="A121" t="s">
        <v>7113</v>
      </c>
      <c r="B121">
        <v>1</v>
      </c>
      <c r="C121">
        <v>90</v>
      </c>
      <c r="D121" t="s">
        <v>7414</v>
      </c>
      <c r="E121" t="s">
        <v>67</v>
      </c>
    </row>
    <row r="122" spans="1:5" x14ac:dyDescent="0.25">
      <c r="A122" t="s">
        <v>7114</v>
      </c>
      <c r="B122">
        <v>1</v>
      </c>
      <c r="C122">
        <v>90</v>
      </c>
      <c r="D122" t="s">
        <v>7414</v>
      </c>
      <c r="E122" t="s">
        <v>67</v>
      </c>
    </row>
    <row r="123" spans="1:5" x14ac:dyDescent="0.25">
      <c r="A123" t="s">
        <v>7115</v>
      </c>
      <c r="B123">
        <v>1</v>
      </c>
      <c r="C123">
        <v>90</v>
      </c>
      <c r="D123" t="s">
        <v>7414</v>
      </c>
      <c r="E123" t="s">
        <v>67</v>
      </c>
    </row>
    <row r="124" spans="1:5" x14ac:dyDescent="0.25">
      <c r="A124" t="s">
        <v>7116</v>
      </c>
      <c r="B124">
        <v>1</v>
      </c>
      <c r="C124">
        <v>90</v>
      </c>
      <c r="D124" t="s">
        <v>7414</v>
      </c>
      <c r="E124" t="s">
        <v>67</v>
      </c>
    </row>
    <row r="125" spans="1:5" x14ac:dyDescent="0.25">
      <c r="A125" t="s">
        <v>7117</v>
      </c>
      <c r="B125">
        <v>1</v>
      </c>
      <c r="C125">
        <v>90</v>
      </c>
      <c r="D125" t="s">
        <v>7414</v>
      </c>
      <c r="E125" t="s">
        <v>67</v>
      </c>
    </row>
    <row r="126" spans="1:5" x14ac:dyDescent="0.25">
      <c r="A126" t="s">
        <v>7118</v>
      </c>
      <c r="B126">
        <v>1</v>
      </c>
      <c r="C126">
        <v>90</v>
      </c>
      <c r="D126" t="s">
        <v>7414</v>
      </c>
      <c r="E126" t="s">
        <v>67</v>
      </c>
    </row>
    <row r="127" spans="1:5" x14ac:dyDescent="0.25">
      <c r="A127" t="s">
        <v>7120</v>
      </c>
      <c r="B127">
        <v>1</v>
      </c>
      <c r="C127">
        <v>90</v>
      </c>
      <c r="D127" t="s">
        <v>7414</v>
      </c>
      <c r="E127" t="s">
        <v>67</v>
      </c>
    </row>
    <row r="128" spans="1:5" x14ac:dyDescent="0.25">
      <c r="A128" t="s">
        <v>7121</v>
      </c>
      <c r="B128">
        <v>1</v>
      </c>
      <c r="C128">
        <v>90</v>
      </c>
      <c r="D128" t="s">
        <v>7414</v>
      </c>
      <c r="E128" t="s">
        <v>67</v>
      </c>
    </row>
    <row r="129" spans="1:5" x14ac:dyDescent="0.25">
      <c r="A129" t="s">
        <v>7122</v>
      </c>
      <c r="B129">
        <v>1</v>
      </c>
      <c r="C129">
        <v>90</v>
      </c>
      <c r="D129" t="s">
        <v>7414</v>
      </c>
      <c r="E129" t="s">
        <v>67</v>
      </c>
    </row>
    <row r="130" spans="1:5" x14ac:dyDescent="0.25">
      <c r="A130" t="s">
        <v>7123</v>
      </c>
      <c r="B130">
        <v>1</v>
      </c>
      <c r="C130">
        <v>90</v>
      </c>
      <c r="D130" t="s">
        <v>7414</v>
      </c>
      <c r="E130" t="s">
        <v>67</v>
      </c>
    </row>
    <row r="131" spans="1:5" x14ac:dyDescent="0.25">
      <c r="A131" t="s">
        <v>7124</v>
      </c>
      <c r="B131">
        <v>1</v>
      </c>
      <c r="C131">
        <v>90</v>
      </c>
      <c r="D131" t="s">
        <v>7414</v>
      </c>
      <c r="E131" t="s">
        <v>67</v>
      </c>
    </row>
    <row r="132" spans="1:5" x14ac:dyDescent="0.25">
      <c r="A132" t="s">
        <v>7125</v>
      </c>
      <c r="B132">
        <v>1</v>
      </c>
      <c r="C132">
        <v>90</v>
      </c>
      <c r="D132" t="s">
        <v>7414</v>
      </c>
      <c r="E132" t="s">
        <v>67</v>
      </c>
    </row>
    <row r="133" spans="1:5" x14ac:dyDescent="0.25">
      <c r="A133" t="s">
        <v>7126</v>
      </c>
      <c r="B133">
        <v>1</v>
      </c>
      <c r="C133">
        <v>90</v>
      </c>
      <c r="D133" t="s">
        <v>7414</v>
      </c>
      <c r="E133" t="s">
        <v>67</v>
      </c>
    </row>
    <row r="134" spans="1:5" x14ac:dyDescent="0.25">
      <c r="A134" t="s">
        <v>7127</v>
      </c>
      <c r="B134">
        <v>1</v>
      </c>
      <c r="C134">
        <v>90</v>
      </c>
      <c r="D134" t="s">
        <v>7414</v>
      </c>
      <c r="E134" t="s">
        <v>67</v>
      </c>
    </row>
    <row r="135" spans="1:5" x14ac:dyDescent="0.25">
      <c r="A135" t="s">
        <v>7128</v>
      </c>
      <c r="B135">
        <v>1</v>
      </c>
      <c r="C135">
        <v>90</v>
      </c>
      <c r="D135" t="s">
        <v>7414</v>
      </c>
      <c r="E135" t="s">
        <v>67</v>
      </c>
    </row>
    <row r="136" spans="1:5" x14ac:dyDescent="0.25">
      <c r="A136" t="s">
        <v>7129</v>
      </c>
      <c r="B136">
        <v>1</v>
      </c>
      <c r="C136">
        <v>90</v>
      </c>
      <c r="D136" t="s">
        <v>7414</v>
      </c>
      <c r="E136" t="s">
        <v>67</v>
      </c>
    </row>
    <row r="137" spans="1:5" x14ac:dyDescent="0.25">
      <c r="A137" t="s">
        <v>7130</v>
      </c>
      <c r="B137">
        <v>1</v>
      </c>
      <c r="C137">
        <v>90</v>
      </c>
      <c r="D137" t="s">
        <v>7414</v>
      </c>
      <c r="E137" t="s">
        <v>67</v>
      </c>
    </row>
    <row r="138" spans="1:5" x14ac:dyDescent="0.25">
      <c r="A138" t="s">
        <v>7131</v>
      </c>
      <c r="B138">
        <v>1</v>
      </c>
      <c r="C138">
        <v>90</v>
      </c>
      <c r="D138" t="s">
        <v>7414</v>
      </c>
      <c r="E138" t="s">
        <v>67</v>
      </c>
    </row>
    <row r="139" spans="1:5" x14ac:dyDescent="0.25">
      <c r="A139" t="s">
        <v>7132</v>
      </c>
      <c r="B139">
        <v>1</v>
      </c>
      <c r="C139">
        <v>90</v>
      </c>
      <c r="D139" t="s">
        <v>7414</v>
      </c>
      <c r="E139" t="s">
        <v>67</v>
      </c>
    </row>
    <row r="140" spans="1:5" x14ac:dyDescent="0.25">
      <c r="A140" t="s">
        <v>7133</v>
      </c>
      <c r="B140">
        <v>1</v>
      </c>
      <c r="C140">
        <v>90</v>
      </c>
      <c r="D140" t="s">
        <v>7414</v>
      </c>
      <c r="E140" t="s">
        <v>67</v>
      </c>
    </row>
    <row r="141" spans="1:5" x14ac:dyDescent="0.25">
      <c r="A141" t="s">
        <v>7134</v>
      </c>
      <c r="B141">
        <v>1</v>
      </c>
      <c r="C141">
        <v>90</v>
      </c>
      <c r="D141" t="s">
        <v>7414</v>
      </c>
      <c r="E141" t="s">
        <v>67</v>
      </c>
    </row>
    <row r="142" spans="1:5" x14ac:dyDescent="0.25">
      <c r="A142" t="s">
        <v>7135</v>
      </c>
      <c r="B142">
        <v>1</v>
      </c>
      <c r="C142">
        <v>90</v>
      </c>
      <c r="D142" t="s">
        <v>7414</v>
      </c>
      <c r="E142" t="s">
        <v>67</v>
      </c>
    </row>
    <row r="143" spans="1:5" x14ac:dyDescent="0.25">
      <c r="A143" t="s">
        <v>7136</v>
      </c>
      <c r="B143">
        <v>1</v>
      </c>
      <c r="C143">
        <v>90</v>
      </c>
      <c r="D143" t="s">
        <v>7414</v>
      </c>
      <c r="E143" t="s">
        <v>67</v>
      </c>
    </row>
    <row r="144" spans="1:5" x14ac:dyDescent="0.25">
      <c r="A144" t="s">
        <v>7137</v>
      </c>
      <c r="B144">
        <v>1</v>
      </c>
      <c r="C144">
        <v>90</v>
      </c>
      <c r="D144" t="s">
        <v>7414</v>
      </c>
      <c r="E144" t="s">
        <v>67</v>
      </c>
    </row>
    <row r="145" spans="1:5" x14ac:dyDescent="0.25">
      <c r="A145" t="s">
        <v>7138</v>
      </c>
      <c r="B145">
        <v>0</v>
      </c>
      <c r="C145">
        <v>0</v>
      </c>
      <c r="D145" t="s">
        <v>7483</v>
      </c>
      <c r="E145" t="s">
        <v>7483</v>
      </c>
    </row>
    <row r="146" spans="1:5" x14ac:dyDescent="0.25">
      <c r="A146" t="s">
        <v>7139</v>
      </c>
      <c r="B146">
        <v>1</v>
      </c>
      <c r="C146">
        <v>90</v>
      </c>
      <c r="D146" t="s">
        <v>7414</v>
      </c>
      <c r="E146" t="s">
        <v>67</v>
      </c>
    </row>
    <row r="147" spans="1:5" x14ac:dyDescent="0.25">
      <c r="A147" t="s">
        <v>7141</v>
      </c>
      <c r="B147">
        <v>1</v>
      </c>
      <c r="C147">
        <v>90</v>
      </c>
      <c r="D147" t="s">
        <v>7414</v>
      </c>
      <c r="E147" t="s">
        <v>67</v>
      </c>
    </row>
    <row r="148" spans="1:5" x14ac:dyDescent="0.25">
      <c r="A148" t="s">
        <v>7142</v>
      </c>
      <c r="B148">
        <v>1</v>
      </c>
      <c r="C148">
        <v>90</v>
      </c>
      <c r="D148" t="s">
        <v>7414</v>
      </c>
      <c r="E148" t="s">
        <v>67</v>
      </c>
    </row>
    <row r="149" spans="1:5" x14ac:dyDescent="0.25">
      <c r="A149" t="s">
        <v>7143</v>
      </c>
      <c r="B149">
        <v>1</v>
      </c>
      <c r="C149">
        <v>90</v>
      </c>
      <c r="D149" t="s">
        <v>7414</v>
      </c>
      <c r="E149" t="s">
        <v>67</v>
      </c>
    </row>
    <row r="150" spans="1:5" x14ac:dyDescent="0.25">
      <c r="A150" t="s">
        <v>7144</v>
      </c>
      <c r="B150">
        <v>1</v>
      </c>
      <c r="C150">
        <v>90</v>
      </c>
      <c r="D150" t="s">
        <v>7414</v>
      </c>
      <c r="E150" t="s">
        <v>67</v>
      </c>
    </row>
    <row r="151" spans="1:5" x14ac:dyDescent="0.25">
      <c r="A151" t="s">
        <v>7145</v>
      </c>
      <c r="B151">
        <v>1</v>
      </c>
      <c r="C151">
        <v>90</v>
      </c>
      <c r="D151" t="s">
        <v>7414</v>
      </c>
      <c r="E151" t="s">
        <v>67</v>
      </c>
    </row>
    <row r="152" spans="1:5" x14ac:dyDescent="0.25">
      <c r="A152" t="s">
        <v>7146</v>
      </c>
      <c r="B152">
        <v>1</v>
      </c>
      <c r="C152">
        <v>90</v>
      </c>
      <c r="D152" t="s">
        <v>7414</v>
      </c>
      <c r="E152" t="s">
        <v>67</v>
      </c>
    </row>
    <row r="153" spans="1:5" x14ac:dyDescent="0.25">
      <c r="A153" t="s">
        <v>7147</v>
      </c>
      <c r="B153">
        <v>1</v>
      </c>
      <c r="C153">
        <v>90</v>
      </c>
      <c r="D153" t="s">
        <v>7414</v>
      </c>
      <c r="E153" t="s">
        <v>67</v>
      </c>
    </row>
    <row r="154" spans="1:5" x14ac:dyDescent="0.25">
      <c r="A154" t="s">
        <v>7148</v>
      </c>
      <c r="B154">
        <v>1</v>
      </c>
      <c r="C154">
        <v>90</v>
      </c>
      <c r="D154" t="s">
        <v>7414</v>
      </c>
      <c r="E154" t="s">
        <v>67</v>
      </c>
    </row>
    <row r="155" spans="1:5" x14ac:dyDescent="0.25">
      <c r="A155" t="s">
        <v>7149</v>
      </c>
      <c r="B155">
        <v>1</v>
      </c>
      <c r="C155">
        <v>90</v>
      </c>
      <c r="D155" t="s">
        <v>7414</v>
      </c>
      <c r="E155" t="s">
        <v>67</v>
      </c>
    </row>
    <row r="156" spans="1:5" x14ac:dyDescent="0.25">
      <c r="A156" t="s">
        <v>7150</v>
      </c>
      <c r="B156">
        <v>1</v>
      </c>
      <c r="C156">
        <v>90</v>
      </c>
      <c r="D156" t="s">
        <v>7414</v>
      </c>
      <c r="E156" t="s">
        <v>67</v>
      </c>
    </row>
    <row r="157" spans="1:5" x14ac:dyDescent="0.25">
      <c r="A157" t="s">
        <v>7151</v>
      </c>
      <c r="B157">
        <v>1</v>
      </c>
      <c r="C157">
        <v>90</v>
      </c>
      <c r="D157" t="s">
        <v>7414</v>
      </c>
      <c r="E157" t="s">
        <v>67</v>
      </c>
    </row>
    <row r="158" spans="1:5" x14ac:dyDescent="0.25">
      <c r="A158" t="s">
        <v>7152</v>
      </c>
      <c r="B158">
        <v>1</v>
      </c>
      <c r="C158">
        <v>90</v>
      </c>
      <c r="D158" t="s">
        <v>7414</v>
      </c>
      <c r="E158" t="s">
        <v>67</v>
      </c>
    </row>
    <row r="159" spans="1:5" x14ac:dyDescent="0.25">
      <c r="A159" t="s">
        <v>7153</v>
      </c>
      <c r="B159">
        <v>1</v>
      </c>
      <c r="C159">
        <v>90</v>
      </c>
      <c r="D159" t="s">
        <v>7414</v>
      </c>
      <c r="E159" t="s">
        <v>67</v>
      </c>
    </row>
    <row r="160" spans="1:5" x14ac:dyDescent="0.25">
      <c r="A160" t="s">
        <v>7154</v>
      </c>
      <c r="B160">
        <v>1</v>
      </c>
      <c r="C160">
        <v>90</v>
      </c>
      <c r="D160" t="s">
        <v>7414</v>
      </c>
      <c r="E160" t="s">
        <v>67</v>
      </c>
    </row>
    <row r="161" spans="1:5" x14ac:dyDescent="0.25">
      <c r="A161" t="s">
        <v>7155</v>
      </c>
      <c r="B161">
        <v>1</v>
      </c>
      <c r="C161">
        <v>90</v>
      </c>
      <c r="D161" t="s">
        <v>7414</v>
      </c>
      <c r="E161" t="s">
        <v>67</v>
      </c>
    </row>
    <row r="162" spans="1:5" x14ac:dyDescent="0.25">
      <c r="A162" t="s">
        <v>7156</v>
      </c>
      <c r="B162">
        <v>1</v>
      </c>
      <c r="C162">
        <v>90</v>
      </c>
      <c r="D162" t="s">
        <v>7414</v>
      </c>
      <c r="E162" t="s">
        <v>67</v>
      </c>
    </row>
    <row r="163" spans="1:5" x14ac:dyDescent="0.25">
      <c r="A163" t="s">
        <v>7157</v>
      </c>
      <c r="B163">
        <v>1</v>
      </c>
      <c r="C163">
        <v>90</v>
      </c>
      <c r="D163" t="s">
        <v>7414</v>
      </c>
      <c r="E163" t="s">
        <v>67</v>
      </c>
    </row>
    <row r="164" spans="1:5" x14ac:dyDescent="0.25">
      <c r="A164" t="s">
        <v>7158</v>
      </c>
      <c r="B164">
        <v>1</v>
      </c>
      <c r="C164">
        <v>90</v>
      </c>
      <c r="D164" t="s">
        <v>7414</v>
      </c>
      <c r="E164" t="s">
        <v>67</v>
      </c>
    </row>
    <row r="165" spans="1:5" x14ac:dyDescent="0.25">
      <c r="A165" t="s">
        <v>7159</v>
      </c>
      <c r="B165">
        <v>1</v>
      </c>
      <c r="C165">
        <v>90</v>
      </c>
      <c r="D165" t="s">
        <v>7414</v>
      </c>
      <c r="E165" t="s">
        <v>67</v>
      </c>
    </row>
    <row r="166" spans="1:5" x14ac:dyDescent="0.25">
      <c r="A166" t="s">
        <v>7160</v>
      </c>
      <c r="B166">
        <v>1</v>
      </c>
      <c r="C166">
        <v>90</v>
      </c>
      <c r="D166" t="s">
        <v>7414</v>
      </c>
      <c r="E166" t="s">
        <v>67</v>
      </c>
    </row>
    <row r="167" spans="1:5" x14ac:dyDescent="0.25">
      <c r="A167" t="s">
        <v>7161</v>
      </c>
      <c r="B167">
        <v>1</v>
      </c>
      <c r="C167">
        <v>90</v>
      </c>
      <c r="D167" t="s">
        <v>7414</v>
      </c>
      <c r="E167" t="s">
        <v>67</v>
      </c>
    </row>
    <row r="168" spans="1:5" x14ac:dyDescent="0.25">
      <c r="A168" t="s">
        <v>7162</v>
      </c>
      <c r="B168">
        <v>1</v>
      </c>
      <c r="C168">
        <v>90</v>
      </c>
      <c r="D168" t="s">
        <v>7414</v>
      </c>
      <c r="E168" t="s">
        <v>67</v>
      </c>
    </row>
    <row r="169" spans="1:5" x14ac:dyDescent="0.25">
      <c r="A169" t="s">
        <v>7163</v>
      </c>
      <c r="B169">
        <v>1</v>
      </c>
      <c r="C169">
        <v>90</v>
      </c>
      <c r="D169" t="s">
        <v>7414</v>
      </c>
      <c r="E169" t="s">
        <v>67</v>
      </c>
    </row>
    <row r="170" spans="1:5" x14ac:dyDescent="0.25">
      <c r="A170" t="s">
        <v>7164</v>
      </c>
      <c r="B170">
        <v>1</v>
      </c>
      <c r="C170">
        <v>90</v>
      </c>
      <c r="D170" t="s">
        <v>7414</v>
      </c>
      <c r="E170" t="s">
        <v>67</v>
      </c>
    </row>
    <row r="171" spans="1:5" x14ac:dyDescent="0.25">
      <c r="A171" t="s">
        <v>7165</v>
      </c>
      <c r="B171">
        <v>1</v>
      </c>
      <c r="C171">
        <v>90</v>
      </c>
      <c r="D171" t="s">
        <v>7414</v>
      </c>
      <c r="E171" t="s">
        <v>67</v>
      </c>
    </row>
    <row r="172" spans="1:5" x14ac:dyDescent="0.25">
      <c r="A172" t="s">
        <v>7166</v>
      </c>
      <c r="B172">
        <v>1</v>
      </c>
      <c r="C172">
        <v>90</v>
      </c>
      <c r="D172" t="s">
        <v>7414</v>
      </c>
      <c r="E172" t="s">
        <v>67</v>
      </c>
    </row>
    <row r="173" spans="1:5" x14ac:dyDescent="0.25">
      <c r="A173" t="s">
        <v>7167</v>
      </c>
      <c r="B173">
        <v>1</v>
      </c>
      <c r="C173">
        <v>90</v>
      </c>
      <c r="D173" t="s">
        <v>7414</v>
      </c>
      <c r="E173" t="s">
        <v>67</v>
      </c>
    </row>
    <row r="174" spans="1:5" x14ac:dyDescent="0.25">
      <c r="A174" t="s">
        <v>7168</v>
      </c>
      <c r="B174">
        <v>1</v>
      </c>
      <c r="C174">
        <v>90</v>
      </c>
      <c r="D174" t="s">
        <v>7414</v>
      </c>
      <c r="E174" t="s">
        <v>67</v>
      </c>
    </row>
    <row r="175" spans="1:5" x14ac:dyDescent="0.25">
      <c r="A175" t="s">
        <v>7169</v>
      </c>
      <c r="B175">
        <v>1</v>
      </c>
      <c r="C175">
        <v>90</v>
      </c>
      <c r="D175" t="s">
        <v>7414</v>
      </c>
      <c r="E175" t="s">
        <v>67</v>
      </c>
    </row>
    <row r="176" spans="1:5" x14ac:dyDescent="0.25">
      <c r="A176" t="s">
        <v>7170</v>
      </c>
      <c r="B176">
        <v>1</v>
      </c>
      <c r="C176">
        <v>90</v>
      </c>
      <c r="D176" t="s">
        <v>7414</v>
      </c>
      <c r="E176" t="s">
        <v>67</v>
      </c>
    </row>
    <row r="177" spans="1:5" x14ac:dyDescent="0.25">
      <c r="A177" t="s">
        <v>7171</v>
      </c>
      <c r="B177">
        <v>1</v>
      </c>
      <c r="C177">
        <v>90</v>
      </c>
      <c r="D177" t="s">
        <v>7414</v>
      </c>
      <c r="E177" t="s">
        <v>67</v>
      </c>
    </row>
    <row r="178" spans="1:5" x14ac:dyDescent="0.25">
      <c r="A178" t="s">
        <v>7172</v>
      </c>
      <c r="B178">
        <v>1</v>
      </c>
      <c r="C178">
        <v>90</v>
      </c>
      <c r="D178" t="s">
        <v>7414</v>
      </c>
      <c r="E178" t="s">
        <v>67</v>
      </c>
    </row>
    <row r="179" spans="1:5" x14ac:dyDescent="0.25">
      <c r="A179" t="s">
        <v>7173</v>
      </c>
      <c r="B179">
        <v>1</v>
      </c>
      <c r="C179">
        <v>90</v>
      </c>
      <c r="D179" t="s">
        <v>7414</v>
      </c>
      <c r="E179" t="s">
        <v>67</v>
      </c>
    </row>
    <row r="180" spans="1:5" x14ac:dyDescent="0.25">
      <c r="A180" t="s">
        <v>7174</v>
      </c>
      <c r="B180">
        <v>1</v>
      </c>
      <c r="C180">
        <v>90</v>
      </c>
      <c r="D180" t="s">
        <v>7414</v>
      </c>
      <c r="E180" t="s">
        <v>67</v>
      </c>
    </row>
    <row r="181" spans="1:5" x14ac:dyDescent="0.25">
      <c r="A181" t="s">
        <v>7175</v>
      </c>
      <c r="B181">
        <v>1</v>
      </c>
      <c r="C181">
        <v>90</v>
      </c>
      <c r="D181" t="s">
        <v>7414</v>
      </c>
      <c r="E181" t="s">
        <v>67</v>
      </c>
    </row>
    <row r="182" spans="1:5" x14ac:dyDescent="0.25">
      <c r="A182" t="s">
        <v>7176</v>
      </c>
      <c r="B182">
        <v>1</v>
      </c>
      <c r="C182">
        <v>90</v>
      </c>
      <c r="D182" t="s">
        <v>7414</v>
      </c>
      <c r="E182" t="s">
        <v>67</v>
      </c>
    </row>
    <row r="183" spans="1:5" x14ac:dyDescent="0.25">
      <c r="A183" t="s">
        <v>7177</v>
      </c>
      <c r="B183">
        <v>1</v>
      </c>
      <c r="C183">
        <v>90</v>
      </c>
      <c r="D183" t="s">
        <v>7414</v>
      </c>
      <c r="E183" t="s">
        <v>67</v>
      </c>
    </row>
    <row r="184" spans="1:5" x14ac:dyDescent="0.25">
      <c r="A184" t="s">
        <v>7178</v>
      </c>
      <c r="B184">
        <v>1</v>
      </c>
      <c r="C184">
        <v>90</v>
      </c>
      <c r="D184" t="s">
        <v>7414</v>
      </c>
      <c r="E184" t="s">
        <v>67</v>
      </c>
    </row>
    <row r="185" spans="1:5" x14ac:dyDescent="0.25">
      <c r="A185" t="s">
        <v>7179</v>
      </c>
      <c r="B185">
        <v>1</v>
      </c>
      <c r="C185">
        <v>90</v>
      </c>
      <c r="D185" t="s">
        <v>7414</v>
      </c>
      <c r="E185" t="s">
        <v>67</v>
      </c>
    </row>
    <row r="186" spans="1:5" x14ac:dyDescent="0.25">
      <c r="A186" t="s">
        <v>7180</v>
      </c>
      <c r="B186">
        <v>1</v>
      </c>
      <c r="C186">
        <v>90</v>
      </c>
      <c r="D186" t="s">
        <v>7414</v>
      </c>
      <c r="E186" t="s">
        <v>67</v>
      </c>
    </row>
    <row r="187" spans="1:5" x14ac:dyDescent="0.25">
      <c r="A187" t="s">
        <v>7181</v>
      </c>
      <c r="B187">
        <v>1</v>
      </c>
      <c r="C187">
        <v>90</v>
      </c>
      <c r="D187" t="s">
        <v>7414</v>
      </c>
      <c r="E187" t="s">
        <v>67</v>
      </c>
    </row>
    <row r="188" spans="1:5" x14ac:dyDescent="0.25">
      <c r="A188" t="s">
        <v>7182</v>
      </c>
      <c r="B188">
        <v>1</v>
      </c>
      <c r="C188">
        <v>90</v>
      </c>
      <c r="D188" t="s">
        <v>7414</v>
      </c>
      <c r="E188" t="s">
        <v>67</v>
      </c>
    </row>
    <row r="189" spans="1:5" x14ac:dyDescent="0.25">
      <c r="A189" t="s">
        <v>7183</v>
      </c>
      <c r="B189">
        <v>1</v>
      </c>
      <c r="C189">
        <v>90</v>
      </c>
      <c r="D189" t="s">
        <v>7414</v>
      </c>
      <c r="E189" t="s">
        <v>67</v>
      </c>
    </row>
    <row r="190" spans="1:5" x14ac:dyDescent="0.25">
      <c r="A190" t="s">
        <v>7184</v>
      </c>
      <c r="B190">
        <v>1</v>
      </c>
      <c r="C190">
        <v>90</v>
      </c>
      <c r="D190" t="s">
        <v>7414</v>
      </c>
      <c r="E190" t="s">
        <v>67</v>
      </c>
    </row>
    <row r="191" spans="1:5" x14ac:dyDescent="0.25">
      <c r="A191" t="s">
        <v>7185</v>
      </c>
      <c r="B191">
        <v>1</v>
      </c>
      <c r="C191">
        <v>90</v>
      </c>
      <c r="D191" t="s">
        <v>7414</v>
      </c>
      <c r="E191" t="s">
        <v>67</v>
      </c>
    </row>
    <row r="192" spans="1:5" x14ac:dyDescent="0.25">
      <c r="A192" t="s">
        <v>7186</v>
      </c>
      <c r="B192">
        <v>1</v>
      </c>
      <c r="C192">
        <v>90</v>
      </c>
      <c r="D192" t="s">
        <v>7414</v>
      </c>
      <c r="E192" t="s">
        <v>67</v>
      </c>
    </row>
    <row r="193" spans="1:5" x14ac:dyDescent="0.25">
      <c r="A193" t="s">
        <v>7187</v>
      </c>
      <c r="B193">
        <v>1</v>
      </c>
      <c r="C193">
        <v>90</v>
      </c>
      <c r="D193" t="s">
        <v>7414</v>
      </c>
      <c r="E193" t="s">
        <v>67</v>
      </c>
    </row>
    <row r="194" spans="1:5" x14ac:dyDescent="0.25">
      <c r="A194" t="s">
        <v>7188</v>
      </c>
      <c r="B194">
        <v>1</v>
      </c>
      <c r="C194">
        <v>90</v>
      </c>
      <c r="D194" t="s">
        <v>7414</v>
      </c>
      <c r="E194" t="s">
        <v>67</v>
      </c>
    </row>
    <row r="195" spans="1:5" x14ac:dyDescent="0.25">
      <c r="A195" t="s">
        <v>7189</v>
      </c>
      <c r="B195">
        <v>1</v>
      </c>
      <c r="C195">
        <v>90</v>
      </c>
      <c r="D195" t="s">
        <v>7414</v>
      </c>
      <c r="E195" t="s">
        <v>67</v>
      </c>
    </row>
    <row r="196" spans="1:5" x14ac:dyDescent="0.25">
      <c r="A196" t="s">
        <v>7190</v>
      </c>
      <c r="B196">
        <v>1</v>
      </c>
      <c r="C196">
        <v>90</v>
      </c>
      <c r="D196" t="s">
        <v>7414</v>
      </c>
      <c r="E196" t="s">
        <v>67</v>
      </c>
    </row>
    <row r="197" spans="1:5" x14ac:dyDescent="0.25">
      <c r="A197" t="s">
        <v>7191</v>
      </c>
      <c r="B197">
        <v>1</v>
      </c>
      <c r="C197">
        <v>90</v>
      </c>
      <c r="D197" t="s">
        <v>7414</v>
      </c>
      <c r="E197" t="s">
        <v>67</v>
      </c>
    </row>
    <row r="198" spans="1:5" x14ac:dyDescent="0.25">
      <c r="A198" t="s">
        <v>7192</v>
      </c>
      <c r="B198">
        <v>1</v>
      </c>
      <c r="C198">
        <v>90</v>
      </c>
      <c r="D198" t="s">
        <v>7414</v>
      </c>
      <c r="E198" t="s">
        <v>67</v>
      </c>
    </row>
    <row r="199" spans="1:5" x14ac:dyDescent="0.25">
      <c r="A199" t="s">
        <v>7193</v>
      </c>
      <c r="B199">
        <v>1</v>
      </c>
      <c r="C199">
        <v>90</v>
      </c>
      <c r="D199" t="s">
        <v>7414</v>
      </c>
      <c r="E199" t="s">
        <v>67</v>
      </c>
    </row>
    <row r="200" spans="1:5" x14ac:dyDescent="0.25">
      <c r="A200" t="s">
        <v>7194</v>
      </c>
      <c r="B200">
        <v>1</v>
      </c>
      <c r="C200">
        <v>90</v>
      </c>
      <c r="D200" t="s">
        <v>7414</v>
      </c>
      <c r="E200" t="s">
        <v>67</v>
      </c>
    </row>
    <row r="201" spans="1:5" x14ac:dyDescent="0.25">
      <c r="A201" t="s">
        <v>7195</v>
      </c>
      <c r="B201">
        <v>1</v>
      </c>
      <c r="C201">
        <v>90</v>
      </c>
      <c r="D201" t="s">
        <v>7414</v>
      </c>
      <c r="E201" t="s">
        <v>67</v>
      </c>
    </row>
    <row r="202" spans="1:5" x14ac:dyDescent="0.25">
      <c r="A202" t="s">
        <v>7196</v>
      </c>
      <c r="B202">
        <v>1</v>
      </c>
      <c r="C202">
        <v>90</v>
      </c>
      <c r="D202" t="s">
        <v>7414</v>
      </c>
      <c r="E202" t="s">
        <v>67</v>
      </c>
    </row>
    <row r="203" spans="1:5" x14ac:dyDescent="0.25">
      <c r="A203" t="s">
        <v>7197</v>
      </c>
      <c r="B203">
        <v>1</v>
      </c>
      <c r="C203">
        <v>90</v>
      </c>
      <c r="D203" t="s">
        <v>7414</v>
      </c>
      <c r="E203" t="s">
        <v>67</v>
      </c>
    </row>
    <row r="204" spans="1:5" x14ac:dyDescent="0.25">
      <c r="A204" t="s">
        <v>7198</v>
      </c>
      <c r="B204">
        <v>1</v>
      </c>
      <c r="C204">
        <v>90</v>
      </c>
      <c r="D204" t="s">
        <v>7414</v>
      </c>
      <c r="E204" t="s">
        <v>67</v>
      </c>
    </row>
    <row r="205" spans="1:5" x14ac:dyDescent="0.25">
      <c r="A205" t="s">
        <v>7199</v>
      </c>
      <c r="B205">
        <v>1</v>
      </c>
      <c r="C205">
        <v>90</v>
      </c>
      <c r="D205" t="s">
        <v>7414</v>
      </c>
      <c r="E205" t="s">
        <v>67</v>
      </c>
    </row>
    <row r="206" spans="1:5" x14ac:dyDescent="0.25">
      <c r="A206" t="s">
        <v>7200</v>
      </c>
      <c r="B206">
        <v>1</v>
      </c>
      <c r="C206">
        <v>90</v>
      </c>
      <c r="D206" t="s">
        <v>7414</v>
      </c>
      <c r="E206" t="s">
        <v>67</v>
      </c>
    </row>
    <row r="207" spans="1:5" x14ac:dyDescent="0.25">
      <c r="A207" t="s">
        <v>7201</v>
      </c>
      <c r="B207">
        <v>1</v>
      </c>
      <c r="C207">
        <v>90</v>
      </c>
      <c r="D207" t="s">
        <v>7414</v>
      </c>
      <c r="E207" t="s">
        <v>67</v>
      </c>
    </row>
    <row r="208" spans="1:5" x14ac:dyDescent="0.25">
      <c r="A208" t="s">
        <v>7202</v>
      </c>
      <c r="B208">
        <v>1</v>
      </c>
      <c r="C208">
        <v>90</v>
      </c>
      <c r="D208" t="s">
        <v>7414</v>
      </c>
      <c r="E208" t="s">
        <v>67</v>
      </c>
    </row>
    <row r="209" spans="1:5" x14ac:dyDescent="0.25">
      <c r="A209" t="s">
        <v>7203</v>
      </c>
      <c r="B209">
        <v>1</v>
      </c>
      <c r="C209">
        <v>90</v>
      </c>
      <c r="D209" t="s">
        <v>7414</v>
      </c>
      <c r="E209" t="s">
        <v>67</v>
      </c>
    </row>
    <row r="210" spans="1:5" x14ac:dyDescent="0.25">
      <c r="A210" t="s">
        <v>7204</v>
      </c>
      <c r="B210">
        <v>1</v>
      </c>
      <c r="C210">
        <v>90</v>
      </c>
      <c r="D210" t="s">
        <v>7414</v>
      </c>
      <c r="E210" t="s">
        <v>67</v>
      </c>
    </row>
    <row r="211" spans="1:5" x14ac:dyDescent="0.25">
      <c r="A211" t="s">
        <v>7205</v>
      </c>
      <c r="B211">
        <v>1</v>
      </c>
      <c r="C211">
        <v>90</v>
      </c>
      <c r="D211" t="s">
        <v>7414</v>
      </c>
      <c r="E211" t="s">
        <v>67</v>
      </c>
    </row>
    <row r="212" spans="1:5" x14ac:dyDescent="0.25">
      <c r="A212" t="s">
        <v>7206</v>
      </c>
      <c r="B212">
        <v>1</v>
      </c>
      <c r="C212">
        <v>90</v>
      </c>
      <c r="D212" t="s">
        <v>7414</v>
      </c>
      <c r="E212" t="s">
        <v>67</v>
      </c>
    </row>
    <row r="213" spans="1:5" x14ac:dyDescent="0.25">
      <c r="A213" t="s">
        <v>7208</v>
      </c>
      <c r="B213">
        <v>1</v>
      </c>
      <c r="C213">
        <v>90</v>
      </c>
      <c r="D213" t="s">
        <v>7414</v>
      </c>
      <c r="E213" t="s">
        <v>67</v>
      </c>
    </row>
    <row r="214" spans="1:5" x14ac:dyDescent="0.25">
      <c r="A214" t="s">
        <v>7209</v>
      </c>
      <c r="B214">
        <v>1</v>
      </c>
      <c r="C214">
        <v>90</v>
      </c>
      <c r="D214" t="s">
        <v>7414</v>
      </c>
      <c r="E214" t="s">
        <v>67</v>
      </c>
    </row>
    <row r="215" spans="1:5" x14ac:dyDescent="0.25">
      <c r="A215" t="s">
        <v>7210</v>
      </c>
      <c r="B215">
        <v>1</v>
      </c>
      <c r="C215">
        <v>90</v>
      </c>
      <c r="D215" t="s">
        <v>7414</v>
      </c>
      <c r="E215" t="s">
        <v>67</v>
      </c>
    </row>
    <row r="216" spans="1:5" x14ac:dyDescent="0.25">
      <c r="A216" t="s">
        <v>7211</v>
      </c>
      <c r="B216">
        <v>1</v>
      </c>
      <c r="C216">
        <v>90</v>
      </c>
      <c r="D216" t="s">
        <v>7414</v>
      </c>
      <c r="E216" t="s">
        <v>67</v>
      </c>
    </row>
    <row r="217" spans="1:5" x14ac:dyDescent="0.25">
      <c r="A217" t="s">
        <v>7212</v>
      </c>
      <c r="B217">
        <v>1</v>
      </c>
      <c r="C217">
        <v>90</v>
      </c>
      <c r="D217" t="s">
        <v>7414</v>
      </c>
      <c r="E217" t="s">
        <v>67</v>
      </c>
    </row>
    <row r="218" spans="1:5" x14ac:dyDescent="0.25">
      <c r="A218" t="s">
        <v>7213</v>
      </c>
      <c r="B218">
        <v>1</v>
      </c>
      <c r="C218">
        <v>90</v>
      </c>
      <c r="D218" t="s">
        <v>7414</v>
      </c>
      <c r="E218" t="s">
        <v>67</v>
      </c>
    </row>
    <row r="219" spans="1:5" x14ac:dyDescent="0.25">
      <c r="A219" t="s">
        <v>7214</v>
      </c>
      <c r="B219">
        <v>1</v>
      </c>
      <c r="C219">
        <v>90</v>
      </c>
      <c r="D219" t="s">
        <v>7414</v>
      </c>
      <c r="E219" t="s">
        <v>67</v>
      </c>
    </row>
    <row r="220" spans="1:5" x14ac:dyDescent="0.25">
      <c r="A220" t="s">
        <v>7215</v>
      </c>
      <c r="B220">
        <v>1</v>
      </c>
      <c r="C220">
        <v>90</v>
      </c>
      <c r="D220" t="s">
        <v>7414</v>
      </c>
      <c r="E220" t="s">
        <v>67</v>
      </c>
    </row>
    <row r="221" spans="1:5" x14ac:dyDescent="0.25">
      <c r="A221" t="s">
        <v>7216</v>
      </c>
      <c r="B221">
        <v>1</v>
      </c>
      <c r="C221">
        <v>90</v>
      </c>
      <c r="D221" t="s">
        <v>7414</v>
      </c>
      <c r="E221" t="s">
        <v>67</v>
      </c>
    </row>
    <row r="222" spans="1:5" x14ac:dyDescent="0.25">
      <c r="A222" t="s">
        <v>7217</v>
      </c>
      <c r="B222">
        <v>1</v>
      </c>
      <c r="C222">
        <v>90</v>
      </c>
      <c r="D222" t="s">
        <v>7414</v>
      </c>
      <c r="E222" t="s">
        <v>67</v>
      </c>
    </row>
    <row r="223" spans="1:5" x14ac:dyDescent="0.25">
      <c r="A223" t="s">
        <v>7218</v>
      </c>
      <c r="B223">
        <v>1</v>
      </c>
      <c r="C223">
        <v>90</v>
      </c>
      <c r="D223" t="s">
        <v>7414</v>
      </c>
      <c r="E223" t="s">
        <v>67</v>
      </c>
    </row>
    <row r="224" spans="1:5" x14ac:dyDescent="0.25">
      <c r="A224" t="s">
        <v>7219</v>
      </c>
      <c r="B224">
        <v>1</v>
      </c>
      <c r="C224">
        <v>90</v>
      </c>
      <c r="D224" t="s">
        <v>7414</v>
      </c>
      <c r="E224" t="s">
        <v>67</v>
      </c>
    </row>
    <row r="225" spans="1:5" x14ac:dyDescent="0.25">
      <c r="A225" t="s">
        <v>7220</v>
      </c>
      <c r="B225">
        <v>1</v>
      </c>
      <c r="C225">
        <v>90</v>
      </c>
      <c r="D225" t="s">
        <v>7414</v>
      </c>
      <c r="E225" t="s">
        <v>67</v>
      </c>
    </row>
    <row r="226" spans="1:5" x14ac:dyDescent="0.25">
      <c r="A226" t="s">
        <v>7221</v>
      </c>
      <c r="B226">
        <v>1</v>
      </c>
      <c r="C226">
        <v>90</v>
      </c>
      <c r="D226" t="s">
        <v>7414</v>
      </c>
      <c r="E226" t="s">
        <v>67</v>
      </c>
    </row>
    <row r="227" spans="1:5" x14ac:dyDescent="0.25">
      <c r="A227" t="s">
        <v>7222</v>
      </c>
      <c r="B227">
        <v>1</v>
      </c>
      <c r="C227">
        <v>90</v>
      </c>
      <c r="D227" t="s">
        <v>7414</v>
      </c>
      <c r="E227" t="s">
        <v>67</v>
      </c>
    </row>
    <row r="228" spans="1:5" x14ac:dyDescent="0.25">
      <c r="A228" t="s">
        <v>7223</v>
      </c>
      <c r="B228">
        <v>1</v>
      </c>
      <c r="C228">
        <v>90</v>
      </c>
      <c r="D228" t="s">
        <v>7414</v>
      </c>
      <c r="E228" t="s">
        <v>67</v>
      </c>
    </row>
    <row r="229" spans="1:5" x14ac:dyDescent="0.25">
      <c r="A229" t="s">
        <v>7224</v>
      </c>
      <c r="B229">
        <v>1</v>
      </c>
      <c r="C229">
        <v>90</v>
      </c>
      <c r="D229" t="s">
        <v>7414</v>
      </c>
      <c r="E229" t="s">
        <v>67</v>
      </c>
    </row>
    <row r="230" spans="1:5" x14ac:dyDescent="0.25">
      <c r="A230" t="s">
        <v>7225</v>
      </c>
      <c r="B230">
        <v>1</v>
      </c>
      <c r="C230">
        <v>90</v>
      </c>
      <c r="D230" t="s">
        <v>7414</v>
      </c>
      <c r="E230" t="s">
        <v>67</v>
      </c>
    </row>
    <row r="231" spans="1:5" x14ac:dyDescent="0.25">
      <c r="A231" t="s">
        <v>7226</v>
      </c>
      <c r="B231">
        <v>1</v>
      </c>
      <c r="C231">
        <v>90</v>
      </c>
      <c r="D231" t="s">
        <v>7414</v>
      </c>
      <c r="E231" t="s">
        <v>67</v>
      </c>
    </row>
    <row r="232" spans="1:5" x14ac:dyDescent="0.25">
      <c r="A232" t="s">
        <v>7227</v>
      </c>
      <c r="B232">
        <v>1</v>
      </c>
      <c r="C232">
        <v>90</v>
      </c>
      <c r="D232" t="s">
        <v>7414</v>
      </c>
      <c r="E232" t="s">
        <v>67</v>
      </c>
    </row>
    <row r="233" spans="1:5" x14ac:dyDescent="0.25">
      <c r="A233" t="s">
        <v>7228</v>
      </c>
      <c r="B233">
        <v>1</v>
      </c>
      <c r="C233">
        <v>90</v>
      </c>
      <c r="D233" t="s">
        <v>7414</v>
      </c>
      <c r="E233" t="s">
        <v>67</v>
      </c>
    </row>
    <row r="234" spans="1:5" x14ac:dyDescent="0.25">
      <c r="A234" t="s">
        <v>7229</v>
      </c>
      <c r="B234">
        <v>1</v>
      </c>
      <c r="C234">
        <v>90</v>
      </c>
      <c r="D234" t="s">
        <v>7414</v>
      </c>
      <c r="E234" t="s">
        <v>67</v>
      </c>
    </row>
    <row r="235" spans="1:5" x14ac:dyDescent="0.25">
      <c r="A235" t="s">
        <v>7230</v>
      </c>
      <c r="B235">
        <v>1</v>
      </c>
      <c r="C235">
        <v>90</v>
      </c>
      <c r="D235" t="s">
        <v>7414</v>
      </c>
      <c r="E235" t="s">
        <v>67</v>
      </c>
    </row>
    <row r="236" spans="1:5" x14ac:dyDescent="0.25">
      <c r="A236" t="s">
        <v>7231</v>
      </c>
      <c r="B236">
        <v>1</v>
      </c>
      <c r="C236">
        <v>90</v>
      </c>
      <c r="D236" t="s">
        <v>7414</v>
      </c>
      <c r="E236" t="s">
        <v>67</v>
      </c>
    </row>
    <row r="237" spans="1:5" x14ac:dyDescent="0.25">
      <c r="A237" t="s">
        <v>7232</v>
      </c>
      <c r="B237">
        <v>1</v>
      </c>
      <c r="C237">
        <v>90</v>
      </c>
      <c r="D237" t="s">
        <v>7414</v>
      </c>
      <c r="E237" t="s">
        <v>67</v>
      </c>
    </row>
    <row r="238" spans="1:5" x14ac:dyDescent="0.25">
      <c r="A238" t="s">
        <v>7233</v>
      </c>
      <c r="B238">
        <v>1</v>
      </c>
      <c r="C238">
        <v>90</v>
      </c>
      <c r="D238" t="s">
        <v>7414</v>
      </c>
      <c r="E238" t="s">
        <v>67</v>
      </c>
    </row>
    <row r="239" spans="1:5" x14ac:dyDescent="0.25">
      <c r="A239" t="s">
        <v>7234</v>
      </c>
      <c r="B239">
        <v>1</v>
      </c>
      <c r="C239">
        <v>90</v>
      </c>
      <c r="D239" t="s">
        <v>7414</v>
      </c>
      <c r="E239" t="s">
        <v>67</v>
      </c>
    </row>
    <row r="240" spans="1:5" x14ac:dyDescent="0.25">
      <c r="A240" t="s">
        <v>7235</v>
      </c>
      <c r="B240">
        <v>1</v>
      </c>
      <c r="C240">
        <v>90</v>
      </c>
      <c r="D240" t="s">
        <v>7414</v>
      </c>
      <c r="E240" t="s">
        <v>67</v>
      </c>
    </row>
    <row r="241" spans="1:5" x14ac:dyDescent="0.25">
      <c r="A241" t="s">
        <v>7236</v>
      </c>
      <c r="B241">
        <v>1</v>
      </c>
      <c r="C241">
        <v>90</v>
      </c>
      <c r="D241" t="s">
        <v>7414</v>
      </c>
      <c r="E241" t="s">
        <v>67</v>
      </c>
    </row>
    <row r="242" spans="1:5" x14ac:dyDescent="0.25">
      <c r="A242" t="s">
        <v>7237</v>
      </c>
      <c r="B242">
        <v>1</v>
      </c>
      <c r="C242">
        <v>90</v>
      </c>
      <c r="D242" t="s">
        <v>7414</v>
      </c>
      <c r="E242" t="s">
        <v>67</v>
      </c>
    </row>
    <row r="243" spans="1:5" x14ac:dyDescent="0.25">
      <c r="A243" t="s">
        <v>7238</v>
      </c>
      <c r="B243">
        <v>1</v>
      </c>
      <c r="C243">
        <v>90</v>
      </c>
      <c r="D243" t="s">
        <v>7414</v>
      </c>
      <c r="E243" t="s">
        <v>67</v>
      </c>
    </row>
    <row r="244" spans="1:5" x14ac:dyDescent="0.25">
      <c r="A244" t="s">
        <v>7239</v>
      </c>
      <c r="B244">
        <v>1</v>
      </c>
      <c r="C244">
        <v>90</v>
      </c>
      <c r="D244" t="s">
        <v>7414</v>
      </c>
      <c r="E244" t="s">
        <v>67</v>
      </c>
    </row>
    <row r="245" spans="1:5" x14ac:dyDescent="0.25">
      <c r="A245" t="s">
        <v>7240</v>
      </c>
      <c r="B245">
        <v>1</v>
      </c>
      <c r="C245">
        <v>90</v>
      </c>
      <c r="D245" t="s">
        <v>7414</v>
      </c>
      <c r="E245" t="s">
        <v>67</v>
      </c>
    </row>
    <row r="246" spans="1:5" x14ac:dyDescent="0.25">
      <c r="A246" t="s">
        <v>7241</v>
      </c>
      <c r="B246">
        <v>1</v>
      </c>
      <c r="C246">
        <v>90</v>
      </c>
      <c r="D246" t="s">
        <v>7414</v>
      </c>
      <c r="E246" t="s">
        <v>67</v>
      </c>
    </row>
    <row r="247" spans="1:5" x14ac:dyDescent="0.25">
      <c r="A247" t="s">
        <v>7243</v>
      </c>
      <c r="B247">
        <v>1</v>
      </c>
      <c r="C247">
        <v>90</v>
      </c>
      <c r="D247" t="s">
        <v>7414</v>
      </c>
      <c r="E247" t="s">
        <v>67</v>
      </c>
    </row>
    <row r="248" spans="1:5" x14ac:dyDescent="0.25">
      <c r="A248" t="s">
        <v>7244</v>
      </c>
      <c r="B248">
        <v>1</v>
      </c>
      <c r="C248">
        <v>90</v>
      </c>
      <c r="D248" t="s">
        <v>7414</v>
      </c>
      <c r="E248" t="s">
        <v>67</v>
      </c>
    </row>
    <row r="249" spans="1:5" x14ac:dyDescent="0.25">
      <c r="A249" t="s">
        <v>7246</v>
      </c>
      <c r="B249">
        <v>1</v>
      </c>
      <c r="C249">
        <v>90</v>
      </c>
      <c r="D249" t="s">
        <v>7414</v>
      </c>
      <c r="E249" t="s">
        <v>67</v>
      </c>
    </row>
    <row r="250" spans="1:5" x14ac:dyDescent="0.25">
      <c r="A250" t="s">
        <v>7247</v>
      </c>
      <c r="B250">
        <v>1</v>
      </c>
      <c r="C250">
        <v>90</v>
      </c>
      <c r="D250" t="s">
        <v>7414</v>
      </c>
      <c r="E250" t="s">
        <v>67</v>
      </c>
    </row>
    <row r="251" spans="1:5" x14ac:dyDescent="0.25">
      <c r="A251" t="s">
        <v>7248</v>
      </c>
      <c r="B251">
        <v>1</v>
      </c>
      <c r="C251">
        <v>90</v>
      </c>
      <c r="D251" t="s">
        <v>7414</v>
      </c>
      <c r="E251" t="s">
        <v>67</v>
      </c>
    </row>
    <row r="252" spans="1:5" x14ac:dyDescent="0.25">
      <c r="A252" t="s">
        <v>7249</v>
      </c>
      <c r="B252">
        <v>1</v>
      </c>
      <c r="C252">
        <v>90</v>
      </c>
      <c r="D252" t="s">
        <v>7414</v>
      </c>
      <c r="E252" t="s">
        <v>67</v>
      </c>
    </row>
    <row r="253" spans="1:5" x14ac:dyDescent="0.25">
      <c r="A253" t="s">
        <v>7250</v>
      </c>
      <c r="B253">
        <v>1</v>
      </c>
      <c r="C253">
        <v>90</v>
      </c>
      <c r="D253" t="s">
        <v>7414</v>
      </c>
      <c r="E253" t="s">
        <v>67</v>
      </c>
    </row>
    <row r="254" spans="1:5" x14ac:dyDescent="0.25">
      <c r="A254" t="s">
        <v>7251</v>
      </c>
      <c r="B254">
        <v>1</v>
      </c>
      <c r="C254">
        <v>90</v>
      </c>
      <c r="D254" t="s">
        <v>7414</v>
      </c>
      <c r="E254" t="s">
        <v>67</v>
      </c>
    </row>
    <row r="255" spans="1:5" x14ac:dyDescent="0.25">
      <c r="A255" t="s">
        <v>7252</v>
      </c>
      <c r="B255">
        <v>1</v>
      </c>
      <c r="C255">
        <v>90</v>
      </c>
      <c r="D255" t="s">
        <v>7414</v>
      </c>
      <c r="E255" t="s">
        <v>67</v>
      </c>
    </row>
    <row r="256" spans="1:5" x14ac:dyDescent="0.25">
      <c r="A256" t="s">
        <v>7253</v>
      </c>
      <c r="B256">
        <v>0</v>
      </c>
      <c r="C256">
        <v>0</v>
      </c>
      <c r="D256" t="s">
        <v>7410</v>
      </c>
      <c r="E256" t="s">
        <v>7410</v>
      </c>
    </row>
    <row r="257" spans="1:5" x14ac:dyDescent="0.25">
      <c r="A257" t="s">
        <v>7254</v>
      </c>
      <c r="B257">
        <v>1</v>
      </c>
      <c r="C257">
        <v>90</v>
      </c>
      <c r="D257" t="s">
        <v>7414</v>
      </c>
      <c r="E257" t="s">
        <v>67</v>
      </c>
    </row>
    <row r="258" spans="1:5" x14ac:dyDescent="0.25">
      <c r="A258" t="s">
        <v>7255</v>
      </c>
      <c r="B258">
        <v>1</v>
      </c>
      <c r="C258">
        <v>90</v>
      </c>
      <c r="D258" t="s">
        <v>7414</v>
      </c>
      <c r="E258" t="s">
        <v>67</v>
      </c>
    </row>
    <row r="259" spans="1:5" x14ac:dyDescent="0.25">
      <c r="A259" t="s">
        <v>7256</v>
      </c>
      <c r="B259">
        <v>1</v>
      </c>
      <c r="C259">
        <v>90</v>
      </c>
      <c r="D259" t="s">
        <v>7414</v>
      </c>
      <c r="E259" t="s">
        <v>67</v>
      </c>
    </row>
    <row r="260" spans="1:5" x14ac:dyDescent="0.25">
      <c r="A260" t="s">
        <v>7257</v>
      </c>
      <c r="B260">
        <v>1</v>
      </c>
      <c r="C260">
        <v>90</v>
      </c>
      <c r="D260" t="s">
        <v>7414</v>
      </c>
      <c r="E260" t="s">
        <v>67</v>
      </c>
    </row>
    <row r="261" spans="1:5" x14ac:dyDescent="0.25">
      <c r="A261" t="s">
        <v>7258</v>
      </c>
      <c r="B261">
        <v>1</v>
      </c>
      <c r="C261">
        <v>90</v>
      </c>
      <c r="D261" t="s">
        <v>7414</v>
      </c>
      <c r="E261" t="s">
        <v>67</v>
      </c>
    </row>
    <row r="262" spans="1:5" x14ac:dyDescent="0.25">
      <c r="A262" t="s">
        <v>7259</v>
      </c>
      <c r="B262">
        <v>0</v>
      </c>
      <c r="C262">
        <v>0</v>
      </c>
      <c r="D262" t="s">
        <v>7407</v>
      </c>
      <c r="E262" t="s">
        <v>7407</v>
      </c>
    </row>
    <row r="263" spans="1:5" x14ac:dyDescent="0.25">
      <c r="A263" t="s">
        <v>7260</v>
      </c>
      <c r="B263">
        <v>1</v>
      </c>
      <c r="C263">
        <v>90</v>
      </c>
      <c r="D263" t="s">
        <v>7414</v>
      </c>
      <c r="E263" t="s">
        <v>67</v>
      </c>
    </row>
    <row r="264" spans="1:5" x14ac:dyDescent="0.25">
      <c r="A264" t="s">
        <v>7262</v>
      </c>
      <c r="B264">
        <v>1</v>
      </c>
      <c r="C264">
        <v>90</v>
      </c>
      <c r="D264" t="s">
        <v>7414</v>
      </c>
      <c r="E264" t="s">
        <v>67</v>
      </c>
    </row>
    <row r="265" spans="1:5" x14ac:dyDescent="0.25">
      <c r="A265" t="s">
        <v>7263</v>
      </c>
      <c r="B265">
        <v>0</v>
      </c>
      <c r="C265">
        <v>0</v>
      </c>
      <c r="D265" t="s">
        <v>7410</v>
      </c>
      <c r="E265" t="s">
        <v>7410</v>
      </c>
    </row>
    <row r="266" spans="1:5" x14ac:dyDescent="0.25">
      <c r="A266" t="s">
        <v>7264</v>
      </c>
      <c r="B266">
        <v>0</v>
      </c>
      <c r="C266">
        <v>0</v>
      </c>
      <c r="D266" t="s">
        <v>7410</v>
      </c>
      <c r="E266" t="s">
        <v>7410</v>
      </c>
    </row>
    <row r="267" spans="1:5" x14ac:dyDescent="0.25">
      <c r="A267" t="s">
        <v>7265</v>
      </c>
      <c r="B267">
        <v>1</v>
      </c>
      <c r="C267">
        <v>90</v>
      </c>
      <c r="D267" t="s">
        <v>7414</v>
      </c>
      <c r="E267" t="s">
        <v>67</v>
      </c>
    </row>
    <row r="268" spans="1:5" x14ac:dyDescent="0.25">
      <c r="A268" t="s">
        <v>7266</v>
      </c>
      <c r="B268">
        <v>0</v>
      </c>
      <c r="C268">
        <v>0</v>
      </c>
      <c r="D268" t="s">
        <v>7407</v>
      </c>
      <c r="E268" t="s">
        <v>7407</v>
      </c>
    </row>
    <row r="269" spans="1:5" x14ac:dyDescent="0.25">
      <c r="A269" t="s">
        <v>7267</v>
      </c>
      <c r="B269">
        <v>1</v>
      </c>
      <c r="C269">
        <v>90</v>
      </c>
      <c r="D269" t="s">
        <v>7414</v>
      </c>
      <c r="E269" t="s">
        <v>67</v>
      </c>
    </row>
    <row r="270" spans="1:5" x14ac:dyDescent="0.25">
      <c r="A270" t="s">
        <v>7269</v>
      </c>
      <c r="B270">
        <v>0</v>
      </c>
      <c r="C270">
        <v>0</v>
      </c>
      <c r="D270" t="s">
        <v>7407</v>
      </c>
      <c r="E270" t="s">
        <v>7407</v>
      </c>
    </row>
    <row r="271" spans="1:5" x14ac:dyDescent="0.25">
      <c r="A271" t="s">
        <v>7270</v>
      </c>
      <c r="B271">
        <v>1</v>
      </c>
      <c r="C271">
        <v>90</v>
      </c>
      <c r="D271" t="s">
        <v>7414</v>
      </c>
      <c r="E271" t="s">
        <v>67</v>
      </c>
    </row>
    <row r="272" spans="1:5" x14ac:dyDescent="0.25">
      <c r="A272" t="s">
        <v>7271</v>
      </c>
      <c r="B272">
        <v>1</v>
      </c>
      <c r="C272">
        <v>90</v>
      </c>
      <c r="D272" t="s">
        <v>7414</v>
      </c>
      <c r="E272" t="s">
        <v>67</v>
      </c>
    </row>
    <row r="273" spans="1:5" x14ac:dyDescent="0.25">
      <c r="A273" t="s">
        <v>7272</v>
      </c>
      <c r="B273">
        <v>1</v>
      </c>
      <c r="C273">
        <v>90</v>
      </c>
      <c r="D273" t="s">
        <v>7414</v>
      </c>
      <c r="E273" t="s">
        <v>67</v>
      </c>
    </row>
    <row r="274" spans="1:5" x14ac:dyDescent="0.25">
      <c r="A274" t="s">
        <v>7273</v>
      </c>
      <c r="B274">
        <v>0</v>
      </c>
      <c r="C274">
        <v>0</v>
      </c>
      <c r="D274" t="s">
        <v>7407</v>
      </c>
      <c r="E274" t="s">
        <v>7407</v>
      </c>
    </row>
    <row r="275" spans="1:5" x14ac:dyDescent="0.25">
      <c r="A275" t="s">
        <v>7274</v>
      </c>
      <c r="B275">
        <v>0</v>
      </c>
      <c r="C275">
        <v>0</v>
      </c>
      <c r="D275" t="s">
        <v>7407</v>
      </c>
      <c r="E275" t="s">
        <v>7407</v>
      </c>
    </row>
    <row r="276" spans="1:5" x14ac:dyDescent="0.25">
      <c r="A276" t="s">
        <v>7275</v>
      </c>
      <c r="B276">
        <v>0</v>
      </c>
      <c r="C276">
        <v>0</v>
      </c>
      <c r="D276" t="s">
        <v>7407</v>
      </c>
      <c r="E276" t="s">
        <v>7407</v>
      </c>
    </row>
    <row r="277" spans="1:5" x14ac:dyDescent="0.25">
      <c r="A277" t="s">
        <v>7277</v>
      </c>
      <c r="B277">
        <v>1</v>
      </c>
      <c r="C277">
        <v>90</v>
      </c>
      <c r="D277" t="s">
        <v>7414</v>
      </c>
      <c r="E277" t="s">
        <v>67</v>
      </c>
    </row>
    <row r="278" spans="1:5" x14ac:dyDescent="0.25">
      <c r="A278" t="s">
        <v>7278</v>
      </c>
      <c r="B278">
        <v>1</v>
      </c>
      <c r="C278">
        <v>90</v>
      </c>
      <c r="D278" t="s">
        <v>7414</v>
      </c>
      <c r="E278" t="s">
        <v>67</v>
      </c>
    </row>
    <row r="279" spans="1:5" x14ac:dyDescent="0.25">
      <c r="A279" t="s">
        <v>7279</v>
      </c>
      <c r="B279">
        <v>1</v>
      </c>
      <c r="C279">
        <v>90</v>
      </c>
      <c r="D279" t="s">
        <v>7414</v>
      </c>
      <c r="E279" t="s">
        <v>67</v>
      </c>
    </row>
    <row r="280" spans="1:5" x14ac:dyDescent="0.25">
      <c r="A280" t="s">
        <v>7280</v>
      </c>
      <c r="B280">
        <v>1</v>
      </c>
      <c r="C280">
        <v>90</v>
      </c>
      <c r="D280" t="s">
        <v>7414</v>
      </c>
      <c r="E280" t="s">
        <v>67</v>
      </c>
    </row>
    <row r="281" spans="1:5" x14ac:dyDescent="0.25">
      <c r="A281" t="s">
        <v>7281</v>
      </c>
      <c r="B281">
        <v>1</v>
      </c>
      <c r="C281">
        <v>90</v>
      </c>
      <c r="D281" t="s">
        <v>7414</v>
      </c>
      <c r="E281" t="s">
        <v>67</v>
      </c>
    </row>
    <row r="282" spans="1:5" x14ac:dyDescent="0.25">
      <c r="A282" t="s">
        <v>7282</v>
      </c>
      <c r="B282">
        <v>1</v>
      </c>
      <c r="C282">
        <v>90</v>
      </c>
      <c r="D282" t="s">
        <v>7414</v>
      </c>
      <c r="E282" t="s">
        <v>67</v>
      </c>
    </row>
    <row r="283" spans="1:5" x14ac:dyDescent="0.25">
      <c r="A283" t="s">
        <v>7283</v>
      </c>
      <c r="B283">
        <v>1</v>
      </c>
      <c r="C283">
        <v>90</v>
      </c>
      <c r="D283" t="s">
        <v>7414</v>
      </c>
      <c r="E283" t="s">
        <v>67</v>
      </c>
    </row>
    <row r="284" spans="1:5" x14ac:dyDescent="0.25">
      <c r="A284" t="s">
        <v>7284</v>
      </c>
      <c r="B284">
        <v>1</v>
      </c>
      <c r="C284">
        <v>90</v>
      </c>
      <c r="D284" t="s">
        <v>7414</v>
      </c>
      <c r="E284" t="s">
        <v>67</v>
      </c>
    </row>
    <row r="285" spans="1:5" x14ac:dyDescent="0.25">
      <c r="A285" t="s">
        <v>7285</v>
      </c>
      <c r="B285">
        <v>1</v>
      </c>
      <c r="C285">
        <v>90</v>
      </c>
      <c r="D285" t="s">
        <v>7414</v>
      </c>
      <c r="E285" t="s">
        <v>67</v>
      </c>
    </row>
    <row r="286" spans="1:5" x14ac:dyDescent="0.25">
      <c r="A286" t="s">
        <v>7286</v>
      </c>
      <c r="B286">
        <v>1</v>
      </c>
      <c r="C286">
        <v>90</v>
      </c>
      <c r="D286" t="s">
        <v>7414</v>
      </c>
      <c r="E286" t="s">
        <v>67</v>
      </c>
    </row>
    <row r="287" spans="1:5" x14ac:dyDescent="0.25">
      <c r="A287" t="s">
        <v>7287</v>
      </c>
      <c r="B287">
        <v>1</v>
      </c>
      <c r="C287">
        <v>90</v>
      </c>
      <c r="D287" t="s">
        <v>7414</v>
      </c>
      <c r="E287" t="s">
        <v>67</v>
      </c>
    </row>
    <row r="288" spans="1:5" x14ac:dyDescent="0.25">
      <c r="A288" t="s">
        <v>7288</v>
      </c>
      <c r="B288">
        <v>1</v>
      </c>
      <c r="C288">
        <v>90</v>
      </c>
      <c r="D288" t="s">
        <v>7414</v>
      </c>
      <c r="E288" t="s">
        <v>67</v>
      </c>
    </row>
    <row r="289" spans="1:5" x14ac:dyDescent="0.25">
      <c r="A289" t="s">
        <v>7289</v>
      </c>
      <c r="B289">
        <v>1</v>
      </c>
      <c r="C289">
        <v>90</v>
      </c>
      <c r="D289" t="s">
        <v>7414</v>
      </c>
      <c r="E289" t="s">
        <v>67</v>
      </c>
    </row>
    <row r="290" spans="1:5" x14ac:dyDescent="0.25">
      <c r="A290" t="s">
        <v>7290</v>
      </c>
      <c r="B290">
        <v>1</v>
      </c>
      <c r="C290">
        <v>90</v>
      </c>
      <c r="D290" t="s">
        <v>7414</v>
      </c>
      <c r="E290" t="s">
        <v>67</v>
      </c>
    </row>
    <row r="291" spans="1:5" x14ac:dyDescent="0.25">
      <c r="A291" t="s">
        <v>7291</v>
      </c>
      <c r="B291">
        <v>0</v>
      </c>
      <c r="C291">
        <v>0</v>
      </c>
      <c r="D291" t="s">
        <v>7407</v>
      </c>
      <c r="E291" t="s">
        <v>7407</v>
      </c>
    </row>
    <row r="292" spans="1:5" x14ac:dyDescent="0.25">
      <c r="A292" t="s">
        <v>7292</v>
      </c>
      <c r="B292">
        <v>0</v>
      </c>
      <c r="C292">
        <v>0</v>
      </c>
      <c r="D292" t="s">
        <v>7407</v>
      </c>
      <c r="E292" t="s">
        <v>7407</v>
      </c>
    </row>
    <row r="293" spans="1:5" x14ac:dyDescent="0.25">
      <c r="A293" t="s">
        <v>7293</v>
      </c>
      <c r="B293">
        <v>1</v>
      </c>
      <c r="C293">
        <v>90</v>
      </c>
      <c r="D293" t="s">
        <v>7414</v>
      </c>
      <c r="E293" t="s">
        <v>67</v>
      </c>
    </row>
    <row r="294" spans="1:5" x14ac:dyDescent="0.25">
      <c r="A294" t="s">
        <v>7294</v>
      </c>
      <c r="B294">
        <v>1</v>
      </c>
      <c r="C294">
        <v>90</v>
      </c>
      <c r="D294" t="s">
        <v>7414</v>
      </c>
      <c r="E294" t="s">
        <v>67</v>
      </c>
    </row>
    <row r="295" spans="1:5" x14ac:dyDescent="0.25">
      <c r="A295" t="s">
        <v>7295</v>
      </c>
      <c r="B295">
        <v>1</v>
      </c>
      <c r="C295">
        <v>90</v>
      </c>
      <c r="D295" t="s">
        <v>7414</v>
      </c>
      <c r="E295" t="s">
        <v>67</v>
      </c>
    </row>
    <row r="296" spans="1:5" x14ac:dyDescent="0.25">
      <c r="A296" t="s">
        <v>7298</v>
      </c>
      <c r="B296">
        <v>1</v>
      </c>
      <c r="C296">
        <v>90</v>
      </c>
      <c r="D296" t="s">
        <v>7414</v>
      </c>
      <c r="E296" t="s">
        <v>67</v>
      </c>
    </row>
    <row r="297" spans="1:5" x14ac:dyDescent="0.25">
      <c r="A297" t="s">
        <v>7299</v>
      </c>
      <c r="B297">
        <v>1</v>
      </c>
      <c r="C297">
        <v>90</v>
      </c>
      <c r="D297" t="s">
        <v>7414</v>
      </c>
      <c r="E297" t="s">
        <v>67</v>
      </c>
    </row>
    <row r="298" spans="1:5" x14ac:dyDescent="0.25">
      <c r="A298" t="s">
        <v>7300</v>
      </c>
      <c r="B298">
        <v>1</v>
      </c>
      <c r="C298">
        <v>90</v>
      </c>
      <c r="D298" t="s">
        <v>7414</v>
      </c>
      <c r="E298" t="s">
        <v>67</v>
      </c>
    </row>
    <row r="299" spans="1:5" x14ac:dyDescent="0.25">
      <c r="A299" t="s">
        <v>7301</v>
      </c>
      <c r="B299">
        <v>1</v>
      </c>
      <c r="C299">
        <v>90</v>
      </c>
      <c r="D299" t="s">
        <v>7414</v>
      </c>
      <c r="E299" t="s">
        <v>67</v>
      </c>
    </row>
    <row r="300" spans="1:5" x14ac:dyDescent="0.25">
      <c r="A300" t="s">
        <v>7302</v>
      </c>
      <c r="B300">
        <v>0</v>
      </c>
      <c r="C300">
        <v>0</v>
      </c>
      <c r="D300" t="s">
        <v>7407</v>
      </c>
      <c r="E300" t="s">
        <v>7407</v>
      </c>
    </row>
    <row r="301" spans="1:5" x14ac:dyDescent="0.25">
      <c r="A301" t="s">
        <v>7303</v>
      </c>
      <c r="B301">
        <v>0</v>
      </c>
      <c r="C301">
        <v>0</v>
      </c>
      <c r="D301" t="s">
        <v>7407</v>
      </c>
      <c r="E301" t="s">
        <v>7407</v>
      </c>
    </row>
    <row r="302" spans="1:5" x14ac:dyDescent="0.25">
      <c r="A302" t="s">
        <v>7304</v>
      </c>
      <c r="B302">
        <v>0</v>
      </c>
      <c r="C302">
        <v>0</v>
      </c>
      <c r="D302" t="s">
        <v>7410</v>
      </c>
      <c r="E302" t="s">
        <v>7410</v>
      </c>
    </row>
    <row r="303" spans="1:5" x14ac:dyDescent="0.25">
      <c r="A303" t="s">
        <v>7305</v>
      </c>
      <c r="B303">
        <v>1</v>
      </c>
      <c r="C303">
        <v>90</v>
      </c>
      <c r="D303" t="s">
        <v>7414</v>
      </c>
      <c r="E303" t="s">
        <v>67</v>
      </c>
    </row>
    <row r="304" spans="1:5" x14ac:dyDescent="0.25">
      <c r="A304" t="s">
        <v>7306</v>
      </c>
      <c r="B304">
        <v>1</v>
      </c>
      <c r="C304">
        <v>90</v>
      </c>
      <c r="D304" t="s">
        <v>7414</v>
      </c>
      <c r="E304" t="s">
        <v>67</v>
      </c>
    </row>
    <row r="305" spans="1:5" x14ac:dyDescent="0.25">
      <c r="A305" t="s">
        <v>7307</v>
      </c>
      <c r="B305">
        <v>1</v>
      </c>
      <c r="C305">
        <v>90</v>
      </c>
      <c r="D305" t="s">
        <v>7414</v>
      </c>
      <c r="E305" t="s">
        <v>67</v>
      </c>
    </row>
    <row r="306" spans="1:5" x14ac:dyDescent="0.25">
      <c r="A306" t="s">
        <v>7308</v>
      </c>
      <c r="B306">
        <v>0</v>
      </c>
      <c r="C306">
        <v>0</v>
      </c>
      <c r="D306" t="s">
        <v>7410</v>
      </c>
      <c r="E306" t="s">
        <v>7410</v>
      </c>
    </row>
    <row r="307" spans="1:5" x14ac:dyDescent="0.25">
      <c r="A307" t="s">
        <v>7309</v>
      </c>
      <c r="B307">
        <v>1</v>
      </c>
      <c r="C307">
        <v>90</v>
      </c>
      <c r="D307" t="s">
        <v>7414</v>
      </c>
      <c r="E307" t="s">
        <v>67</v>
      </c>
    </row>
    <row r="308" spans="1:5" x14ac:dyDescent="0.25">
      <c r="A308" t="s">
        <v>7311</v>
      </c>
      <c r="B308">
        <v>1</v>
      </c>
      <c r="C308">
        <v>90</v>
      </c>
      <c r="D308" t="s">
        <v>7414</v>
      </c>
      <c r="E308" t="s">
        <v>67</v>
      </c>
    </row>
    <row r="309" spans="1:5" x14ac:dyDescent="0.25">
      <c r="A309" t="s">
        <v>7312</v>
      </c>
      <c r="B309">
        <v>1</v>
      </c>
      <c r="C309">
        <v>90</v>
      </c>
      <c r="D309" t="s">
        <v>7414</v>
      </c>
      <c r="E309" t="s">
        <v>67</v>
      </c>
    </row>
    <row r="310" spans="1:5" x14ac:dyDescent="0.25">
      <c r="A310" t="s">
        <v>7313</v>
      </c>
      <c r="B310">
        <v>1</v>
      </c>
      <c r="C310">
        <v>90</v>
      </c>
      <c r="D310" t="s">
        <v>7414</v>
      </c>
      <c r="E310" t="s">
        <v>67</v>
      </c>
    </row>
    <row r="311" spans="1:5" x14ac:dyDescent="0.25">
      <c r="A311" t="s">
        <v>7314</v>
      </c>
      <c r="B311">
        <v>1</v>
      </c>
      <c r="C311">
        <v>90</v>
      </c>
      <c r="D311" t="s">
        <v>7414</v>
      </c>
      <c r="E311" t="s">
        <v>67</v>
      </c>
    </row>
    <row r="312" spans="1:5" x14ac:dyDescent="0.25">
      <c r="A312" t="s">
        <v>7315</v>
      </c>
      <c r="B312">
        <v>1</v>
      </c>
      <c r="C312">
        <v>90</v>
      </c>
      <c r="D312" t="s">
        <v>7414</v>
      </c>
      <c r="E312" t="s">
        <v>67</v>
      </c>
    </row>
    <row r="313" spans="1:5" x14ac:dyDescent="0.25">
      <c r="A313" t="s">
        <v>7316</v>
      </c>
      <c r="B313">
        <v>1</v>
      </c>
      <c r="C313">
        <v>90</v>
      </c>
      <c r="D313" t="s">
        <v>7414</v>
      </c>
      <c r="E313" t="s">
        <v>67</v>
      </c>
    </row>
    <row r="314" spans="1:5" x14ac:dyDescent="0.25">
      <c r="A314" t="s">
        <v>7317</v>
      </c>
      <c r="B314">
        <v>1</v>
      </c>
      <c r="C314">
        <v>90</v>
      </c>
      <c r="D314" t="s">
        <v>7414</v>
      </c>
      <c r="E314" t="s">
        <v>67</v>
      </c>
    </row>
    <row r="315" spans="1:5" x14ac:dyDescent="0.25">
      <c r="A315" t="s">
        <v>7318</v>
      </c>
      <c r="B315">
        <v>1</v>
      </c>
      <c r="C315">
        <v>90</v>
      </c>
      <c r="D315" t="s">
        <v>7414</v>
      </c>
      <c r="E315" t="s">
        <v>67</v>
      </c>
    </row>
    <row r="316" spans="1:5" x14ac:dyDescent="0.25">
      <c r="A316" t="s">
        <v>7319</v>
      </c>
      <c r="B316">
        <v>1</v>
      </c>
      <c r="C316">
        <v>90</v>
      </c>
      <c r="D316" t="s">
        <v>7414</v>
      </c>
      <c r="E316" t="s">
        <v>67</v>
      </c>
    </row>
    <row r="317" spans="1:5" x14ac:dyDescent="0.25">
      <c r="A317" t="s">
        <v>7320</v>
      </c>
      <c r="B317">
        <v>1</v>
      </c>
      <c r="C317">
        <v>90</v>
      </c>
      <c r="D317" t="s">
        <v>7414</v>
      </c>
      <c r="E317" t="s">
        <v>67</v>
      </c>
    </row>
    <row r="318" spans="1:5" x14ac:dyDescent="0.25">
      <c r="A318" t="s">
        <v>7321</v>
      </c>
      <c r="B318">
        <v>1</v>
      </c>
      <c r="C318">
        <v>90</v>
      </c>
      <c r="D318" t="s">
        <v>7414</v>
      </c>
      <c r="E318" t="s">
        <v>67</v>
      </c>
    </row>
    <row r="319" spans="1:5" x14ac:dyDescent="0.25">
      <c r="A319" t="s">
        <v>7322</v>
      </c>
      <c r="B319">
        <v>1</v>
      </c>
      <c r="C319">
        <v>90</v>
      </c>
      <c r="D319" t="s">
        <v>7414</v>
      </c>
      <c r="E319" t="s">
        <v>67</v>
      </c>
    </row>
    <row r="320" spans="1:5" x14ac:dyDescent="0.25">
      <c r="A320" t="s">
        <v>7323</v>
      </c>
      <c r="B320">
        <v>1</v>
      </c>
      <c r="C320">
        <v>90</v>
      </c>
      <c r="D320" t="s">
        <v>7414</v>
      </c>
      <c r="E320" t="s">
        <v>67</v>
      </c>
    </row>
    <row r="321" spans="1:5" x14ac:dyDescent="0.25">
      <c r="A321" t="s">
        <v>7324</v>
      </c>
      <c r="B321">
        <v>1</v>
      </c>
      <c r="C321">
        <v>90</v>
      </c>
      <c r="D321" t="s">
        <v>7414</v>
      </c>
      <c r="E321" t="s">
        <v>67</v>
      </c>
    </row>
    <row r="322" spans="1:5" x14ac:dyDescent="0.25">
      <c r="A322" t="s">
        <v>7325</v>
      </c>
      <c r="B322">
        <v>1</v>
      </c>
      <c r="C322">
        <v>90</v>
      </c>
      <c r="D322" t="s">
        <v>7414</v>
      </c>
      <c r="E322" t="s">
        <v>67</v>
      </c>
    </row>
    <row r="323" spans="1:5" x14ac:dyDescent="0.25">
      <c r="A323" t="s">
        <v>7326</v>
      </c>
      <c r="B323">
        <v>1</v>
      </c>
      <c r="C323">
        <v>90</v>
      </c>
      <c r="D323" t="s">
        <v>7414</v>
      </c>
      <c r="E323" t="s">
        <v>67</v>
      </c>
    </row>
    <row r="324" spans="1:5" x14ac:dyDescent="0.25">
      <c r="A324" t="s">
        <v>7327</v>
      </c>
      <c r="B324">
        <v>1</v>
      </c>
      <c r="C324">
        <v>90</v>
      </c>
      <c r="D324" t="s">
        <v>7414</v>
      </c>
      <c r="E324" t="s">
        <v>67</v>
      </c>
    </row>
    <row r="325" spans="1:5" x14ac:dyDescent="0.25">
      <c r="A325" t="s">
        <v>7328</v>
      </c>
      <c r="B325">
        <v>1</v>
      </c>
      <c r="C325">
        <v>90</v>
      </c>
      <c r="D325" t="s">
        <v>7414</v>
      </c>
      <c r="E325" t="s">
        <v>67</v>
      </c>
    </row>
    <row r="326" spans="1:5" x14ac:dyDescent="0.25">
      <c r="A326" t="s">
        <v>7337</v>
      </c>
      <c r="B326">
        <v>0</v>
      </c>
      <c r="C326">
        <v>0</v>
      </c>
      <c r="D326" t="s">
        <v>7410</v>
      </c>
      <c r="E326" t="s">
        <v>7410</v>
      </c>
    </row>
    <row r="327" spans="1:5" x14ac:dyDescent="0.25">
      <c r="A327" t="s">
        <v>7338</v>
      </c>
      <c r="B327">
        <v>0</v>
      </c>
      <c r="C327">
        <v>0</v>
      </c>
      <c r="D327" t="s">
        <v>7410</v>
      </c>
      <c r="E327" t="s">
        <v>7410</v>
      </c>
    </row>
    <row r="328" spans="1:5" x14ac:dyDescent="0.25">
      <c r="A328" t="s">
        <v>7340</v>
      </c>
      <c r="B328">
        <v>0</v>
      </c>
      <c r="C328">
        <v>0</v>
      </c>
      <c r="D328" t="s">
        <v>7407</v>
      </c>
      <c r="E328" t="s">
        <v>7407</v>
      </c>
    </row>
    <row r="329" spans="1:5" x14ac:dyDescent="0.25">
      <c r="A329" t="s">
        <v>7341</v>
      </c>
      <c r="B329">
        <v>1</v>
      </c>
      <c r="C329">
        <v>90</v>
      </c>
      <c r="D329" t="s">
        <v>7414</v>
      </c>
      <c r="E329" t="s">
        <v>67</v>
      </c>
    </row>
    <row r="330" spans="1:5" x14ac:dyDescent="0.25">
      <c r="A330" t="s">
        <v>7342</v>
      </c>
      <c r="B330">
        <v>1</v>
      </c>
      <c r="C330">
        <v>90</v>
      </c>
      <c r="D330" t="s">
        <v>7414</v>
      </c>
      <c r="E330" t="s">
        <v>67</v>
      </c>
    </row>
    <row r="331" spans="1:5" x14ac:dyDescent="0.25">
      <c r="A331" t="s">
        <v>7343</v>
      </c>
      <c r="B331">
        <v>1</v>
      </c>
      <c r="C331">
        <v>90</v>
      </c>
      <c r="D331" t="s">
        <v>7414</v>
      </c>
      <c r="E331" t="s">
        <v>67</v>
      </c>
    </row>
    <row r="332" spans="1:5" x14ac:dyDescent="0.25">
      <c r="A332" t="s">
        <v>7344</v>
      </c>
      <c r="B332">
        <v>1</v>
      </c>
      <c r="C332">
        <v>90</v>
      </c>
      <c r="D332" t="s">
        <v>7414</v>
      </c>
      <c r="E332" t="s">
        <v>67</v>
      </c>
    </row>
    <row r="333" spans="1:5" x14ac:dyDescent="0.25">
      <c r="A333" t="s">
        <v>7345</v>
      </c>
      <c r="B333">
        <v>1</v>
      </c>
      <c r="C333">
        <v>90</v>
      </c>
      <c r="D333" t="s">
        <v>7414</v>
      </c>
      <c r="E333" t="s">
        <v>67</v>
      </c>
    </row>
    <row r="334" spans="1:5" x14ac:dyDescent="0.25">
      <c r="A334" t="s">
        <v>7346</v>
      </c>
      <c r="B334">
        <v>1</v>
      </c>
      <c r="C334">
        <v>90</v>
      </c>
      <c r="D334" t="s">
        <v>7414</v>
      </c>
      <c r="E334" t="s">
        <v>67</v>
      </c>
    </row>
    <row r="335" spans="1:5" x14ac:dyDescent="0.25">
      <c r="A335" t="s">
        <v>7347</v>
      </c>
      <c r="B335">
        <v>1</v>
      </c>
      <c r="C335">
        <v>90</v>
      </c>
      <c r="D335" t="s">
        <v>7414</v>
      </c>
      <c r="E335" t="s">
        <v>67</v>
      </c>
    </row>
    <row r="336" spans="1:5" x14ac:dyDescent="0.25">
      <c r="A336" t="s">
        <v>7348</v>
      </c>
      <c r="B336">
        <v>1</v>
      </c>
      <c r="C336">
        <v>90</v>
      </c>
      <c r="D336" t="s">
        <v>7414</v>
      </c>
      <c r="E336" t="s">
        <v>67</v>
      </c>
    </row>
    <row r="337" spans="1:5" x14ac:dyDescent="0.25">
      <c r="A337" t="s">
        <v>7349</v>
      </c>
      <c r="B337">
        <v>1</v>
      </c>
      <c r="C337">
        <v>90</v>
      </c>
      <c r="D337" t="s">
        <v>7414</v>
      </c>
      <c r="E337" t="s">
        <v>67</v>
      </c>
    </row>
    <row r="338" spans="1:5" x14ac:dyDescent="0.25">
      <c r="A338" t="s">
        <v>7350</v>
      </c>
      <c r="B338">
        <v>1</v>
      </c>
      <c r="C338">
        <v>90</v>
      </c>
      <c r="D338" t="s">
        <v>7414</v>
      </c>
      <c r="E338" t="s">
        <v>67</v>
      </c>
    </row>
    <row r="339" spans="1:5" x14ac:dyDescent="0.25">
      <c r="A339" t="s">
        <v>7351</v>
      </c>
      <c r="B339">
        <v>1</v>
      </c>
      <c r="C339">
        <v>90</v>
      </c>
      <c r="D339" t="s">
        <v>7414</v>
      </c>
      <c r="E339" t="s">
        <v>67</v>
      </c>
    </row>
    <row r="340" spans="1:5" x14ac:dyDescent="0.25">
      <c r="A340" t="s">
        <v>7352</v>
      </c>
      <c r="B340">
        <v>1</v>
      </c>
      <c r="C340">
        <v>90</v>
      </c>
      <c r="D340" t="s">
        <v>7414</v>
      </c>
      <c r="E340" t="s">
        <v>67</v>
      </c>
    </row>
    <row r="341" spans="1:5" x14ac:dyDescent="0.25">
      <c r="A341" t="s">
        <v>7353</v>
      </c>
      <c r="B341">
        <v>1</v>
      </c>
      <c r="C341">
        <v>90</v>
      </c>
      <c r="D341" t="s">
        <v>7414</v>
      </c>
      <c r="E341" t="s">
        <v>67</v>
      </c>
    </row>
    <row r="342" spans="1:5" x14ac:dyDescent="0.25">
      <c r="A342" t="s">
        <v>7354</v>
      </c>
      <c r="B342">
        <v>1</v>
      </c>
      <c r="C342">
        <v>90</v>
      </c>
      <c r="D342" t="s">
        <v>7414</v>
      </c>
      <c r="E342" t="s">
        <v>67</v>
      </c>
    </row>
    <row r="343" spans="1:5" x14ac:dyDescent="0.25">
      <c r="A343" t="s">
        <v>7355</v>
      </c>
      <c r="B343">
        <v>1</v>
      </c>
      <c r="C343">
        <v>90</v>
      </c>
      <c r="D343" t="s">
        <v>7414</v>
      </c>
      <c r="E343" t="s">
        <v>67</v>
      </c>
    </row>
    <row r="344" spans="1:5" x14ac:dyDescent="0.25">
      <c r="A344" t="s">
        <v>7356</v>
      </c>
      <c r="B344">
        <v>1</v>
      </c>
      <c r="C344">
        <v>90</v>
      </c>
      <c r="D344" t="s">
        <v>7414</v>
      </c>
      <c r="E344" t="s">
        <v>67</v>
      </c>
    </row>
    <row r="345" spans="1:5" x14ac:dyDescent="0.25">
      <c r="A345" t="s">
        <v>7357</v>
      </c>
      <c r="B345">
        <v>1</v>
      </c>
      <c r="C345">
        <v>90</v>
      </c>
      <c r="D345" t="s">
        <v>7414</v>
      </c>
      <c r="E345" t="s">
        <v>67</v>
      </c>
    </row>
    <row r="346" spans="1:5" x14ac:dyDescent="0.25">
      <c r="A346" t="s">
        <v>7358</v>
      </c>
      <c r="B346">
        <v>1</v>
      </c>
      <c r="C346">
        <v>90</v>
      </c>
      <c r="D346" t="s">
        <v>7414</v>
      </c>
      <c r="E346" t="s">
        <v>67</v>
      </c>
    </row>
    <row r="347" spans="1:5" x14ac:dyDescent="0.25">
      <c r="A347" t="s">
        <v>7359</v>
      </c>
      <c r="B347">
        <v>1</v>
      </c>
      <c r="C347">
        <v>90</v>
      </c>
      <c r="D347" t="s">
        <v>7414</v>
      </c>
      <c r="E347" t="s">
        <v>67</v>
      </c>
    </row>
    <row r="348" spans="1:5" x14ac:dyDescent="0.25">
      <c r="A348" t="s">
        <v>7360</v>
      </c>
      <c r="B348">
        <v>1</v>
      </c>
      <c r="C348">
        <v>90</v>
      </c>
      <c r="D348" t="s">
        <v>7414</v>
      </c>
      <c r="E348" t="s">
        <v>67</v>
      </c>
    </row>
    <row r="349" spans="1:5" x14ac:dyDescent="0.25">
      <c r="A349" t="s">
        <v>7361</v>
      </c>
      <c r="B349">
        <v>1</v>
      </c>
      <c r="C349">
        <v>90</v>
      </c>
      <c r="D349" t="s">
        <v>7414</v>
      </c>
      <c r="E349" t="s">
        <v>67</v>
      </c>
    </row>
    <row r="350" spans="1:5" x14ac:dyDescent="0.25">
      <c r="A350" t="s">
        <v>7362</v>
      </c>
      <c r="B350">
        <v>1</v>
      </c>
      <c r="C350">
        <v>90</v>
      </c>
      <c r="D350" t="s">
        <v>7414</v>
      </c>
      <c r="E350" t="s">
        <v>67</v>
      </c>
    </row>
    <row r="351" spans="1:5" x14ac:dyDescent="0.25">
      <c r="A351" t="s">
        <v>7363</v>
      </c>
      <c r="B351">
        <v>1</v>
      </c>
      <c r="C351">
        <v>90</v>
      </c>
      <c r="D351" t="s">
        <v>7414</v>
      </c>
      <c r="E351" t="s">
        <v>67</v>
      </c>
    </row>
    <row r="352" spans="1:5" x14ac:dyDescent="0.25">
      <c r="A352" t="s">
        <v>7364</v>
      </c>
      <c r="B352">
        <v>1</v>
      </c>
      <c r="C352">
        <v>90</v>
      </c>
      <c r="D352" t="s">
        <v>7414</v>
      </c>
      <c r="E352" t="s">
        <v>67</v>
      </c>
    </row>
    <row r="353" spans="1:5" x14ac:dyDescent="0.25">
      <c r="A353" t="s">
        <v>7365</v>
      </c>
      <c r="B353">
        <v>1</v>
      </c>
      <c r="C353">
        <v>90</v>
      </c>
      <c r="D353" t="s">
        <v>7414</v>
      </c>
      <c r="E353" t="s">
        <v>67</v>
      </c>
    </row>
    <row r="354" spans="1:5" x14ac:dyDescent="0.25">
      <c r="A354" t="s">
        <v>7366</v>
      </c>
      <c r="B354">
        <v>1</v>
      </c>
      <c r="C354">
        <v>90</v>
      </c>
      <c r="D354" t="s">
        <v>7414</v>
      </c>
      <c r="E354" t="s">
        <v>67</v>
      </c>
    </row>
    <row r="355" spans="1:5" x14ac:dyDescent="0.25">
      <c r="A355" t="s">
        <v>7367</v>
      </c>
      <c r="B355">
        <v>1</v>
      </c>
      <c r="C355">
        <v>90</v>
      </c>
      <c r="D355" t="s">
        <v>7414</v>
      </c>
      <c r="E355" t="s">
        <v>67</v>
      </c>
    </row>
    <row r="356" spans="1:5" x14ac:dyDescent="0.25">
      <c r="A356" t="s">
        <v>7368</v>
      </c>
      <c r="B356">
        <v>1</v>
      </c>
      <c r="C356">
        <v>90</v>
      </c>
      <c r="D356" t="s">
        <v>7414</v>
      </c>
      <c r="E356" t="s">
        <v>67</v>
      </c>
    </row>
    <row r="357" spans="1:5" x14ac:dyDescent="0.25">
      <c r="A357" t="s">
        <v>7369</v>
      </c>
      <c r="B357">
        <v>1</v>
      </c>
      <c r="C357">
        <v>90</v>
      </c>
      <c r="D357" t="s">
        <v>7414</v>
      </c>
      <c r="E357" t="s">
        <v>67</v>
      </c>
    </row>
    <row r="358" spans="1:5" x14ac:dyDescent="0.25">
      <c r="A358" t="s">
        <v>7370</v>
      </c>
      <c r="B358">
        <v>1</v>
      </c>
      <c r="C358">
        <v>90</v>
      </c>
      <c r="D358" t="s">
        <v>7414</v>
      </c>
      <c r="E358" t="s">
        <v>67</v>
      </c>
    </row>
    <row r="359" spans="1:5" x14ac:dyDescent="0.25">
      <c r="A359" t="s">
        <v>7371</v>
      </c>
      <c r="B359">
        <v>1</v>
      </c>
      <c r="C359">
        <v>90</v>
      </c>
      <c r="D359" t="s">
        <v>7414</v>
      </c>
      <c r="E359" t="s">
        <v>67</v>
      </c>
    </row>
    <row r="360" spans="1:5" x14ac:dyDescent="0.25">
      <c r="A360" t="s">
        <v>7372</v>
      </c>
      <c r="B360">
        <v>1</v>
      </c>
      <c r="C360">
        <v>90</v>
      </c>
      <c r="D360" t="s">
        <v>7414</v>
      </c>
      <c r="E360" t="s">
        <v>67</v>
      </c>
    </row>
    <row r="361" spans="1:5" x14ac:dyDescent="0.25">
      <c r="A361" t="s">
        <v>7373</v>
      </c>
      <c r="B361">
        <v>1</v>
      </c>
      <c r="C361">
        <v>90</v>
      </c>
      <c r="D361" t="s">
        <v>7414</v>
      </c>
      <c r="E361" t="s">
        <v>67</v>
      </c>
    </row>
    <row r="362" spans="1:5" x14ac:dyDescent="0.25">
      <c r="A362" t="s">
        <v>7374</v>
      </c>
      <c r="B362">
        <v>1</v>
      </c>
      <c r="C362">
        <v>90</v>
      </c>
      <c r="D362" t="s">
        <v>7414</v>
      </c>
      <c r="E362" t="s">
        <v>67</v>
      </c>
    </row>
    <row r="363" spans="1:5" x14ac:dyDescent="0.25">
      <c r="A363" t="s">
        <v>7383</v>
      </c>
      <c r="B363">
        <v>1</v>
      </c>
      <c r="C363">
        <v>90</v>
      </c>
      <c r="D363" t="s">
        <v>7414</v>
      </c>
      <c r="E363" t="s">
        <v>67</v>
      </c>
    </row>
    <row r="364" spans="1:5" x14ac:dyDescent="0.25">
      <c r="A364" t="s">
        <v>7384</v>
      </c>
      <c r="B364">
        <v>1</v>
      </c>
      <c r="C364">
        <v>90</v>
      </c>
      <c r="D364" t="s">
        <v>7414</v>
      </c>
      <c r="E364" t="s">
        <v>67</v>
      </c>
    </row>
    <row r="365" spans="1:5" x14ac:dyDescent="0.25">
      <c r="A365" t="s">
        <v>7385</v>
      </c>
      <c r="B365">
        <v>1</v>
      </c>
      <c r="C365">
        <v>90</v>
      </c>
      <c r="D365" t="s">
        <v>7414</v>
      </c>
      <c r="E365" t="s">
        <v>67</v>
      </c>
    </row>
    <row r="366" spans="1:5" x14ac:dyDescent="0.25">
      <c r="A366" t="s">
        <v>7387</v>
      </c>
      <c r="B366">
        <v>1</v>
      </c>
      <c r="C366">
        <v>90</v>
      </c>
      <c r="D366" t="s">
        <v>7414</v>
      </c>
      <c r="E366" t="s">
        <v>67</v>
      </c>
    </row>
    <row r="367" spans="1:5" x14ac:dyDescent="0.25">
      <c r="A367" t="s">
        <v>7389</v>
      </c>
      <c r="B367">
        <v>1</v>
      </c>
      <c r="C367">
        <v>90</v>
      </c>
      <c r="D367" t="s">
        <v>7414</v>
      </c>
      <c r="E367" t="s">
        <v>67</v>
      </c>
    </row>
    <row r="368" spans="1:5" x14ac:dyDescent="0.25">
      <c r="A368" t="s">
        <v>7390</v>
      </c>
      <c r="B368">
        <v>0</v>
      </c>
      <c r="C368">
        <v>0</v>
      </c>
      <c r="D368" t="s">
        <v>7407</v>
      </c>
      <c r="E368" t="s">
        <v>7407</v>
      </c>
    </row>
    <row r="369" spans="1:5" x14ac:dyDescent="0.25">
      <c r="A369" t="s">
        <v>7391</v>
      </c>
      <c r="B369">
        <v>1</v>
      </c>
      <c r="C369">
        <v>90</v>
      </c>
      <c r="D369" t="s">
        <v>7414</v>
      </c>
      <c r="E369" t="s">
        <v>67</v>
      </c>
    </row>
    <row r="370" spans="1:5" x14ac:dyDescent="0.25">
      <c r="A370" t="s">
        <v>7392</v>
      </c>
      <c r="B370">
        <v>1</v>
      </c>
      <c r="C370">
        <v>90</v>
      </c>
      <c r="D370" t="s">
        <v>7414</v>
      </c>
      <c r="E370" t="s">
        <v>67</v>
      </c>
    </row>
    <row r="371" spans="1:5" x14ac:dyDescent="0.25">
      <c r="A371" t="s">
        <v>7393</v>
      </c>
      <c r="B371">
        <v>1</v>
      </c>
      <c r="C371">
        <v>90</v>
      </c>
      <c r="D371" t="s">
        <v>7414</v>
      </c>
      <c r="E371" t="s">
        <v>67</v>
      </c>
    </row>
    <row r="372" spans="1:5" x14ac:dyDescent="0.25">
      <c r="A372" t="s">
        <v>7394</v>
      </c>
      <c r="B372">
        <v>1</v>
      </c>
      <c r="C372">
        <v>90</v>
      </c>
      <c r="D372" t="s">
        <v>7414</v>
      </c>
      <c r="E372" t="s">
        <v>67</v>
      </c>
    </row>
    <row r="373" spans="1:5" x14ac:dyDescent="0.25">
      <c r="A373" t="s">
        <v>7395</v>
      </c>
      <c r="B373">
        <v>1</v>
      </c>
      <c r="C373">
        <v>90</v>
      </c>
      <c r="D373" t="s">
        <v>7414</v>
      </c>
      <c r="E373" t="s">
        <v>67</v>
      </c>
    </row>
    <row r="374" spans="1:5" x14ac:dyDescent="0.25">
      <c r="A374" t="s">
        <v>7396</v>
      </c>
      <c r="B374">
        <v>1</v>
      </c>
      <c r="C374">
        <v>90</v>
      </c>
      <c r="D374" t="s">
        <v>7414</v>
      </c>
      <c r="E374" t="s">
        <v>67</v>
      </c>
    </row>
    <row r="375" spans="1:5" x14ac:dyDescent="0.25">
      <c r="A375" t="s">
        <v>7397</v>
      </c>
      <c r="B375">
        <v>1</v>
      </c>
      <c r="C375">
        <v>90</v>
      </c>
      <c r="D375" t="s">
        <v>7414</v>
      </c>
      <c r="E375" t="s">
        <v>67</v>
      </c>
    </row>
    <row r="376" spans="1:5" x14ac:dyDescent="0.25">
      <c r="A376" t="s">
        <v>7399</v>
      </c>
      <c r="B376">
        <v>0</v>
      </c>
      <c r="C376">
        <v>0</v>
      </c>
      <c r="D376" t="s">
        <v>7410</v>
      </c>
      <c r="E376" t="s">
        <v>7410</v>
      </c>
    </row>
    <row r="377" spans="1:5" x14ac:dyDescent="0.25">
      <c r="A377" t="s">
        <v>7360</v>
      </c>
      <c r="B377">
        <v>1</v>
      </c>
      <c r="C377">
        <v>90</v>
      </c>
      <c r="D377" t="s">
        <v>7414</v>
      </c>
      <c r="E377" t="s">
        <v>67</v>
      </c>
    </row>
    <row r="378" spans="1:5" x14ac:dyDescent="0.25">
      <c r="A378" t="s">
        <v>7400</v>
      </c>
      <c r="B378">
        <v>1</v>
      </c>
      <c r="C378">
        <v>90</v>
      </c>
      <c r="D378" t="s">
        <v>7414</v>
      </c>
      <c r="E378" t="s">
        <v>67</v>
      </c>
    </row>
    <row r="379" spans="1:5" x14ac:dyDescent="0.25">
      <c r="A379" t="s">
        <v>7401</v>
      </c>
      <c r="B379">
        <v>1</v>
      </c>
      <c r="C379">
        <v>90</v>
      </c>
      <c r="D379" t="s">
        <v>7414</v>
      </c>
      <c r="E379" t="s">
        <v>67</v>
      </c>
    </row>
    <row r="380" spans="1:5" x14ac:dyDescent="0.25">
      <c r="A380" t="s">
        <v>7402</v>
      </c>
      <c r="B380">
        <v>1</v>
      </c>
      <c r="C380">
        <v>90</v>
      </c>
      <c r="D380" t="s">
        <v>7414</v>
      </c>
      <c r="E380" t="s">
        <v>67</v>
      </c>
    </row>
    <row r="381" spans="1:5" x14ac:dyDescent="0.25">
      <c r="A381" t="s">
        <v>7403</v>
      </c>
      <c r="B381">
        <v>1</v>
      </c>
      <c r="C381">
        <v>90</v>
      </c>
      <c r="D381" t="s">
        <v>7414</v>
      </c>
      <c r="E381" t="s">
        <v>67</v>
      </c>
    </row>
    <row r="382" spans="1:5" x14ac:dyDescent="0.25">
      <c r="A382" t="s">
        <v>7404</v>
      </c>
      <c r="B382">
        <v>1</v>
      </c>
      <c r="C382">
        <v>90</v>
      </c>
      <c r="D382" t="s">
        <v>7414</v>
      </c>
      <c r="E382" t="s">
        <v>67</v>
      </c>
    </row>
    <row r="383" spans="1:5" x14ac:dyDescent="0.25">
      <c r="A383" t="s">
        <v>7416</v>
      </c>
      <c r="B383">
        <v>1</v>
      </c>
      <c r="C383">
        <v>90</v>
      </c>
      <c r="D383" t="s">
        <v>7414</v>
      </c>
      <c r="E383" t="s">
        <v>67</v>
      </c>
    </row>
    <row r="384" spans="1:5" x14ac:dyDescent="0.25">
      <c r="A384" t="s">
        <v>7417</v>
      </c>
      <c r="B384">
        <v>1</v>
      </c>
      <c r="C384">
        <v>90</v>
      </c>
      <c r="D384" t="s">
        <v>7414</v>
      </c>
      <c r="E384" t="s">
        <v>67</v>
      </c>
    </row>
    <row r="385" spans="1:5" x14ac:dyDescent="0.25">
      <c r="A385" t="s">
        <v>7418</v>
      </c>
      <c r="B385">
        <v>1</v>
      </c>
      <c r="C385">
        <v>90</v>
      </c>
      <c r="D385" t="s">
        <v>7414</v>
      </c>
      <c r="E385" t="s">
        <v>67</v>
      </c>
    </row>
    <row r="386" spans="1:5" x14ac:dyDescent="0.25">
      <c r="A386" t="s">
        <v>7419</v>
      </c>
      <c r="B386">
        <v>1</v>
      </c>
      <c r="C386">
        <v>90</v>
      </c>
      <c r="D386" t="s">
        <v>7414</v>
      </c>
      <c r="E386" t="s">
        <v>67</v>
      </c>
    </row>
    <row r="387" spans="1:5" x14ac:dyDescent="0.25">
      <c r="A387" t="s">
        <v>7420</v>
      </c>
      <c r="B387">
        <v>1</v>
      </c>
      <c r="C387">
        <v>90</v>
      </c>
      <c r="D387" t="s">
        <v>7414</v>
      </c>
      <c r="E387" t="s">
        <v>67</v>
      </c>
    </row>
    <row r="388" spans="1:5" x14ac:dyDescent="0.25">
      <c r="A388" t="s">
        <v>7421</v>
      </c>
      <c r="B388">
        <v>1</v>
      </c>
      <c r="C388">
        <v>90</v>
      </c>
      <c r="D388" t="s">
        <v>7414</v>
      </c>
      <c r="E388" t="s">
        <v>67</v>
      </c>
    </row>
    <row r="389" spans="1:5" x14ac:dyDescent="0.25">
      <c r="A389" t="s">
        <v>7422</v>
      </c>
      <c r="B389">
        <v>1</v>
      </c>
      <c r="C389">
        <v>90</v>
      </c>
      <c r="D389" t="s">
        <v>7414</v>
      </c>
      <c r="E389" t="s">
        <v>67</v>
      </c>
    </row>
    <row r="390" spans="1:5" x14ac:dyDescent="0.25">
      <c r="A390" t="s">
        <v>7466</v>
      </c>
      <c r="B390">
        <v>1</v>
      </c>
      <c r="C390">
        <v>750</v>
      </c>
      <c r="D390" t="s">
        <v>7467</v>
      </c>
      <c r="E390" t="s">
        <v>7468</v>
      </c>
    </row>
    <row r="391" spans="1:5" x14ac:dyDescent="0.25">
      <c r="A391" t="s">
        <v>7469</v>
      </c>
      <c r="B391">
        <v>1</v>
      </c>
      <c r="C391">
        <v>750</v>
      </c>
      <c r="D391" t="s">
        <v>7467</v>
      </c>
      <c r="E391" t="s">
        <v>7468</v>
      </c>
    </row>
    <row r="392" spans="1:5" x14ac:dyDescent="0.25">
      <c r="A392" t="s">
        <v>7470</v>
      </c>
      <c r="B392">
        <v>1</v>
      </c>
      <c r="C392">
        <v>250</v>
      </c>
      <c r="D392" t="s">
        <v>7471</v>
      </c>
      <c r="E392" t="s">
        <v>1298</v>
      </c>
    </row>
    <row r="393" spans="1:5" x14ac:dyDescent="0.25">
      <c r="A393" t="s">
        <v>7472</v>
      </c>
      <c r="B393">
        <v>1</v>
      </c>
      <c r="C393">
        <v>250</v>
      </c>
      <c r="D393" t="s">
        <v>7471</v>
      </c>
      <c r="E393" t="s">
        <v>1298</v>
      </c>
    </row>
    <row r="394" spans="1:5" x14ac:dyDescent="0.25">
      <c r="A394" t="s">
        <v>7473</v>
      </c>
      <c r="B394">
        <v>1</v>
      </c>
      <c r="C394">
        <v>100</v>
      </c>
      <c r="D394" t="s">
        <v>7474</v>
      </c>
      <c r="E394" t="s">
        <v>7475</v>
      </c>
    </row>
    <row r="395" spans="1:5" x14ac:dyDescent="0.25">
      <c r="A395" t="s">
        <v>7476</v>
      </c>
      <c r="B395">
        <v>1</v>
      </c>
      <c r="C395">
        <v>100</v>
      </c>
      <c r="D395" t="s">
        <v>7474</v>
      </c>
      <c r="E395" t="s">
        <v>7475</v>
      </c>
    </row>
  </sheetData>
  <autoFilter ref="A1:E395" xr:uid="{9F39453F-CEDC-4C8A-A030-03FF29F3B6CC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361D0-3BC6-437F-894B-5C8B6F990291}">
  <dimension ref="A1:D10"/>
  <sheetViews>
    <sheetView workbookViewId="0">
      <selection activeCell="G14" sqref="G14"/>
    </sheetView>
  </sheetViews>
  <sheetFormatPr defaultRowHeight="15" x14ac:dyDescent="0.25"/>
  <cols>
    <col min="1" max="1" width="22.85546875" customWidth="1"/>
    <col min="2" max="2" width="15.140625" customWidth="1"/>
    <col min="3" max="3" width="14.28515625" customWidth="1"/>
    <col min="4" max="4" width="21.140625" customWidth="1"/>
  </cols>
  <sheetData>
    <row r="1" spans="1:4" x14ac:dyDescent="0.25">
      <c r="A1" t="s">
        <v>7041</v>
      </c>
      <c r="B1" t="s">
        <v>7053</v>
      </c>
      <c r="C1" t="s">
        <v>7052</v>
      </c>
      <c r="D1" s="33" t="s">
        <v>7054</v>
      </c>
    </row>
    <row r="2" spans="1:4" x14ac:dyDescent="0.25">
      <c r="A2" s="33" t="s">
        <v>7044</v>
      </c>
      <c r="B2" s="35" t="s">
        <v>7018</v>
      </c>
      <c r="C2" s="35" t="s">
        <v>7018</v>
      </c>
      <c r="D2" s="35" t="s">
        <v>7018</v>
      </c>
    </row>
    <row r="3" spans="1:4" x14ac:dyDescent="0.25">
      <c r="A3" s="33" t="s">
        <v>7045</v>
      </c>
      <c r="B3" s="35" t="s">
        <v>7018</v>
      </c>
      <c r="C3" s="35" t="s">
        <v>7018</v>
      </c>
      <c r="D3" s="35" t="s">
        <v>7018</v>
      </c>
    </row>
    <row r="4" spans="1:4" x14ac:dyDescent="0.25">
      <c r="A4" s="33" t="s">
        <v>7046</v>
      </c>
      <c r="B4" s="35" t="s">
        <v>7018</v>
      </c>
      <c r="C4" s="35" t="s">
        <v>7018</v>
      </c>
      <c r="D4" s="35" t="s">
        <v>7018</v>
      </c>
    </row>
    <row r="5" spans="1:4" x14ac:dyDescent="0.25">
      <c r="A5" s="33" t="s">
        <v>7047</v>
      </c>
      <c r="B5" s="35" t="s">
        <v>7018</v>
      </c>
      <c r="C5" s="35" t="s">
        <v>7018</v>
      </c>
      <c r="D5" s="35" t="s">
        <v>7018</v>
      </c>
    </row>
    <row r="6" spans="1:4" x14ac:dyDescent="0.25">
      <c r="A6" s="33" t="s">
        <v>7048</v>
      </c>
      <c r="B6" s="35" t="s">
        <v>7016</v>
      </c>
      <c r="C6" s="35" t="s">
        <v>7016</v>
      </c>
      <c r="D6" s="35" t="s">
        <v>7016</v>
      </c>
    </row>
    <row r="7" spans="1:4" x14ac:dyDescent="0.25">
      <c r="A7" s="33" t="s">
        <v>7049</v>
      </c>
      <c r="B7" s="35" t="s">
        <v>7019</v>
      </c>
      <c r="C7" s="35" t="s">
        <v>7019</v>
      </c>
      <c r="D7" s="35" t="s">
        <v>7017</v>
      </c>
    </row>
    <row r="8" spans="1:4" x14ac:dyDescent="0.25">
      <c r="A8" s="33" t="s">
        <v>7050</v>
      </c>
      <c r="B8" s="35" t="s">
        <v>7019</v>
      </c>
      <c r="C8" s="35" t="s">
        <v>7019</v>
      </c>
      <c r="D8" s="35" t="s">
        <v>7017</v>
      </c>
    </row>
    <row r="9" spans="1:4" x14ac:dyDescent="0.25">
      <c r="A9" s="33" t="s">
        <v>7051</v>
      </c>
      <c r="B9" s="35" t="s">
        <v>7019</v>
      </c>
      <c r="C9" s="35" t="s">
        <v>7019</v>
      </c>
      <c r="D9" s="35" t="s">
        <v>7017</v>
      </c>
    </row>
    <row r="10" spans="1:4" x14ac:dyDescent="0.25">
      <c r="A10" s="33" t="s">
        <v>7042</v>
      </c>
      <c r="B10" s="35" t="s">
        <v>7017</v>
      </c>
      <c r="C10" s="35" t="s">
        <v>7019</v>
      </c>
      <c r="D10" s="35" t="s">
        <v>7017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D285F-3B85-4F0E-81AF-9E35CEA088F1}">
  <dimension ref="A1:B101"/>
  <sheetViews>
    <sheetView topLeftCell="A80" workbookViewId="0">
      <selection activeCell="C10" sqref="C10"/>
    </sheetView>
  </sheetViews>
  <sheetFormatPr defaultRowHeight="15" x14ac:dyDescent="0.25"/>
  <cols>
    <col min="1" max="1" width="14" style="10" customWidth="1"/>
    <col min="2" max="2" width="19.140625" style="10" customWidth="1"/>
  </cols>
  <sheetData>
    <row r="1" spans="1:2" x14ac:dyDescent="0.25">
      <c r="A1" s="10" t="s">
        <v>71</v>
      </c>
      <c r="B1" s="10" t="s">
        <v>1292</v>
      </c>
    </row>
    <row r="2" spans="1:2" x14ac:dyDescent="0.25">
      <c r="A2" s="10">
        <v>1</v>
      </c>
      <c r="B2" s="10" t="s">
        <v>1293</v>
      </c>
    </row>
    <row r="3" spans="1:2" x14ac:dyDescent="0.25">
      <c r="A3" s="10">
        <v>2</v>
      </c>
      <c r="B3" s="10" t="s">
        <v>1293</v>
      </c>
    </row>
    <row r="4" spans="1:2" x14ac:dyDescent="0.25">
      <c r="A4" s="10">
        <v>3</v>
      </c>
      <c r="B4" s="10" t="s">
        <v>1293</v>
      </c>
    </row>
    <row r="5" spans="1:2" x14ac:dyDescent="0.25">
      <c r="A5" s="10">
        <v>4</v>
      </c>
      <c r="B5" s="10" t="s">
        <v>1294</v>
      </c>
    </row>
    <row r="6" spans="1:2" x14ac:dyDescent="0.25">
      <c r="A6" s="10">
        <v>5</v>
      </c>
      <c r="B6" s="10" t="s">
        <v>1294</v>
      </c>
    </row>
    <row r="7" spans="1:2" x14ac:dyDescent="0.25">
      <c r="A7" s="10">
        <v>6</v>
      </c>
      <c r="B7" s="10" t="s">
        <v>1294</v>
      </c>
    </row>
    <row r="8" spans="1:2" x14ac:dyDescent="0.25">
      <c r="A8" s="10">
        <v>7</v>
      </c>
      <c r="B8" s="10" t="s">
        <v>1294</v>
      </c>
    </row>
    <row r="9" spans="1:2" x14ac:dyDescent="0.25">
      <c r="A9" s="10">
        <v>8</v>
      </c>
      <c r="B9" s="10" t="s">
        <v>1294</v>
      </c>
    </row>
    <row r="10" spans="1:2" x14ac:dyDescent="0.25">
      <c r="A10" s="10">
        <f>A9+1</f>
        <v>9</v>
      </c>
      <c r="B10" s="10" t="s">
        <v>1295</v>
      </c>
    </row>
    <row r="11" spans="1:2" x14ac:dyDescent="0.25">
      <c r="A11" s="10">
        <f t="shared" ref="A11:A74" si="0">A10+1</f>
        <v>10</v>
      </c>
      <c r="B11" s="10" t="s">
        <v>1295</v>
      </c>
    </row>
    <row r="12" spans="1:2" x14ac:dyDescent="0.25">
      <c r="A12" s="10">
        <f t="shared" si="0"/>
        <v>11</v>
      </c>
      <c r="B12" s="10" t="s">
        <v>1295</v>
      </c>
    </row>
    <row r="13" spans="1:2" x14ac:dyDescent="0.25">
      <c r="A13" s="10">
        <f t="shared" si="0"/>
        <v>12</v>
      </c>
      <c r="B13" s="10" t="s">
        <v>1295</v>
      </c>
    </row>
    <row r="14" spans="1:2" x14ac:dyDescent="0.25">
      <c r="A14" s="10">
        <f t="shared" si="0"/>
        <v>13</v>
      </c>
      <c r="B14" s="10" t="s">
        <v>1295</v>
      </c>
    </row>
    <row r="15" spans="1:2" x14ac:dyDescent="0.25">
      <c r="A15" s="10">
        <f t="shared" si="0"/>
        <v>14</v>
      </c>
      <c r="B15" s="10" t="s">
        <v>1295</v>
      </c>
    </row>
    <row r="16" spans="1:2" x14ac:dyDescent="0.25">
      <c r="A16" s="10">
        <f t="shared" si="0"/>
        <v>15</v>
      </c>
      <c r="B16" s="10" t="s">
        <v>1295</v>
      </c>
    </row>
    <row r="17" spans="1:2" x14ac:dyDescent="0.25">
      <c r="A17" s="10">
        <f t="shared" si="0"/>
        <v>16</v>
      </c>
      <c r="B17" s="10" t="s">
        <v>1295</v>
      </c>
    </row>
    <row r="18" spans="1:2" x14ac:dyDescent="0.25">
      <c r="A18" s="10">
        <f t="shared" si="0"/>
        <v>17</v>
      </c>
      <c r="B18" s="10" t="s">
        <v>1295</v>
      </c>
    </row>
    <row r="19" spans="1:2" x14ac:dyDescent="0.25">
      <c r="A19" s="10">
        <f t="shared" si="0"/>
        <v>18</v>
      </c>
      <c r="B19" s="10" t="s">
        <v>1295</v>
      </c>
    </row>
    <row r="20" spans="1:2" x14ac:dyDescent="0.25">
      <c r="A20" s="10">
        <f t="shared" si="0"/>
        <v>19</v>
      </c>
      <c r="B20" s="10" t="s">
        <v>1295</v>
      </c>
    </row>
    <row r="21" spans="1:2" x14ac:dyDescent="0.25">
      <c r="A21" s="10">
        <f t="shared" si="0"/>
        <v>20</v>
      </c>
      <c r="B21" s="10" t="s">
        <v>1295</v>
      </c>
    </row>
    <row r="22" spans="1:2" x14ac:dyDescent="0.25">
      <c r="A22" s="10">
        <f t="shared" si="0"/>
        <v>21</v>
      </c>
      <c r="B22" s="10" t="s">
        <v>1295</v>
      </c>
    </row>
    <row r="23" spans="1:2" x14ac:dyDescent="0.25">
      <c r="A23" s="10">
        <f t="shared" si="0"/>
        <v>22</v>
      </c>
      <c r="B23" s="10" t="s">
        <v>1295</v>
      </c>
    </row>
    <row r="24" spans="1:2" x14ac:dyDescent="0.25">
      <c r="A24" s="10">
        <f t="shared" si="0"/>
        <v>23</v>
      </c>
      <c r="B24" s="10" t="s">
        <v>1295</v>
      </c>
    </row>
    <row r="25" spans="1:2" x14ac:dyDescent="0.25">
      <c r="A25" s="10">
        <f t="shared" si="0"/>
        <v>24</v>
      </c>
      <c r="B25" s="10" t="s">
        <v>1295</v>
      </c>
    </row>
    <row r="26" spans="1:2" x14ac:dyDescent="0.25">
      <c r="A26" s="10">
        <f t="shared" si="0"/>
        <v>25</v>
      </c>
      <c r="B26" s="10" t="s">
        <v>1295</v>
      </c>
    </row>
    <row r="27" spans="1:2" x14ac:dyDescent="0.25">
      <c r="A27" s="10">
        <f t="shared" si="0"/>
        <v>26</v>
      </c>
      <c r="B27" s="10" t="s">
        <v>1295</v>
      </c>
    </row>
    <row r="28" spans="1:2" x14ac:dyDescent="0.25">
      <c r="A28" s="10">
        <f t="shared" si="0"/>
        <v>27</v>
      </c>
      <c r="B28" s="10" t="s">
        <v>1295</v>
      </c>
    </row>
    <row r="29" spans="1:2" x14ac:dyDescent="0.25">
      <c r="A29" s="10">
        <f t="shared" si="0"/>
        <v>28</v>
      </c>
      <c r="B29" s="10" t="s">
        <v>1295</v>
      </c>
    </row>
    <row r="30" spans="1:2" x14ac:dyDescent="0.25">
      <c r="A30" s="10">
        <f t="shared" si="0"/>
        <v>29</v>
      </c>
      <c r="B30" s="10" t="s">
        <v>1295</v>
      </c>
    </row>
    <row r="31" spans="1:2" x14ac:dyDescent="0.25">
      <c r="A31" s="10">
        <f t="shared" si="0"/>
        <v>30</v>
      </c>
      <c r="B31" s="10" t="s">
        <v>1295</v>
      </c>
    </row>
    <row r="32" spans="1:2" x14ac:dyDescent="0.25">
      <c r="A32" s="10">
        <f t="shared" si="0"/>
        <v>31</v>
      </c>
      <c r="B32" s="10" t="s">
        <v>1295</v>
      </c>
    </row>
    <row r="33" spans="1:2" x14ac:dyDescent="0.25">
      <c r="A33" s="10">
        <f t="shared" si="0"/>
        <v>32</v>
      </c>
      <c r="B33" s="10" t="s">
        <v>1295</v>
      </c>
    </row>
    <row r="34" spans="1:2" x14ac:dyDescent="0.25">
      <c r="A34" s="10">
        <f t="shared" si="0"/>
        <v>33</v>
      </c>
      <c r="B34" s="10" t="s">
        <v>1295</v>
      </c>
    </row>
    <row r="35" spans="1:2" x14ac:dyDescent="0.25">
      <c r="A35" s="10">
        <f t="shared" si="0"/>
        <v>34</v>
      </c>
      <c r="B35" s="10" t="s">
        <v>1295</v>
      </c>
    </row>
    <row r="36" spans="1:2" x14ac:dyDescent="0.25">
      <c r="A36" s="10">
        <f t="shared" si="0"/>
        <v>35</v>
      </c>
      <c r="B36" s="10" t="s">
        <v>1295</v>
      </c>
    </row>
    <row r="37" spans="1:2" x14ac:dyDescent="0.25">
      <c r="A37" s="10">
        <f t="shared" si="0"/>
        <v>36</v>
      </c>
      <c r="B37" s="10" t="s">
        <v>1295</v>
      </c>
    </row>
    <row r="38" spans="1:2" x14ac:dyDescent="0.25">
      <c r="A38" s="10">
        <f t="shared" si="0"/>
        <v>37</v>
      </c>
      <c r="B38" s="10" t="s">
        <v>1295</v>
      </c>
    </row>
    <row r="39" spans="1:2" x14ac:dyDescent="0.25">
      <c r="A39" s="10">
        <f t="shared" si="0"/>
        <v>38</v>
      </c>
      <c r="B39" s="10" t="s">
        <v>1295</v>
      </c>
    </row>
    <row r="40" spans="1:2" x14ac:dyDescent="0.25">
      <c r="A40" s="10">
        <f t="shared" si="0"/>
        <v>39</v>
      </c>
      <c r="B40" s="10" t="s">
        <v>1295</v>
      </c>
    </row>
    <row r="41" spans="1:2" x14ac:dyDescent="0.25">
      <c r="A41" s="10">
        <f t="shared" si="0"/>
        <v>40</v>
      </c>
      <c r="B41" s="10" t="s">
        <v>1295</v>
      </c>
    </row>
    <row r="42" spans="1:2" x14ac:dyDescent="0.25">
      <c r="A42" s="10">
        <f t="shared" si="0"/>
        <v>41</v>
      </c>
      <c r="B42" s="10" t="s">
        <v>1295</v>
      </c>
    </row>
    <row r="43" spans="1:2" x14ac:dyDescent="0.25">
      <c r="A43" s="10">
        <f t="shared" si="0"/>
        <v>42</v>
      </c>
      <c r="B43" s="10" t="s">
        <v>1295</v>
      </c>
    </row>
    <row r="44" spans="1:2" x14ac:dyDescent="0.25">
      <c r="A44" s="10">
        <f t="shared" si="0"/>
        <v>43</v>
      </c>
      <c r="B44" s="10" t="s">
        <v>1295</v>
      </c>
    </row>
    <row r="45" spans="1:2" x14ac:dyDescent="0.25">
      <c r="A45" s="10">
        <f t="shared" si="0"/>
        <v>44</v>
      </c>
      <c r="B45" s="10" t="s">
        <v>1295</v>
      </c>
    </row>
    <row r="46" spans="1:2" x14ac:dyDescent="0.25">
      <c r="A46" s="10">
        <f t="shared" si="0"/>
        <v>45</v>
      </c>
      <c r="B46" s="10" t="s">
        <v>1295</v>
      </c>
    </row>
    <row r="47" spans="1:2" x14ac:dyDescent="0.25">
      <c r="A47" s="10">
        <f t="shared" si="0"/>
        <v>46</v>
      </c>
      <c r="B47" s="10" t="s">
        <v>1295</v>
      </c>
    </row>
    <row r="48" spans="1:2" x14ac:dyDescent="0.25">
      <c r="A48" s="10">
        <f t="shared" si="0"/>
        <v>47</v>
      </c>
      <c r="B48" s="10" t="s">
        <v>1295</v>
      </c>
    </row>
    <row r="49" spans="1:2" x14ac:dyDescent="0.25">
      <c r="A49" s="10">
        <f t="shared" si="0"/>
        <v>48</v>
      </c>
      <c r="B49" s="10" t="s">
        <v>1295</v>
      </c>
    </row>
    <row r="50" spans="1:2" x14ac:dyDescent="0.25">
      <c r="A50" s="10">
        <f t="shared" si="0"/>
        <v>49</v>
      </c>
      <c r="B50" s="10" t="s">
        <v>1295</v>
      </c>
    </row>
    <row r="51" spans="1:2" x14ac:dyDescent="0.25">
      <c r="A51" s="10">
        <f t="shared" si="0"/>
        <v>50</v>
      </c>
      <c r="B51" s="10" t="s">
        <v>1295</v>
      </c>
    </row>
    <row r="52" spans="1:2" x14ac:dyDescent="0.25">
      <c r="A52" s="10">
        <f t="shared" si="0"/>
        <v>51</v>
      </c>
      <c r="B52" s="10" t="s">
        <v>1295</v>
      </c>
    </row>
    <row r="53" spans="1:2" x14ac:dyDescent="0.25">
      <c r="A53" s="10">
        <f t="shared" si="0"/>
        <v>52</v>
      </c>
      <c r="B53" s="10" t="s">
        <v>1295</v>
      </c>
    </row>
    <row r="54" spans="1:2" x14ac:dyDescent="0.25">
      <c r="A54" s="10">
        <f t="shared" si="0"/>
        <v>53</v>
      </c>
      <c r="B54" s="10" t="s">
        <v>1295</v>
      </c>
    </row>
    <row r="55" spans="1:2" x14ac:dyDescent="0.25">
      <c r="A55" s="10">
        <f t="shared" si="0"/>
        <v>54</v>
      </c>
      <c r="B55" s="10" t="s">
        <v>1295</v>
      </c>
    </row>
    <row r="56" spans="1:2" x14ac:dyDescent="0.25">
      <c r="A56" s="10">
        <f t="shared" si="0"/>
        <v>55</v>
      </c>
      <c r="B56" s="10" t="s">
        <v>1295</v>
      </c>
    </row>
    <row r="57" spans="1:2" x14ac:dyDescent="0.25">
      <c r="A57" s="10">
        <f t="shared" si="0"/>
        <v>56</v>
      </c>
      <c r="B57" s="10" t="s">
        <v>1295</v>
      </c>
    </row>
    <row r="58" spans="1:2" x14ac:dyDescent="0.25">
      <c r="A58" s="10">
        <f t="shared" si="0"/>
        <v>57</v>
      </c>
      <c r="B58" s="10" t="s">
        <v>1295</v>
      </c>
    </row>
    <row r="59" spans="1:2" x14ac:dyDescent="0.25">
      <c r="A59" s="10">
        <f t="shared" si="0"/>
        <v>58</v>
      </c>
      <c r="B59" s="10" t="s">
        <v>1295</v>
      </c>
    </row>
    <row r="60" spans="1:2" x14ac:dyDescent="0.25">
      <c r="A60" s="10">
        <f t="shared" si="0"/>
        <v>59</v>
      </c>
      <c r="B60" s="10" t="s">
        <v>1295</v>
      </c>
    </row>
    <row r="61" spans="1:2" x14ac:dyDescent="0.25">
      <c r="A61" s="10">
        <f t="shared" si="0"/>
        <v>60</v>
      </c>
      <c r="B61" s="10" t="s">
        <v>1295</v>
      </c>
    </row>
    <row r="62" spans="1:2" x14ac:dyDescent="0.25">
      <c r="A62" s="10">
        <f t="shared" si="0"/>
        <v>61</v>
      </c>
      <c r="B62" s="10" t="s">
        <v>1295</v>
      </c>
    </row>
    <row r="63" spans="1:2" x14ac:dyDescent="0.25">
      <c r="A63" s="10">
        <f t="shared" si="0"/>
        <v>62</v>
      </c>
      <c r="B63" s="10" t="s">
        <v>1295</v>
      </c>
    </row>
    <row r="64" spans="1:2" x14ac:dyDescent="0.25">
      <c r="A64" s="10">
        <f t="shared" si="0"/>
        <v>63</v>
      </c>
      <c r="B64" s="10" t="s">
        <v>1295</v>
      </c>
    </row>
    <row r="65" spans="1:2" x14ac:dyDescent="0.25">
      <c r="A65" s="10">
        <f t="shared" si="0"/>
        <v>64</v>
      </c>
      <c r="B65" s="10" t="s">
        <v>1295</v>
      </c>
    </row>
    <row r="66" spans="1:2" x14ac:dyDescent="0.25">
      <c r="A66" s="10">
        <f t="shared" si="0"/>
        <v>65</v>
      </c>
      <c r="B66" s="10" t="s">
        <v>1295</v>
      </c>
    </row>
    <row r="67" spans="1:2" x14ac:dyDescent="0.25">
      <c r="A67" s="10">
        <f t="shared" si="0"/>
        <v>66</v>
      </c>
      <c r="B67" s="10" t="s">
        <v>1295</v>
      </c>
    </row>
    <row r="68" spans="1:2" x14ac:dyDescent="0.25">
      <c r="A68" s="10">
        <f t="shared" si="0"/>
        <v>67</v>
      </c>
      <c r="B68" s="10" t="s">
        <v>1295</v>
      </c>
    </row>
    <row r="69" spans="1:2" x14ac:dyDescent="0.25">
      <c r="A69" s="10">
        <f t="shared" si="0"/>
        <v>68</v>
      </c>
      <c r="B69" s="10" t="s">
        <v>1295</v>
      </c>
    </row>
    <row r="70" spans="1:2" x14ac:dyDescent="0.25">
      <c r="A70" s="10">
        <f t="shared" si="0"/>
        <v>69</v>
      </c>
      <c r="B70" s="10" t="s">
        <v>1295</v>
      </c>
    </row>
    <row r="71" spans="1:2" x14ac:dyDescent="0.25">
      <c r="A71" s="10">
        <f t="shared" si="0"/>
        <v>70</v>
      </c>
      <c r="B71" s="10" t="s">
        <v>1295</v>
      </c>
    </row>
    <row r="72" spans="1:2" x14ac:dyDescent="0.25">
      <c r="A72" s="10">
        <f t="shared" si="0"/>
        <v>71</v>
      </c>
      <c r="B72" s="10" t="s">
        <v>1295</v>
      </c>
    </row>
    <row r="73" spans="1:2" x14ac:dyDescent="0.25">
      <c r="A73" s="10">
        <f t="shared" si="0"/>
        <v>72</v>
      </c>
      <c r="B73" s="10" t="s">
        <v>1295</v>
      </c>
    </row>
    <row r="74" spans="1:2" x14ac:dyDescent="0.25">
      <c r="A74" s="10">
        <f t="shared" si="0"/>
        <v>73</v>
      </c>
      <c r="B74" s="10" t="s">
        <v>1295</v>
      </c>
    </row>
    <row r="75" spans="1:2" x14ac:dyDescent="0.25">
      <c r="A75" s="10">
        <f t="shared" ref="A75:A100" si="1">A74+1</f>
        <v>74</v>
      </c>
      <c r="B75" s="10" t="s">
        <v>1295</v>
      </c>
    </row>
    <row r="76" spans="1:2" x14ac:dyDescent="0.25">
      <c r="A76" s="10">
        <f t="shared" si="1"/>
        <v>75</v>
      </c>
      <c r="B76" s="10" t="s">
        <v>1295</v>
      </c>
    </row>
    <row r="77" spans="1:2" x14ac:dyDescent="0.25">
      <c r="A77" s="10">
        <f t="shared" si="1"/>
        <v>76</v>
      </c>
      <c r="B77" s="10" t="s">
        <v>1295</v>
      </c>
    </row>
    <row r="78" spans="1:2" x14ac:dyDescent="0.25">
      <c r="A78" s="10">
        <f t="shared" si="1"/>
        <v>77</v>
      </c>
      <c r="B78" s="10" t="s">
        <v>1295</v>
      </c>
    </row>
    <row r="79" spans="1:2" x14ac:dyDescent="0.25">
      <c r="A79" s="10">
        <f t="shared" si="1"/>
        <v>78</v>
      </c>
      <c r="B79" s="10" t="s">
        <v>1295</v>
      </c>
    </row>
    <row r="80" spans="1:2" x14ac:dyDescent="0.25">
      <c r="A80" s="10">
        <f t="shared" si="1"/>
        <v>79</v>
      </c>
      <c r="B80" s="10" t="s">
        <v>1295</v>
      </c>
    </row>
    <row r="81" spans="1:2" x14ac:dyDescent="0.25">
      <c r="A81" s="10">
        <f t="shared" si="1"/>
        <v>80</v>
      </c>
      <c r="B81" s="10" t="s">
        <v>1295</v>
      </c>
    </row>
    <row r="82" spans="1:2" x14ac:dyDescent="0.25">
      <c r="A82" s="10">
        <f t="shared" si="1"/>
        <v>81</v>
      </c>
      <c r="B82" s="10" t="s">
        <v>1295</v>
      </c>
    </row>
    <row r="83" spans="1:2" x14ac:dyDescent="0.25">
      <c r="A83" s="10">
        <f t="shared" si="1"/>
        <v>82</v>
      </c>
      <c r="B83" s="10" t="s">
        <v>1295</v>
      </c>
    </row>
    <row r="84" spans="1:2" x14ac:dyDescent="0.25">
      <c r="A84" s="10">
        <f t="shared" si="1"/>
        <v>83</v>
      </c>
      <c r="B84" s="10" t="s">
        <v>1295</v>
      </c>
    </row>
    <row r="85" spans="1:2" x14ac:dyDescent="0.25">
      <c r="A85" s="10">
        <f t="shared" si="1"/>
        <v>84</v>
      </c>
      <c r="B85" s="10" t="s">
        <v>1295</v>
      </c>
    </row>
    <row r="86" spans="1:2" x14ac:dyDescent="0.25">
      <c r="A86" s="10">
        <f t="shared" si="1"/>
        <v>85</v>
      </c>
      <c r="B86" s="10" t="s">
        <v>1295</v>
      </c>
    </row>
    <row r="87" spans="1:2" x14ac:dyDescent="0.25">
      <c r="A87" s="10">
        <f t="shared" si="1"/>
        <v>86</v>
      </c>
      <c r="B87" s="10" t="s">
        <v>1295</v>
      </c>
    </row>
    <row r="88" spans="1:2" x14ac:dyDescent="0.25">
      <c r="A88" s="10">
        <f t="shared" si="1"/>
        <v>87</v>
      </c>
      <c r="B88" s="10" t="s">
        <v>1295</v>
      </c>
    </row>
    <row r="89" spans="1:2" x14ac:dyDescent="0.25">
      <c r="A89" s="10">
        <f t="shared" si="1"/>
        <v>88</v>
      </c>
      <c r="B89" s="10" t="s">
        <v>1295</v>
      </c>
    </row>
    <row r="90" spans="1:2" x14ac:dyDescent="0.25">
      <c r="A90" s="10">
        <f t="shared" si="1"/>
        <v>89</v>
      </c>
      <c r="B90" s="10" t="s">
        <v>1295</v>
      </c>
    </row>
    <row r="91" spans="1:2" x14ac:dyDescent="0.25">
      <c r="A91" s="10">
        <f t="shared" si="1"/>
        <v>90</v>
      </c>
      <c r="B91" s="10" t="s">
        <v>1295</v>
      </c>
    </row>
    <row r="92" spans="1:2" x14ac:dyDescent="0.25">
      <c r="A92" s="10">
        <f t="shared" si="1"/>
        <v>91</v>
      </c>
      <c r="B92" s="10" t="s">
        <v>1295</v>
      </c>
    </row>
    <row r="93" spans="1:2" x14ac:dyDescent="0.25">
      <c r="A93" s="10">
        <f t="shared" si="1"/>
        <v>92</v>
      </c>
      <c r="B93" s="10" t="s">
        <v>1295</v>
      </c>
    </row>
    <row r="94" spans="1:2" x14ac:dyDescent="0.25">
      <c r="A94" s="10">
        <f t="shared" si="1"/>
        <v>93</v>
      </c>
      <c r="B94" s="10" t="s">
        <v>1295</v>
      </c>
    </row>
    <row r="95" spans="1:2" x14ac:dyDescent="0.25">
      <c r="A95" s="10">
        <f t="shared" si="1"/>
        <v>94</v>
      </c>
      <c r="B95" s="10" t="s">
        <v>1295</v>
      </c>
    </row>
    <row r="96" spans="1:2" x14ac:dyDescent="0.25">
      <c r="A96" s="10">
        <f t="shared" si="1"/>
        <v>95</v>
      </c>
      <c r="B96" s="10" t="s">
        <v>1295</v>
      </c>
    </row>
    <row r="97" spans="1:2" x14ac:dyDescent="0.25">
      <c r="A97" s="10">
        <f t="shared" si="1"/>
        <v>96</v>
      </c>
      <c r="B97" s="10" t="s">
        <v>1295</v>
      </c>
    </row>
    <row r="98" spans="1:2" x14ac:dyDescent="0.25">
      <c r="A98" s="10">
        <f t="shared" si="1"/>
        <v>97</v>
      </c>
      <c r="B98" s="10" t="s">
        <v>1295</v>
      </c>
    </row>
    <row r="99" spans="1:2" x14ac:dyDescent="0.25">
      <c r="A99" s="10">
        <f t="shared" si="1"/>
        <v>98</v>
      </c>
      <c r="B99" s="10" t="s">
        <v>1295</v>
      </c>
    </row>
    <row r="100" spans="1:2" x14ac:dyDescent="0.25">
      <c r="A100" s="10">
        <f t="shared" si="1"/>
        <v>99</v>
      </c>
      <c r="B100" s="10" t="s">
        <v>1295</v>
      </c>
    </row>
    <row r="101" spans="1:2" x14ac:dyDescent="0.25">
      <c r="A101" s="10">
        <v>100</v>
      </c>
      <c r="B101" s="10" t="s">
        <v>1295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3FF5B-CE20-4EFE-B910-5B0505385F9D}">
  <dimension ref="A1:C1190"/>
  <sheetViews>
    <sheetView workbookViewId="0">
      <pane ySplit="1" topLeftCell="A1167" activePane="bottomLeft" state="frozen"/>
      <selection pane="bottomLeft" activeCell="D1177" sqref="D1177"/>
    </sheetView>
  </sheetViews>
  <sheetFormatPr defaultRowHeight="15" x14ac:dyDescent="0.25"/>
  <cols>
    <col min="1" max="1" width="34.7109375" style="12" customWidth="1"/>
    <col min="2" max="2" width="19.5703125" style="12" customWidth="1"/>
    <col min="3" max="3" width="47.42578125" style="10" bestFit="1" customWidth="1"/>
  </cols>
  <sheetData>
    <row r="1" spans="1:3" x14ac:dyDescent="0.25">
      <c r="A1" s="14" t="s">
        <v>71</v>
      </c>
      <c r="B1" s="6" t="s">
        <v>72</v>
      </c>
      <c r="C1" s="6" t="s">
        <v>73</v>
      </c>
    </row>
    <row r="2" spans="1:3" x14ac:dyDescent="0.25">
      <c r="A2" s="15" t="s">
        <v>66</v>
      </c>
      <c r="B2" s="6" t="s">
        <v>66</v>
      </c>
      <c r="C2" s="6" t="s">
        <v>74</v>
      </c>
    </row>
    <row r="3" spans="1:3" x14ac:dyDescent="0.25">
      <c r="A3" s="15" t="s">
        <v>1003</v>
      </c>
      <c r="B3" s="6" t="s">
        <v>1003</v>
      </c>
      <c r="C3" s="6" t="s">
        <v>74</v>
      </c>
    </row>
    <row r="4" spans="1:3" x14ac:dyDescent="0.25">
      <c r="A4" s="15" t="s">
        <v>70</v>
      </c>
      <c r="B4" s="6" t="s">
        <v>70</v>
      </c>
      <c r="C4" s="6" t="s">
        <v>74</v>
      </c>
    </row>
    <row r="5" spans="1:3" x14ac:dyDescent="0.25">
      <c r="A5" s="15" t="s">
        <v>1004</v>
      </c>
      <c r="B5" s="6" t="s">
        <v>1004</v>
      </c>
      <c r="C5" s="6" t="s">
        <v>74</v>
      </c>
    </row>
    <row r="6" spans="1:3" x14ac:dyDescent="0.25">
      <c r="A6" s="15" t="s">
        <v>1005</v>
      </c>
      <c r="B6" s="6" t="s">
        <v>1005</v>
      </c>
      <c r="C6" s="6" t="s">
        <v>74</v>
      </c>
    </row>
    <row r="7" spans="1:3" x14ac:dyDescent="0.25">
      <c r="A7" s="15" t="s">
        <v>1006</v>
      </c>
      <c r="B7" s="6" t="s">
        <v>1006</v>
      </c>
      <c r="C7" s="6" t="s">
        <v>74</v>
      </c>
    </row>
    <row r="8" spans="1:3" x14ac:dyDescent="0.25">
      <c r="A8" s="15" t="s">
        <v>1007</v>
      </c>
      <c r="B8" s="6" t="s">
        <v>1007</v>
      </c>
      <c r="C8" s="6" t="s">
        <v>74</v>
      </c>
    </row>
    <row r="9" spans="1:3" x14ac:dyDescent="0.25">
      <c r="A9" s="15" t="s">
        <v>1008</v>
      </c>
      <c r="B9" s="6" t="s">
        <v>1008</v>
      </c>
      <c r="C9" s="6" t="s">
        <v>74</v>
      </c>
    </row>
    <row r="10" spans="1:3" x14ac:dyDescent="0.25">
      <c r="A10" s="15" t="s">
        <v>1009</v>
      </c>
      <c r="B10" s="6" t="s">
        <v>1009</v>
      </c>
      <c r="C10" s="6" t="s">
        <v>74</v>
      </c>
    </row>
    <row r="11" spans="1:3" x14ac:dyDescent="0.25">
      <c r="A11" s="15" t="s">
        <v>1010</v>
      </c>
      <c r="B11" s="6" t="s">
        <v>1010</v>
      </c>
      <c r="C11" s="6" t="s">
        <v>74</v>
      </c>
    </row>
    <row r="12" spans="1:3" x14ac:dyDescent="0.25">
      <c r="A12" s="15" t="s">
        <v>1011</v>
      </c>
      <c r="B12" s="6" t="s">
        <v>1011</v>
      </c>
      <c r="C12" s="6" t="s">
        <v>74</v>
      </c>
    </row>
    <row r="13" spans="1:3" x14ac:dyDescent="0.25">
      <c r="A13" s="15" t="s">
        <v>1012</v>
      </c>
      <c r="B13" s="6" t="s">
        <v>1012</v>
      </c>
      <c r="C13" s="6" t="s">
        <v>74</v>
      </c>
    </row>
    <row r="14" spans="1:3" x14ac:dyDescent="0.25">
      <c r="A14" s="15" t="s">
        <v>1013</v>
      </c>
      <c r="B14" s="6" t="s">
        <v>1013</v>
      </c>
      <c r="C14" s="6" t="s">
        <v>74</v>
      </c>
    </row>
    <row r="15" spans="1:3" x14ac:dyDescent="0.25">
      <c r="A15" s="15" t="s">
        <v>1014</v>
      </c>
      <c r="B15" s="6" t="s">
        <v>1014</v>
      </c>
      <c r="C15" s="6" t="s">
        <v>74</v>
      </c>
    </row>
    <row r="16" spans="1:3" x14ac:dyDescent="0.25">
      <c r="A16" s="15" t="s">
        <v>1015</v>
      </c>
      <c r="B16" s="6" t="s">
        <v>1015</v>
      </c>
      <c r="C16" s="6" t="s">
        <v>74</v>
      </c>
    </row>
    <row r="17" spans="1:3" x14ac:dyDescent="0.25">
      <c r="A17" s="15" t="s">
        <v>1016</v>
      </c>
      <c r="B17" s="6" t="s">
        <v>1016</v>
      </c>
      <c r="C17" s="6" t="s">
        <v>74</v>
      </c>
    </row>
    <row r="18" spans="1:3" x14ac:dyDescent="0.25">
      <c r="A18" s="15" t="s">
        <v>1017</v>
      </c>
      <c r="B18" s="6" t="s">
        <v>1017</v>
      </c>
      <c r="C18" s="6" t="s">
        <v>74</v>
      </c>
    </row>
    <row r="19" spans="1:3" x14ac:dyDescent="0.25">
      <c r="A19" s="15" t="s">
        <v>1018</v>
      </c>
      <c r="B19" s="6" t="s">
        <v>1018</v>
      </c>
      <c r="C19" s="6" t="s">
        <v>74</v>
      </c>
    </row>
    <row r="20" spans="1:3" x14ac:dyDescent="0.25">
      <c r="A20" s="15" t="s">
        <v>1019</v>
      </c>
      <c r="B20" s="6" t="s">
        <v>1019</v>
      </c>
      <c r="C20" s="6" t="s">
        <v>74</v>
      </c>
    </row>
    <row r="21" spans="1:3" x14ac:dyDescent="0.25">
      <c r="A21" s="15" t="s">
        <v>1020</v>
      </c>
      <c r="B21" s="6" t="s">
        <v>1020</v>
      </c>
      <c r="C21" s="6" t="s">
        <v>74</v>
      </c>
    </row>
    <row r="22" spans="1:3" x14ac:dyDescent="0.25">
      <c r="A22" s="15" t="s">
        <v>1021</v>
      </c>
      <c r="B22" s="6" t="s">
        <v>1021</v>
      </c>
      <c r="C22" s="6" t="s">
        <v>74</v>
      </c>
    </row>
    <row r="23" spans="1:3" x14ac:dyDescent="0.25">
      <c r="A23" s="15" t="s">
        <v>1022</v>
      </c>
      <c r="B23" s="6" t="s">
        <v>1022</v>
      </c>
      <c r="C23" s="6" t="s">
        <v>74</v>
      </c>
    </row>
    <row r="24" spans="1:3" x14ac:dyDescent="0.25">
      <c r="A24" s="15" t="s">
        <v>1023</v>
      </c>
      <c r="B24" s="6" t="s">
        <v>1023</v>
      </c>
      <c r="C24" s="6" t="s">
        <v>74</v>
      </c>
    </row>
    <row r="25" spans="1:3" x14ac:dyDescent="0.25">
      <c r="A25" s="15" t="s">
        <v>1024</v>
      </c>
      <c r="B25" s="6" t="s">
        <v>1024</v>
      </c>
      <c r="C25" s="6" t="s">
        <v>74</v>
      </c>
    </row>
    <row r="26" spans="1:3" x14ac:dyDescent="0.25">
      <c r="A26" s="15" t="s">
        <v>1025</v>
      </c>
      <c r="B26" s="6" t="s">
        <v>1025</v>
      </c>
      <c r="C26" s="6" t="s">
        <v>74</v>
      </c>
    </row>
    <row r="27" spans="1:3" x14ac:dyDescent="0.25">
      <c r="A27" s="15" t="s">
        <v>1026</v>
      </c>
      <c r="B27" s="6" t="s">
        <v>1026</v>
      </c>
      <c r="C27" s="6" t="s">
        <v>74</v>
      </c>
    </row>
    <row r="28" spans="1:3" x14ac:dyDescent="0.25">
      <c r="A28" s="15" t="s">
        <v>1027</v>
      </c>
      <c r="B28" s="6" t="s">
        <v>1027</v>
      </c>
      <c r="C28" s="6" t="s">
        <v>74</v>
      </c>
    </row>
    <row r="29" spans="1:3" x14ac:dyDescent="0.25">
      <c r="A29" s="15" t="s">
        <v>1028</v>
      </c>
      <c r="B29" s="6" t="s">
        <v>1028</v>
      </c>
      <c r="C29" s="6" t="s">
        <v>74</v>
      </c>
    </row>
    <row r="30" spans="1:3" x14ac:dyDescent="0.25">
      <c r="A30" s="15" t="s">
        <v>1029</v>
      </c>
      <c r="B30" s="6" t="s">
        <v>1029</v>
      </c>
      <c r="C30" s="6" t="s">
        <v>74</v>
      </c>
    </row>
    <row r="31" spans="1:3" x14ac:dyDescent="0.25">
      <c r="A31" s="15" t="s">
        <v>1030</v>
      </c>
      <c r="B31" s="6" t="s">
        <v>1030</v>
      </c>
      <c r="C31" s="6" t="s">
        <v>74</v>
      </c>
    </row>
    <row r="32" spans="1:3" x14ac:dyDescent="0.25">
      <c r="A32" s="15" t="s">
        <v>1031</v>
      </c>
      <c r="B32" s="6" t="s">
        <v>1031</v>
      </c>
      <c r="C32" s="6" t="s">
        <v>74</v>
      </c>
    </row>
    <row r="33" spans="1:3" x14ac:dyDescent="0.25">
      <c r="A33" s="15" t="s">
        <v>1032</v>
      </c>
      <c r="B33" s="6" t="s">
        <v>1032</v>
      </c>
      <c r="C33" s="6" t="s">
        <v>74</v>
      </c>
    </row>
    <row r="34" spans="1:3" x14ac:dyDescent="0.25">
      <c r="A34" s="15" t="s">
        <v>1033</v>
      </c>
      <c r="B34" s="6" t="s">
        <v>1033</v>
      </c>
      <c r="C34" s="6" t="s">
        <v>74</v>
      </c>
    </row>
    <row r="35" spans="1:3" x14ac:dyDescent="0.25">
      <c r="A35" s="15" t="s">
        <v>1034</v>
      </c>
      <c r="B35" s="6" t="s">
        <v>1034</v>
      </c>
      <c r="C35" s="6" t="s">
        <v>74</v>
      </c>
    </row>
    <row r="36" spans="1:3" x14ac:dyDescent="0.25">
      <c r="A36" s="15" t="s">
        <v>1035</v>
      </c>
      <c r="B36" s="6" t="s">
        <v>1035</v>
      </c>
      <c r="C36" s="6" t="s">
        <v>74</v>
      </c>
    </row>
    <row r="37" spans="1:3" x14ac:dyDescent="0.25">
      <c r="A37" s="15" t="s">
        <v>1036</v>
      </c>
      <c r="B37" s="6" t="s">
        <v>1036</v>
      </c>
      <c r="C37" s="6" t="s">
        <v>74</v>
      </c>
    </row>
    <row r="38" spans="1:3" x14ac:dyDescent="0.25">
      <c r="A38" s="15" t="s">
        <v>1037</v>
      </c>
      <c r="B38" s="6" t="s">
        <v>1037</v>
      </c>
      <c r="C38" s="6" t="s">
        <v>74</v>
      </c>
    </row>
    <row r="39" spans="1:3" x14ac:dyDescent="0.25">
      <c r="A39" s="15" t="s">
        <v>1038</v>
      </c>
      <c r="B39" s="6" t="s">
        <v>1038</v>
      </c>
      <c r="C39" s="6" t="s">
        <v>74</v>
      </c>
    </row>
    <row r="40" spans="1:3" x14ac:dyDescent="0.25">
      <c r="A40" s="15" t="s">
        <v>1039</v>
      </c>
      <c r="B40" s="6" t="s">
        <v>1039</v>
      </c>
      <c r="C40" s="6" t="s">
        <v>74</v>
      </c>
    </row>
    <row r="41" spans="1:3" x14ac:dyDescent="0.25">
      <c r="A41" s="15" t="s">
        <v>1040</v>
      </c>
      <c r="B41" s="6" t="s">
        <v>1040</v>
      </c>
      <c r="C41" s="6" t="s">
        <v>74</v>
      </c>
    </row>
    <row r="42" spans="1:3" x14ac:dyDescent="0.25">
      <c r="A42" s="15" t="s">
        <v>1041</v>
      </c>
      <c r="B42" s="6" t="s">
        <v>1041</v>
      </c>
      <c r="C42" s="6" t="s">
        <v>74</v>
      </c>
    </row>
    <row r="43" spans="1:3" x14ac:dyDescent="0.25">
      <c r="A43" s="15" t="s">
        <v>1042</v>
      </c>
      <c r="B43" s="6" t="s">
        <v>1042</v>
      </c>
      <c r="C43" s="6" t="s">
        <v>74</v>
      </c>
    </row>
    <row r="44" spans="1:3" x14ac:dyDescent="0.25">
      <c r="A44" s="15" t="s">
        <v>1043</v>
      </c>
      <c r="B44" s="6" t="s">
        <v>1043</v>
      </c>
      <c r="C44" s="6" t="s">
        <v>74</v>
      </c>
    </row>
    <row r="45" spans="1:3" x14ac:dyDescent="0.25">
      <c r="A45" s="15" t="s">
        <v>1044</v>
      </c>
      <c r="B45" s="6" t="s">
        <v>1044</v>
      </c>
      <c r="C45" s="6" t="s">
        <v>74</v>
      </c>
    </row>
    <row r="46" spans="1:3" x14ac:dyDescent="0.25">
      <c r="A46" s="15" t="s">
        <v>1045</v>
      </c>
      <c r="B46" s="6" t="s">
        <v>1045</v>
      </c>
      <c r="C46" s="6" t="s">
        <v>74</v>
      </c>
    </row>
    <row r="47" spans="1:3" x14ac:dyDescent="0.25">
      <c r="A47" s="15" t="s">
        <v>1046</v>
      </c>
      <c r="B47" s="6" t="s">
        <v>1046</v>
      </c>
      <c r="C47" s="6" t="s">
        <v>74</v>
      </c>
    </row>
    <row r="48" spans="1:3" x14ac:dyDescent="0.25">
      <c r="A48" s="15" t="s">
        <v>1047</v>
      </c>
      <c r="B48" s="6" t="s">
        <v>1047</v>
      </c>
      <c r="C48" s="6" t="s">
        <v>74</v>
      </c>
    </row>
    <row r="49" spans="1:3" x14ac:dyDescent="0.25">
      <c r="A49" s="15" t="s">
        <v>1048</v>
      </c>
      <c r="B49" s="6" t="s">
        <v>1048</v>
      </c>
      <c r="C49" s="6" t="s">
        <v>74</v>
      </c>
    </row>
    <row r="50" spans="1:3" x14ac:dyDescent="0.25">
      <c r="A50" s="15" t="s">
        <v>1049</v>
      </c>
      <c r="B50" s="6" t="s">
        <v>1049</v>
      </c>
      <c r="C50" s="6" t="s">
        <v>74</v>
      </c>
    </row>
    <row r="51" spans="1:3" x14ac:dyDescent="0.25">
      <c r="A51" s="15" t="s">
        <v>1050</v>
      </c>
      <c r="B51" s="6" t="s">
        <v>1050</v>
      </c>
      <c r="C51" s="6" t="s">
        <v>74</v>
      </c>
    </row>
    <row r="52" spans="1:3" x14ac:dyDescent="0.25">
      <c r="A52" s="15" t="s">
        <v>1051</v>
      </c>
      <c r="B52" s="6" t="s">
        <v>1051</v>
      </c>
      <c r="C52" s="6" t="s">
        <v>74</v>
      </c>
    </row>
    <row r="53" spans="1:3" x14ac:dyDescent="0.25">
      <c r="A53" s="15" t="s">
        <v>1052</v>
      </c>
      <c r="B53" s="6" t="s">
        <v>1052</v>
      </c>
      <c r="C53" s="6" t="s">
        <v>74</v>
      </c>
    </row>
    <row r="54" spans="1:3" x14ac:dyDescent="0.25">
      <c r="A54" s="15" t="s">
        <v>1053</v>
      </c>
      <c r="B54" s="6" t="s">
        <v>1053</v>
      </c>
      <c r="C54" s="6" t="s">
        <v>74</v>
      </c>
    </row>
    <row r="55" spans="1:3" x14ac:dyDescent="0.25">
      <c r="A55" s="15" t="s">
        <v>1054</v>
      </c>
      <c r="B55" s="6" t="s">
        <v>1054</v>
      </c>
      <c r="C55" s="6" t="s">
        <v>74</v>
      </c>
    </row>
    <row r="56" spans="1:3" x14ac:dyDescent="0.25">
      <c r="A56" s="15" t="s">
        <v>1055</v>
      </c>
      <c r="B56" s="6" t="s">
        <v>1055</v>
      </c>
      <c r="C56" s="6" t="s">
        <v>74</v>
      </c>
    </row>
    <row r="57" spans="1:3" x14ac:dyDescent="0.25">
      <c r="A57" s="15" t="s">
        <v>1056</v>
      </c>
      <c r="B57" s="6" t="s">
        <v>1056</v>
      </c>
      <c r="C57" s="6" t="s">
        <v>74</v>
      </c>
    </row>
    <row r="58" spans="1:3" x14ac:dyDescent="0.25">
      <c r="A58" s="15" t="s">
        <v>1057</v>
      </c>
      <c r="B58" s="6" t="s">
        <v>1057</v>
      </c>
      <c r="C58" s="6" t="s">
        <v>74</v>
      </c>
    </row>
    <row r="59" spans="1:3" x14ac:dyDescent="0.25">
      <c r="A59" s="15" t="s">
        <v>1058</v>
      </c>
      <c r="B59" s="6" t="s">
        <v>1058</v>
      </c>
      <c r="C59" s="6" t="s">
        <v>74</v>
      </c>
    </row>
    <row r="60" spans="1:3" x14ac:dyDescent="0.25">
      <c r="A60" s="15" t="s">
        <v>1059</v>
      </c>
      <c r="B60" s="6" t="s">
        <v>1059</v>
      </c>
      <c r="C60" s="6" t="s">
        <v>74</v>
      </c>
    </row>
    <row r="61" spans="1:3" x14ac:dyDescent="0.25">
      <c r="A61" s="15" t="s">
        <v>1060</v>
      </c>
      <c r="B61" s="6" t="s">
        <v>1060</v>
      </c>
      <c r="C61" s="6" t="s">
        <v>74</v>
      </c>
    </row>
    <row r="62" spans="1:3" x14ac:dyDescent="0.25">
      <c r="A62" s="15" t="s">
        <v>1061</v>
      </c>
      <c r="B62" s="6" t="s">
        <v>1061</v>
      </c>
      <c r="C62" s="6" t="s">
        <v>74</v>
      </c>
    </row>
    <row r="63" spans="1:3" x14ac:dyDescent="0.25">
      <c r="A63" s="15" t="s">
        <v>1062</v>
      </c>
      <c r="B63" s="6" t="s">
        <v>1062</v>
      </c>
      <c r="C63" s="6" t="s">
        <v>74</v>
      </c>
    </row>
    <row r="64" spans="1:3" x14ac:dyDescent="0.25">
      <c r="A64" s="15" t="s">
        <v>1063</v>
      </c>
      <c r="B64" s="6" t="s">
        <v>1063</v>
      </c>
      <c r="C64" s="6" t="s">
        <v>74</v>
      </c>
    </row>
    <row r="65" spans="1:3" x14ac:dyDescent="0.25">
      <c r="A65" s="15" t="s">
        <v>1064</v>
      </c>
      <c r="B65" s="6" t="s">
        <v>1064</v>
      </c>
      <c r="C65" s="6" t="s">
        <v>74</v>
      </c>
    </row>
    <row r="66" spans="1:3" x14ac:dyDescent="0.25">
      <c r="A66" s="15" t="s">
        <v>1065</v>
      </c>
      <c r="B66" s="6" t="s">
        <v>1065</v>
      </c>
      <c r="C66" s="6" t="s">
        <v>74</v>
      </c>
    </row>
    <row r="67" spans="1:3" x14ac:dyDescent="0.25">
      <c r="A67" s="15" t="s">
        <v>1066</v>
      </c>
      <c r="B67" s="6" t="s">
        <v>1066</v>
      </c>
      <c r="C67" s="6" t="s">
        <v>74</v>
      </c>
    </row>
    <row r="68" spans="1:3" x14ac:dyDescent="0.25">
      <c r="A68" s="15" t="s">
        <v>1067</v>
      </c>
      <c r="B68" s="6" t="s">
        <v>1067</v>
      </c>
      <c r="C68" s="6" t="s">
        <v>74</v>
      </c>
    </row>
    <row r="69" spans="1:3" x14ac:dyDescent="0.25">
      <c r="A69" s="15" t="s">
        <v>1068</v>
      </c>
      <c r="B69" s="6" t="s">
        <v>1068</v>
      </c>
      <c r="C69" s="6" t="s">
        <v>74</v>
      </c>
    </row>
    <row r="70" spans="1:3" x14ac:dyDescent="0.25">
      <c r="A70" s="15" t="s">
        <v>1069</v>
      </c>
      <c r="B70" s="6" t="s">
        <v>1069</v>
      </c>
      <c r="C70" s="6" t="s">
        <v>74</v>
      </c>
    </row>
    <row r="71" spans="1:3" s="13" customFormat="1" x14ac:dyDescent="0.25">
      <c r="A71" s="15" t="s">
        <v>1070</v>
      </c>
      <c r="B71" s="6" t="s">
        <v>1014</v>
      </c>
      <c r="C71" s="6" t="s">
        <v>75</v>
      </c>
    </row>
    <row r="72" spans="1:3" x14ac:dyDescent="0.25">
      <c r="A72" s="15" t="s">
        <v>1071</v>
      </c>
      <c r="B72" s="6" t="s">
        <v>1003</v>
      </c>
      <c r="C72" s="6" t="s">
        <v>75</v>
      </c>
    </row>
    <row r="73" spans="1:3" x14ac:dyDescent="0.25">
      <c r="A73" s="15" t="s">
        <v>76</v>
      </c>
      <c r="B73" s="6" t="s">
        <v>1003</v>
      </c>
      <c r="C73" s="6" t="s">
        <v>75</v>
      </c>
    </row>
    <row r="74" spans="1:3" x14ac:dyDescent="0.25">
      <c r="A74" s="15" t="s">
        <v>77</v>
      </c>
      <c r="B74" s="6" t="s">
        <v>1005</v>
      </c>
      <c r="C74" s="6" t="s">
        <v>75</v>
      </c>
    </row>
    <row r="75" spans="1:3" x14ac:dyDescent="0.25">
      <c r="A75" s="15" t="s">
        <v>1072</v>
      </c>
      <c r="B75" s="6" t="s">
        <v>70</v>
      </c>
      <c r="C75" s="6" t="s">
        <v>75</v>
      </c>
    </row>
    <row r="76" spans="1:3" x14ac:dyDescent="0.25">
      <c r="A76" s="15" t="s">
        <v>1073</v>
      </c>
      <c r="B76" s="6" t="s">
        <v>70</v>
      </c>
      <c r="C76" s="6" t="s">
        <v>75</v>
      </c>
    </row>
    <row r="77" spans="1:3" x14ac:dyDescent="0.25">
      <c r="A77" s="15" t="s">
        <v>78</v>
      </c>
      <c r="B77" s="6" t="s">
        <v>1006</v>
      </c>
      <c r="C77" s="6" t="s">
        <v>75</v>
      </c>
    </row>
    <row r="78" spans="1:3" x14ac:dyDescent="0.25">
      <c r="A78" s="15" t="s">
        <v>79</v>
      </c>
      <c r="B78" s="6" t="s">
        <v>1006</v>
      </c>
      <c r="C78" s="6" t="s">
        <v>75</v>
      </c>
    </row>
    <row r="79" spans="1:3" x14ac:dyDescent="0.25">
      <c r="A79" s="15" t="s">
        <v>1074</v>
      </c>
      <c r="B79" s="6" t="s">
        <v>1003</v>
      </c>
      <c r="C79" s="6" t="s">
        <v>75</v>
      </c>
    </row>
    <row r="80" spans="1:3" x14ac:dyDescent="0.25">
      <c r="A80" s="15" t="s">
        <v>1075</v>
      </c>
      <c r="B80" s="6" t="s">
        <v>70</v>
      </c>
      <c r="C80" s="6" t="s">
        <v>75</v>
      </c>
    </row>
    <row r="81" spans="1:3" x14ac:dyDescent="0.25">
      <c r="A81" s="15" t="s">
        <v>1076</v>
      </c>
      <c r="B81" s="6" t="s">
        <v>70</v>
      </c>
      <c r="C81" s="6" t="s">
        <v>75</v>
      </c>
    </row>
    <row r="82" spans="1:3" x14ac:dyDescent="0.25">
      <c r="A82" s="15" t="s">
        <v>1077</v>
      </c>
      <c r="B82" s="6" t="s">
        <v>1004</v>
      </c>
      <c r="C82" s="6" t="s">
        <v>75</v>
      </c>
    </row>
    <row r="83" spans="1:3" x14ac:dyDescent="0.25">
      <c r="A83" s="15" t="s">
        <v>1078</v>
      </c>
      <c r="B83" s="6" t="s">
        <v>1016</v>
      </c>
      <c r="C83" s="6" t="s">
        <v>75</v>
      </c>
    </row>
    <row r="84" spans="1:3" x14ac:dyDescent="0.25">
      <c r="A84" s="15" t="s">
        <v>80</v>
      </c>
      <c r="B84" s="6" t="s">
        <v>66</v>
      </c>
      <c r="C84" s="6" t="s">
        <v>75</v>
      </c>
    </row>
    <row r="85" spans="1:3" x14ac:dyDescent="0.25">
      <c r="A85" s="15" t="s">
        <v>1079</v>
      </c>
      <c r="B85" s="6" t="s">
        <v>1008</v>
      </c>
      <c r="C85" s="6" t="s">
        <v>75</v>
      </c>
    </row>
    <row r="86" spans="1:3" x14ac:dyDescent="0.25">
      <c r="A86" s="15" t="s">
        <v>1080</v>
      </c>
      <c r="B86" s="6" t="s">
        <v>1004</v>
      </c>
      <c r="C86" s="6" t="s">
        <v>75</v>
      </c>
    </row>
    <row r="87" spans="1:3" x14ac:dyDescent="0.25">
      <c r="A87" s="15" t="s">
        <v>1081</v>
      </c>
      <c r="B87" s="6" t="s">
        <v>1015</v>
      </c>
      <c r="C87" s="6" t="s">
        <v>75</v>
      </c>
    </row>
    <row r="88" spans="1:3" x14ac:dyDescent="0.25">
      <c r="A88" s="15" t="s">
        <v>1082</v>
      </c>
      <c r="B88" s="6" t="s">
        <v>1005</v>
      </c>
      <c r="C88" s="6" t="s">
        <v>75</v>
      </c>
    </row>
    <row r="89" spans="1:3" x14ac:dyDescent="0.25">
      <c r="A89" s="15" t="s">
        <v>81</v>
      </c>
      <c r="B89" s="6" t="s">
        <v>1028</v>
      </c>
      <c r="C89" s="6" t="s">
        <v>75</v>
      </c>
    </row>
    <row r="90" spans="1:3" x14ac:dyDescent="0.25">
      <c r="A90" s="15" t="s">
        <v>82</v>
      </c>
      <c r="B90" s="6" t="s">
        <v>1003</v>
      </c>
      <c r="C90" s="6" t="s">
        <v>75</v>
      </c>
    </row>
    <row r="91" spans="1:3" x14ac:dyDescent="0.25">
      <c r="A91" s="15" t="s">
        <v>1083</v>
      </c>
      <c r="B91" s="6" t="s">
        <v>1004</v>
      </c>
      <c r="C91" s="6" t="s">
        <v>75</v>
      </c>
    </row>
    <row r="92" spans="1:3" x14ac:dyDescent="0.25">
      <c r="A92" s="15" t="s">
        <v>1084</v>
      </c>
      <c r="B92" s="6" t="s">
        <v>1006</v>
      </c>
      <c r="C92" s="6" t="s">
        <v>75</v>
      </c>
    </row>
    <row r="93" spans="1:3" x14ac:dyDescent="0.25">
      <c r="A93" s="15" t="s">
        <v>1085</v>
      </c>
      <c r="B93" s="6" t="s">
        <v>1011</v>
      </c>
      <c r="C93" s="6" t="s">
        <v>75</v>
      </c>
    </row>
    <row r="94" spans="1:3" x14ac:dyDescent="0.25">
      <c r="A94" s="15" t="s">
        <v>83</v>
      </c>
      <c r="B94" s="6" t="s">
        <v>1017</v>
      </c>
      <c r="C94" s="6" t="s">
        <v>75</v>
      </c>
    </row>
    <row r="95" spans="1:3" x14ac:dyDescent="0.25">
      <c r="A95" s="15" t="s">
        <v>84</v>
      </c>
      <c r="B95" s="6" t="s">
        <v>1024</v>
      </c>
      <c r="C95" s="6" t="s">
        <v>75</v>
      </c>
    </row>
    <row r="96" spans="1:3" x14ac:dyDescent="0.25">
      <c r="A96" s="15" t="s">
        <v>1086</v>
      </c>
      <c r="B96" s="6" t="s">
        <v>1010</v>
      </c>
      <c r="C96" s="6" t="s">
        <v>75</v>
      </c>
    </row>
    <row r="97" spans="1:3" x14ac:dyDescent="0.25">
      <c r="A97" s="15" t="s">
        <v>1087</v>
      </c>
      <c r="B97" s="6" t="s">
        <v>1014</v>
      </c>
      <c r="C97" s="6" t="s">
        <v>75</v>
      </c>
    </row>
    <row r="98" spans="1:3" x14ac:dyDescent="0.25">
      <c r="A98" s="15" t="s">
        <v>1088</v>
      </c>
      <c r="B98" s="6" t="s">
        <v>70</v>
      </c>
      <c r="C98" s="6" t="s">
        <v>75</v>
      </c>
    </row>
    <row r="99" spans="1:3" x14ac:dyDescent="0.25">
      <c r="A99" s="15" t="s">
        <v>1089</v>
      </c>
      <c r="B99" s="6" t="s">
        <v>1012</v>
      </c>
      <c r="C99" s="6" t="s">
        <v>75</v>
      </c>
    </row>
    <row r="100" spans="1:3" x14ac:dyDescent="0.25">
      <c r="A100" s="15" t="s">
        <v>85</v>
      </c>
      <c r="B100" s="6" t="s">
        <v>1003</v>
      </c>
      <c r="C100" s="6" t="s">
        <v>75</v>
      </c>
    </row>
    <row r="101" spans="1:3" x14ac:dyDescent="0.25">
      <c r="A101" s="15" t="s">
        <v>86</v>
      </c>
      <c r="B101" s="6" t="s">
        <v>1025</v>
      </c>
      <c r="C101" s="6" t="s">
        <v>75</v>
      </c>
    </row>
    <row r="102" spans="1:3" x14ac:dyDescent="0.25">
      <c r="A102" s="15" t="s">
        <v>1090</v>
      </c>
      <c r="B102" s="6" t="s">
        <v>1032</v>
      </c>
      <c r="C102" s="6" t="s">
        <v>75</v>
      </c>
    </row>
    <row r="103" spans="1:3" x14ac:dyDescent="0.25">
      <c r="A103" s="15" t="s">
        <v>1091</v>
      </c>
      <c r="B103" s="6" t="s">
        <v>1005</v>
      </c>
      <c r="C103" s="6" t="s">
        <v>75</v>
      </c>
    </row>
    <row r="104" spans="1:3" x14ac:dyDescent="0.25">
      <c r="A104" s="15" t="s">
        <v>87</v>
      </c>
      <c r="B104" s="6" t="s">
        <v>1033</v>
      </c>
      <c r="C104" s="6" t="s">
        <v>75</v>
      </c>
    </row>
    <row r="105" spans="1:3" x14ac:dyDescent="0.25">
      <c r="A105" s="15" t="s">
        <v>88</v>
      </c>
      <c r="B105" s="6" t="s">
        <v>66</v>
      </c>
      <c r="C105" s="6" t="s">
        <v>75</v>
      </c>
    </row>
    <row r="106" spans="1:3" x14ac:dyDescent="0.25">
      <c r="A106" s="15" t="s">
        <v>1092</v>
      </c>
      <c r="B106" s="6" t="s">
        <v>1006</v>
      </c>
      <c r="C106" s="6" t="s">
        <v>75</v>
      </c>
    </row>
    <row r="107" spans="1:3" x14ac:dyDescent="0.25">
      <c r="A107" s="15" t="s">
        <v>1093</v>
      </c>
      <c r="B107" s="6" t="s">
        <v>1005</v>
      </c>
      <c r="C107" s="6" t="s">
        <v>75</v>
      </c>
    </row>
    <row r="108" spans="1:3" x14ac:dyDescent="0.25">
      <c r="A108" s="15" t="s">
        <v>1094</v>
      </c>
      <c r="B108" s="6" t="s">
        <v>1013</v>
      </c>
      <c r="C108" s="6" t="s">
        <v>75</v>
      </c>
    </row>
    <row r="109" spans="1:3" x14ac:dyDescent="0.25">
      <c r="A109" s="15" t="s">
        <v>1095</v>
      </c>
      <c r="B109" s="6" t="s">
        <v>1003</v>
      </c>
      <c r="C109" s="6" t="s">
        <v>75</v>
      </c>
    </row>
    <row r="110" spans="1:3" x14ac:dyDescent="0.25">
      <c r="A110" s="15" t="s">
        <v>1096</v>
      </c>
      <c r="B110" s="6" t="s">
        <v>1018</v>
      </c>
      <c r="C110" s="6" t="s">
        <v>75</v>
      </c>
    </row>
    <row r="111" spans="1:3" x14ac:dyDescent="0.25">
      <c r="A111" s="15" t="s">
        <v>1097</v>
      </c>
      <c r="B111" s="6" t="s">
        <v>1015</v>
      </c>
      <c r="C111" s="6" t="s">
        <v>75</v>
      </c>
    </row>
    <row r="112" spans="1:3" x14ac:dyDescent="0.25">
      <c r="A112" s="15" t="s">
        <v>1098</v>
      </c>
      <c r="B112" s="6" t="s">
        <v>1005</v>
      </c>
      <c r="C112" s="6" t="s">
        <v>75</v>
      </c>
    </row>
    <row r="113" spans="1:3" x14ac:dyDescent="0.25">
      <c r="A113" s="15" t="s">
        <v>1099</v>
      </c>
      <c r="B113" s="6" t="s">
        <v>1006</v>
      </c>
      <c r="C113" s="6" t="s">
        <v>75</v>
      </c>
    </row>
    <row r="114" spans="1:3" x14ac:dyDescent="0.25">
      <c r="A114" s="15" t="s">
        <v>89</v>
      </c>
      <c r="B114" s="6" t="s">
        <v>1018</v>
      </c>
      <c r="C114" s="6" t="s">
        <v>75</v>
      </c>
    </row>
    <row r="115" spans="1:3" x14ac:dyDescent="0.25">
      <c r="A115" s="15" t="s">
        <v>1100</v>
      </c>
      <c r="B115" s="6" t="s">
        <v>1015</v>
      </c>
      <c r="C115" s="6" t="s">
        <v>75</v>
      </c>
    </row>
    <row r="116" spans="1:3" x14ac:dyDescent="0.25">
      <c r="A116" s="15" t="s">
        <v>1101</v>
      </c>
      <c r="B116" s="6" t="s">
        <v>1004</v>
      </c>
      <c r="C116" s="6" t="s">
        <v>75</v>
      </c>
    </row>
    <row r="117" spans="1:3" x14ac:dyDescent="0.25">
      <c r="A117" s="15" t="s">
        <v>1102</v>
      </c>
      <c r="B117" s="6" t="s">
        <v>1016</v>
      </c>
      <c r="C117" s="6" t="s">
        <v>75</v>
      </c>
    </row>
    <row r="118" spans="1:3" x14ac:dyDescent="0.25">
      <c r="A118" s="15" t="s">
        <v>90</v>
      </c>
      <c r="B118" s="6" t="s">
        <v>1026</v>
      </c>
      <c r="C118" s="6" t="s">
        <v>75</v>
      </c>
    </row>
    <row r="119" spans="1:3" x14ac:dyDescent="0.25">
      <c r="A119" s="15" t="s">
        <v>91</v>
      </c>
      <c r="B119" s="6" t="s">
        <v>1026</v>
      </c>
      <c r="C119" s="6" t="s">
        <v>75</v>
      </c>
    </row>
    <row r="120" spans="1:3" x14ac:dyDescent="0.25">
      <c r="A120" s="15" t="s">
        <v>1103</v>
      </c>
      <c r="B120" s="6" t="s">
        <v>1007</v>
      </c>
      <c r="C120" s="6" t="s">
        <v>75</v>
      </c>
    </row>
    <row r="121" spans="1:3" x14ac:dyDescent="0.25">
      <c r="A121" s="15" t="s">
        <v>92</v>
      </c>
      <c r="B121" s="6" t="s">
        <v>1028</v>
      </c>
      <c r="C121" s="6" t="s">
        <v>75</v>
      </c>
    </row>
    <row r="122" spans="1:3" x14ac:dyDescent="0.25">
      <c r="A122" s="15" t="s">
        <v>93</v>
      </c>
      <c r="B122" s="6" t="s">
        <v>1019</v>
      </c>
      <c r="C122" s="6" t="s">
        <v>75</v>
      </c>
    </row>
    <row r="123" spans="1:3" x14ac:dyDescent="0.25">
      <c r="A123" s="15" t="s">
        <v>1104</v>
      </c>
      <c r="B123" s="6" t="s">
        <v>1016</v>
      </c>
      <c r="C123" s="6" t="s">
        <v>75</v>
      </c>
    </row>
    <row r="124" spans="1:3" x14ac:dyDescent="0.25">
      <c r="A124" s="15" t="s">
        <v>94</v>
      </c>
      <c r="B124" s="6" t="s">
        <v>1028</v>
      </c>
      <c r="C124" s="6" t="s">
        <v>75</v>
      </c>
    </row>
    <row r="125" spans="1:3" x14ac:dyDescent="0.25">
      <c r="A125" s="15" t="s">
        <v>95</v>
      </c>
      <c r="B125" s="6" t="s">
        <v>1023</v>
      </c>
      <c r="C125" s="6" t="s">
        <v>75</v>
      </c>
    </row>
    <row r="126" spans="1:3" x14ac:dyDescent="0.25">
      <c r="A126" s="15" t="s">
        <v>1105</v>
      </c>
      <c r="B126" s="6" t="s">
        <v>1008</v>
      </c>
      <c r="C126" s="6" t="s">
        <v>75</v>
      </c>
    </row>
    <row r="127" spans="1:3" x14ac:dyDescent="0.25">
      <c r="A127" s="15" t="s">
        <v>1106</v>
      </c>
      <c r="B127" s="6" t="s">
        <v>1015</v>
      </c>
      <c r="C127" s="6" t="s">
        <v>75</v>
      </c>
    </row>
    <row r="128" spans="1:3" x14ac:dyDescent="0.25">
      <c r="A128" s="15" t="s">
        <v>1107</v>
      </c>
      <c r="B128" s="6" t="s">
        <v>1021</v>
      </c>
      <c r="C128" s="6" t="s">
        <v>75</v>
      </c>
    </row>
    <row r="129" spans="1:3" x14ac:dyDescent="0.25">
      <c r="A129" s="15" t="s">
        <v>1108</v>
      </c>
      <c r="B129" s="6" t="s">
        <v>1010</v>
      </c>
      <c r="C129" s="6" t="s">
        <v>75</v>
      </c>
    </row>
    <row r="130" spans="1:3" x14ac:dyDescent="0.25">
      <c r="A130" s="15" t="s">
        <v>1109</v>
      </c>
      <c r="B130" s="6" t="s">
        <v>1011</v>
      </c>
      <c r="C130" s="6" t="s">
        <v>75</v>
      </c>
    </row>
    <row r="131" spans="1:3" x14ac:dyDescent="0.25">
      <c r="A131" s="15" t="s">
        <v>1110</v>
      </c>
      <c r="B131" s="6" t="s">
        <v>1004</v>
      </c>
      <c r="C131" s="6" t="s">
        <v>75</v>
      </c>
    </row>
    <row r="132" spans="1:3" x14ac:dyDescent="0.25">
      <c r="A132" s="15" t="s">
        <v>96</v>
      </c>
      <c r="B132" s="6" t="s">
        <v>1020</v>
      </c>
      <c r="C132" s="6" t="s">
        <v>75</v>
      </c>
    </row>
    <row r="133" spans="1:3" x14ac:dyDescent="0.25">
      <c r="A133" s="15" t="s">
        <v>1111</v>
      </c>
      <c r="B133" s="6" t="s">
        <v>1006</v>
      </c>
      <c r="C133" s="6" t="s">
        <v>75</v>
      </c>
    </row>
    <row r="134" spans="1:3" x14ac:dyDescent="0.25">
      <c r="A134" s="15" t="s">
        <v>1112</v>
      </c>
      <c r="B134" s="6" t="s">
        <v>1006</v>
      </c>
      <c r="C134" s="6" t="s">
        <v>75</v>
      </c>
    </row>
    <row r="135" spans="1:3" x14ac:dyDescent="0.25">
      <c r="A135" s="15" t="s">
        <v>1113</v>
      </c>
      <c r="B135" s="6" t="s">
        <v>1014</v>
      </c>
      <c r="C135" s="6" t="s">
        <v>75</v>
      </c>
    </row>
    <row r="136" spans="1:3" x14ac:dyDescent="0.25">
      <c r="A136" s="15" t="s">
        <v>1114</v>
      </c>
      <c r="B136" s="6" t="s">
        <v>1012</v>
      </c>
      <c r="C136" s="6" t="s">
        <v>75</v>
      </c>
    </row>
    <row r="137" spans="1:3" x14ac:dyDescent="0.25">
      <c r="A137" s="15" t="s">
        <v>1115</v>
      </c>
      <c r="B137" s="6" t="s">
        <v>1019</v>
      </c>
      <c r="C137" s="6" t="s">
        <v>75</v>
      </c>
    </row>
    <row r="138" spans="1:3" x14ac:dyDescent="0.25">
      <c r="A138" s="15" t="s">
        <v>1116</v>
      </c>
      <c r="B138" s="6" t="s">
        <v>1007</v>
      </c>
      <c r="C138" s="6" t="s">
        <v>75</v>
      </c>
    </row>
    <row r="139" spans="1:3" x14ac:dyDescent="0.25">
      <c r="A139" s="15" t="s">
        <v>1117</v>
      </c>
      <c r="B139" s="6" t="s">
        <v>1004</v>
      </c>
      <c r="C139" s="6" t="s">
        <v>75</v>
      </c>
    </row>
    <row r="140" spans="1:3" x14ac:dyDescent="0.25">
      <c r="A140" s="15" t="s">
        <v>97</v>
      </c>
      <c r="B140" s="6" t="s">
        <v>1030</v>
      </c>
      <c r="C140" s="6" t="s">
        <v>75</v>
      </c>
    </row>
    <row r="141" spans="1:3" x14ac:dyDescent="0.25">
      <c r="A141" s="15" t="s">
        <v>98</v>
      </c>
      <c r="B141" s="6" t="s">
        <v>1024</v>
      </c>
      <c r="C141" s="6" t="s">
        <v>75</v>
      </c>
    </row>
    <row r="142" spans="1:3" x14ac:dyDescent="0.25">
      <c r="A142" s="15" t="s">
        <v>1118</v>
      </c>
      <c r="B142" s="6" t="s">
        <v>1018</v>
      </c>
      <c r="C142" s="6" t="s">
        <v>75</v>
      </c>
    </row>
    <row r="143" spans="1:3" x14ac:dyDescent="0.25">
      <c r="A143" s="15" t="s">
        <v>1119</v>
      </c>
      <c r="B143" s="6" t="s">
        <v>1034</v>
      </c>
      <c r="C143" s="6" t="s">
        <v>75</v>
      </c>
    </row>
    <row r="144" spans="1:3" x14ac:dyDescent="0.25">
      <c r="A144" s="15" t="s">
        <v>1120</v>
      </c>
      <c r="B144" s="6" t="s">
        <v>1022</v>
      </c>
      <c r="C144" s="6" t="s">
        <v>75</v>
      </c>
    </row>
    <row r="145" spans="1:3" x14ac:dyDescent="0.25">
      <c r="A145" s="15" t="s">
        <v>1121</v>
      </c>
      <c r="B145" s="6" t="s">
        <v>1007</v>
      </c>
      <c r="C145" s="6" t="s">
        <v>75</v>
      </c>
    </row>
    <row r="146" spans="1:3" x14ac:dyDescent="0.25">
      <c r="A146" s="15" t="s">
        <v>99</v>
      </c>
      <c r="B146" s="6" t="s">
        <v>1018</v>
      </c>
      <c r="C146" s="6" t="s">
        <v>75</v>
      </c>
    </row>
    <row r="147" spans="1:3" x14ac:dyDescent="0.25">
      <c r="A147" s="15" t="s">
        <v>1122</v>
      </c>
      <c r="B147" s="6" t="s">
        <v>1011</v>
      </c>
      <c r="C147" s="6" t="s">
        <v>75</v>
      </c>
    </row>
    <row r="148" spans="1:3" x14ac:dyDescent="0.25">
      <c r="A148" s="15" t="s">
        <v>1123</v>
      </c>
      <c r="B148" s="6" t="s">
        <v>1027</v>
      </c>
      <c r="C148" s="6" t="s">
        <v>75</v>
      </c>
    </row>
    <row r="149" spans="1:3" x14ac:dyDescent="0.25">
      <c r="A149" s="15" t="s">
        <v>1124</v>
      </c>
      <c r="B149" s="6" t="s">
        <v>1015</v>
      </c>
      <c r="C149" s="6" t="s">
        <v>75</v>
      </c>
    </row>
    <row r="150" spans="1:3" x14ac:dyDescent="0.25">
      <c r="A150" s="15" t="s">
        <v>1125</v>
      </c>
      <c r="B150" s="6" t="s">
        <v>1018</v>
      </c>
      <c r="C150" s="6" t="s">
        <v>75</v>
      </c>
    </row>
    <row r="151" spans="1:3" x14ac:dyDescent="0.25">
      <c r="A151" s="15" t="s">
        <v>1126</v>
      </c>
      <c r="B151" s="6" t="s">
        <v>1016</v>
      </c>
      <c r="C151" s="6" t="s">
        <v>75</v>
      </c>
    </row>
    <row r="152" spans="1:3" x14ac:dyDescent="0.25">
      <c r="A152" s="15" t="s">
        <v>1127</v>
      </c>
      <c r="B152" s="6" t="s">
        <v>1028</v>
      </c>
      <c r="C152" s="6" t="s">
        <v>75</v>
      </c>
    </row>
    <row r="153" spans="1:3" x14ac:dyDescent="0.25">
      <c r="A153" s="15" t="s">
        <v>1128</v>
      </c>
      <c r="B153" s="6" t="s">
        <v>1005</v>
      </c>
      <c r="C153" s="6" t="s">
        <v>75</v>
      </c>
    </row>
    <row r="154" spans="1:3" x14ac:dyDescent="0.25">
      <c r="A154" s="15" t="s">
        <v>1129</v>
      </c>
      <c r="B154" s="6" t="s">
        <v>1008</v>
      </c>
      <c r="C154" s="6" t="s">
        <v>75</v>
      </c>
    </row>
    <row r="155" spans="1:3" x14ac:dyDescent="0.25">
      <c r="A155" s="15" t="s">
        <v>1130</v>
      </c>
      <c r="B155" s="6" t="s">
        <v>70</v>
      </c>
      <c r="C155" s="6" t="s">
        <v>75</v>
      </c>
    </row>
    <row r="156" spans="1:3" x14ac:dyDescent="0.25">
      <c r="A156" s="15" t="s">
        <v>1131</v>
      </c>
      <c r="B156" s="6" t="s">
        <v>1026</v>
      </c>
      <c r="C156" s="6" t="s">
        <v>75</v>
      </c>
    </row>
    <row r="157" spans="1:3" x14ac:dyDescent="0.25">
      <c r="A157" s="15" t="s">
        <v>1132</v>
      </c>
      <c r="B157" s="6" t="s">
        <v>70</v>
      </c>
      <c r="C157" s="6" t="s">
        <v>75</v>
      </c>
    </row>
    <row r="158" spans="1:3" x14ac:dyDescent="0.25">
      <c r="A158" s="15" t="s">
        <v>100</v>
      </c>
      <c r="B158" s="6" t="s">
        <v>1020</v>
      </c>
      <c r="C158" s="6" t="s">
        <v>75</v>
      </c>
    </row>
    <row r="159" spans="1:3" x14ac:dyDescent="0.25">
      <c r="A159" s="15" t="s">
        <v>101</v>
      </c>
      <c r="B159" s="6" t="s">
        <v>66</v>
      </c>
      <c r="C159" s="6" t="s">
        <v>75</v>
      </c>
    </row>
    <row r="160" spans="1:3" x14ac:dyDescent="0.25">
      <c r="A160" s="15" t="s">
        <v>1133</v>
      </c>
      <c r="B160" s="6" t="s">
        <v>1026</v>
      </c>
      <c r="C160" s="6" t="s">
        <v>75</v>
      </c>
    </row>
    <row r="161" spans="1:3" x14ac:dyDescent="0.25">
      <c r="A161" s="15" t="s">
        <v>1134</v>
      </c>
      <c r="B161" s="6" t="s">
        <v>1012</v>
      </c>
      <c r="C161" s="6" t="s">
        <v>75</v>
      </c>
    </row>
    <row r="162" spans="1:3" x14ac:dyDescent="0.25">
      <c r="A162" s="15" t="s">
        <v>1135</v>
      </c>
      <c r="B162" s="6" t="s">
        <v>1020</v>
      </c>
      <c r="C162" s="6" t="s">
        <v>75</v>
      </c>
    </row>
    <row r="163" spans="1:3" x14ac:dyDescent="0.25">
      <c r="A163" s="15" t="s">
        <v>102</v>
      </c>
      <c r="B163" s="6" t="s">
        <v>1018</v>
      </c>
      <c r="C163" s="6" t="s">
        <v>75</v>
      </c>
    </row>
    <row r="164" spans="1:3" x14ac:dyDescent="0.25">
      <c r="A164" s="15" t="s">
        <v>1136</v>
      </c>
      <c r="B164" s="6" t="s">
        <v>1008</v>
      </c>
      <c r="C164" s="6" t="s">
        <v>75</v>
      </c>
    </row>
    <row r="165" spans="1:3" x14ac:dyDescent="0.25">
      <c r="A165" s="15" t="s">
        <v>103</v>
      </c>
      <c r="B165" s="6" t="s">
        <v>1028</v>
      </c>
      <c r="C165" s="6" t="s">
        <v>75</v>
      </c>
    </row>
    <row r="166" spans="1:3" x14ac:dyDescent="0.25">
      <c r="A166" s="15" t="s">
        <v>104</v>
      </c>
      <c r="B166" s="6" t="s">
        <v>1029</v>
      </c>
      <c r="C166" s="6" t="s">
        <v>75</v>
      </c>
    </row>
    <row r="167" spans="1:3" x14ac:dyDescent="0.25">
      <c r="A167" s="15" t="s">
        <v>1137</v>
      </c>
      <c r="B167" s="6" t="s">
        <v>70</v>
      </c>
      <c r="C167" s="6" t="s">
        <v>75</v>
      </c>
    </row>
    <row r="168" spans="1:3" x14ac:dyDescent="0.25">
      <c r="A168" s="15" t="s">
        <v>1138</v>
      </c>
      <c r="B168" s="6" t="s">
        <v>1016</v>
      </c>
      <c r="C168" s="6" t="s">
        <v>75</v>
      </c>
    </row>
    <row r="169" spans="1:3" x14ac:dyDescent="0.25">
      <c r="A169" s="15" t="s">
        <v>105</v>
      </c>
      <c r="B169" s="6" t="s">
        <v>1021</v>
      </c>
      <c r="C169" s="6" t="s">
        <v>75</v>
      </c>
    </row>
    <row r="170" spans="1:3" x14ac:dyDescent="0.25">
      <c r="A170" s="15" t="s">
        <v>1139</v>
      </c>
      <c r="B170" s="6" t="s">
        <v>1019</v>
      </c>
      <c r="C170" s="6" t="s">
        <v>75</v>
      </c>
    </row>
    <row r="171" spans="1:3" x14ac:dyDescent="0.25">
      <c r="A171" s="15" t="s">
        <v>1140</v>
      </c>
      <c r="B171" s="6" t="s">
        <v>1018</v>
      </c>
      <c r="C171" s="6" t="s">
        <v>75</v>
      </c>
    </row>
    <row r="172" spans="1:3" x14ac:dyDescent="0.25">
      <c r="A172" s="15" t="s">
        <v>106</v>
      </c>
      <c r="B172" s="6" t="s">
        <v>1024</v>
      </c>
      <c r="C172" s="6" t="s">
        <v>75</v>
      </c>
    </row>
    <row r="173" spans="1:3" x14ac:dyDescent="0.25">
      <c r="A173" s="15" t="s">
        <v>1141</v>
      </c>
      <c r="B173" s="6" t="s">
        <v>1011</v>
      </c>
      <c r="C173" s="6" t="s">
        <v>75</v>
      </c>
    </row>
    <row r="174" spans="1:3" x14ac:dyDescent="0.25">
      <c r="A174" s="15" t="s">
        <v>107</v>
      </c>
      <c r="B174" s="6" t="s">
        <v>1028</v>
      </c>
      <c r="C174" s="6" t="s">
        <v>75</v>
      </c>
    </row>
    <row r="175" spans="1:3" x14ac:dyDescent="0.25">
      <c r="A175" s="15" t="s">
        <v>108</v>
      </c>
      <c r="B175" s="6" t="s">
        <v>1019</v>
      </c>
      <c r="C175" s="6" t="s">
        <v>75</v>
      </c>
    </row>
    <row r="176" spans="1:3" x14ac:dyDescent="0.25">
      <c r="A176" s="15" t="s">
        <v>109</v>
      </c>
      <c r="B176" s="6" t="s">
        <v>1024</v>
      </c>
      <c r="C176" s="6" t="s">
        <v>75</v>
      </c>
    </row>
    <row r="177" spans="1:3" x14ac:dyDescent="0.25">
      <c r="A177" s="15" t="s">
        <v>1142</v>
      </c>
      <c r="B177" s="6" t="s">
        <v>1004</v>
      </c>
      <c r="C177" s="6" t="s">
        <v>75</v>
      </c>
    </row>
    <row r="178" spans="1:3" x14ac:dyDescent="0.25">
      <c r="A178" s="15" t="s">
        <v>110</v>
      </c>
      <c r="B178" s="6" t="s">
        <v>1026</v>
      </c>
      <c r="C178" s="6" t="s">
        <v>75</v>
      </c>
    </row>
    <row r="179" spans="1:3" x14ac:dyDescent="0.25">
      <c r="A179" s="15" t="s">
        <v>1143</v>
      </c>
      <c r="B179" s="6" t="s">
        <v>1025</v>
      </c>
      <c r="C179" s="6" t="s">
        <v>75</v>
      </c>
    </row>
    <row r="180" spans="1:3" x14ac:dyDescent="0.25">
      <c r="A180" s="15" t="s">
        <v>1144</v>
      </c>
      <c r="B180" s="6" t="s">
        <v>1014</v>
      </c>
      <c r="C180" s="6" t="s">
        <v>75</v>
      </c>
    </row>
    <row r="181" spans="1:3" x14ac:dyDescent="0.25">
      <c r="A181" s="15" t="s">
        <v>111</v>
      </c>
      <c r="B181" s="6" t="s">
        <v>1027</v>
      </c>
      <c r="C181" s="6" t="s">
        <v>75</v>
      </c>
    </row>
    <row r="182" spans="1:3" x14ac:dyDescent="0.25">
      <c r="A182" s="15" t="s">
        <v>1145</v>
      </c>
      <c r="B182" s="6" t="s">
        <v>1012</v>
      </c>
      <c r="C182" s="6" t="s">
        <v>75</v>
      </c>
    </row>
    <row r="183" spans="1:3" x14ac:dyDescent="0.25">
      <c r="A183" s="15" t="s">
        <v>1146</v>
      </c>
      <c r="B183" s="6" t="s">
        <v>1006</v>
      </c>
      <c r="C183" s="6" t="s">
        <v>75</v>
      </c>
    </row>
    <row r="184" spans="1:3" x14ac:dyDescent="0.25">
      <c r="A184" s="15" t="s">
        <v>1147</v>
      </c>
      <c r="B184" s="6" t="s">
        <v>1016</v>
      </c>
      <c r="C184" s="6" t="s">
        <v>75</v>
      </c>
    </row>
    <row r="185" spans="1:3" x14ac:dyDescent="0.25">
      <c r="A185" s="15" t="s">
        <v>112</v>
      </c>
      <c r="B185" s="6" t="s">
        <v>1028</v>
      </c>
      <c r="C185" s="6" t="s">
        <v>75</v>
      </c>
    </row>
    <row r="186" spans="1:3" x14ac:dyDescent="0.25">
      <c r="A186" s="15" t="s">
        <v>113</v>
      </c>
      <c r="B186" s="6" t="s">
        <v>1019</v>
      </c>
      <c r="C186" s="6" t="s">
        <v>75</v>
      </c>
    </row>
    <row r="187" spans="1:3" x14ac:dyDescent="0.25">
      <c r="A187" s="15" t="s">
        <v>114</v>
      </c>
      <c r="B187" s="6" t="s">
        <v>1018</v>
      </c>
      <c r="C187" s="6" t="s">
        <v>75</v>
      </c>
    </row>
    <row r="188" spans="1:3" x14ac:dyDescent="0.25">
      <c r="A188" s="15" t="s">
        <v>1148</v>
      </c>
      <c r="B188" s="6" t="s">
        <v>1012</v>
      </c>
      <c r="C188" s="6" t="s">
        <v>75</v>
      </c>
    </row>
    <row r="189" spans="1:3" x14ac:dyDescent="0.25">
      <c r="A189" s="15" t="s">
        <v>1149</v>
      </c>
      <c r="B189" s="6" t="s">
        <v>1021</v>
      </c>
      <c r="C189" s="6" t="s">
        <v>75</v>
      </c>
    </row>
    <row r="190" spans="1:3" x14ac:dyDescent="0.25">
      <c r="A190" s="15" t="s">
        <v>115</v>
      </c>
      <c r="B190" s="6" t="s">
        <v>1006</v>
      </c>
      <c r="C190" s="6" t="s">
        <v>75</v>
      </c>
    </row>
    <row r="191" spans="1:3" x14ac:dyDescent="0.25">
      <c r="A191" s="15" t="s">
        <v>1150</v>
      </c>
      <c r="B191" s="6" t="s">
        <v>1022</v>
      </c>
      <c r="C191" s="6" t="s">
        <v>75</v>
      </c>
    </row>
    <row r="192" spans="1:3" x14ac:dyDescent="0.25">
      <c r="A192" s="15" t="s">
        <v>1151</v>
      </c>
      <c r="B192" s="6" t="s">
        <v>1007</v>
      </c>
      <c r="C192" s="6" t="s">
        <v>75</v>
      </c>
    </row>
    <row r="193" spans="1:3" x14ac:dyDescent="0.25">
      <c r="A193" s="15" t="s">
        <v>1152</v>
      </c>
      <c r="B193" s="6" t="s">
        <v>1006</v>
      </c>
      <c r="C193" s="6" t="s">
        <v>75</v>
      </c>
    </row>
    <row r="194" spans="1:3" x14ac:dyDescent="0.25">
      <c r="A194" s="15" t="s">
        <v>116</v>
      </c>
      <c r="B194" s="6" t="s">
        <v>1003</v>
      </c>
      <c r="C194" s="6" t="s">
        <v>75</v>
      </c>
    </row>
    <row r="195" spans="1:3" x14ac:dyDescent="0.25">
      <c r="A195" s="15" t="s">
        <v>1153</v>
      </c>
      <c r="B195" s="6" t="s">
        <v>1010</v>
      </c>
      <c r="C195" s="6" t="s">
        <v>75</v>
      </c>
    </row>
    <row r="196" spans="1:3" x14ac:dyDescent="0.25">
      <c r="A196" s="15" t="s">
        <v>1154</v>
      </c>
      <c r="B196" s="6" t="s">
        <v>1024</v>
      </c>
      <c r="C196" s="6" t="s">
        <v>75</v>
      </c>
    </row>
    <row r="197" spans="1:3" x14ac:dyDescent="0.25">
      <c r="A197" s="15" t="s">
        <v>1155</v>
      </c>
      <c r="B197" s="6" t="s">
        <v>1010</v>
      </c>
      <c r="C197" s="6" t="s">
        <v>75</v>
      </c>
    </row>
    <row r="198" spans="1:3" x14ac:dyDescent="0.25">
      <c r="A198" s="15" t="s">
        <v>117</v>
      </c>
      <c r="B198" s="6" t="s">
        <v>1020</v>
      </c>
      <c r="C198" s="6" t="s">
        <v>75</v>
      </c>
    </row>
    <row r="199" spans="1:3" x14ac:dyDescent="0.25">
      <c r="A199" s="15" t="s">
        <v>1156</v>
      </c>
      <c r="B199" s="6" t="s">
        <v>1006</v>
      </c>
      <c r="C199" s="6" t="s">
        <v>75</v>
      </c>
    </row>
    <row r="200" spans="1:3" x14ac:dyDescent="0.25">
      <c r="A200" s="15" t="s">
        <v>1157</v>
      </c>
      <c r="B200" s="6" t="s">
        <v>1018</v>
      </c>
      <c r="C200" s="6" t="s">
        <v>75</v>
      </c>
    </row>
    <row r="201" spans="1:3" x14ac:dyDescent="0.25">
      <c r="A201" s="15" t="s">
        <v>1158</v>
      </c>
      <c r="B201" s="6" t="s">
        <v>1012</v>
      </c>
      <c r="C201" s="6" t="s">
        <v>75</v>
      </c>
    </row>
    <row r="202" spans="1:3" x14ac:dyDescent="0.25">
      <c r="A202" s="15" t="s">
        <v>1159</v>
      </c>
      <c r="B202" s="6" t="s">
        <v>1019</v>
      </c>
      <c r="C202" s="6" t="s">
        <v>75</v>
      </c>
    </row>
    <row r="203" spans="1:3" x14ac:dyDescent="0.25">
      <c r="A203" s="15" t="s">
        <v>118</v>
      </c>
      <c r="B203" s="6" t="s">
        <v>1027</v>
      </c>
      <c r="C203" s="6" t="s">
        <v>75</v>
      </c>
    </row>
    <row r="204" spans="1:3" x14ac:dyDescent="0.25">
      <c r="A204" s="15" t="s">
        <v>1160</v>
      </c>
      <c r="B204" s="6" t="s">
        <v>1005</v>
      </c>
      <c r="C204" s="6" t="s">
        <v>75</v>
      </c>
    </row>
    <row r="205" spans="1:3" x14ac:dyDescent="0.25">
      <c r="A205" s="15" t="s">
        <v>119</v>
      </c>
      <c r="B205" s="6" t="s">
        <v>1022</v>
      </c>
      <c r="C205" s="6" t="s">
        <v>75</v>
      </c>
    </row>
    <row r="206" spans="1:3" x14ac:dyDescent="0.25">
      <c r="A206" s="15" t="s">
        <v>1161</v>
      </c>
      <c r="B206" s="6" t="s">
        <v>66</v>
      </c>
      <c r="C206" s="6" t="s">
        <v>75</v>
      </c>
    </row>
    <row r="207" spans="1:3" x14ac:dyDescent="0.25">
      <c r="A207" s="15" t="s">
        <v>1162</v>
      </c>
      <c r="B207" s="6" t="s">
        <v>1004</v>
      </c>
      <c r="C207" s="6" t="s">
        <v>75</v>
      </c>
    </row>
    <row r="208" spans="1:3" x14ac:dyDescent="0.25">
      <c r="A208" s="15" t="s">
        <v>1163</v>
      </c>
      <c r="B208" s="6" t="s">
        <v>1018</v>
      </c>
      <c r="C208" s="6" t="s">
        <v>75</v>
      </c>
    </row>
    <row r="209" spans="1:3" x14ac:dyDescent="0.25">
      <c r="A209" s="15" t="s">
        <v>1164</v>
      </c>
      <c r="B209" s="6" t="s">
        <v>1007</v>
      </c>
      <c r="C209" s="6" t="s">
        <v>75</v>
      </c>
    </row>
    <row r="210" spans="1:3" x14ac:dyDescent="0.25">
      <c r="A210" s="15" t="s">
        <v>120</v>
      </c>
      <c r="B210" s="6" t="s">
        <v>1024</v>
      </c>
      <c r="C210" s="6" t="s">
        <v>75</v>
      </c>
    </row>
    <row r="211" spans="1:3" x14ac:dyDescent="0.25">
      <c r="A211" s="15" t="s">
        <v>1165</v>
      </c>
      <c r="B211" s="6" t="s">
        <v>1017</v>
      </c>
      <c r="C211" s="6" t="s">
        <v>75</v>
      </c>
    </row>
    <row r="212" spans="1:3" x14ac:dyDescent="0.25">
      <c r="A212" s="15" t="s">
        <v>121</v>
      </c>
      <c r="B212" s="6" t="s">
        <v>1021</v>
      </c>
      <c r="C212" s="6" t="s">
        <v>75</v>
      </c>
    </row>
    <row r="213" spans="1:3" x14ac:dyDescent="0.25">
      <c r="A213" s="15" t="s">
        <v>122</v>
      </c>
      <c r="B213" s="6" t="s">
        <v>1005</v>
      </c>
      <c r="C213" s="6" t="s">
        <v>75</v>
      </c>
    </row>
    <row r="214" spans="1:3" x14ac:dyDescent="0.25">
      <c r="A214" s="15" t="s">
        <v>1166</v>
      </c>
      <c r="B214" s="6" t="s">
        <v>1011</v>
      </c>
      <c r="C214" s="6" t="s">
        <v>75</v>
      </c>
    </row>
    <row r="215" spans="1:3" x14ac:dyDescent="0.25">
      <c r="A215" s="15" t="s">
        <v>1167</v>
      </c>
      <c r="B215" s="6" t="s">
        <v>1010</v>
      </c>
      <c r="C215" s="6" t="s">
        <v>75</v>
      </c>
    </row>
    <row r="216" spans="1:3" x14ac:dyDescent="0.25">
      <c r="A216" s="15" t="s">
        <v>123</v>
      </c>
      <c r="B216" s="6" t="s">
        <v>1026</v>
      </c>
      <c r="C216" s="6" t="s">
        <v>75</v>
      </c>
    </row>
    <row r="217" spans="1:3" x14ac:dyDescent="0.25">
      <c r="A217" s="15" t="s">
        <v>1168</v>
      </c>
      <c r="B217" s="6" t="s">
        <v>1003</v>
      </c>
      <c r="C217" s="6" t="s">
        <v>75</v>
      </c>
    </row>
    <row r="218" spans="1:3" x14ac:dyDescent="0.25">
      <c r="A218" s="15" t="s">
        <v>124</v>
      </c>
      <c r="B218" s="6" t="s">
        <v>1004</v>
      </c>
      <c r="C218" s="6" t="s">
        <v>75</v>
      </c>
    </row>
    <row r="219" spans="1:3" x14ac:dyDescent="0.25">
      <c r="A219" s="15" t="s">
        <v>1169</v>
      </c>
      <c r="B219" s="6" t="s">
        <v>1003</v>
      </c>
      <c r="C219" s="6" t="s">
        <v>75</v>
      </c>
    </row>
    <row r="220" spans="1:3" x14ac:dyDescent="0.25">
      <c r="A220" s="15" t="s">
        <v>1170</v>
      </c>
      <c r="B220" s="6" t="s">
        <v>1022</v>
      </c>
      <c r="C220" s="6" t="s">
        <v>75</v>
      </c>
    </row>
    <row r="221" spans="1:3" x14ac:dyDescent="0.25">
      <c r="A221" s="15" t="s">
        <v>1171</v>
      </c>
      <c r="B221" s="6" t="s">
        <v>1013</v>
      </c>
      <c r="C221" s="6" t="s">
        <v>75</v>
      </c>
    </row>
    <row r="222" spans="1:3" x14ac:dyDescent="0.25">
      <c r="A222" s="15" t="s">
        <v>125</v>
      </c>
      <c r="B222" s="6" t="s">
        <v>1015</v>
      </c>
      <c r="C222" s="6" t="s">
        <v>75</v>
      </c>
    </row>
    <row r="223" spans="1:3" x14ac:dyDescent="0.25">
      <c r="A223" s="15" t="s">
        <v>1172</v>
      </c>
      <c r="B223" s="6" t="s">
        <v>1010</v>
      </c>
      <c r="C223" s="6" t="s">
        <v>75</v>
      </c>
    </row>
    <row r="224" spans="1:3" x14ac:dyDescent="0.25">
      <c r="A224" s="15" t="s">
        <v>126</v>
      </c>
      <c r="B224" s="6" t="s">
        <v>1017</v>
      </c>
      <c r="C224" s="6" t="s">
        <v>75</v>
      </c>
    </row>
    <row r="225" spans="1:3" x14ac:dyDescent="0.25">
      <c r="A225" s="15" t="s">
        <v>1173</v>
      </c>
      <c r="B225" s="6" t="s">
        <v>1010</v>
      </c>
      <c r="C225" s="6" t="s">
        <v>75</v>
      </c>
    </row>
    <row r="226" spans="1:3" x14ac:dyDescent="0.25">
      <c r="A226" s="15" t="s">
        <v>1174</v>
      </c>
      <c r="B226" s="6" t="s">
        <v>1004</v>
      </c>
      <c r="C226" s="6" t="s">
        <v>75</v>
      </c>
    </row>
    <row r="227" spans="1:3" x14ac:dyDescent="0.25">
      <c r="A227" s="15" t="s">
        <v>1175</v>
      </c>
      <c r="B227" s="6" t="s">
        <v>1004</v>
      </c>
      <c r="C227" s="6" t="s">
        <v>75</v>
      </c>
    </row>
    <row r="228" spans="1:3" x14ac:dyDescent="0.25">
      <c r="A228" s="15" t="s">
        <v>1176</v>
      </c>
      <c r="B228" s="6" t="s">
        <v>1010</v>
      </c>
      <c r="C228" s="6" t="s">
        <v>75</v>
      </c>
    </row>
    <row r="229" spans="1:3" x14ac:dyDescent="0.25">
      <c r="A229" s="15" t="s">
        <v>127</v>
      </c>
      <c r="B229" s="6" t="s">
        <v>1027</v>
      </c>
      <c r="C229" s="6" t="s">
        <v>75</v>
      </c>
    </row>
    <row r="230" spans="1:3" x14ac:dyDescent="0.25">
      <c r="A230" s="15" t="s">
        <v>1177</v>
      </c>
      <c r="B230" s="6" t="s">
        <v>1009</v>
      </c>
      <c r="C230" s="6" t="s">
        <v>75</v>
      </c>
    </row>
    <row r="231" spans="1:3" x14ac:dyDescent="0.25">
      <c r="A231" s="15" t="s">
        <v>1178</v>
      </c>
      <c r="B231" s="6" t="s">
        <v>1013</v>
      </c>
      <c r="C231" s="6" t="s">
        <v>75</v>
      </c>
    </row>
    <row r="232" spans="1:3" x14ac:dyDescent="0.25">
      <c r="A232" s="15" t="s">
        <v>1179</v>
      </c>
      <c r="B232" s="6" t="s">
        <v>1010</v>
      </c>
      <c r="C232" s="6" t="s">
        <v>75</v>
      </c>
    </row>
    <row r="233" spans="1:3" x14ac:dyDescent="0.25">
      <c r="A233" s="15" t="s">
        <v>1180</v>
      </c>
      <c r="B233" s="6" t="s">
        <v>1005</v>
      </c>
      <c r="C233" s="6" t="s">
        <v>75</v>
      </c>
    </row>
    <row r="234" spans="1:3" x14ac:dyDescent="0.25">
      <c r="A234" s="15" t="s">
        <v>128</v>
      </c>
      <c r="B234" s="6" t="s">
        <v>70</v>
      </c>
      <c r="C234" s="6" t="s">
        <v>75</v>
      </c>
    </row>
    <row r="235" spans="1:3" x14ac:dyDescent="0.25">
      <c r="A235" s="15" t="s">
        <v>1181</v>
      </c>
      <c r="B235" s="6" t="s">
        <v>1009</v>
      </c>
      <c r="C235" s="6" t="s">
        <v>75</v>
      </c>
    </row>
    <row r="236" spans="1:3" x14ac:dyDescent="0.25">
      <c r="A236" s="15" t="s">
        <v>1182</v>
      </c>
      <c r="B236" s="6" t="s">
        <v>1008</v>
      </c>
      <c r="C236" s="6" t="s">
        <v>75</v>
      </c>
    </row>
    <row r="237" spans="1:3" x14ac:dyDescent="0.25">
      <c r="A237" s="15" t="s">
        <v>129</v>
      </c>
      <c r="B237" s="6" t="s">
        <v>1003</v>
      </c>
      <c r="C237" s="6" t="s">
        <v>75</v>
      </c>
    </row>
    <row r="238" spans="1:3" x14ac:dyDescent="0.25">
      <c r="A238" s="15" t="s">
        <v>130</v>
      </c>
      <c r="B238" s="6" t="s">
        <v>1027</v>
      </c>
      <c r="C238" s="6" t="s">
        <v>75</v>
      </c>
    </row>
    <row r="239" spans="1:3" x14ac:dyDescent="0.25">
      <c r="A239" s="15" t="s">
        <v>131</v>
      </c>
      <c r="B239" s="6" t="s">
        <v>1026</v>
      </c>
      <c r="C239" s="6" t="s">
        <v>75</v>
      </c>
    </row>
    <row r="240" spans="1:3" x14ac:dyDescent="0.25">
      <c r="A240" s="15" t="s">
        <v>1183</v>
      </c>
      <c r="B240" s="6" t="s">
        <v>1056</v>
      </c>
      <c r="C240" s="6" t="s">
        <v>75</v>
      </c>
    </row>
    <row r="241" spans="1:3" x14ac:dyDescent="0.25">
      <c r="A241" s="15" t="s">
        <v>132</v>
      </c>
      <c r="B241" s="6" t="s">
        <v>1032</v>
      </c>
      <c r="C241" s="6" t="s">
        <v>75</v>
      </c>
    </row>
    <row r="242" spans="1:3" x14ac:dyDescent="0.25">
      <c r="A242" s="15" t="s">
        <v>1184</v>
      </c>
      <c r="B242" s="6" t="s">
        <v>1020</v>
      </c>
      <c r="C242" s="6" t="s">
        <v>75</v>
      </c>
    </row>
    <row r="243" spans="1:3" x14ac:dyDescent="0.25">
      <c r="A243" s="15" t="s">
        <v>1185</v>
      </c>
      <c r="B243" s="6" t="s">
        <v>1014</v>
      </c>
      <c r="C243" s="6" t="s">
        <v>75</v>
      </c>
    </row>
    <row r="244" spans="1:3" x14ac:dyDescent="0.25">
      <c r="A244" s="15" t="s">
        <v>133</v>
      </c>
      <c r="B244" s="6" t="s">
        <v>1027</v>
      </c>
      <c r="C244" s="6" t="s">
        <v>75</v>
      </c>
    </row>
    <row r="245" spans="1:3" x14ac:dyDescent="0.25">
      <c r="A245" s="15" t="s">
        <v>1186</v>
      </c>
      <c r="B245" s="6" t="s">
        <v>1017</v>
      </c>
      <c r="C245" s="6" t="s">
        <v>75</v>
      </c>
    </row>
    <row r="246" spans="1:3" x14ac:dyDescent="0.25">
      <c r="A246" s="15" t="s">
        <v>134</v>
      </c>
      <c r="B246" s="6" t="s">
        <v>1026</v>
      </c>
      <c r="C246" s="6" t="s">
        <v>75</v>
      </c>
    </row>
    <row r="247" spans="1:3" x14ac:dyDescent="0.25">
      <c r="A247" s="15" t="s">
        <v>135</v>
      </c>
      <c r="B247" s="6" t="s">
        <v>1024</v>
      </c>
      <c r="C247" s="6" t="s">
        <v>75</v>
      </c>
    </row>
    <row r="248" spans="1:3" x14ac:dyDescent="0.25">
      <c r="A248" s="15" t="s">
        <v>136</v>
      </c>
      <c r="B248" s="6" t="s">
        <v>66</v>
      </c>
      <c r="C248" s="6" t="s">
        <v>75</v>
      </c>
    </row>
    <row r="249" spans="1:3" x14ac:dyDescent="0.25">
      <c r="A249" s="15" t="s">
        <v>1187</v>
      </c>
      <c r="B249" s="6" t="s">
        <v>1006</v>
      </c>
      <c r="C249" s="6" t="s">
        <v>75</v>
      </c>
    </row>
    <row r="250" spans="1:3" x14ac:dyDescent="0.25">
      <c r="A250" s="15" t="s">
        <v>1188</v>
      </c>
      <c r="B250" s="6" t="s">
        <v>1035</v>
      </c>
      <c r="C250" s="6" t="s">
        <v>75</v>
      </c>
    </row>
    <row r="251" spans="1:3" x14ac:dyDescent="0.25">
      <c r="A251" s="15" t="s">
        <v>1189</v>
      </c>
      <c r="B251" s="6" t="s">
        <v>1003</v>
      </c>
      <c r="C251" s="6" t="s">
        <v>75</v>
      </c>
    </row>
    <row r="252" spans="1:3" x14ac:dyDescent="0.25">
      <c r="A252" s="15" t="s">
        <v>1190</v>
      </c>
      <c r="B252" s="6" t="s">
        <v>70</v>
      </c>
      <c r="C252" s="6" t="s">
        <v>75</v>
      </c>
    </row>
    <row r="253" spans="1:3" x14ac:dyDescent="0.25">
      <c r="A253" s="15" t="s">
        <v>1191</v>
      </c>
      <c r="B253" s="6" t="s">
        <v>1003</v>
      </c>
      <c r="C253" s="6" t="s">
        <v>75</v>
      </c>
    </row>
    <row r="254" spans="1:3" x14ac:dyDescent="0.25">
      <c r="A254" s="15" t="s">
        <v>1192</v>
      </c>
      <c r="B254" s="6" t="s">
        <v>70</v>
      </c>
      <c r="C254" s="6" t="s">
        <v>75</v>
      </c>
    </row>
    <row r="255" spans="1:3" x14ac:dyDescent="0.25">
      <c r="A255" s="15" t="s">
        <v>137</v>
      </c>
      <c r="B255" s="6" t="s">
        <v>1005</v>
      </c>
      <c r="C255" s="6" t="s">
        <v>75</v>
      </c>
    </row>
    <row r="256" spans="1:3" x14ac:dyDescent="0.25">
      <c r="A256" s="15" t="s">
        <v>138</v>
      </c>
      <c r="B256" s="6" t="s">
        <v>66</v>
      </c>
      <c r="C256" s="6" t="s">
        <v>75</v>
      </c>
    </row>
    <row r="257" spans="1:3" x14ac:dyDescent="0.25">
      <c r="A257" s="15" t="s">
        <v>139</v>
      </c>
      <c r="B257" s="6" t="s">
        <v>1005</v>
      </c>
      <c r="C257" s="6" t="s">
        <v>75</v>
      </c>
    </row>
    <row r="258" spans="1:3" x14ac:dyDescent="0.25">
      <c r="A258" s="15" t="s">
        <v>140</v>
      </c>
      <c r="B258" s="6" t="s">
        <v>1003</v>
      </c>
      <c r="C258" s="6" t="s">
        <v>75</v>
      </c>
    </row>
    <row r="259" spans="1:3" x14ac:dyDescent="0.25">
      <c r="A259" s="15" t="s">
        <v>141</v>
      </c>
      <c r="B259" s="6" t="s">
        <v>66</v>
      </c>
      <c r="C259" s="6" t="s">
        <v>75</v>
      </c>
    </row>
    <row r="260" spans="1:3" x14ac:dyDescent="0.25">
      <c r="A260" s="15" t="s">
        <v>142</v>
      </c>
      <c r="B260" s="6" t="s">
        <v>1010</v>
      </c>
      <c r="C260" s="6" t="s">
        <v>75</v>
      </c>
    </row>
    <row r="261" spans="1:3" x14ac:dyDescent="0.25">
      <c r="A261" s="15" t="s">
        <v>143</v>
      </c>
      <c r="B261" s="6" t="s">
        <v>66</v>
      </c>
      <c r="C261" s="6" t="s">
        <v>75</v>
      </c>
    </row>
    <row r="262" spans="1:3" x14ac:dyDescent="0.25">
      <c r="A262" s="15" t="s">
        <v>144</v>
      </c>
      <c r="B262" s="6" t="s">
        <v>1016</v>
      </c>
      <c r="C262" s="6" t="s">
        <v>75</v>
      </c>
    </row>
    <row r="263" spans="1:3" x14ac:dyDescent="0.25">
      <c r="A263" s="15" t="s">
        <v>145</v>
      </c>
      <c r="B263" s="6" t="s">
        <v>70</v>
      </c>
      <c r="C263" s="6" t="s">
        <v>75</v>
      </c>
    </row>
    <row r="264" spans="1:3" x14ac:dyDescent="0.25">
      <c r="A264" s="15" t="s">
        <v>146</v>
      </c>
      <c r="B264" s="6" t="s">
        <v>66</v>
      </c>
      <c r="C264" s="6" t="s">
        <v>75</v>
      </c>
    </row>
    <row r="265" spans="1:3" x14ac:dyDescent="0.25">
      <c r="A265" s="15" t="s">
        <v>147</v>
      </c>
      <c r="B265" s="6" t="s">
        <v>1010</v>
      </c>
      <c r="C265" s="6" t="s">
        <v>75</v>
      </c>
    </row>
    <row r="266" spans="1:3" x14ac:dyDescent="0.25">
      <c r="A266" s="15" t="s">
        <v>148</v>
      </c>
      <c r="B266" s="6" t="s">
        <v>1003</v>
      </c>
      <c r="C266" s="6" t="s">
        <v>75</v>
      </c>
    </row>
    <row r="267" spans="1:3" x14ac:dyDescent="0.25">
      <c r="A267" s="15" t="s">
        <v>149</v>
      </c>
      <c r="B267" s="6" t="s">
        <v>66</v>
      </c>
      <c r="C267" s="6" t="s">
        <v>75</v>
      </c>
    </row>
    <row r="268" spans="1:3" x14ac:dyDescent="0.25">
      <c r="A268" s="15" t="s">
        <v>150</v>
      </c>
      <c r="B268" s="6" t="s">
        <v>1016</v>
      </c>
      <c r="C268" s="6" t="s">
        <v>75</v>
      </c>
    </row>
    <row r="269" spans="1:3" x14ac:dyDescent="0.25">
      <c r="A269" s="15" t="s">
        <v>151</v>
      </c>
      <c r="B269" s="6" t="s">
        <v>1010</v>
      </c>
      <c r="C269" s="6" t="s">
        <v>75</v>
      </c>
    </row>
    <row r="270" spans="1:3" x14ac:dyDescent="0.25">
      <c r="A270" s="15" t="s">
        <v>152</v>
      </c>
      <c r="B270" s="6" t="s">
        <v>1009</v>
      </c>
      <c r="C270" s="6" t="s">
        <v>75</v>
      </c>
    </row>
    <row r="271" spans="1:3" x14ac:dyDescent="0.25">
      <c r="A271" s="15" t="s">
        <v>153</v>
      </c>
      <c r="B271" s="6" t="s">
        <v>1003</v>
      </c>
      <c r="C271" s="6" t="s">
        <v>75</v>
      </c>
    </row>
    <row r="272" spans="1:3" x14ac:dyDescent="0.25">
      <c r="A272" s="15" t="s">
        <v>154</v>
      </c>
      <c r="B272" s="6" t="s">
        <v>1003</v>
      </c>
      <c r="C272" s="6" t="s">
        <v>75</v>
      </c>
    </row>
    <row r="273" spans="1:3" x14ac:dyDescent="0.25">
      <c r="A273" s="15" t="s">
        <v>155</v>
      </c>
      <c r="B273" s="6" t="s">
        <v>70</v>
      </c>
      <c r="C273" s="6" t="s">
        <v>75</v>
      </c>
    </row>
    <row r="274" spans="1:3" x14ac:dyDescent="0.25">
      <c r="A274" s="15" t="s">
        <v>156</v>
      </c>
      <c r="B274" s="6" t="s">
        <v>1009</v>
      </c>
      <c r="C274" s="6" t="s">
        <v>75</v>
      </c>
    </row>
    <row r="275" spans="1:3" x14ac:dyDescent="0.25">
      <c r="A275" s="15" t="s">
        <v>157</v>
      </c>
      <c r="B275" s="6" t="s">
        <v>1016</v>
      </c>
      <c r="C275" s="6" t="s">
        <v>75</v>
      </c>
    </row>
    <row r="276" spans="1:3" x14ac:dyDescent="0.25">
      <c r="A276" s="15" t="s">
        <v>158</v>
      </c>
      <c r="B276" s="6" t="s">
        <v>1004</v>
      </c>
      <c r="C276" s="6" t="s">
        <v>75</v>
      </c>
    </row>
    <row r="277" spans="1:3" x14ac:dyDescent="0.25">
      <c r="A277" s="15" t="s">
        <v>159</v>
      </c>
      <c r="B277" s="6" t="s">
        <v>1004</v>
      </c>
      <c r="C277" s="6" t="s">
        <v>75</v>
      </c>
    </row>
    <row r="278" spans="1:3" x14ac:dyDescent="0.25">
      <c r="A278" s="15" t="s">
        <v>160</v>
      </c>
      <c r="B278" s="6" t="s">
        <v>1018</v>
      </c>
      <c r="C278" s="6" t="s">
        <v>75</v>
      </c>
    </row>
    <row r="279" spans="1:3" x14ac:dyDescent="0.25">
      <c r="A279" s="15" t="s">
        <v>161</v>
      </c>
      <c r="B279" s="6" t="s">
        <v>1009</v>
      </c>
      <c r="C279" s="6" t="s">
        <v>75</v>
      </c>
    </row>
    <row r="280" spans="1:3" x14ac:dyDescent="0.25">
      <c r="A280" s="15" t="s">
        <v>162</v>
      </c>
      <c r="B280" s="6" t="s">
        <v>1005</v>
      </c>
      <c r="C280" s="6" t="s">
        <v>75</v>
      </c>
    </row>
    <row r="281" spans="1:3" x14ac:dyDescent="0.25">
      <c r="A281" s="15" t="s">
        <v>163</v>
      </c>
      <c r="B281" s="6" t="s">
        <v>70</v>
      </c>
      <c r="C281" s="6" t="s">
        <v>75</v>
      </c>
    </row>
    <row r="282" spans="1:3" x14ac:dyDescent="0.25">
      <c r="A282" s="15" t="s">
        <v>164</v>
      </c>
      <c r="B282" s="6" t="s">
        <v>1003</v>
      </c>
      <c r="C282" s="6" t="s">
        <v>75</v>
      </c>
    </row>
    <row r="283" spans="1:3" x14ac:dyDescent="0.25">
      <c r="A283" s="15" t="s">
        <v>165</v>
      </c>
      <c r="B283" s="6" t="s">
        <v>66</v>
      </c>
      <c r="C283" s="6" t="s">
        <v>75</v>
      </c>
    </row>
    <row r="284" spans="1:3" x14ac:dyDescent="0.25">
      <c r="A284" s="15" t="s">
        <v>166</v>
      </c>
      <c r="B284" s="6" t="s">
        <v>1003</v>
      </c>
      <c r="C284" s="6" t="s">
        <v>75</v>
      </c>
    </row>
    <row r="285" spans="1:3" x14ac:dyDescent="0.25">
      <c r="A285" s="15" t="s">
        <v>167</v>
      </c>
      <c r="B285" s="6" t="s">
        <v>1005</v>
      </c>
      <c r="C285" s="6" t="s">
        <v>75</v>
      </c>
    </row>
    <row r="286" spans="1:3" x14ac:dyDescent="0.25">
      <c r="A286" s="15" t="s">
        <v>168</v>
      </c>
      <c r="B286" s="6" t="s">
        <v>1005</v>
      </c>
      <c r="C286" s="6" t="s">
        <v>75</v>
      </c>
    </row>
    <row r="287" spans="1:3" x14ac:dyDescent="0.25">
      <c r="A287" s="15" t="s">
        <v>169</v>
      </c>
      <c r="B287" s="6" t="s">
        <v>1003</v>
      </c>
      <c r="C287" s="6" t="s">
        <v>75</v>
      </c>
    </row>
    <row r="288" spans="1:3" x14ac:dyDescent="0.25">
      <c r="A288" s="15" t="s">
        <v>170</v>
      </c>
      <c r="B288" s="6" t="s">
        <v>1003</v>
      </c>
      <c r="C288" s="6" t="s">
        <v>75</v>
      </c>
    </row>
    <row r="289" spans="1:3" x14ac:dyDescent="0.25">
      <c r="A289" s="15" t="s">
        <v>171</v>
      </c>
      <c r="B289" s="6" t="s">
        <v>1004</v>
      </c>
      <c r="C289" s="6" t="s">
        <v>75</v>
      </c>
    </row>
    <row r="290" spans="1:3" x14ac:dyDescent="0.25">
      <c r="A290" s="15" t="s">
        <v>172</v>
      </c>
      <c r="B290" s="6" t="s">
        <v>1004</v>
      </c>
      <c r="C290" s="6" t="s">
        <v>75</v>
      </c>
    </row>
    <row r="291" spans="1:3" x14ac:dyDescent="0.25">
      <c r="A291" s="15" t="s">
        <v>173</v>
      </c>
      <c r="B291" s="6" t="s">
        <v>66</v>
      </c>
      <c r="C291" s="6" t="s">
        <v>174</v>
      </c>
    </row>
    <row r="292" spans="1:3" x14ac:dyDescent="0.25">
      <c r="A292" s="15" t="s">
        <v>175</v>
      </c>
      <c r="B292" s="6" t="s">
        <v>1008</v>
      </c>
      <c r="C292" s="6" t="s">
        <v>75</v>
      </c>
    </row>
    <row r="293" spans="1:3" x14ac:dyDescent="0.25">
      <c r="A293" s="15" t="s">
        <v>176</v>
      </c>
      <c r="B293" s="6" t="s">
        <v>1003</v>
      </c>
      <c r="C293" s="6" t="s">
        <v>75</v>
      </c>
    </row>
    <row r="294" spans="1:3" x14ac:dyDescent="0.25">
      <c r="A294" s="15" t="s">
        <v>177</v>
      </c>
      <c r="B294" s="6" t="s">
        <v>66</v>
      </c>
      <c r="C294" s="6" t="s">
        <v>75</v>
      </c>
    </row>
    <row r="295" spans="1:3" x14ac:dyDescent="0.25">
      <c r="A295" s="15" t="s">
        <v>178</v>
      </c>
      <c r="B295" s="6" t="s">
        <v>70</v>
      </c>
      <c r="C295" s="6" t="s">
        <v>75</v>
      </c>
    </row>
    <row r="296" spans="1:3" x14ac:dyDescent="0.25">
      <c r="A296" s="15" t="s">
        <v>179</v>
      </c>
      <c r="B296" s="6" t="s">
        <v>66</v>
      </c>
      <c r="C296" s="6" t="s">
        <v>75</v>
      </c>
    </row>
    <row r="297" spans="1:3" x14ac:dyDescent="0.25">
      <c r="A297" s="15" t="s">
        <v>180</v>
      </c>
      <c r="B297" s="6" t="s">
        <v>70</v>
      </c>
      <c r="C297" s="6" t="s">
        <v>75</v>
      </c>
    </row>
    <row r="298" spans="1:3" x14ac:dyDescent="0.25">
      <c r="A298" s="15" t="s">
        <v>181</v>
      </c>
      <c r="B298" s="6" t="s">
        <v>70</v>
      </c>
      <c r="C298" s="6" t="s">
        <v>75</v>
      </c>
    </row>
    <row r="299" spans="1:3" x14ac:dyDescent="0.25">
      <c r="A299" s="15" t="s">
        <v>182</v>
      </c>
      <c r="B299" s="6" t="s">
        <v>66</v>
      </c>
      <c r="C299" s="6" t="s">
        <v>75</v>
      </c>
    </row>
    <row r="300" spans="1:3" x14ac:dyDescent="0.25">
      <c r="A300" s="15" t="s">
        <v>183</v>
      </c>
      <c r="B300" s="6" t="s">
        <v>1004</v>
      </c>
      <c r="C300" s="6" t="s">
        <v>75</v>
      </c>
    </row>
    <row r="301" spans="1:3" x14ac:dyDescent="0.25">
      <c r="A301" s="15" t="s">
        <v>184</v>
      </c>
      <c r="B301" s="6" t="s">
        <v>1003</v>
      </c>
      <c r="C301" s="6" t="s">
        <v>75</v>
      </c>
    </row>
    <row r="302" spans="1:3" x14ac:dyDescent="0.25">
      <c r="A302" s="15" t="s">
        <v>185</v>
      </c>
      <c r="B302" s="6" t="s">
        <v>1003</v>
      </c>
      <c r="C302" s="6" t="s">
        <v>75</v>
      </c>
    </row>
    <row r="303" spans="1:3" x14ac:dyDescent="0.25">
      <c r="A303" s="15" t="s">
        <v>186</v>
      </c>
      <c r="B303" s="6" t="s">
        <v>70</v>
      </c>
      <c r="C303" s="6" t="s">
        <v>75</v>
      </c>
    </row>
    <row r="304" spans="1:3" x14ac:dyDescent="0.25">
      <c r="A304" s="15" t="s">
        <v>187</v>
      </c>
      <c r="B304" s="6" t="s">
        <v>1007</v>
      </c>
      <c r="C304" s="6" t="s">
        <v>75</v>
      </c>
    </row>
    <row r="305" spans="1:3" x14ac:dyDescent="0.25">
      <c r="A305" s="15" t="s">
        <v>188</v>
      </c>
      <c r="B305" s="6" t="s">
        <v>1004</v>
      </c>
      <c r="C305" s="6" t="s">
        <v>75</v>
      </c>
    </row>
    <row r="306" spans="1:3" x14ac:dyDescent="0.25">
      <c r="A306" s="15" t="s">
        <v>189</v>
      </c>
      <c r="B306" s="6" t="s">
        <v>70</v>
      </c>
      <c r="C306" s="6" t="s">
        <v>75</v>
      </c>
    </row>
    <row r="307" spans="1:3" x14ac:dyDescent="0.25">
      <c r="A307" s="15" t="s">
        <v>190</v>
      </c>
      <c r="B307" s="6" t="s">
        <v>1004</v>
      </c>
      <c r="C307" s="6" t="s">
        <v>75</v>
      </c>
    </row>
    <row r="308" spans="1:3" x14ac:dyDescent="0.25">
      <c r="A308" s="15" t="s">
        <v>191</v>
      </c>
      <c r="B308" s="6" t="s">
        <v>1004</v>
      </c>
      <c r="C308" s="6" t="s">
        <v>75</v>
      </c>
    </row>
    <row r="309" spans="1:3" x14ac:dyDescent="0.25">
      <c r="A309" s="15" t="s">
        <v>192</v>
      </c>
      <c r="B309" s="6" t="s">
        <v>70</v>
      </c>
      <c r="C309" s="6" t="s">
        <v>75</v>
      </c>
    </row>
    <row r="310" spans="1:3" x14ac:dyDescent="0.25">
      <c r="A310" s="15" t="s">
        <v>193</v>
      </c>
      <c r="B310" s="6" t="s">
        <v>1005</v>
      </c>
      <c r="C310" s="6" t="s">
        <v>75</v>
      </c>
    </row>
    <row r="311" spans="1:3" x14ac:dyDescent="0.25">
      <c r="A311" s="15" t="s">
        <v>194</v>
      </c>
      <c r="B311" s="6" t="s">
        <v>1013</v>
      </c>
      <c r="C311" s="6" t="s">
        <v>75</v>
      </c>
    </row>
    <row r="312" spans="1:3" x14ac:dyDescent="0.25">
      <c r="A312" s="15" t="s">
        <v>195</v>
      </c>
      <c r="B312" s="6" t="s">
        <v>1004</v>
      </c>
      <c r="C312" s="6" t="s">
        <v>75</v>
      </c>
    </row>
    <row r="313" spans="1:3" x14ac:dyDescent="0.25">
      <c r="A313" s="15" t="s">
        <v>196</v>
      </c>
      <c r="B313" s="6" t="s">
        <v>1004</v>
      </c>
      <c r="C313" s="6" t="s">
        <v>75</v>
      </c>
    </row>
    <row r="314" spans="1:3" x14ac:dyDescent="0.25">
      <c r="A314" s="15" t="s">
        <v>197</v>
      </c>
      <c r="B314" s="6" t="s">
        <v>1003</v>
      </c>
      <c r="C314" s="6" t="s">
        <v>75</v>
      </c>
    </row>
    <row r="315" spans="1:3" x14ac:dyDescent="0.25">
      <c r="A315" s="15" t="s">
        <v>198</v>
      </c>
      <c r="B315" s="6" t="s">
        <v>1004</v>
      </c>
      <c r="C315" s="6" t="s">
        <v>75</v>
      </c>
    </row>
    <row r="316" spans="1:3" x14ac:dyDescent="0.25">
      <c r="A316" s="15" t="s">
        <v>199</v>
      </c>
      <c r="B316" s="6" t="s">
        <v>1005</v>
      </c>
      <c r="C316" s="6" t="s">
        <v>75</v>
      </c>
    </row>
    <row r="317" spans="1:3" x14ac:dyDescent="0.25">
      <c r="A317" s="15" t="s">
        <v>200</v>
      </c>
      <c r="B317" s="6" t="s">
        <v>1009</v>
      </c>
      <c r="C317" s="6" t="s">
        <v>75</v>
      </c>
    </row>
    <row r="318" spans="1:3" x14ac:dyDescent="0.25">
      <c r="A318" s="15" t="s">
        <v>201</v>
      </c>
      <c r="B318" s="6" t="s">
        <v>1007</v>
      </c>
      <c r="C318" s="6" t="s">
        <v>75</v>
      </c>
    </row>
    <row r="319" spans="1:3" x14ac:dyDescent="0.25">
      <c r="A319" s="15" t="s">
        <v>202</v>
      </c>
      <c r="B319" s="6" t="s">
        <v>1016</v>
      </c>
      <c r="C319" s="6" t="s">
        <v>75</v>
      </c>
    </row>
    <row r="320" spans="1:3" x14ac:dyDescent="0.25">
      <c r="A320" s="15" t="s">
        <v>203</v>
      </c>
      <c r="B320" s="6" t="s">
        <v>1023</v>
      </c>
      <c r="C320" s="6" t="s">
        <v>75</v>
      </c>
    </row>
    <row r="321" spans="1:3" x14ac:dyDescent="0.25">
      <c r="A321" s="15" t="s">
        <v>204</v>
      </c>
      <c r="B321" s="6" t="s">
        <v>70</v>
      </c>
      <c r="C321" s="6" t="s">
        <v>75</v>
      </c>
    </row>
    <row r="322" spans="1:3" x14ac:dyDescent="0.25">
      <c r="A322" s="15" t="s">
        <v>205</v>
      </c>
      <c r="B322" s="6" t="s">
        <v>66</v>
      </c>
      <c r="C322" s="6" t="s">
        <v>75</v>
      </c>
    </row>
    <row r="323" spans="1:3" x14ac:dyDescent="0.25">
      <c r="A323" s="15" t="s">
        <v>206</v>
      </c>
      <c r="B323" s="6" t="s">
        <v>1012</v>
      </c>
      <c r="C323" s="6" t="s">
        <v>75</v>
      </c>
    </row>
    <row r="324" spans="1:3" x14ac:dyDescent="0.25">
      <c r="A324" s="15" t="s">
        <v>207</v>
      </c>
      <c r="B324" s="6" t="s">
        <v>1012</v>
      </c>
      <c r="C324" s="6" t="s">
        <v>75</v>
      </c>
    </row>
    <row r="325" spans="1:3" x14ac:dyDescent="0.25">
      <c r="A325" s="15" t="s">
        <v>208</v>
      </c>
      <c r="B325" s="6" t="s">
        <v>1005</v>
      </c>
      <c r="C325" s="6" t="s">
        <v>75</v>
      </c>
    </row>
    <row r="326" spans="1:3" x14ac:dyDescent="0.25">
      <c r="A326" s="15" t="s">
        <v>209</v>
      </c>
      <c r="B326" s="6" t="s">
        <v>1005</v>
      </c>
      <c r="C326" s="6" t="s">
        <v>75</v>
      </c>
    </row>
    <row r="327" spans="1:3" x14ac:dyDescent="0.25">
      <c r="A327" s="15" t="s">
        <v>210</v>
      </c>
      <c r="B327" s="6" t="s">
        <v>1007</v>
      </c>
      <c r="C327" s="6" t="s">
        <v>75</v>
      </c>
    </row>
    <row r="328" spans="1:3" x14ac:dyDescent="0.25">
      <c r="A328" s="15" t="s">
        <v>211</v>
      </c>
      <c r="B328" s="6" t="s">
        <v>1007</v>
      </c>
      <c r="C328" s="6" t="s">
        <v>75</v>
      </c>
    </row>
    <row r="329" spans="1:3" x14ac:dyDescent="0.25">
      <c r="A329" s="15" t="s">
        <v>212</v>
      </c>
      <c r="B329" s="6" t="s">
        <v>1009</v>
      </c>
      <c r="C329" s="6" t="s">
        <v>75</v>
      </c>
    </row>
    <row r="330" spans="1:3" x14ac:dyDescent="0.25">
      <c r="A330" s="15" t="s">
        <v>213</v>
      </c>
      <c r="B330" s="6" t="s">
        <v>1008</v>
      </c>
      <c r="C330" s="6" t="s">
        <v>75</v>
      </c>
    </row>
    <row r="331" spans="1:3" x14ac:dyDescent="0.25">
      <c r="A331" s="15" t="s">
        <v>214</v>
      </c>
      <c r="B331" s="6" t="s">
        <v>1027</v>
      </c>
      <c r="C331" s="6" t="s">
        <v>75</v>
      </c>
    </row>
    <row r="332" spans="1:3" x14ac:dyDescent="0.25">
      <c r="A332" s="15" t="s">
        <v>215</v>
      </c>
      <c r="B332" s="6" t="s">
        <v>70</v>
      </c>
      <c r="C332" s="6" t="s">
        <v>75</v>
      </c>
    </row>
    <row r="333" spans="1:3" x14ac:dyDescent="0.25">
      <c r="A333" s="15" t="s">
        <v>216</v>
      </c>
      <c r="B333" s="6" t="s">
        <v>1010</v>
      </c>
      <c r="C333" s="6" t="s">
        <v>75</v>
      </c>
    </row>
    <row r="334" spans="1:3" x14ac:dyDescent="0.25">
      <c r="A334" s="15" t="s">
        <v>217</v>
      </c>
      <c r="B334" s="6" t="s">
        <v>1004</v>
      </c>
      <c r="C334" s="6" t="s">
        <v>75</v>
      </c>
    </row>
    <row r="335" spans="1:3" x14ac:dyDescent="0.25">
      <c r="A335" s="15" t="s">
        <v>218</v>
      </c>
      <c r="B335" s="6" t="s">
        <v>1010</v>
      </c>
      <c r="C335" s="6" t="s">
        <v>75</v>
      </c>
    </row>
    <row r="336" spans="1:3" x14ac:dyDescent="0.25">
      <c r="A336" s="15" t="s">
        <v>219</v>
      </c>
      <c r="B336" s="6" t="s">
        <v>66</v>
      </c>
      <c r="C336" s="6" t="s">
        <v>75</v>
      </c>
    </row>
    <row r="337" spans="1:3" x14ac:dyDescent="0.25">
      <c r="A337" s="15" t="s">
        <v>220</v>
      </c>
      <c r="B337" s="6" t="s">
        <v>66</v>
      </c>
      <c r="C337" s="6" t="s">
        <v>75</v>
      </c>
    </row>
    <row r="338" spans="1:3" x14ac:dyDescent="0.25">
      <c r="A338" s="15" t="s">
        <v>221</v>
      </c>
      <c r="B338" s="6" t="s">
        <v>66</v>
      </c>
      <c r="C338" s="6" t="s">
        <v>75</v>
      </c>
    </row>
    <row r="339" spans="1:3" x14ac:dyDescent="0.25">
      <c r="A339" s="15" t="s">
        <v>222</v>
      </c>
      <c r="B339" s="6" t="s">
        <v>1003</v>
      </c>
      <c r="C339" s="6" t="s">
        <v>75</v>
      </c>
    </row>
    <row r="340" spans="1:3" x14ac:dyDescent="0.25">
      <c r="A340" s="15" t="s">
        <v>223</v>
      </c>
      <c r="B340" s="6" t="s">
        <v>70</v>
      </c>
      <c r="C340" s="6" t="s">
        <v>75</v>
      </c>
    </row>
    <row r="341" spans="1:3" x14ac:dyDescent="0.25">
      <c r="A341" s="15" t="s">
        <v>224</v>
      </c>
      <c r="B341" s="6" t="s">
        <v>1003</v>
      </c>
      <c r="C341" s="6" t="s">
        <v>75</v>
      </c>
    </row>
    <row r="342" spans="1:3" x14ac:dyDescent="0.25">
      <c r="A342" s="15" t="s">
        <v>225</v>
      </c>
      <c r="B342" s="6" t="s">
        <v>1013</v>
      </c>
      <c r="C342" s="6" t="s">
        <v>75</v>
      </c>
    </row>
    <row r="343" spans="1:3" x14ac:dyDescent="0.25">
      <c r="A343" s="15" t="s">
        <v>226</v>
      </c>
      <c r="B343" s="6" t="s">
        <v>1003</v>
      </c>
      <c r="C343" s="6" t="s">
        <v>75</v>
      </c>
    </row>
    <row r="344" spans="1:3" x14ac:dyDescent="0.25">
      <c r="A344" s="15" t="s">
        <v>227</v>
      </c>
      <c r="B344" s="6" t="s">
        <v>1005</v>
      </c>
      <c r="C344" s="6" t="s">
        <v>75</v>
      </c>
    </row>
    <row r="345" spans="1:3" x14ac:dyDescent="0.25">
      <c r="A345" s="15" t="s">
        <v>228</v>
      </c>
      <c r="B345" s="6" t="s">
        <v>70</v>
      </c>
      <c r="C345" s="6" t="s">
        <v>75</v>
      </c>
    </row>
    <row r="346" spans="1:3" x14ac:dyDescent="0.25">
      <c r="A346" s="15" t="s">
        <v>229</v>
      </c>
      <c r="B346" s="6" t="s">
        <v>1010</v>
      </c>
      <c r="C346" s="6" t="s">
        <v>75</v>
      </c>
    </row>
    <row r="347" spans="1:3" x14ac:dyDescent="0.25">
      <c r="A347" s="15" t="s">
        <v>230</v>
      </c>
      <c r="B347" s="6" t="s">
        <v>1007</v>
      </c>
      <c r="C347" s="6" t="s">
        <v>75</v>
      </c>
    </row>
    <row r="348" spans="1:3" x14ac:dyDescent="0.25">
      <c r="A348" s="15" t="s">
        <v>231</v>
      </c>
      <c r="B348" s="6" t="s">
        <v>1009</v>
      </c>
      <c r="C348" s="6" t="s">
        <v>75</v>
      </c>
    </row>
    <row r="349" spans="1:3" x14ac:dyDescent="0.25">
      <c r="A349" s="15" t="s">
        <v>232</v>
      </c>
      <c r="B349" s="6" t="s">
        <v>1003</v>
      </c>
      <c r="C349" s="6" t="s">
        <v>75</v>
      </c>
    </row>
    <row r="350" spans="1:3" x14ac:dyDescent="0.25">
      <c r="A350" s="15" t="s">
        <v>233</v>
      </c>
      <c r="B350" s="6" t="s">
        <v>1025</v>
      </c>
      <c r="C350" s="6" t="s">
        <v>75</v>
      </c>
    </row>
    <row r="351" spans="1:3" x14ac:dyDescent="0.25">
      <c r="A351" s="15" t="s">
        <v>234</v>
      </c>
      <c r="B351" s="6" t="s">
        <v>1015</v>
      </c>
      <c r="C351" s="6" t="s">
        <v>75</v>
      </c>
    </row>
    <row r="352" spans="1:3" x14ac:dyDescent="0.25">
      <c r="A352" s="15" t="s">
        <v>235</v>
      </c>
      <c r="B352" s="6" t="s">
        <v>66</v>
      </c>
      <c r="C352" s="6" t="s">
        <v>75</v>
      </c>
    </row>
    <row r="353" spans="1:3" x14ac:dyDescent="0.25">
      <c r="A353" s="15" t="s">
        <v>236</v>
      </c>
      <c r="B353" s="6" t="s">
        <v>66</v>
      </c>
      <c r="C353" s="6" t="s">
        <v>75</v>
      </c>
    </row>
    <row r="354" spans="1:3" x14ac:dyDescent="0.25">
      <c r="A354" s="15" t="s">
        <v>237</v>
      </c>
      <c r="B354" s="6" t="s">
        <v>1003</v>
      </c>
      <c r="C354" s="6" t="s">
        <v>75</v>
      </c>
    </row>
    <row r="355" spans="1:3" x14ac:dyDescent="0.25">
      <c r="A355" s="15" t="s">
        <v>238</v>
      </c>
      <c r="B355" s="6" t="s">
        <v>1004</v>
      </c>
      <c r="C355" s="6" t="s">
        <v>75</v>
      </c>
    </row>
    <row r="356" spans="1:3" x14ac:dyDescent="0.25">
      <c r="A356" s="15" t="s">
        <v>239</v>
      </c>
      <c r="B356" s="6" t="s">
        <v>1010</v>
      </c>
      <c r="C356" s="6" t="s">
        <v>75</v>
      </c>
    </row>
    <row r="357" spans="1:3" x14ac:dyDescent="0.25">
      <c r="A357" s="15" t="s">
        <v>240</v>
      </c>
      <c r="B357" s="6" t="s">
        <v>1014</v>
      </c>
      <c r="C357" s="6" t="s">
        <v>75</v>
      </c>
    </row>
    <row r="358" spans="1:3" x14ac:dyDescent="0.25">
      <c r="A358" s="15" t="s">
        <v>241</v>
      </c>
      <c r="B358" s="6" t="s">
        <v>1007</v>
      </c>
      <c r="C358" s="6" t="s">
        <v>75</v>
      </c>
    </row>
    <row r="359" spans="1:3" x14ac:dyDescent="0.25">
      <c r="A359" s="15" t="s">
        <v>242</v>
      </c>
      <c r="B359" s="6" t="s">
        <v>1005</v>
      </c>
      <c r="C359" s="6" t="s">
        <v>75</v>
      </c>
    </row>
    <row r="360" spans="1:3" x14ac:dyDescent="0.25">
      <c r="A360" s="15" t="s">
        <v>243</v>
      </c>
      <c r="B360" s="6" t="s">
        <v>1009</v>
      </c>
      <c r="C360" s="6" t="s">
        <v>75</v>
      </c>
    </row>
    <row r="361" spans="1:3" x14ac:dyDescent="0.25">
      <c r="A361" s="15" t="s">
        <v>244</v>
      </c>
      <c r="B361" s="6" t="s">
        <v>70</v>
      </c>
      <c r="C361" s="6" t="s">
        <v>75</v>
      </c>
    </row>
    <row r="362" spans="1:3" x14ac:dyDescent="0.25">
      <c r="A362" s="15" t="s">
        <v>245</v>
      </c>
      <c r="B362" s="6" t="s">
        <v>1008</v>
      </c>
      <c r="C362" s="6" t="s">
        <v>75</v>
      </c>
    </row>
    <row r="363" spans="1:3" x14ac:dyDescent="0.25">
      <c r="A363" s="15" t="s">
        <v>246</v>
      </c>
      <c r="B363" s="6" t="s">
        <v>1003</v>
      </c>
      <c r="C363" s="6" t="s">
        <v>75</v>
      </c>
    </row>
    <row r="364" spans="1:3" x14ac:dyDescent="0.25">
      <c r="A364" s="15" t="s">
        <v>247</v>
      </c>
      <c r="B364" s="6" t="s">
        <v>66</v>
      </c>
      <c r="C364" s="6" t="s">
        <v>75</v>
      </c>
    </row>
    <row r="365" spans="1:3" x14ac:dyDescent="0.25">
      <c r="A365" s="15" t="s">
        <v>248</v>
      </c>
      <c r="B365" s="6" t="s">
        <v>1003</v>
      </c>
      <c r="C365" s="6" t="s">
        <v>75</v>
      </c>
    </row>
    <row r="366" spans="1:3" x14ac:dyDescent="0.25">
      <c r="A366" s="15" t="s">
        <v>249</v>
      </c>
      <c r="B366" s="6" t="s">
        <v>66</v>
      </c>
      <c r="C366" s="6" t="s">
        <v>75</v>
      </c>
    </row>
    <row r="367" spans="1:3" x14ac:dyDescent="0.25">
      <c r="A367" s="15" t="s">
        <v>250</v>
      </c>
      <c r="B367" s="6" t="s">
        <v>66</v>
      </c>
      <c r="C367" s="6" t="s">
        <v>75</v>
      </c>
    </row>
    <row r="368" spans="1:3" x14ac:dyDescent="0.25">
      <c r="A368" s="15" t="s">
        <v>251</v>
      </c>
      <c r="B368" s="6" t="s">
        <v>1009</v>
      </c>
      <c r="C368" s="6" t="s">
        <v>75</v>
      </c>
    </row>
    <row r="369" spans="1:3" x14ac:dyDescent="0.25">
      <c r="A369" s="15" t="s">
        <v>252</v>
      </c>
      <c r="B369" s="6" t="s">
        <v>1012</v>
      </c>
      <c r="C369" s="6" t="s">
        <v>75</v>
      </c>
    </row>
    <row r="370" spans="1:3" x14ac:dyDescent="0.25">
      <c r="A370" s="15" t="s">
        <v>253</v>
      </c>
      <c r="B370" s="6" t="s">
        <v>1011</v>
      </c>
      <c r="C370" s="6" t="s">
        <v>75</v>
      </c>
    </row>
    <row r="371" spans="1:3" x14ac:dyDescent="0.25">
      <c r="A371" s="15" t="s">
        <v>254</v>
      </c>
      <c r="B371" s="6" t="s">
        <v>1014</v>
      </c>
      <c r="C371" s="6" t="s">
        <v>75</v>
      </c>
    </row>
    <row r="372" spans="1:3" x14ac:dyDescent="0.25">
      <c r="A372" s="15" t="s">
        <v>255</v>
      </c>
      <c r="B372" s="6" t="s">
        <v>1003</v>
      </c>
      <c r="C372" s="6" t="s">
        <v>75</v>
      </c>
    </row>
    <row r="373" spans="1:3" x14ac:dyDescent="0.25">
      <c r="A373" s="15" t="s">
        <v>256</v>
      </c>
      <c r="B373" s="6" t="s">
        <v>1007</v>
      </c>
      <c r="C373" s="6" t="s">
        <v>75</v>
      </c>
    </row>
    <row r="374" spans="1:3" x14ac:dyDescent="0.25">
      <c r="A374" s="15" t="s">
        <v>257</v>
      </c>
      <c r="B374" s="6" t="s">
        <v>66</v>
      </c>
      <c r="C374" s="6" t="s">
        <v>75</v>
      </c>
    </row>
    <row r="375" spans="1:3" x14ac:dyDescent="0.25">
      <c r="A375" s="15" t="s">
        <v>258</v>
      </c>
      <c r="B375" s="6" t="s">
        <v>70</v>
      </c>
      <c r="C375" s="6" t="s">
        <v>75</v>
      </c>
    </row>
    <row r="376" spans="1:3" x14ac:dyDescent="0.25">
      <c r="A376" s="15" t="s">
        <v>259</v>
      </c>
      <c r="B376" s="6" t="s">
        <v>1003</v>
      </c>
      <c r="C376" s="6" t="s">
        <v>75</v>
      </c>
    </row>
    <row r="377" spans="1:3" x14ac:dyDescent="0.25">
      <c r="A377" s="15" t="s">
        <v>260</v>
      </c>
      <c r="B377" s="6" t="s">
        <v>1005</v>
      </c>
      <c r="C377" s="6" t="s">
        <v>75</v>
      </c>
    </row>
    <row r="378" spans="1:3" x14ac:dyDescent="0.25">
      <c r="A378" s="15" t="s">
        <v>261</v>
      </c>
      <c r="B378" s="6" t="s">
        <v>66</v>
      </c>
      <c r="C378" s="6" t="s">
        <v>75</v>
      </c>
    </row>
    <row r="379" spans="1:3" x14ac:dyDescent="0.25">
      <c r="A379" s="15" t="s">
        <v>262</v>
      </c>
      <c r="B379" s="6" t="s">
        <v>1003</v>
      </c>
      <c r="C379" s="6" t="s">
        <v>75</v>
      </c>
    </row>
    <row r="380" spans="1:3" x14ac:dyDescent="0.25">
      <c r="A380" s="15" t="s">
        <v>263</v>
      </c>
      <c r="B380" s="6" t="s">
        <v>1004</v>
      </c>
      <c r="C380" s="6" t="s">
        <v>75</v>
      </c>
    </row>
    <row r="381" spans="1:3" x14ac:dyDescent="0.25">
      <c r="A381" s="15" t="s">
        <v>264</v>
      </c>
      <c r="B381" s="6" t="s">
        <v>1003</v>
      </c>
      <c r="C381" s="6" t="s">
        <v>75</v>
      </c>
    </row>
    <row r="382" spans="1:3" x14ac:dyDescent="0.25">
      <c r="A382" s="15" t="s">
        <v>265</v>
      </c>
      <c r="B382" s="6" t="s">
        <v>70</v>
      </c>
      <c r="C382" s="6" t="s">
        <v>75</v>
      </c>
    </row>
    <row r="383" spans="1:3" x14ac:dyDescent="0.25">
      <c r="A383" s="15" t="s">
        <v>266</v>
      </c>
      <c r="B383" s="6" t="s">
        <v>1003</v>
      </c>
      <c r="C383" s="6" t="s">
        <v>75</v>
      </c>
    </row>
    <row r="384" spans="1:3" x14ac:dyDescent="0.25">
      <c r="A384" s="15" t="s">
        <v>267</v>
      </c>
      <c r="B384" s="6" t="s">
        <v>70</v>
      </c>
      <c r="C384" s="6" t="s">
        <v>75</v>
      </c>
    </row>
    <row r="385" spans="1:3" x14ac:dyDescent="0.25">
      <c r="A385" s="15" t="s">
        <v>268</v>
      </c>
      <c r="B385" s="6" t="s">
        <v>1004</v>
      </c>
      <c r="C385" s="6" t="s">
        <v>75</v>
      </c>
    </row>
    <row r="386" spans="1:3" x14ac:dyDescent="0.25">
      <c r="A386" s="15" t="s">
        <v>269</v>
      </c>
      <c r="B386" s="6" t="s">
        <v>1003</v>
      </c>
      <c r="C386" s="6" t="s">
        <v>75</v>
      </c>
    </row>
    <row r="387" spans="1:3" x14ac:dyDescent="0.25">
      <c r="A387" s="15" t="s">
        <v>270</v>
      </c>
      <c r="B387" s="6" t="s">
        <v>66</v>
      </c>
      <c r="C387" s="6" t="s">
        <v>75</v>
      </c>
    </row>
    <row r="388" spans="1:3" x14ac:dyDescent="0.25">
      <c r="A388" s="15" t="s">
        <v>271</v>
      </c>
      <c r="B388" s="6" t="s">
        <v>1003</v>
      </c>
      <c r="C388" s="6" t="s">
        <v>75</v>
      </c>
    </row>
    <row r="389" spans="1:3" x14ac:dyDescent="0.25">
      <c r="A389" s="15" t="s">
        <v>272</v>
      </c>
      <c r="B389" s="6" t="s">
        <v>1005</v>
      </c>
      <c r="C389" s="6" t="s">
        <v>75</v>
      </c>
    </row>
    <row r="390" spans="1:3" x14ac:dyDescent="0.25">
      <c r="A390" s="15" t="s">
        <v>273</v>
      </c>
      <c r="B390" s="6" t="s">
        <v>1010</v>
      </c>
      <c r="C390" s="6" t="s">
        <v>75</v>
      </c>
    </row>
    <row r="391" spans="1:3" x14ac:dyDescent="0.25">
      <c r="A391" s="15" t="s">
        <v>274</v>
      </c>
      <c r="B391" s="6" t="s">
        <v>70</v>
      </c>
      <c r="C391" s="6" t="s">
        <v>75</v>
      </c>
    </row>
    <row r="392" spans="1:3" x14ac:dyDescent="0.25">
      <c r="A392" s="15" t="s">
        <v>275</v>
      </c>
      <c r="B392" s="6" t="s">
        <v>1003</v>
      </c>
      <c r="C392" s="6" t="s">
        <v>75</v>
      </c>
    </row>
    <row r="393" spans="1:3" x14ac:dyDescent="0.25">
      <c r="A393" s="15" t="s">
        <v>276</v>
      </c>
      <c r="B393" s="6" t="s">
        <v>66</v>
      </c>
      <c r="C393" s="6" t="s">
        <v>174</v>
      </c>
    </row>
    <row r="394" spans="1:3" x14ac:dyDescent="0.25">
      <c r="A394" s="15" t="s">
        <v>277</v>
      </c>
      <c r="B394" s="6" t="s">
        <v>70</v>
      </c>
      <c r="C394" s="6" t="s">
        <v>75</v>
      </c>
    </row>
    <row r="395" spans="1:3" x14ac:dyDescent="0.25">
      <c r="A395" s="15" t="s">
        <v>278</v>
      </c>
      <c r="B395" s="6" t="s">
        <v>1004</v>
      </c>
      <c r="C395" s="6" t="s">
        <v>75</v>
      </c>
    </row>
    <row r="396" spans="1:3" x14ac:dyDescent="0.25">
      <c r="A396" s="15" t="s">
        <v>279</v>
      </c>
      <c r="B396" s="6" t="s">
        <v>1003</v>
      </c>
      <c r="C396" s="6" t="s">
        <v>75</v>
      </c>
    </row>
    <row r="397" spans="1:3" x14ac:dyDescent="0.25">
      <c r="A397" s="15" t="s">
        <v>280</v>
      </c>
      <c r="B397" s="6" t="s">
        <v>1003</v>
      </c>
      <c r="C397" s="6" t="s">
        <v>75</v>
      </c>
    </row>
    <row r="398" spans="1:3" x14ac:dyDescent="0.25">
      <c r="A398" s="15" t="s">
        <v>281</v>
      </c>
      <c r="B398" s="6" t="s">
        <v>70</v>
      </c>
      <c r="C398" s="6" t="s">
        <v>75</v>
      </c>
    </row>
    <row r="399" spans="1:3" x14ac:dyDescent="0.25">
      <c r="A399" s="15" t="s">
        <v>282</v>
      </c>
      <c r="B399" s="6" t="s">
        <v>1004</v>
      </c>
      <c r="C399" s="6" t="s">
        <v>75</v>
      </c>
    </row>
    <row r="400" spans="1:3" x14ac:dyDescent="0.25">
      <c r="A400" s="15" t="s">
        <v>283</v>
      </c>
      <c r="B400" s="6" t="s">
        <v>1009</v>
      </c>
      <c r="C400" s="6" t="s">
        <v>75</v>
      </c>
    </row>
    <row r="401" spans="1:3" x14ac:dyDescent="0.25">
      <c r="A401" s="15" t="s">
        <v>284</v>
      </c>
      <c r="B401" s="6" t="s">
        <v>66</v>
      </c>
      <c r="C401" s="6" t="s">
        <v>75</v>
      </c>
    </row>
    <row r="402" spans="1:3" x14ac:dyDescent="0.25">
      <c r="A402" s="15" t="s">
        <v>285</v>
      </c>
      <c r="B402" s="6" t="s">
        <v>1004</v>
      </c>
      <c r="C402" s="6" t="s">
        <v>75</v>
      </c>
    </row>
    <row r="403" spans="1:3" x14ac:dyDescent="0.25">
      <c r="A403" s="15" t="s">
        <v>286</v>
      </c>
      <c r="B403" s="6" t="s">
        <v>1003</v>
      </c>
      <c r="C403" s="6" t="s">
        <v>75</v>
      </c>
    </row>
    <row r="404" spans="1:3" x14ac:dyDescent="0.25">
      <c r="A404" s="15" t="s">
        <v>287</v>
      </c>
      <c r="B404" s="6" t="s">
        <v>1004</v>
      </c>
      <c r="C404" s="6" t="s">
        <v>75</v>
      </c>
    </row>
    <row r="405" spans="1:3" x14ac:dyDescent="0.25">
      <c r="A405" s="15" t="s">
        <v>288</v>
      </c>
      <c r="B405" s="6" t="s">
        <v>70</v>
      </c>
      <c r="C405" s="6" t="s">
        <v>75</v>
      </c>
    </row>
    <row r="406" spans="1:3" x14ac:dyDescent="0.25">
      <c r="A406" s="15" t="s">
        <v>289</v>
      </c>
      <c r="B406" s="6" t="s">
        <v>1005</v>
      </c>
      <c r="C406" s="6" t="s">
        <v>75</v>
      </c>
    </row>
    <row r="407" spans="1:3" x14ac:dyDescent="0.25">
      <c r="A407" s="15" t="s">
        <v>290</v>
      </c>
      <c r="B407" s="6" t="s">
        <v>66</v>
      </c>
      <c r="C407" s="6" t="s">
        <v>75</v>
      </c>
    </row>
    <row r="408" spans="1:3" x14ac:dyDescent="0.25">
      <c r="A408" s="15" t="s">
        <v>291</v>
      </c>
      <c r="B408" s="6" t="s">
        <v>70</v>
      </c>
      <c r="C408" s="6" t="s">
        <v>75</v>
      </c>
    </row>
    <row r="409" spans="1:3" x14ac:dyDescent="0.25">
      <c r="A409" s="15" t="s">
        <v>292</v>
      </c>
      <c r="B409" s="6" t="s">
        <v>1005</v>
      </c>
      <c r="C409" s="6" t="s">
        <v>75</v>
      </c>
    </row>
    <row r="410" spans="1:3" x14ac:dyDescent="0.25">
      <c r="A410" s="15" t="s">
        <v>293</v>
      </c>
      <c r="B410" s="6" t="s">
        <v>70</v>
      </c>
      <c r="C410" s="6" t="s">
        <v>75</v>
      </c>
    </row>
    <row r="411" spans="1:3" x14ac:dyDescent="0.25">
      <c r="A411" s="15" t="s">
        <v>294</v>
      </c>
      <c r="B411" s="6" t="s">
        <v>70</v>
      </c>
      <c r="C411" s="6" t="s">
        <v>75</v>
      </c>
    </row>
    <row r="412" spans="1:3" x14ac:dyDescent="0.25">
      <c r="A412" s="15" t="s">
        <v>295</v>
      </c>
      <c r="B412" s="6" t="s">
        <v>70</v>
      </c>
      <c r="C412" s="6" t="s">
        <v>75</v>
      </c>
    </row>
    <row r="413" spans="1:3" x14ac:dyDescent="0.25">
      <c r="A413" s="15" t="s">
        <v>296</v>
      </c>
      <c r="B413" s="6" t="s">
        <v>1009</v>
      </c>
      <c r="C413" s="6" t="s">
        <v>75</v>
      </c>
    </row>
    <row r="414" spans="1:3" x14ac:dyDescent="0.25">
      <c r="A414" s="15" t="s">
        <v>297</v>
      </c>
      <c r="B414" s="6" t="s">
        <v>66</v>
      </c>
      <c r="C414" s="6" t="s">
        <v>75</v>
      </c>
    </row>
    <row r="415" spans="1:3" x14ac:dyDescent="0.25">
      <c r="A415" s="15" t="s">
        <v>298</v>
      </c>
      <c r="B415" s="6" t="s">
        <v>1005</v>
      </c>
      <c r="C415" s="6" t="s">
        <v>75</v>
      </c>
    </row>
    <row r="416" spans="1:3" x14ac:dyDescent="0.25">
      <c r="A416" s="15" t="s">
        <v>299</v>
      </c>
      <c r="B416" s="6" t="s">
        <v>1003</v>
      </c>
      <c r="C416" s="6" t="s">
        <v>75</v>
      </c>
    </row>
    <row r="417" spans="1:3" x14ac:dyDescent="0.25">
      <c r="A417" s="15" t="s">
        <v>300</v>
      </c>
      <c r="B417" s="6" t="s">
        <v>1003</v>
      </c>
      <c r="C417" s="6" t="s">
        <v>75</v>
      </c>
    </row>
    <row r="418" spans="1:3" x14ac:dyDescent="0.25">
      <c r="A418" s="15" t="s">
        <v>301</v>
      </c>
      <c r="B418" s="6" t="s">
        <v>70</v>
      </c>
      <c r="C418" s="6" t="s">
        <v>75</v>
      </c>
    </row>
    <row r="419" spans="1:3" x14ac:dyDescent="0.25">
      <c r="A419" s="15" t="s">
        <v>302</v>
      </c>
      <c r="B419" s="6" t="s">
        <v>1003</v>
      </c>
      <c r="C419" s="6" t="s">
        <v>75</v>
      </c>
    </row>
    <row r="420" spans="1:3" x14ac:dyDescent="0.25">
      <c r="A420" s="15" t="s">
        <v>303</v>
      </c>
      <c r="B420" s="6" t="s">
        <v>1025</v>
      </c>
      <c r="C420" s="6" t="s">
        <v>75</v>
      </c>
    </row>
    <row r="421" spans="1:3" x14ac:dyDescent="0.25">
      <c r="A421" s="15" t="s">
        <v>304</v>
      </c>
      <c r="B421" s="6" t="s">
        <v>1009</v>
      </c>
      <c r="C421" s="6" t="s">
        <v>75</v>
      </c>
    </row>
    <row r="422" spans="1:3" x14ac:dyDescent="0.25">
      <c r="A422" s="15" t="s">
        <v>305</v>
      </c>
      <c r="B422" s="6" t="s">
        <v>66</v>
      </c>
      <c r="C422" s="6" t="s">
        <v>75</v>
      </c>
    </row>
    <row r="423" spans="1:3" x14ac:dyDescent="0.25">
      <c r="A423" s="15" t="s">
        <v>306</v>
      </c>
      <c r="B423" s="6" t="s">
        <v>1004</v>
      </c>
      <c r="C423" s="6" t="s">
        <v>75</v>
      </c>
    </row>
    <row r="424" spans="1:3" x14ac:dyDescent="0.25">
      <c r="A424" s="15" t="s">
        <v>307</v>
      </c>
      <c r="B424" s="6" t="s">
        <v>66</v>
      </c>
      <c r="C424" s="6" t="s">
        <v>75</v>
      </c>
    </row>
    <row r="425" spans="1:3" x14ac:dyDescent="0.25">
      <c r="A425" s="15" t="s">
        <v>308</v>
      </c>
      <c r="B425" s="6" t="s">
        <v>1005</v>
      </c>
      <c r="C425" s="6" t="s">
        <v>75</v>
      </c>
    </row>
    <row r="426" spans="1:3" x14ac:dyDescent="0.25">
      <c r="A426" s="15" t="s">
        <v>309</v>
      </c>
      <c r="B426" s="6" t="s">
        <v>1006</v>
      </c>
      <c r="C426" s="6" t="s">
        <v>75</v>
      </c>
    </row>
    <row r="427" spans="1:3" x14ac:dyDescent="0.25">
      <c r="A427" s="15" t="s">
        <v>310</v>
      </c>
      <c r="B427" s="6" t="s">
        <v>1003</v>
      </c>
      <c r="C427" s="6" t="s">
        <v>75</v>
      </c>
    </row>
    <row r="428" spans="1:3" x14ac:dyDescent="0.25">
      <c r="A428" s="15" t="s">
        <v>311</v>
      </c>
      <c r="B428" s="6" t="s">
        <v>1016</v>
      </c>
      <c r="C428" s="6" t="s">
        <v>75</v>
      </c>
    </row>
    <row r="429" spans="1:3" x14ac:dyDescent="0.25">
      <c r="A429" s="15" t="s">
        <v>312</v>
      </c>
      <c r="B429" s="6" t="s">
        <v>1003</v>
      </c>
      <c r="C429" s="6" t="s">
        <v>75</v>
      </c>
    </row>
    <row r="430" spans="1:3" x14ac:dyDescent="0.25">
      <c r="A430" s="15" t="s">
        <v>313</v>
      </c>
      <c r="B430" s="6" t="s">
        <v>1013</v>
      </c>
      <c r="C430" s="6" t="s">
        <v>75</v>
      </c>
    </row>
    <row r="431" spans="1:3" x14ac:dyDescent="0.25">
      <c r="A431" s="15" t="s">
        <v>314</v>
      </c>
      <c r="B431" s="6" t="s">
        <v>1008</v>
      </c>
      <c r="C431" s="6" t="s">
        <v>75</v>
      </c>
    </row>
    <row r="432" spans="1:3" x14ac:dyDescent="0.25">
      <c r="A432" s="15" t="s">
        <v>315</v>
      </c>
      <c r="B432" s="6" t="s">
        <v>1003</v>
      </c>
      <c r="C432" s="6" t="s">
        <v>75</v>
      </c>
    </row>
    <row r="433" spans="1:3" x14ac:dyDescent="0.25">
      <c r="A433" s="15" t="s">
        <v>316</v>
      </c>
      <c r="B433" s="6" t="s">
        <v>1004</v>
      </c>
      <c r="C433" s="6" t="s">
        <v>75</v>
      </c>
    </row>
    <row r="434" spans="1:3" x14ac:dyDescent="0.25">
      <c r="A434" s="15" t="s">
        <v>317</v>
      </c>
      <c r="B434" s="6" t="s">
        <v>1008</v>
      </c>
      <c r="C434" s="6" t="s">
        <v>75</v>
      </c>
    </row>
    <row r="435" spans="1:3" x14ac:dyDescent="0.25">
      <c r="A435" s="15" t="s">
        <v>318</v>
      </c>
      <c r="B435" s="6" t="s">
        <v>66</v>
      </c>
      <c r="C435" s="6" t="s">
        <v>75</v>
      </c>
    </row>
    <row r="436" spans="1:3" x14ac:dyDescent="0.25">
      <c r="A436" s="15" t="s">
        <v>319</v>
      </c>
      <c r="B436" s="6" t="s">
        <v>1003</v>
      </c>
      <c r="C436" s="6" t="s">
        <v>75</v>
      </c>
    </row>
    <row r="437" spans="1:3" x14ac:dyDescent="0.25">
      <c r="A437" s="15" t="s">
        <v>320</v>
      </c>
      <c r="B437" s="6" t="s">
        <v>66</v>
      </c>
      <c r="C437" s="6" t="s">
        <v>75</v>
      </c>
    </row>
    <row r="438" spans="1:3" x14ac:dyDescent="0.25">
      <c r="A438" s="15" t="s">
        <v>321</v>
      </c>
      <c r="B438" s="6" t="s">
        <v>1006</v>
      </c>
      <c r="C438" s="6" t="s">
        <v>75</v>
      </c>
    </row>
    <row r="439" spans="1:3" x14ac:dyDescent="0.25">
      <c r="A439" s="15" t="s">
        <v>322</v>
      </c>
      <c r="B439" s="6" t="s">
        <v>1010</v>
      </c>
      <c r="C439" s="6" t="s">
        <v>75</v>
      </c>
    </row>
    <row r="440" spans="1:3" x14ac:dyDescent="0.25">
      <c r="A440" s="15" t="s">
        <v>323</v>
      </c>
      <c r="B440" s="6" t="s">
        <v>66</v>
      </c>
      <c r="C440" s="6" t="s">
        <v>75</v>
      </c>
    </row>
    <row r="441" spans="1:3" x14ac:dyDescent="0.25">
      <c r="A441" s="15" t="s">
        <v>324</v>
      </c>
      <c r="B441" s="6" t="s">
        <v>1004</v>
      </c>
      <c r="C441" s="6" t="s">
        <v>75</v>
      </c>
    </row>
    <row r="442" spans="1:3" x14ac:dyDescent="0.25">
      <c r="A442" s="15" t="s">
        <v>325</v>
      </c>
      <c r="B442" s="6" t="s">
        <v>66</v>
      </c>
      <c r="C442" s="6" t="s">
        <v>174</v>
      </c>
    </row>
    <row r="443" spans="1:3" x14ac:dyDescent="0.25">
      <c r="A443" s="15" t="s">
        <v>326</v>
      </c>
      <c r="B443" s="6" t="s">
        <v>1016</v>
      </c>
      <c r="C443" s="6" t="s">
        <v>75</v>
      </c>
    </row>
    <row r="444" spans="1:3" x14ac:dyDescent="0.25">
      <c r="A444" s="15" t="s">
        <v>327</v>
      </c>
      <c r="B444" s="6" t="s">
        <v>1003</v>
      </c>
      <c r="C444" s="6" t="s">
        <v>75</v>
      </c>
    </row>
    <row r="445" spans="1:3" x14ac:dyDescent="0.25">
      <c r="A445" s="15" t="s">
        <v>328</v>
      </c>
      <c r="B445" s="6" t="s">
        <v>1004</v>
      </c>
      <c r="C445" s="6" t="s">
        <v>75</v>
      </c>
    </row>
    <row r="446" spans="1:3" x14ac:dyDescent="0.25">
      <c r="A446" s="15" t="s">
        <v>329</v>
      </c>
      <c r="B446" s="6" t="s">
        <v>1006</v>
      </c>
      <c r="C446" s="6" t="s">
        <v>75</v>
      </c>
    </row>
    <row r="447" spans="1:3" x14ac:dyDescent="0.25">
      <c r="A447" s="15" t="s">
        <v>330</v>
      </c>
      <c r="B447" s="6" t="s">
        <v>66</v>
      </c>
      <c r="C447" s="6" t="s">
        <v>75</v>
      </c>
    </row>
    <row r="448" spans="1:3" x14ac:dyDescent="0.25">
      <c r="A448" s="15" t="s">
        <v>331</v>
      </c>
      <c r="B448" s="6" t="s">
        <v>1005</v>
      </c>
      <c r="C448" s="6" t="s">
        <v>75</v>
      </c>
    </row>
    <row r="449" spans="1:3" x14ac:dyDescent="0.25">
      <c r="A449" s="15" t="s">
        <v>332</v>
      </c>
      <c r="B449" s="6" t="s">
        <v>1003</v>
      </c>
      <c r="C449" s="6" t="s">
        <v>75</v>
      </c>
    </row>
    <row r="450" spans="1:3" x14ac:dyDescent="0.25">
      <c r="A450" s="15" t="s">
        <v>333</v>
      </c>
      <c r="B450" s="6" t="s">
        <v>1006</v>
      </c>
      <c r="C450" s="6" t="s">
        <v>75</v>
      </c>
    </row>
    <row r="451" spans="1:3" x14ac:dyDescent="0.25">
      <c r="A451" s="15" t="s">
        <v>334</v>
      </c>
      <c r="B451" s="6" t="s">
        <v>66</v>
      </c>
      <c r="C451" s="6" t="s">
        <v>75</v>
      </c>
    </row>
    <row r="452" spans="1:3" x14ac:dyDescent="0.25">
      <c r="A452" s="15" t="s">
        <v>335</v>
      </c>
      <c r="B452" s="6" t="s">
        <v>1004</v>
      </c>
      <c r="C452" s="6" t="s">
        <v>75</v>
      </c>
    </row>
    <row r="453" spans="1:3" x14ac:dyDescent="0.25">
      <c r="A453" s="15" t="s">
        <v>336</v>
      </c>
      <c r="B453" s="6" t="s">
        <v>1005</v>
      </c>
      <c r="C453" s="6" t="s">
        <v>75</v>
      </c>
    </row>
    <row r="454" spans="1:3" x14ac:dyDescent="0.25">
      <c r="A454" s="15" t="s">
        <v>337</v>
      </c>
      <c r="B454" s="6" t="s">
        <v>70</v>
      </c>
      <c r="C454" s="6" t="s">
        <v>75</v>
      </c>
    </row>
    <row r="455" spans="1:3" x14ac:dyDescent="0.25">
      <c r="A455" s="15" t="s">
        <v>338</v>
      </c>
      <c r="B455" s="6" t="s">
        <v>1003</v>
      </c>
      <c r="C455" s="6" t="s">
        <v>75</v>
      </c>
    </row>
    <row r="456" spans="1:3" x14ac:dyDescent="0.25">
      <c r="A456" s="15" t="s">
        <v>339</v>
      </c>
      <c r="B456" s="6" t="s">
        <v>1005</v>
      </c>
      <c r="C456" s="6" t="s">
        <v>75</v>
      </c>
    </row>
    <row r="457" spans="1:3" x14ac:dyDescent="0.25">
      <c r="A457" s="15" t="s">
        <v>340</v>
      </c>
      <c r="B457" s="6" t="s">
        <v>1006</v>
      </c>
      <c r="C457" s="6" t="s">
        <v>75</v>
      </c>
    </row>
    <row r="458" spans="1:3" x14ac:dyDescent="0.25">
      <c r="A458" s="15" t="s">
        <v>341</v>
      </c>
      <c r="B458" s="6" t="s">
        <v>66</v>
      </c>
      <c r="C458" s="6" t="s">
        <v>75</v>
      </c>
    </row>
    <row r="459" spans="1:3" x14ac:dyDescent="0.25">
      <c r="A459" s="15" t="s">
        <v>342</v>
      </c>
      <c r="B459" s="6" t="s">
        <v>70</v>
      </c>
      <c r="C459" s="6" t="s">
        <v>75</v>
      </c>
    </row>
    <row r="460" spans="1:3" x14ac:dyDescent="0.25">
      <c r="A460" s="15" t="s">
        <v>343</v>
      </c>
      <c r="B460" s="6" t="s">
        <v>1025</v>
      </c>
      <c r="C460" s="6" t="s">
        <v>75</v>
      </c>
    </row>
    <row r="461" spans="1:3" x14ac:dyDescent="0.25">
      <c r="A461" s="15" t="s">
        <v>344</v>
      </c>
      <c r="B461" s="6" t="s">
        <v>66</v>
      </c>
      <c r="C461" s="6" t="s">
        <v>75</v>
      </c>
    </row>
    <row r="462" spans="1:3" x14ac:dyDescent="0.25">
      <c r="A462" s="15" t="s">
        <v>345</v>
      </c>
      <c r="B462" s="6" t="s">
        <v>70</v>
      </c>
      <c r="C462" s="6" t="s">
        <v>75</v>
      </c>
    </row>
    <row r="463" spans="1:3" x14ac:dyDescent="0.25">
      <c r="A463" s="15" t="s">
        <v>346</v>
      </c>
      <c r="B463" s="6" t="s">
        <v>1003</v>
      </c>
      <c r="C463" s="6" t="s">
        <v>75</v>
      </c>
    </row>
    <row r="464" spans="1:3" x14ac:dyDescent="0.25">
      <c r="A464" s="15" t="s">
        <v>347</v>
      </c>
      <c r="B464" s="6" t="s">
        <v>66</v>
      </c>
      <c r="C464" s="6" t="s">
        <v>75</v>
      </c>
    </row>
    <row r="465" spans="1:3" x14ac:dyDescent="0.25">
      <c r="A465" s="15" t="s">
        <v>348</v>
      </c>
      <c r="B465" s="6" t="s">
        <v>1003</v>
      </c>
      <c r="C465" s="6" t="s">
        <v>75</v>
      </c>
    </row>
    <row r="466" spans="1:3" x14ac:dyDescent="0.25">
      <c r="A466" s="15" t="s">
        <v>349</v>
      </c>
      <c r="B466" s="6" t="s">
        <v>66</v>
      </c>
      <c r="C466" s="6" t="s">
        <v>75</v>
      </c>
    </row>
    <row r="467" spans="1:3" x14ac:dyDescent="0.25">
      <c r="A467" s="15" t="s">
        <v>350</v>
      </c>
      <c r="B467" s="6" t="s">
        <v>1014</v>
      </c>
      <c r="C467" s="6" t="s">
        <v>75</v>
      </c>
    </row>
    <row r="468" spans="1:3" x14ac:dyDescent="0.25">
      <c r="A468" s="15" t="s">
        <v>351</v>
      </c>
      <c r="B468" s="6" t="s">
        <v>1008</v>
      </c>
      <c r="C468" s="6" t="s">
        <v>75</v>
      </c>
    </row>
    <row r="469" spans="1:3" x14ac:dyDescent="0.25">
      <c r="A469" s="15" t="s">
        <v>352</v>
      </c>
      <c r="B469" s="6" t="s">
        <v>1011</v>
      </c>
      <c r="C469" s="6" t="s">
        <v>75</v>
      </c>
    </row>
    <row r="470" spans="1:3" x14ac:dyDescent="0.25">
      <c r="A470" s="15" t="s">
        <v>353</v>
      </c>
      <c r="B470" s="6" t="s">
        <v>1007</v>
      </c>
      <c r="C470" s="6" t="s">
        <v>75</v>
      </c>
    </row>
    <row r="471" spans="1:3" x14ac:dyDescent="0.25">
      <c r="A471" s="15" t="s">
        <v>354</v>
      </c>
      <c r="B471" s="6" t="s">
        <v>1005</v>
      </c>
      <c r="C471" s="6" t="s">
        <v>75</v>
      </c>
    </row>
    <row r="472" spans="1:3" x14ac:dyDescent="0.25">
      <c r="A472" s="15" t="s">
        <v>355</v>
      </c>
      <c r="B472" s="6" t="s">
        <v>70</v>
      </c>
      <c r="C472" s="6" t="s">
        <v>75</v>
      </c>
    </row>
    <row r="473" spans="1:3" x14ac:dyDescent="0.25">
      <c r="A473" s="15" t="s">
        <v>356</v>
      </c>
      <c r="B473" s="6" t="s">
        <v>1003</v>
      </c>
      <c r="C473" s="6" t="s">
        <v>75</v>
      </c>
    </row>
    <row r="474" spans="1:3" x14ac:dyDescent="0.25">
      <c r="A474" s="15" t="s">
        <v>357</v>
      </c>
      <c r="B474" s="6" t="s">
        <v>1016</v>
      </c>
      <c r="C474" s="6" t="s">
        <v>75</v>
      </c>
    </row>
    <row r="475" spans="1:3" x14ac:dyDescent="0.25">
      <c r="A475" s="15" t="s">
        <v>358</v>
      </c>
      <c r="B475" s="6" t="s">
        <v>66</v>
      </c>
      <c r="C475" s="6" t="s">
        <v>75</v>
      </c>
    </row>
    <row r="476" spans="1:3" x14ac:dyDescent="0.25">
      <c r="A476" s="15" t="s">
        <v>359</v>
      </c>
      <c r="B476" s="6" t="s">
        <v>1003</v>
      </c>
      <c r="C476" s="6" t="s">
        <v>75</v>
      </c>
    </row>
    <row r="477" spans="1:3" x14ac:dyDescent="0.25">
      <c r="A477" s="15" t="s">
        <v>360</v>
      </c>
      <c r="B477" s="6" t="s">
        <v>66</v>
      </c>
      <c r="C477" s="6" t="s">
        <v>75</v>
      </c>
    </row>
    <row r="478" spans="1:3" x14ac:dyDescent="0.25">
      <c r="A478" s="15" t="s">
        <v>361</v>
      </c>
      <c r="B478" s="6" t="s">
        <v>1009</v>
      </c>
      <c r="C478" s="6" t="s">
        <v>75</v>
      </c>
    </row>
    <row r="479" spans="1:3" x14ac:dyDescent="0.25">
      <c r="A479" s="15" t="s">
        <v>362</v>
      </c>
      <c r="B479" s="6" t="s">
        <v>1003</v>
      </c>
      <c r="C479" s="6" t="s">
        <v>75</v>
      </c>
    </row>
    <row r="480" spans="1:3" x14ac:dyDescent="0.25">
      <c r="A480" s="15" t="s">
        <v>363</v>
      </c>
      <c r="B480" s="6" t="s">
        <v>1011</v>
      </c>
      <c r="C480" s="6" t="s">
        <v>75</v>
      </c>
    </row>
    <row r="481" spans="1:3" x14ac:dyDescent="0.25">
      <c r="A481" s="15" t="s">
        <v>364</v>
      </c>
      <c r="B481" s="6" t="s">
        <v>66</v>
      </c>
      <c r="C481" s="6" t="s">
        <v>75</v>
      </c>
    </row>
    <row r="482" spans="1:3" x14ac:dyDescent="0.25">
      <c r="A482" s="15" t="s">
        <v>365</v>
      </c>
      <c r="B482" s="6" t="s">
        <v>1004</v>
      </c>
      <c r="C482" s="6" t="s">
        <v>75</v>
      </c>
    </row>
    <row r="483" spans="1:3" x14ac:dyDescent="0.25">
      <c r="A483" s="15" t="s">
        <v>366</v>
      </c>
      <c r="B483" s="6" t="s">
        <v>1004</v>
      </c>
      <c r="C483" s="6" t="s">
        <v>75</v>
      </c>
    </row>
    <row r="484" spans="1:3" x14ac:dyDescent="0.25">
      <c r="A484" s="15" t="s">
        <v>367</v>
      </c>
      <c r="B484" s="6" t="s">
        <v>66</v>
      </c>
      <c r="C484" s="6" t="s">
        <v>75</v>
      </c>
    </row>
    <row r="485" spans="1:3" x14ac:dyDescent="0.25">
      <c r="A485" s="15" t="s">
        <v>368</v>
      </c>
      <c r="B485" s="6" t="s">
        <v>1003</v>
      </c>
      <c r="C485" s="6" t="s">
        <v>75</v>
      </c>
    </row>
    <row r="486" spans="1:3" x14ac:dyDescent="0.25">
      <c r="A486" s="15" t="s">
        <v>369</v>
      </c>
      <c r="B486" s="6" t="s">
        <v>1016</v>
      </c>
      <c r="C486" s="6" t="s">
        <v>75</v>
      </c>
    </row>
    <row r="487" spans="1:3" x14ac:dyDescent="0.25">
      <c r="A487" s="15" t="s">
        <v>370</v>
      </c>
      <c r="B487" s="6" t="s">
        <v>1005</v>
      </c>
      <c r="C487" s="6" t="s">
        <v>75</v>
      </c>
    </row>
    <row r="488" spans="1:3" x14ac:dyDescent="0.25">
      <c r="A488" s="15" t="s">
        <v>371</v>
      </c>
      <c r="B488" s="6" t="s">
        <v>1025</v>
      </c>
      <c r="C488" s="6" t="s">
        <v>75</v>
      </c>
    </row>
    <row r="489" spans="1:3" x14ac:dyDescent="0.25">
      <c r="A489" s="15" t="s">
        <v>372</v>
      </c>
      <c r="B489" s="6" t="s">
        <v>1013</v>
      </c>
      <c r="C489" s="6" t="s">
        <v>75</v>
      </c>
    </row>
    <row r="490" spans="1:3" x14ac:dyDescent="0.25">
      <c r="A490" s="15" t="s">
        <v>373</v>
      </c>
      <c r="B490" s="6" t="s">
        <v>1018</v>
      </c>
      <c r="C490" s="6" t="s">
        <v>75</v>
      </c>
    </row>
    <row r="491" spans="1:3" x14ac:dyDescent="0.25">
      <c r="A491" s="15" t="s">
        <v>374</v>
      </c>
      <c r="B491" s="6" t="s">
        <v>1025</v>
      </c>
      <c r="C491" s="6" t="s">
        <v>75</v>
      </c>
    </row>
    <row r="492" spans="1:3" x14ac:dyDescent="0.25">
      <c r="A492" s="15" t="s">
        <v>375</v>
      </c>
      <c r="B492" s="6" t="s">
        <v>66</v>
      </c>
      <c r="C492" s="6" t="s">
        <v>75</v>
      </c>
    </row>
    <row r="493" spans="1:3" x14ac:dyDescent="0.25">
      <c r="A493" s="15" t="s">
        <v>376</v>
      </c>
      <c r="B493" s="6" t="s">
        <v>66</v>
      </c>
      <c r="C493" s="6" t="s">
        <v>75</v>
      </c>
    </row>
    <row r="494" spans="1:3" x14ac:dyDescent="0.25">
      <c r="A494" s="15" t="s">
        <v>377</v>
      </c>
      <c r="B494" s="6" t="s">
        <v>1010</v>
      </c>
      <c r="C494" s="6" t="s">
        <v>75</v>
      </c>
    </row>
    <row r="495" spans="1:3" x14ac:dyDescent="0.25">
      <c r="A495" s="15" t="s">
        <v>378</v>
      </c>
      <c r="B495" s="6" t="s">
        <v>1016</v>
      </c>
      <c r="C495" s="6" t="s">
        <v>75</v>
      </c>
    </row>
    <row r="496" spans="1:3" x14ac:dyDescent="0.25">
      <c r="A496" s="15" t="s">
        <v>379</v>
      </c>
      <c r="B496" s="6" t="s">
        <v>1011</v>
      </c>
      <c r="C496" s="6" t="s">
        <v>75</v>
      </c>
    </row>
    <row r="497" spans="1:3" x14ac:dyDescent="0.25">
      <c r="A497" s="15" t="s">
        <v>380</v>
      </c>
      <c r="B497" s="6" t="s">
        <v>1003</v>
      </c>
      <c r="C497" s="6" t="s">
        <v>75</v>
      </c>
    </row>
    <row r="498" spans="1:3" x14ac:dyDescent="0.25">
      <c r="A498" s="15" t="s">
        <v>381</v>
      </c>
      <c r="B498" s="6" t="s">
        <v>1014</v>
      </c>
      <c r="C498" s="6" t="s">
        <v>75</v>
      </c>
    </row>
    <row r="499" spans="1:3" x14ac:dyDescent="0.25">
      <c r="A499" s="15" t="s">
        <v>382</v>
      </c>
      <c r="B499" s="6" t="s">
        <v>1012</v>
      </c>
      <c r="C499" s="6" t="s">
        <v>75</v>
      </c>
    </row>
    <row r="500" spans="1:3" x14ac:dyDescent="0.25">
      <c r="A500" s="15" t="s">
        <v>383</v>
      </c>
      <c r="B500" s="6" t="s">
        <v>70</v>
      </c>
      <c r="C500" s="6" t="s">
        <v>75</v>
      </c>
    </row>
    <row r="501" spans="1:3" x14ac:dyDescent="0.25">
      <c r="A501" s="15" t="s">
        <v>384</v>
      </c>
      <c r="B501" s="6" t="s">
        <v>1005</v>
      </c>
      <c r="C501" s="6" t="s">
        <v>75</v>
      </c>
    </row>
    <row r="502" spans="1:3" x14ac:dyDescent="0.25">
      <c r="A502" s="15" t="s">
        <v>385</v>
      </c>
      <c r="B502" s="6" t="s">
        <v>66</v>
      </c>
      <c r="C502" s="6" t="s">
        <v>75</v>
      </c>
    </row>
    <row r="503" spans="1:3" x14ac:dyDescent="0.25">
      <c r="A503" s="15" t="s">
        <v>386</v>
      </c>
      <c r="B503" s="6" t="s">
        <v>1017</v>
      </c>
      <c r="C503" s="6" t="s">
        <v>75</v>
      </c>
    </row>
    <row r="504" spans="1:3" x14ac:dyDescent="0.25">
      <c r="A504" s="15" t="s">
        <v>387</v>
      </c>
      <c r="B504" s="6" t="s">
        <v>1026</v>
      </c>
      <c r="C504" s="6" t="s">
        <v>75</v>
      </c>
    </row>
    <row r="505" spans="1:3" x14ac:dyDescent="0.25">
      <c r="A505" s="15" t="s">
        <v>388</v>
      </c>
      <c r="B505" s="6" t="s">
        <v>1010</v>
      </c>
      <c r="C505" s="6" t="s">
        <v>75</v>
      </c>
    </row>
    <row r="506" spans="1:3" x14ac:dyDescent="0.25">
      <c r="A506" s="15" t="s">
        <v>389</v>
      </c>
      <c r="B506" s="6" t="s">
        <v>1003</v>
      </c>
      <c r="C506" s="6" t="s">
        <v>75</v>
      </c>
    </row>
    <row r="507" spans="1:3" x14ac:dyDescent="0.25">
      <c r="A507" s="15" t="s">
        <v>390</v>
      </c>
      <c r="B507" s="6" t="s">
        <v>1004</v>
      </c>
      <c r="C507" s="6" t="s">
        <v>75</v>
      </c>
    </row>
    <row r="508" spans="1:3" x14ac:dyDescent="0.25">
      <c r="A508" s="15" t="s">
        <v>391</v>
      </c>
      <c r="B508" s="6" t="s">
        <v>1004</v>
      </c>
      <c r="C508" s="6" t="s">
        <v>75</v>
      </c>
    </row>
    <row r="509" spans="1:3" x14ac:dyDescent="0.25">
      <c r="A509" s="15" t="s">
        <v>392</v>
      </c>
      <c r="B509" s="6" t="s">
        <v>1008</v>
      </c>
      <c r="C509" s="6" t="s">
        <v>75</v>
      </c>
    </row>
    <row r="510" spans="1:3" x14ac:dyDescent="0.25">
      <c r="A510" s="15" t="s">
        <v>393</v>
      </c>
      <c r="B510" s="6" t="s">
        <v>1006</v>
      </c>
      <c r="C510" s="6" t="s">
        <v>75</v>
      </c>
    </row>
    <row r="511" spans="1:3" x14ac:dyDescent="0.25">
      <c r="A511" s="15" t="s">
        <v>394</v>
      </c>
      <c r="B511" s="6" t="s">
        <v>1024</v>
      </c>
      <c r="C511" s="6" t="s">
        <v>75</v>
      </c>
    </row>
    <row r="512" spans="1:3" x14ac:dyDescent="0.25">
      <c r="A512" s="15" t="s">
        <v>395</v>
      </c>
      <c r="B512" s="6" t="s">
        <v>1003</v>
      </c>
      <c r="C512" s="6" t="s">
        <v>75</v>
      </c>
    </row>
    <row r="513" spans="1:3" x14ac:dyDescent="0.25">
      <c r="A513" s="15" t="s">
        <v>396</v>
      </c>
      <c r="B513" s="6" t="s">
        <v>1003</v>
      </c>
      <c r="C513" s="6" t="s">
        <v>75</v>
      </c>
    </row>
    <row r="514" spans="1:3" x14ac:dyDescent="0.25">
      <c r="A514" s="15" t="s">
        <v>397</v>
      </c>
      <c r="B514" s="6" t="s">
        <v>1003</v>
      </c>
      <c r="C514" s="6" t="s">
        <v>75</v>
      </c>
    </row>
    <row r="515" spans="1:3" x14ac:dyDescent="0.25">
      <c r="A515" s="15" t="s">
        <v>398</v>
      </c>
      <c r="B515" s="6" t="s">
        <v>66</v>
      </c>
      <c r="C515" s="6" t="s">
        <v>75</v>
      </c>
    </row>
    <row r="516" spans="1:3" x14ac:dyDescent="0.25">
      <c r="A516" s="15" t="s">
        <v>399</v>
      </c>
      <c r="B516" s="6" t="s">
        <v>1018</v>
      </c>
      <c r="C516" s="6" t="s">
        <v>75</v>
      </c>
    </row>
    <row r="517" spans="1:3" x14ac:dyDescent="0.25">
      <c r="A517" s="15" t="s">
        <v>400</v>
      </c>
      <c r="B517" s="6" t="s">
        <v>1003</v>
      </c>
      <c r="C517" s="6" t="s">
        <v>75</v>
      </c>
    </row>
    <row r="518" spans="1:3" x14ac:dyDescent="0.25">
      <c r="A518" s="15" t="s">
        <v>401</v>
      </c>
      <c r="B518" s="6" t="s">
        <v>1012</v>
      </c>
      <c r="C518" s="6" t="s">
        <v>75</v>
      </c>
    </row>
    <row r="519" spans="1:3" x14ac:dyDescent="0.25">
      <c r="A519" s="15" t="s">
        <v>402</v>
      </c>
      <c r="B519" s="6" t="s">
        <v>1003</v>
      </c>
      <c r="C519" s="6" t="s">
        <v>75</v>
      </c>
    </row>
    <row r="520" spans="1:3" x14ac:dyDescent="0.25">
      <c r="A520" s="15" t="s">
        <v>403</v>
      </c>
      <c r="B520" s="6" t="s">
        <v>1003</v>
      </c>
      <c r="C520" s="6" t="s">
        <v>75</v>
      </c>
    </row>
    <row r="521" spans="1:3" x14ac:dyDescent="0.25">
      <c r="A521" s="15" t="s">
        <v>404</v>
      </c>
      <c r="B521" s="6" t="s">
        <v>66</v>
      </c>
      <c r="C521" s="6" t="s">
        <v>75</v>
      </c>
    </row>
    <row r="522" spans="1:3" x14ac:dyDescent="0.25">
      <c r="A522" s="15" t="s">
        <v>405</v>
      </c>
      <c r="B522" s="6" t="s">
        <v>66</v>
      </c>
      <c r="C522" s="6" t="s">
        <v>75</v>
      </c>
    </row>
    <row r="523" spans="1:3" x14ac:dyDescent="0.25">
      <c r="A523" s="15" t="s">
        <v>406</v>
      </c>
      <c r="B523" s="6" t="s">
        <v>1006</v>
      </c>
      <c r="C523" s="6" t="s">
        <v>75</v>
      </c>
    </row>
    <row r="524" spans="1:3" x14ac:dyDescent="0.25">
      <c r="A524" s="15" t="s">
        <v>407</v>
      </c>
      <c r="B524" s="6" t="s">
        <v>1004</v>
      </c>
      <c r="C524" s="6" t="s">
        <v>75</v>
      </c>
    </row>
    <row r="525" spans="1:3" x14ac:dyDescent="0.25">
      <c r="A525" s="15" t="s">
        <v>408</v>
      </c>
      <c r="B525" s="6" t="s">
        <v>66</v>
      </c>
      <c r="C525" s="6" t="s">
        <v>75</v>
      </c>
    </row>
    <row r="526" spans="1:3" x14ac:dyDescent="0.25">
      <c r="A526" s="15" t="s">
        <v>409</v>
      </c>
      <c r="B526" s="6" t="s">
        <v>1006</v>
      </c>
      <c r="C526" s="6" t="s">
        <v>75</v>
      </c>
    </row>
    <row r="527" spans="1:3" x14ac:dyDescent="0.25">
      <c r="A527" s="15" t="s">
        <v>410</v>
      </c>
      <c r="B527" s="6" t="s">
        <v>1014</v>
      </c>
      <c r="C527" s="6" t="s">
        <v>75</v>
      </c>
    </row>
    <row r="528" spans="1:3" x14ac:dyDescent="0.25">
      <c r="A528" s="15" t="s">
        <v>411</v>
      </c>
      <c r="B528" s="6" t="s">
        <v>1005</v>
      </c>
      <c r="C528" s="6" t="s">
        <v>75</v>
      </c>
    </row>
    <row r="529" spans="1:3" x14ac:dyDescent="0.25">
      <c r="A529" s="15" t="s">
        <v>412</v>
      </c>
      <c r="B529" s="6" t="s">
        <v>66</v>
      </c>
      <c r="C529" s="6" t="s">
        <v>75</v>
      </c>
    </row>
    <row r="530" spans="1:3" x14ac:dyDescent="0.25">
      <c r="A530" s="15" t="s">
        <v>413</v>
      </c>
      <c r="B530" s="6" t="s">
        <v>1017</v>
      </c>
      <c r="C530" s="6" t="s">
        <v>75</v>
      </c>
    </row>
    <row r="531" spans="1:3" x14ac:dyDescent="0.25">
      <c r="A531" s="15" t="s">
        <v>414</v>
      </c>
      <c r="B531" s="6" t="s">
        <v>1008</v>
      </c>
      <c r="C531" s="6" t="s">
        <v>75</v>
      </c>
    </row>
    <row r="532" spans="1:3" x14ac:dyDescent="0.25">
      <c r="A532" s="15" t="s">
        <v>415</v>
      </c>
      <c r="B532" s="6" t="s">
        <v>1003</v>
      </c>
      <c r="C532" s="6" t="s">
        <v>75</v>
      </c>
    </row>
    <row r="533" spans="1:3" x14ac:dyDescent="0.25">
      <c r="A533" s="15" t="s">
        <v>416</v>
      </c>
      <c r="B533" s="6" t="s">
        <v>66</v>
      </c>
      <c r="C533" s="6" t="s">
        <v>75</v>
      </c>
    </row>
    <row r="534" spans="1:3" x14ac:dyDescent="0.25">
      <c r="A534" s="15" t="s">
        <v>417</v>
      </c>
      <c r="B534" s="6" t="s">
        <v>1009</v>
      </c>
      <c r="C534" s="6" t="s">
        <v>75</v>
      </c>
    </row>
    <row r="535" spans="1:3" x14ac:dyDescent="0.25">
      <c r="A535" s="15" t="s">
        <v>418</v>
      </c>
      <c r="B535" s="6" t="s">
        <v>1003</v>
      </c>
      <c r="C535" s="6" t="s">
        <v>75</v>
      </c>
    </row>
    <row r="536" spans="1:3" x14ac:dyDescent="0.25">
      <c r="A536" s="15" t="s">
        <v>419</v>
      </c>
      <c r="B536" s="6" t="s">
        <v>1005</v>
      </c>
      <c r="C536" s="6" t="s">
        <v>75</v>
      </c>
    </row>
    <row r="537" spans="1:3" x14ac:dyDescent="0.25">
      <c r="A537" s="15" t="s">
        <v>420</v>
      </c>
      <c r="B537" s="6" t="s">
        <v>66</v>
      </c>
      <c r="C537" s="6" t="s">
        <v>75</v>
      </c>
    </row>
    <row r="538" spans="1:3" x14ac:dyDescent="0.25">
      <c r="A538" s="15" t="s">
        <v>421</v>
      </c>
      <c r="B538" s="6" t="s">
        <v>1010</v>
      </c>
      <c r="C538" s="6" t="s">
        <v>75</v>
      </c>
    </row>
    <row r="539" spans="1:3" x14ac:dyDescent="0.25">
      <c r="A539" s="15" t="s">
        <v>422</v>
      </c>
      <c r="B539" s="6" t="s">
        <v>70</v>
      </c>
      <c r="C539" s="6" t="s">
        <v>75</v>
      </c>
    </row>
    <row r="540" spans="1:3" x14ac:dyDescent="0.25">
      <c r="A540" s="15" t="s">
        <v>423</v>
      </c>
      <c r="B540" s="6" t="s">
        <v>1025</v>
      </c>
      <c r="C540" s="6" t="s">
        <v>75</v>
      </c>
    </row>
    <row r="541" spans="1:3" x14ac:dyDescent="0.25">
      <c r="A541" s="15" t="s">
        <v>424</v>
      </c>
      <c r="B541" s="6" t="s">
        <v>1004</v>
      </c>
      <c r="C541" s="6" t="s">
        <v>75</v>
      </c>
    </row>
    <row r="542" spans="1:3" x14ac:dyDescent="0.25">
      <c r="A542" s="15" t="s">
        <v>425</v>
      </c>
      <c r="B542" s="6" t="s">
        <v>1004</v>
      </c>
      <c r="C542" s="6" t="s">
        <v>75</v>
      </c>
    </row>
    <row r="543" spans="1:3" x14ac:dyDescent="0.25">
      <c r="A543" s="15" t="s">
        <v>426</v>
      </c>
      <c r="B543" s="6" t="s">
        <v>1004</v>
      </c>
      <c r="C543" s="6" t="s">
        <v>75</v>
      </c>
    </row>
    <row r="544" spans="1:3" x14ac:dyDescent="0.25">
      <c r="A544" s="15" t="s">
        <v>427</v>
      </c>
      <c r="B544" s="6" t="s">
        <v>1012</v>
      </c>
      <c r="C544" s="6" t="s">
        <v>75</v>
      </c>
    </row>
    <row r="545" spans="1:3" x14ac:dyDescent="0.25">
      <c r="A545" s="15" t="s">
        <v>428</v>
      </c>
      <c r="B545" s="6" t="s">
        <v>1016</v>
      </c>
      <c r="C545" s="6" t="s">
        <v>75</v>
      </c>
    </row>
    <row r="546" spans="1:3" x14ac:dyDescent="0.25">
      <c r="A546" s="15" t="s">
        <v>429</v>
      </c>
      <c r="B546" s="6" t="s">
        <v>1006</v>
      </c>
      <c r="C546" s="6" t="s">
        <v>75</v>
      </c>
    </row>
    <row r="547" spans="1:3" x14ac:dyDescent="0.25">
      <c r="A547" s="15" t="s">
        <v>430</v>
      </c>
      <c r="B547" s="6" t="s">
        <v>1007</v>
      </c>
      <c r="C547" s="6" t="s">
        <v>75</v>
      </c>
    </row>
    <row r="548" spans="1:3" x14ac:dyDescent="0.25">
      <c r="A548" s="15" t="s">
        <v>431</v>
      </c>
      <c r="B548" s="6" t="s">
        <v>1009</v>
      </c>
      <c r="C548" s="6" t="s">
        <v>75</v>
      </c>
    </row>
    <row r="549" spans="1:3" x14ac:dyDescent="0.25">
      <c r="A549" s="15" t="s">
        <v>432</v>
      </c>
      <c r="B549" s="6" t="s">
        <v>1017</v>
      </c>
      <c r="C549" s="6" t="s">
        <v>75</v>
      </c>
    </row>
    <row r="550" spans="1:3" x14ac:dyDescent="0.25">
      <c r="A550" s="15" t="s">
        <v>433</v>
      </c>
      <c r="B550" s="6" t="s">
        <v>1017</v>
      </c>
      <c r="C550" s="6" t="s">
        <v>75</v>
      </c>
    </row>
    <row r="551" spans="1:3" x14ac:dyDescent="0.25">
      <c r="A551" s="15" t="s">
        <v>434</v>
      </c>
      <c r="B551" s="6" t="s">
        <v>66</v>
      </c>
      <c r="C551" s="6" t="s">
        <v>75</v>
      </c>
    </row>
    <row r="552" spans="1:3" x14ac:dyDescent="0.25">
      <c r="A552" s="15" t="s">
        <v>435</v>
      </c>
      <c r="B552" s="6" t="s">
        <v>1003</v>
      </c>
      <c r="C552" s="6" t="s">
        <v>75</v>
      </c>
    </row>
    <row r="553" spans="1:3" x14ac:dyDescent="0.25">
      <c r="A553" s="15" t="s">
        <v>436</v>
      </c>
      <c r="B553" s="6" t="s">
        <v>1007</v>
      </c>
      <c r="C553" s="6" t="s">
        <v>75</v>
      </c>
    </row>
    <row r="554" spans="1:3" x14ac:dyDescent="0.25">
      <c r="A554" s="15" t="s">
        <v>437</v>
      </c>
      <c r="B554" s="6" t="s">
        <v>1008</v>
      </c>
      <c r="C554" s="6" t="s">
        <v>75</v>
      </c>
    </row>
    <row r="555" spans="1:3" x14ac:dyDescent="0.25">
      <c r="A555" s="15" t="s">
        <v>438</v>
      </c>
      <c r="B555" s="6" t="s">
        <v>1012</v>
      </c>
      <c r="C555" s="6" t="s">
        <v>75</v>
      </c>
    </row>
    <row r="556" spans="1:3" x14ac:dyDescent="0.25">
      <c r="A556" s="15" t="s">
        <v>439</v>
      </c>
      <c r="B556" s="6" t="s">
        <v>1009</v>
      </c>
      <c r="C556" s="6" t="s">
        <v>75</v>
      </c>
    </row>
    <row r="557" spans="1:3" x14ac:dyDescent="0.25">
      <c r="A557" s="15" t="s">
        <v>440</v>
      </c>
      <c r="B557" s="6" t="s">
        <v>1012</v>
      </c>
      <c r="C557" s="6" t="s">
        <v>75</v>
      </c>
    </row>
    <row r="558" spans="1:3" x14ac:dyDescent="0.25">
      <c r="A558" s="15" t="s">
        <v>441</v>
      </c>
      <c r="B558" s="6" t="s">
        <v>1003</v>
      </c>
      <c r="C558" s="6" t="s">
        <v>75</v>
      </c>
    </row>
    <row r="559" spans="1:3" x14ac:dyDescent="0.25">
      <c r="A559" s="15" t="s">
        <v>442</v>
      </c>
      <c r="B559" s="6" t="s">
        <v>1003</v>
      </c>
      <c r="C559" s="6" t="s">
        <v>75</v>
      </c>
    </row>
    <row r="560" spans="1:3" x14ac:dyDescent="0.25">
      <c r="A560" s="15" t="s">
        <v>443</v>
      </c>
      <c r="B560" s="6" t="s">
        <v>1008</v>
      </c>
      <c r="C560" s="6" t="s">
        <v>75</v>
      </c>
    </row>
    <row r="561" spans="1:3" x14ac:dyDescent="0.25">
      <c r="A561" s="15" t="s">
        <v>444</v>
      </c>
      <c r="B561" s="6" t="s">
        <v>1010</v>
      </c>
      <c r="C561" s="6" t="s">
        <v>75</v>
      </c>
    </row>
    <row r="562" spans="1:3" x14ac:dyDescent="0.25">
      <c r="A562" s="15" t="s">
        <v>445</v>
      </c>
      <c r="B562" s="6" t="s">
        <v>1018</v>
      </c>
      <c r="C562" s="6" t="s">
        <v>75</v>
      </c>
    </row>
    <row r="563" spans="1:3" x14ac:dyDescent="0.25">
      <c r="A563" s="15" t="s">
        <v>446</v>
      </c>
      <c r="B563" s="6" t="s">
        <v>1015</v>
      </c>
      <c r="C563" s="6" t="s">
        <v>75</v>
      </c>
    </row>
    <row r="564" spans="1:3" x14ac:dyDescent="0.25">
      <c r="A564" s="15" t="s">
        <v>447</v>
      </c>
      <c r="B564" s="6" t="s">
        <v>1014</v>
      </c>
      <c r="C564" s="6" t="s">
        <v>75</v>
      </c>
    </row>
    <row r="565" spans="1:3" x14ac:dyDescent="0.25">
      <c r="A565" s="15" t="s">
        <v>448</v>
      </c>
      <c r="B565" s="6" t="s">
        <v>1011</v>
      </c>
      <c r="C565" s="6" t="s">
        <v>75</v>
      </c>
    </row>
    <row r="566" spans="1:3" x14ac:dyDescent="0.25">
      <c r="A566" s="15" t="s">
        <v>449</v>
      </c>
      <c r="B566" s="6" t="s">
        <v>1006</v>
      </c>
      <c r="C566" s="6" t="s">
        <v>75</v>
      </c>
    </row>
    <row r="567" spans="1:3" x14ac:dyDescent="0.25">
      <c r="A567" s="15" t="s">
        <v>450</v>
      </c>
      <c r="B567" s="6" t="s">
        <v>1012</v>
      </c>
      <c r="C567" s="6" t="s">
        <v>75</v>
      </c>
    </row>
    <row r="568" spans="1:3" x14ac:dyDescent="0.25">
      <c r="A568" s="15" t="s">
        <v>451</v>
      </c>
      <c r="B568" s="6" t="s">
        <v>66</v>
      </c>
      <c r="C568" s="6" t="s">
        <v>75</v>
      </c>
    </row>
    <row r="569" spans="1:3" x14ac:dyDescent="0.25">
      <c r="A569" s="15" t="s">
        <v>452</v>
      </c>
      <c r="B569" s="6" t="s">
        <v>1009</v>
      </c>
      <c r="C569" s="6" t="s">
        <v>75</v>
      </c>
    </row>
    <row r="570" spans="1:3" x14ac:dyDescent="0.25">
      <c r="A570" s="15" t="s">
        <v>453</v>
      </c>
      <c r="B570" s="6" t="s">
        <v>70</v>
      </c>
      <c r="C570" s="6" t="s">
        <v>75</v>
      </c>
    </row>
    <row r="571" spans="1:3" x14ac:dyDescent="0.25">
      <c r="A571" s="15" t="s">
        <v>454</v>
      </c>
      <c r="B571" s="6" t="s">
        <v>1019</v>
      </c>
      <c r="C571" s="6" t="s">
        <v>75</v>
      </c>
    </row>
    <row r="572" spans="1:3" x14ac:dyDescent="0.25">
      <c r="A572" s="15" t="s">
        <v>455</v>
      </c>
      <c r="B572" s="6" t="s">
        <v>66</v>
      </c>
      <c r="C572" s="6" t="s">
        <v>75</v>
      </c>
    </row>
    <row r="573" spans="1:3" x14ac:dyDescent="0.25">
      <c r="A573" s="15" t="s">
        <v>456</v>
      </c>
      <c r="B573" s="6" t="s">
        <v>1007</v>
      </c>
      <c r="C573" s="6" t="s">
        <v>75</v>
      </c>
    </row>
    <row r="574" spans="1:3" x14ac:dyDescent="0.25">
      <c r="A574" s="15" t="s">
        <v>457</v>
      </c>
      <c r="B574" s="6" t="s">
        <v>70</v>
      </c>
      <c r="C574" s="6" t="s">
        <v>75</v>
      </c>
    </row>
    <row r="575" spans="1:3" x14ac:dyDescent="0.25">
      <c r="A575" s="15" t="s">
        <v>458</v>
      </c>
      <c r="B575" s="6" t="s">
        <v>1003</v>
      </c>
      <c r="C575" s="6" t="s">
        <v>75</v>
      </c>
    </row>
    <row r="576" spans="1:3" x14ac:dyDescent="0.25">
      <c r="A576" s="15" t="s">
        <v>459</v>
      </c>
      <c r="B576" s="6" t="s">
        <v>1008</v>
      </c>
      <c r="C576" s="6" t="s">
        <v>75</v>
      </c>
    </row>
    <row r="577" spans="1:3" x14ac:dyDescent="0.25">
      <c r="A577" s="15" t="s">
        <v>460</v>
      </c>
      <c r="B577" s="6" t="s">
        <v>1006</v>
      </c>
      <c r="C577" s="6" t="s">
        <v>75</v>
      </c>
    </row>
    <row r="578" spans="1:3" x14ac:dyDescent="0.25">
      <c r="A578" s="15" t="s">
        <v>461</v>
      </c>
      <c r="B578" s="6" t="s">
        <v>1003</v>
      </c>
      <c r="C578" s="6" t="s">
        <v>75</v>
      </c>
    </row>
    <row r="579" spans="1:3" x14ac:dyDescent="0.25">
      <c r="A579" s="15" t="s">
        <v>462</v>
      </c>
      <c r="B579" s="6" t="s">
        <v>1018</v>
      </c>
      <c r="C579" s="6" t="s">
        <v>75</v>
      </c>
    </row>
    <row r="580" spans="1:3" x14ac:dyDescent="0.25">
      <c r="A580" s="15" t="s">
        <v>463</v>
      </c>
      <c r="B580" s="6" t="s">
        <v>1005</v>
      </c>
      <c r="C580" s="6" t="s">
        <v>75</v>
      </c>
    </row>
    <row r="581" spans="1:3" x14ac:dyDescent="0.25">
      <c r="A581" s="15" t="s">
        <v>464</v>
      </c>
      <c r="B581" s="6" t="s">
        <v>1004</v>
      </c>
      <c r="C581" s="6" t="s">
        <v>75</v>
      </c>
    </row>
    <row r="582" spans="1:3" x14ac:dyDescent="0.25">
      <c r="A582" s="15" t="s">
        <v>465</v>
      </c>
      <c r="B582" s="6" t="s">
        <v>1019</v>
      </c>
      <c r="C582" s="6" t="s">
        <v>75</v>
      </c>
    </row>
    <row r="583" spans="1:3" x14ac:dyDescent="0.25">
      <c r="A583" s="15" t="s">
        <v>466</v>
      </c>
      <c r="B583" s="6" t="s">
        <v>1011</v>
      </c>
      <c r="C583" s="6" t="s">
        <v>75</v>
      </c>
    </row>
    <row r="584" spans="1:3" x14ac:dyDescent="0.25">
      <c r="A584" s="15" t="s">
        <v>467</v>
      </c>
      <c r="B584" s="6" t="s">
        <v>1020</v>
      </c>
      <c r="C584" s="6" t="s">
        <v>75</v>
      </c>
    </row>
    <row r="585" spans="1:3" x14ac:dyDescent="0.25">
      <c r="A585" s="15" t="s">
        <v>468</v>
      </c>
      <c r="B585" s="6" t="s">
        <v>1009</v>
      </c>
      <c r="C585" s="6" t="s">
        <v>75</v>
      </c>
    </row>
    <row r="586" spans="1:3" x14ac:dyDescent="0.25">
      <c r="A586" s="15" t="s">
        <v>469</v>
      </c>
      <c r="B586" s="6" t="s">
        <v>1012</v>
      </c>
      <c r="C586" s="6" t="s">
        <v>75</v>
      </c>
    </row>
    <row r="587" spans="1:3" x14ac:dyDescent="0.25">
      <c r="A587" s="15" t="s">
        <v>470</v>
      </c>
      <c r="B587" s="6" t="s">
        <v>70</v>
      </c>
      <c r="C587" s="6" t="s">
        <v>75</v>
      </c>
    </row>
    <row r="588" spans="1:3" x14ac:dyDescent="0.25">
      <c r="A588" s="15" t="s">
        <v>471</v>
      </c>
      <c r="B588" s="6" t="s">
        <v>1005</v>
      </c>
      <c r="C588" s="6" t="s">
        <v>75</v>
      </c>
    </row>
    <row r="589" spans="1:3" x14ac:dyDescent="0.25">
      <c r="A589" s="15" t="s">
        <v>472</v>
      </c>
      <c r="B589" s="6" t="s">
        <v>1013</v>
      </c>
      <c r="C589" s="6" t="s">
        <v>75</v>
      </c>
    </row>
    <row r="590" spans="1:3" x14ac:dyDescent="0.25">
      <c r="A590" s="15" t="s">
        <v>473</v>
      </c>
      <c r="B590" s="6" t="s">
        <v>1005</v>
      </c>
      <c r="C590" s="6" t="s">
        <v>75</v>
      </c>
    </row>
    <row r="591" spans="1:3" x14ac:dyDescent="0.25">
      <c r="A591" s="15" t="s">
        <v>474</v>
      </c>
      <c r="B591" s="6" t="s">
        <v>1003</v>
      </c>
      <c r="C591" s="6" t="s">
        <v>75</v>
      </c>
    </row>
    <row r="592" spans="1:3" x14ac:dyDescent="0.25">
      <c r="A592" s="15" t="s">
        <v>475</v>
      </c>
      <c r="B592" s="6" t="s">
        <v>1005</v>
      </c>
      <c r="C592" s="6" t="s">
        <v>75</v>
      </c>
    </row>
    <row r="593" spans="1:3" x14ac:dyDescent="0.25">
      <c r="A593" s="15" t="s">
        <v>476</v>
      </c>
      <c r="B593" s="6" t="s">
        <v>1025</v>
      </c>
      <c r="C593" s="6" t="s">
        <v>75</v>
      </c>
    </row>
    <row r="594" spans="1:3" x14ac:dyDescent="0.25">
      <c r="A594" s="15" t="s">
        <v>477</v>
      </c>
      <c r="B594" s="6" t="s">
        <v>70</v>
      </c>
      <c r="C594" s="6" t="s">
        <v>75</v>
      </c>
    </row>
    <row r="595" spans="1:3" x14ac:dyDescent="0.25">
      <c r="A595" s="15" t="s">
        <v>478</v>
      </c>
      <c r="B595" s="6" t="s">
        <v>1010</v>
      </c>
      <c r="C595" s="6" t="s">
        <v>75</v>
      </c>
    </row>
    <row r="596" spans="1:3" x14ac:dyDescent="0.25">
      <c r="A596" s="15" t="s">
        <v>479</v>
      </c>
      <c r="B596" s="6" t="s">
        <v>66</v>
      </c>
      <c r="C596" s="6" t="s">
        <v>75</v>
      </c>
    </row>
    <row r="597" spans="1:3" x14ac:dyDescent="0.25">
      <c r="A597" s="15" t="s">
        <v>480</v>
      </c>
      <c r="B597" s="6" t="s">
        <v>1004</v>
      </c>
      <c r="C597" s="6" t="s">
        <v>75</v>
      </c>
    </row>
    <row r="598" spans="1:3" x14ac:dyDescent="0.25">
      <c r="A598" s="15" t="s">
        <v>481</v>
      </c>
      <c r="B598" s="6" t="s">
        <v>1006</v>
      </c>
      <c r="C598" s="6" t="s">
        <v>75</v>
      </c>
    </row>
    <row r="599" spans="1:3" x14ac:dyDescent="0.25">
      <c r="A599" s="15" t="s">
        <v>482</v>
      </c>
      <c r="B599" s="6" t="s">
        <v>1011</v>
      </c>
      <c r="C599" s="6" t="s">
        <v>75</v>
      </c>
    </row>
    <row r="600" spans="1:3" x14ac:dyDescent="0.25">
      <c r="A600" s="15" t="s">
        <v>483</v>
      </c>
      <c r="B600" s="6" t="s">
        <v>1022</v>
      </c>
      <c r="C600" s="6" t="s">
        <v>75</v>
      </c>
    </row>
    <row r="601" spans="1:3" x14ac:dyDescent="0.25">
      <c r="A601" s="15" t="s">
        <v>484</v>
      </c>
      <c r="B601" s="6" t="s">
        <v>1006</v>
      </c>
      <c r="C601" s="6" t="s">
        <v>75</v>
      </c>
    </row>
    <row r="602" spans="1:3" x14ac:dyDescent="0.25">
      <c r="A602" s="15" t="s">
        <v>485</v>
      </c>
      <c r="B602" s="6" t="s">
        <v>1007</v>
      </c>
      <c r="C602" s="6" t="s">
        <v>75</v>
      </c>
    </row>
    <row r="603" spans="1:3" x14ac:dyDescent="0.25">
      <c r="A603" s="15" t="s">
        <v>486</v>
      </c>
      <c r="B603" s="6" t="s">
        <v>1019</v>
      </c>
      <c r="C603" s="6" t="s">
        <v>75</v>
      </c>
    </row>
    <row r="604" spans="1:3" x14ac:dyDescent="0.25">
      <c r="A604" s="15" t="s">
        <v>487</v>
      </c>
      <c r="B604" s="6" t="s">
        <v>1004</v>
      </c>
      <c r="C604" s="6" t="s">
        <v>75</v>
      </c>
    </row>
    <row r="605" spans="1:3" x14ac:dyDescent="0.25">
      <c r="A605" s="15" t="s">
        <v>488</v>
      </c>
      <c r="B605" s="6" t="s">
        <v>1019</v>
      </c>
      <c r="C605" s="6" t="s">
        <v>75</v>
      </c>
    </row>
    <row r="606" spans="1:3" x14ac:dyDescent="0.25">
      <c r="A606" s="15" t="s">
        <v>489</v>
      </c>
      <c r="B606" s="6" t="s">
        <v>70</v>
      </c>
      <c r="C606" s="6" t="s">
        <v>75</v>
      </c>
    </row>
    <row r="607" spans="1:3" x14ac:dyDescent="0.25">
      <c r="A607" s="15" t="s">
        <v>490</v>
      </c>
      <c r="B607" s="6" t="s">
        <v>1004</v>
      </c>
      <c r="C607" s="6" t="s">
        <v>75</v>
      </c>
    </row>
    <row r="608" spans="1:3" x14ac:dyDescent="0.25">
      <c r="A608" s="15" t="s">
        <v>491</v>
      </c>
      <c r="B608" s="6" t="s">
        <v>70</v>
      </c>
      <c r="C608" s="6" t="s">
        <v>75</v>
      </c>
    </row>
    <row r="609" spans="1:3" x14ac:dyDescent="0.25">
      <c r="A609" s="15" t="s">
        <v>492</v>
      </c>
      <c r="B609" s="6" t="s">
        <v>66</v>
      </c>
      <c r="C609" s="6" t="s">
        <v>75</v>
      </c>
    </row>
    <row r="610" spans="1:3" x14ac:dyDescent="0.25">
      <c r="A610" s="15" t="s">
        <v>493</v>
      </c>
      <c r="B610" s="6" t="s">
        <v>70</v>
      </c>
      <c r="C610" s="6" t="s">
        <v>75</v>
      </c>
    </row>
    <row r="611" spans="1:3" x14ac:dyDescent="0.25">
      <c r="A611" s="15" t="s">
        <v>494</v>
      </c>
      <c r="B611" s="6" t="s">
        <v>1012</v>
      </c>
      <c r="C611" s="6" t="s">
        <v>75</v>
      </c>
    </row>
    <row r="612" spans="1:3" x14ac:dyDescent="0.25">
      <c r="A612" s="15" t="s">
        <v>495</v>
      </c>
      <c r="B612" s="6" t="s">
        <v>1003</v>
      </c>
      <c r="C612" s="6" t="s">
        <v>75</v>
      </c>
    </row>
    <row r="613" spans="1:3" x14ac:dyDescent="0.25">
      <c r="A613" s="15" t="s">
        <v>496</v>
      </c>
      <c r="B613" s="6" t="s">
        <v>1004</v>
      </c>
      <c r="C613" s="6" t="s">
        <v>75</v>
      </c>
    </row>
    <row r="614" spans="1:3" x14ac:dyDescent="0.25">
      <c r="A614" s="15" t="s">
        <v>497</v>
      </c>
      <c r="B614" s="6" t="s">
        <v>70</v>
      </c>
      <c r="C614" s="6" t="s">
        <v>75</v>
      </c>
    </row>
    <row r="615" spans="1:3" x14ac:dyDescent="0.25">
      <c r="A615" s="15" t="s">
        <v>498</v>
      </c>
      <c r="B615" s="6" t="s">
        <v>1005</v>
      </c>
      <c r="C615" s="6" t="s">
        <v>75</v>
      </c>
    </row>
    <row r="616" spans="1:3" x14ac:dyDescent="0.25">
      <c r="A616" s="15" t="s">
        <v>499</v>
      </c>
      <c r="B616" s="6" t="s">
        <v>66</v>
      </c>
      <c r="C616" s="6" t="s">
        <v>75</v>
      </c>
    </row>
    <row r="617" spans="1:3" x14ac:dyDescent="0.25">
      <c r="A617" s="15" t="s">
        <v>500</v>
      </c>
      <c r="B617" s="6" t="s">
        <v>1014</v>
      </c>
      <c r="C617" s="6" t="s">
        <v>75</v>
      </c>
    </row>
    <row r="618" spans="1:3" x14ac:dyDescent="0.25">
      <c r="A618" s="15" t="s">
        <v>501</v>
      </c>
      <c r="B618" s="6" t="s">
        <v>1013</v>
      </c>
      <c r="C618" s="6" t="s">
        <v>75</v>
      </c>
    </row>
    <row r="619" spans="1:3" x14ac:dyDescent="0.25">
      <c r="A619" s="15" t="s">
        <v>502</v>
      </c>
      <c r="B619" s="6" t="s">
        <v>1004</v>
      </c>
      <c r="C619" s="6" t="s">
        <v>75</v>
      </c>
    </row>
    <row r="620" spans="1:3" x14ac:dyDescent="0.25">
      <c r="A620" s="15" t="s">
        <v>503</v>
      </c>
      <c r="B620" s="6" t="s">
        <v>66</v>
      </c>
      <c r="C620" s="6" t="s">
        <v>75</v>
      </c>
    </row>
    <row r="621" spans="1:3" x14ac:dyDescent="0.25">
      <c r="A621" s="15" t="s">
        <v>504</v>
      </c>
      <c r="B621" s="6" t="s">
        <v>1024</v>
      </c>
      <c r="C621" s="6" t="s">
        <v>75</v>
      </c>
    </row>
    <row r="622" spans="1:3" x14ac:dyDescent="0.25">
      <c r="A622" s="15" t="s">
        <v>505</v>
      </c>
      <c r="B622" s="6" t="s">
        <v>1017</v>
      </c>
      <c r="C622" s="6" t="s">
        <v>75</v>
      </c>
    </row>
    <row r="623" spans="1:3" x14ac:dyDescent="0.25">
      <c r="A623" s="15" t="s">
        <v>506</v>
      </c>
      <c r="B623" s="6" t="s">
        <v>66</v>
      </c>
      <c r="C623" s="6" t="s">
        <v>75</v>
      </c>
    </row>
    <row r="624" spans="1:3" x14ac:dyDescent="0.25">
      <c r="A624" s="15" t="s">
        <v>507</v>
      </c>
      <c r="B624" s="6" t="s">
        <v>1012</v>
      </c>
      <c r="C624" s="6" t="s">
        <v>75</v>
      </c>
    </row>
    <row r="625" spans="1:3" x14ac:dyDescent="0.25">
      <c r="A625" s="15" t="s">
        <v>508</v>
      </c>
      <c r="B625" s="6" t="s">
        <v>1004</v>
      </c>
      <c r="C625" s="6" t="s">
        <v>75</v>
      </c>
    </row>
    <row r="626" spans="1:3" x14ac:dyDescent="0.25">
      <c r="A626" s="15" t="s">
        <v>509</v>
      </c>
      <c r="B626" s="6" t="s">
        <v>1012</v>
      </c>
      <c r="C626" s="6" t="s">
        <v>75</v>
      </c>
    </row>
    <row r="627" spans="1:3" x14ac:dyDescent="0.25">
      <c r="A627" s="15" t="s">
        <v>510</v>
      </c>
      <c r="B627" s="6" t="s">
        <v>1004</v>
      </c>
      <c r="C627" s="6" t="s">
        <v>75</v>
      </c>
    </row>
    <row r="628" spans="1:3" x14ac:dyDescent="0.25">
      <c r="A628" s="15" t="s">
        <v>511</v>
      </c>
      <c r="B628" s="6" t="s">
        <v>1007</v>
      </c>
      <c r="C628" s="6" t="s">
        <v>75</v>
      </c>
    </row>
    <row r="629" spans="1:3" x14ac:dyDescent="0.25">
      <c r="A629" s="15" t="s">
        <v>512</v>
      </c>
      <c r="B629" s="6" t="s">
        <v>1004</v>
      </c>
      <c r="C629" s="6" t="s">
        <v>75</v>
      </c>
    </row>
    <row r="630" spans="1:3" x14ac:dyDescent="0.25">
      <c r="A630" s="15" t="s">
        <v>513</v>
      </c>
      <c r="B630" s="6" t="s">
        <v>66</v>
      </c>
      <c r="C630" s="6" t="s">
        <v>75</v>
      </c>
    </row>
    <row r="631" spans="1:3" x14ac:dyDescent="0.25">
      <c r="A631" s="15" t="s">
        <v>514</v>
      </c>
      <c r="B631" s="6" t="s">
        <v>70</v>
      </c>
      <c r="C631" s="6" t="s">
        <v>75</v>
      </c>
    </row>
    <row r="632" spans="1:3" x14ac:dyDescent="0.25">
      <c r="A632" s="15" t="s">
        <v>515</v>
      </c>
      <c r="B632" s="6" t="s">
        <v>1005</v>
      </c>
      <c r="C632" s="6" t="s">
        <v>75</v>
      </c>
    </row>
    <row r="633" spans="1:3" x14ac:dyDescent="0.25">
      <c r="A633" s="15" t="s">
        <v>516</v>
      </c>
      <c r="B633" s="6" t="s">
        <v>66</v>
      </c>
      <c r="C633" s="6" t="s">
        <v>75</v>
      </c>
    </row>
    <row r="634" spans="1:3" x14ac:dyDescent="0.25">
      <c r="A634" s="15" t="s">
        <v>517</v>
      </c>
      <c r="B634" s="6" t="s">
        <v>1006</v>
      </c>
      <c r="C634" s="6" t="s">
        <v>75</v>
      </c>
    </row>
    <row r="635" spans="1:3" x14ac:dyDescent="0.25">
      <c r="A635" s="15" t="s">
        <v>518</v>
      </c>
      <c r="B635" s="6" t="s">
        <v>1003</v>
      </c>
      <c r="C635" s="6" t="s">
        <v>75</v>
      </c>
    </row>
    <row r="636" spans="1:3" x14ac:dyDescent="0.25">
      <c r="A636" s="15" t="s">
        <v>519</v>
      </c>
      <c r="B636" s="6" t="s">
        <v>1004</v>
      </c>
      <c r="C636" s="6" t="s">
        <v>75</v>
      </c>
    </row>
    <row r="637" spans="1:3" x14ac:dyDescent="0.25">
      <c r="A637" s="15" t="s">
        <v>520</v>
      </c>
      <c r="B637" s="6" t="s">
        <v>1005</v>
      </c>
      <c r="C637" s="6" t="s">
        <v>75</v>
      </c>
    </row>
    <row r="638" spans="1:3" x14ac:dyDescent="0.25">
      <c r="A638" s="15" t="s">
        <v>521</v>
      </c>
      <c r="B638" s="6" t="s">
        <v>1009</v>
      </c>
      <c r="C638" s="6" t="s">
        <v>75</v>
      </c>
    </row>
    <row r="639" spans="1:3" x14ac:dyDescent="0.25">
      <c r="A639" s="15" t="s">
        <v>522</v>
      </c>
      <c r="B639" s="6" t="s">
        <v>1007</v>
      </c>
      <c r="C639" s="6" t="s">
        <v>75</v>
      </c>
    </row>
    <row r="640" spans="1:3" x14ac:dyDescent="0.25">
      <c r="A640" s="15" t="s">
        <v>523</v>
      </c>
      <c r="B640" s="6" t="s">
        <v>1008</v>
      </c>
      <c r="C640" s="6" t="s">
        <v>75</v>
      </c>
    </row>
    <row r="641" spans="1:3" x14ac:dyDescent="0.25">
      <c r="A641" s="15" t="s">
        <v>524</v>
      </c>
      <c r="B641" s="6" t="s">
        <v>1006</v>
      </c>
      <c r="C641" s="6" t="s">
        <v>75</v>
      </c>
    </row>
    <row r="642" spans="1:3" x14ac:dyDescent="0.25">
      <c r="A642" s="15" t="s">
        <v>525</v>
      </c>
      <c r="B642" s="6" t="s">
        <v>70</v>
      </c>
      <c r="C642" s="6" t="s">
        <v>75</v>
      </c>
    </row>
    <row r="643" spans="1:3" x14ac:dyDescent="0.25">
      <c r="A643" s="15" t="s">
        <v>526</v>
      </c>
      <c r="B643" s="6" t="s">
        <v>1007</v>
      </c>
      <c r="C643" s="6" t="s">
        <v>75</v>
      </c>
    </row>
    <row r="644" spans="1:3" x14ac:dyDescent="0.25">
      <c r="A644" s="15" t="s">
        <v>527</v>
      </c>
      <c r="B644" s="6" t="s">
        <v>1004</v>
      </c>
      <c r="C644" s="6" t="s">
        <v>75</v>
      </c>
    </row>
    <row r="645" spans="1:3" x14ac:dyDescent="0.25">
      <c r="A645" s="15" t="s">
        <v>528</v>
      </c>
      <c r="B645" s="6" t="s">
        <v>1011</v>
      </c>
      <c r="C645" s="6" t="s">
        <v>75</v>
      </c>
    </row>
    <row r="646" spans="1:3" x14ac:dyDescent="0.25">
      <c r="A646" s="15" t="s">
        <v>529</v>
      </c>
      <c r="B646" s="6" t="s">
        <v>1005</v>
      </c>
      <c r="C646" s="6" t="s">
        <v>75</v>
      </c>
    </row>
    <row r="647" spans="1:3" x14ac:dyDescent="0.25">
      <c r="A647" s="15" t="s">
        <v>530</v>
      </c>
      <c r="B647" s="6" t="s">
        <v>1019</v>
      </c>
      <c r="C647" s="6" t="s">
        <v>75</v>
      </c>
    </row>
    <row r="648" spans="1:3" x14ac:dyDescent="0.25">
      <c r="A648" s="15" t="s">
        <v>531</v>
      </c>
      <c r="B648" s="6" t="s">
        <v>1025</v>
      </c>
      <c r="C648" s="6" t="s">
        <v>75</v>
      </c>
    </row>
    <row r="649" spans="1:3" x14ac:dyDescent="0.25">
      <c r="A649" s="15" t="s">
        <v>532</v>
      </c>
      <c r="B649" s="6" t="s">
        <v>1019</v>
      </c>
      <c r="C649" s="6" t="s">
        <v>75</v>
      </c>
    </row>
    <row r="650" spans="1:3" x14ac:dyDescent="0.25">
      <c r="A650" s="15" t="s">
        <v>533</v>
      </c>
      <c r="B650" s="6" t="s">
        <v>1015</v>
      </c>
      <c r="C650" s="6" t="s">
        <v>75</v>
      </c>
    </row>
    <row r="651" spans="1:3" x14ac:dyDescent="0.25">
      <c r="A651" s="15" t="s">
        <v>534</v>
      </c>
      <c r="B651" s="6" t="s">
        <v>1003</v>
      </c>
      <c r="C651" s="6" t="s">
        <v>75</v>
      </c>
    </row>
    <row r="652" spans="1:3" x14ac:dyDescent="0.25">
      <c r="A652" s="15" t="s">
        <v>535</v>
      </c>
      <c r="B652" s="6" t="s">
        <v>66</v>
      </c>
      <c r="C652" s="6" t="s">
        <v>75</v>
      </c>
    </row>
    <row r="653" spans="1:3" x14ac:dyDescent="0.25">
      <c r="A653" s="15" t="s">
        <v>536</v>
      </c>
      <c r="B653" s="6" t="s">
        <v>1010</v>
      </c>
      <c r="C653" s="6" t="s">
        <v>75</v>
      </c>
    </row>
    <row r="654" spans="1:3" x14ac:dyDescent="0.25">
      <c r="A654" s="15" t="s">
        <v>537</v>
      </c>
      <c r="B654" s="6" t="s">
        <v>66</v>
      </c>
      <c r="C654" s="6" t="s">
        <v>75</v>
      </c>
    </row>
    <row r="655" spans="1:3" x14ac:dyDescent="0.25">
      <c r="A655" s="15" t="s">
        <v>538</v>
      </c>
      <c r="B655" s="6" t="s">
        <v>1016</v>
      </c>
      <c r="C655" s="6" t="s">
        <v>75</v>
      </c>
    </row>
    <row r="656" spans="1:3" x14ac:dyDescent="0.25">
      <c r="A656" s="15" t="s">
        <v>539</v>
      </c>
      <c r="B656" s="6" t="s">
        <v>1011</v>
      </c>
      <c r="C656" s="6" t="s">
        <v>75</v>
      </c>
    </row>
    <row r="657" spans="1:3" x14ac:dyDescent="0.25">
      <c r="A657" s="15" t="s">
        <v>540</v>
      </c>
      <c r="B657" s="6" t="s">
        <v>1006</v>
      </c>
      <c r="C657" s="6" t="s">
        <v>75</v>
      </c>
    </row>
    <row r="658" spans="1:3" x14ac:dyDescent="0.25">
      <c r="A658" s="15" t="s">
        <v>541</v>
      </c>
      <c r="B658" s="6" t="s">
        <v>1025</v>
      </c>
      <c r="C658" s="6" t="s">
        <v>75</v>
      </c>
    </row>
    <row r="659" spans="1:3" x14ac:dyDescent="0.25">
      <c r="A659" s="15" t="s">
        <v>542</v>
      </c>
      <c r="B659" s="6" t="s">
        <v>1016</v>
      </c>
      <c r="C659" s="6" t="s">
        <v>75</v>
      </c>
    </row>
    <row r="660" spans="1:3" x14ac:dyDescent="0.25">
      <c r="A660" s="15" t="s">
        <v>543</v>
      </c>
      <c r="B660" s="6" t="s">
        <v>1009</v>
      </c>
      <c r="C660" s="6" t="s">
        <v>75</v>
      </c>
    </row>
    <row r="661" spans="1:3" x14ac:dyDescent="0.25">
      <c r="A661" s="15" t="s">
        <v>544</v>
      </c>
      <c r="B661" s="6" t="s">
        <v>1005</v>
      </c>
      <c r="C661" s="6" t="s">
        <v>75</v>
      </c>
    </row>
    <row r="662" spans="1:3" x14ac:dyDescent="0.25">
      <c r="A662" s="15" t="s">
        <v>545</v>
      </c>
      <c r="B662" s="6" t="s">
        <v>1009</v>
      </c>
      <c r="C662" s="6" t="s">
        <v>75</v>
      </c>
    </row>
    <row r="663" spans="1:3" x14ac:dyDescent="0.25">
      <c r="A663" s="15" t="s">
        <v>546</v>
      </c>
      <c r="B663" s="6" t="s">
        <v>1003</v>
      </c>
      <c r="C663" s="6" t="s">
        <v>75</v>
      </c>
    </row>
    <row r="664" spans="1:3" x14ac:dyDescent="0.25">
      <c r="A664" s="15" t="s">
        <v>547</v>
      </c>
      <c r="B664" s="6" t="s">
        <v>1025</v>
      </c>
      <c r="C664" s="6" t="s">
        <v>75</v>
      </c>
    </row>
    <row r="665" spans="1:3" x14ac:dyDescent="0.25">
      <c r="A665" s="15" t="s">
        <v>548</v>
      </c>
      <c r="B665" s="6" t="s">
        <v>1009</v>
      </c>
      <c r="C665" s="6" t="s">
        <v>75</v>
      </c>
    </row>
    <row r="666" spans="1:3" x14ac:dyDescent="0.25">
      <c r="A666" s="15" t="s">
        <v>549</v>
      </c>
      <c r="B666" s="6" t="s">
        <v>1010</v>
      </c>
      <c r="C666" s="6" t="s">
        <v>75</v>
      </c>
    </row>
    <row r="667" spans="1:3" x14ac:dyDescent="0.25">
      <c r="A667" s="15" t="s">
        <v>550</v>
      </c>
      <c r="B667" s="6" t="s">
        <v>70</v>
      </c>
      <c r="C667" s="6" t="s">
        <v>75</v>
      </c>
    </row>
    <row r="668" spans="1:3" x14ac:dyDescent="0.25">
      <c r="A668" s="15" t="s">
        <v>551</v>
      </c>
      <c r="B668" s="6" t="s">
        <v>1009</v>
      </c>
      <c r="C668" s="6" t="s">
        <v>75</v>
      </c>
    </row>
    <row r="669" spans="1:3" x14ac:dyDescent="0.25">
      <c r="A669" s="15" t="s">
        <v>552</v>
      </c>
      <c r="B669" s="6" t="s">
        <v>1004</v>
      </c>
      <c r="C669" s="6" t="s">
        <v>75</v>
      </c>
    </row>
    <row r="670" spans="1:3" x14ac:dyDescent="0.25">
      <c r="A670" s="15" t="s">
        <v>553</v>
      </c>
      <c r="B670" s="6" t="s">
        <v>70</v>
      </c>
      <c r="C670" s="6" t="s">
        <v>75</v>
      </c>
    </row>
    <row r="671" spans="1:3" x14ac:dyDescent="0.25">
      <c r="A671" s="15" t="s">
        <v>554</v>
      </c>
      <c r="B671" s="6" t="s">
        <v>1009</v>
      </c>
      <c r="C671" s="6" t="s">
        <v>75</v>
      </c>
    </row>
    <row r="672" spans="1:3" x14ac:dyDescent="0.25">
      <c r="A672" s="15" t="s">
        <v>555</v>
      </c>
      <c r="B672" s="6" t="s">
        <v>1025</v>
      </c>
      <c r="C672" s="6" t="s">
        <v>75</v>
      </c>
    </row>
    <row r="673" spans="1:3" x14ac:dyDescent="0.25">
      <c r="A673" s="15" t="s">
        <v>556</v>
      </c>
      <c r="B673" s="6" t="s">
        <v>70</v>
      </c>
      <c r="C673" s="6" t="s">
        <v>75</v>
      </c>
    </row>
    <row r="674" spans="1:3" x14ac:dyDescent="0.25">
      <c r="A674" s="15" t="s">
        <v>557</v>
      </c>
      <c r="B674" s="6" t="s">
        <v>1010</v>
      </c>
      <c r="C674" s="6" t="s">
        <v>75</v>
      </c>
    </row>
    <row r="675" spans="1:3" x14ac:dyDescent="0.25">
      <c r="A675" s="15" t="s">
        <v>558</v>
      </c>
      <c r="B675" s="6" t="s">
        <v>1010</v>
      </c>
      <c r="C675" s="6" t="s">
        <v>75</v>
      </c>
    </row>
    <row r="676" spans="1:3" x14ac:dyDescent="0.25">
      <c r="A676" s="15" t="s">
        <v>559</v>
      </c>
      <c r="B676" s="6" t="s">
        <v>1005</v>
      </c>
      <c r="C676" s="6" t="s">
        <v>75</v>
      </c>
    </row>
    <row r="677" spans="1:3" x14ac:dyDescent="0.25">
      <c r="A677" s="15" t="s">
        <v>560</v>
      </c>
      <c r="B677" s="6" t="s">
        <v>1009</v>
      </c>
      <c r="C677" s="6" t="s">
        <v>75</v>
      </c>
    </row>
    <row r="678" spans="1:3" x14ac:dyDescent="0.25">
      <c r="A678" s="15" t="s">
        <v>561</v>
      </c>
      <c r="B678" s="6" t="s">
        <v>1016</v>
      </c>
      <c r="C678" s="6" t="s">
        <v>75</v>
      </c>
    </row>
    <row r="679" spans="1:3" x14ac:dyDescent="0.25">
      <c r="A679" s="15" t="s">
        <v>562</v>
      </c>
      <c r="B679" s="6" t="s">
        <v>1009</v>
      </c>
      <c r="C679" s="6" t="s">
        <v>75</v>
      </c>
    </row>
    <row r="680" spans="1:3" x14ac:dyDescent="0.25">
      <c r="A680" s="15" t="s">
        <v>563</v>
      </c>
      <c r="B680" s="6" t="s">
        <v>70</v>
      </c>
      <c r="C680" s="6" t="s">
        <v>75</v>
      </c>
    </row>
    <row r="681" spans="1:3" x14ac:dyDescent="0.25">
      <c r="A681" s="15" t="s">
        <v>564</v>
      </c>
      <c r="B681" s="6" t="s">
        <v>1008</v>
      </c>
      <c r="C681" s="6" t="s">
        <v>75</v>
      </c>
    </row>
    <row r="682" spans="1:3" x14ac:dyDescent="0.25">
      <c r="A682" s="15" t="s">
        <v>565</v>
      </c>
      <c r="B682" s="6" t="s">
        <v>70</v>
      </c>
      <c r="C682" s="6" t="s">
        <v>75</v>
      </c>
    </row>
    <row r="683" spans="1:3" x14ac:dyDescent="0.25">
      <c r="A683" s="15" t="s">
        <v>566</v>
      </c>
      <c r="B683" s="6" t="s">
        <v>1005</v>
      </c>
      <c r="C683" s="6" t="s">
        <v>75</v>
      </c>
    </row>
    <row r="684" spans="1:3" x14ac:dyDescent="0.25">
      <c r="A684" s="15" t="s">
        <v>567</v>
      </c>
      <c r="B684" s="6" t="s">
        <v>1006</v>
      </c>
      <c r="C684" s="6" t="s">
        <v>75</v>
      </c>
    </row>
    <row r="685" spans="1:3" x14ac:dyDescent="0.25">
      <c r="A685" s="15" t="s">
        <v>568</v>
      </c>
      <c r="B685" s="6" t="s">
        <v>1009</v>
      </c>
      <c r="C685" s="6" t="s">
        <v>75</v>
      </c>
    </row>
    <row r="686" spans="1:3" x14ac:dyDescent="0.25">
      <c r="A686" s="15" t="s">
        <v>569</v>
      </c>
      <c r="B686" s="6" t="s">
        <v>1009</v>
      </c>
      <c r="C686" s="6" t="s">
        <v>75</v>
      </c>
    </row>
    <row r="687" spans="1:3" x14ac:dyDescent="0.25">
      <c r="A687" s="15" t="s">
        <v>570</v>
      </c>
      <c r="B687" s="6" t="s">
        <v>1010</v>
      </c>
      <c r="C687" s="6" t="s">
        <v>75</v>
      </c>
    </row>
    <row r="688" spans="1:3" x14ac:dyDescent="0.25">
      <c r="A688" s="15" t="s">
        <v>571</v>
      </c>
      <c r="B688" s="6" t="s">
        <v>1006</v>
      </c>
      <c r="C688" s="6" t="s">
        <v>75</v>
      </c>
    </row>
    <row r="689" spans="1:3" x14ac:dyDescent="0.25">
      <c r="A689" s="15" t="s">
        <v>572</v>
      </c>
      <c r="B689" s="6" t="s">
        <v>1007</v>
      </c>
      <c r="C689" s="6" t="s">
        <v>75</v>
      </c>
    </row>
    <row r="690" spans="1:3" x14ac:dyDescent="0.25">
      <c r="A690" s="15" t="s">
        <v>573</v>
      </c>
      <c r="B690" s="6" t="s">
        <v>1016</v>
      </c>
      <c r="C690" s="6" t="s">
        <v>75</v>
      </c>
    </row>
    <row r="691" spans="1:3" x14ac:dyDescent="0.25">
      <c r="A691" s="15" t="s">
        <v>574</v>
      </c>
      <c r="B691" s="6" t="s">
        <v>1014</v>
      </c>
      <c r="C691" s="6" t="s">
        <v>75</v>
      </c>
    </row>
    <row r="692" spans="1:3" x14ac:dyDescent="0.25">
      <c r="A692" s="15" t="s">
        <v>575</v>
      </c>
      <c r="B692" s="6" t="s">
        <v>1011</v>
      </c>
      <c r="C692" s="6" t="s">
        <v>75</v>
      </c>
    </row>
    <row r="693" spans="1:3" x14ac:dyDescent="0.25">
      <c r="A693" s="15" t="s">
        <v>576</v>
      </c>
      <c r="B693" s="6" t="s">
        <v>1005</v>
      </c>
      <c r="C693" s="6" t="s">
        <v>75</v>
      </c>
    </row>
    <row r="694" spans="1:3" x14ac:dyDescent="0.25">
      <c r="A694" s="15" t="s">
        <v>577</v>
      </c>
      <c r="B694" s="6" t="s">
        <v>1012</v>
      </c>
      <c r="C694" s="6" t="s">
        <v>75</v>
      </c>
    </row>
    <row r="695" spans="1:3" x14ac:dyDescent="0.25">
      <c r="A695" s="15" t="s">
        <v>578</v>
      </c>
      <c r="B695" s="6" t="s">
        <v>1010</v>
      </c>
      <c r="C695" s="6" t="s">
        <v>75</v>
      </c>
    </row>
    <row r="696" spans="1:3" x14ac:dyDescent="0.25">
      <c r="A696" s="15" t="s">
        <v>579</v>
      </c>
      <c r="B696" s="6" t="s">
        <v>1007</v>
      </c>
      <c r="C696" s="6" t="s">
        <v>75</v>
      </c>
    </row>
    <row r="697" spans="1:3" x14ac:dyDescent="0.25">
      <c r="A697" s="15" t="s">
        <v>580</v>
      </c>
      <c r="B697" s="6" t="s">
        <v>1005</v>
      </c>
      <c r="C697" s="6" t="s">
        <v>75</v>
      </c>
    </row>
    <row r="698" spans="1:3" x14ac:dyDescent="0.25">
      <c r="A698" s="15" t="s">
        <v>581</v>
      </c>
      <c r="B698" s="6" t="s">
        <v>1003</v>
      </c>
      <c r="C698" s="6" t="s">
        <v>75</v>
      </c>
    </row>
    <row r="699" spans="1:3" x14ac:dyDescent="0.25">
      <c r="A699" s="15" t="s">
        <v>582</v>
      </c>
      <c r="B699" s="6" t="s">
        <v>1003</v>
      </c>
      <c r="C699" s="6" t="s">
        <v>75</v>
      </c>
    </row>
    <row r="700" spans="1:3" x14ac:dyDescent="0.25">
      <c r="A700" s="15" t="s">
        <v>583</v>
      </c>
      <c r="B700" s="6" t="s">
        <v>1003</v>
      </c>
      <c r="C700" s="6" t="s">
        <v>75</v>
      </c>
    </row>
    <row r="701" spans="1:3" x14ac:dyDescent="0.25">
      <c r="A701" s="15" t="s">
        <v>584</v>
      </c>
      <c r="B701" s="6" t="s">
        <v>1003</v>
      </c>
      <c r="C701" s="6" t="s">
        <v>75</v>
      </c>
    </row>
    <row r="702" spans="1:3" x14ac:dyDescent="0.25">
      <c r="A702" s="15" t="s">
        <v>585</v>
      </c>
      <c r="B702" s="6" t="s">
        <v>66</v>
      </c>
      <c r="C702" s="6" t="s">
        <v>75</v>
      </c>
    </row>
    <row r="703" spans="1:3" x14ac:dyDescent="0.25">
      <c r="A703" s="15" t="s">
        <v>586</v>
      </c>
      <c r="B703" s="6" t="s">
        <v>66</v>
      </c>
      <c r="C703" s="6" t="s">
        <v>75</v>
      </c>
    </row>
    <row r="704" spans="1:3" x14ac:dyDescent="0.25">
      <c r="A704" s="15" t="s">
        <v>587</v>
      </c>
      <c r="B704" s="6" t="s">
        <v>1003</v>
      </c>
      <c r="C704" s="6" t="s">
        <v>75</v>
      </c>
    </row>
    <row r="705" spans="1:3" x14ac:dyDescent="0.25">
      <c r="A705" s="15" t="s">
        <v>588</v>
      </c>
      <c r="B705" s="6" t="s">
        <v>66</v>
      </c>
      <c r="C705" s="6" t="s">
        <v>75</v>
      </c>
    </row>
    <row r="706" spans="1:3" x14ac:dyDescent="0.25">
      <c r="A706" s="15" t="s">
        <v>589</v>
      </c>
      <c r="B706" s="6" t="s">
        <v>66</v>
      </c>
      <c r="C706" s="6" t="s">
        <v>75</v>
      </c>
    </row>
    <row r="707" spans="1:3" x14ac:dyDescent="0.25">
      <c r="A707" s="15" t="s">
        <v>590</v>
      </c>
      <c r="B707" s="6" t="s">
        <v>1003</v>
      </c>
      <c r="C707" s="6" t="s">
        <v>75</v>
      </c>
    </row>
    <row r="708" spans="1:3" x14ac:dyDescent="0.25">
      <c r="A708" s="15" t="s">
        <v>591</v>
      </c>
      <c r="B708" s="6" t="s">
        <v>66</v>
      </c>
      <c r="C708" s="6" t="s">
        <v>75</v>
      </c>
    </row>
    <row r="709" spans="1:3" x14ac:dyDescent="0.25">
      <c r="A709" s="15" t="s">
        <v>592</v>
      </c>
      <c r="B709" s="6" t="s">
        <v>1004</v>
      </c>
      <c r="C709" s="6" t="s">
        <v>75</v>
      </c>
    </row>
    <row r="710" spans="1:3" x14ac:dyDescent="0.25">
      <c r="A710" s="15" t="s">
        <v>593</v>
      </c>
      <c r="B710" s="6" t="s">
        <v>66</v>
      </c>
      <c r="C710" s="6" t="s">
        <v>75</v>
      </c>
    </row>
    <row r="711" spans="1:3" x14ac:dyDescent="0.25">
      <c r="A711" s="15" t="s">
        <v>594</v>
      </c>
      <c r="B711" s="6" t="s">
        <v>70</v>
      </c>
      <c r="C711" s="6" t="s">
        <v>75</v>
      </c>
    </row>
    <row r="712" spans="1:3" x14ac:dyDescent="0.25">
      <c r="A712" s="15" t="s">
        <v>595</v>
      </c>
      <c r="B712" s="6" t="s">
        <v>1003</v>
      </c>
      <c r="C712" s="6" t="s">
        <v>75</v>
      </c>
    </row>
    <row r="713" spans="1:3" x14ac:dyDescent="0.25">
      <c r="A713" s="15" t="s">
        <v>596</v>
      </c>
      <c r="B713" s="6" t="s">
        <v>1004</v>
      </c>
      <c r="C713" s="6" t="s">
        <v>75</v>
      </c>
    </row>
    <row r="714" spans="1:3" x14ac:dyDescent="0.25">
      <c r="A714" s="15" t="s">
        <v>597</v>
      </c>
      <c r="B714" s="6" t="s">
        <v>70</v>
      </c>
      <c r="C714" s="6" t="s">
        <v>75</v>
      </c>
    </row>
    <row r="715" spans="1:3" x14ac:dyDescent="0.25">
      <c r="A715" s="15" t="s">
        <v>598</v>
      </c>
      <c r="B715" s="6" t="s">
        <v>1003</v>
      </c>
      <c r="C715" s="6" t="s">
        <v>75</v>
      </c>
    </row>
    <row r="716" spans="1:3" x14ac:dyDescent="0.25">
      <c r="A716" s="15" t="s">
        <v>599</v>
      </c>
      <c r="B716" s="6" t="s">
        <v>1003</v>
      </c>
      <c r="C716" s="6" t="s">
        <v>75</v>
      </c>
    </row>
    <row r="717" spans="1:3" x14ac:dyDescent="0.25">
      <c r="A717" s="15" t="s">
        <v>600</v>
      </c>
      <c r="B717" s="6" t="s">
        <v>66</v>
      </c>
      <c r="C717" s="6" t="s">
        <v>75</v>
      </c>
    </row>
    <row r="718" spans="1:3" x14ac:dyDescent="0.25">
      <c r="A718" s="15" t="s">
        <v>601</v>
      </c>
      <c r="B718" s="6" t="s">
        <v>1004</v>
      </c>
      <c r="C718" s="6" t="s">
        <v>75</v>
      </c>
    </row>
    <row r="719" spans="1:3" x14ac:dyDescent="0.25">
      <c r="A719" s="15" t="s">
        <v>602</v>
      </c>
      <c r="B719" s="6" t="s">
        <v>66</v>
      </c>
      <c r="C719" s="6" t="s">
        <v>75</v>
      </c>
    </row>
    <row r="720" spans="1:3" x14ac:dyDescent="0.25">
      <c r="A720" s="15" t="s">
        <v>603</v>
      </c>
      <c r="B720" s="6" t="s">
        <v>1005</v>
      </c>
      <c r="C720" s="6" t="s">
        <v>75</v>
      </c>
    </row>
    <row r="721" spans="1:3" x14ac:dyDescent="0.25">
      <c r="A721" s="15" t="s">
        <v>604</v>
      </c>
      <c r="B721" s="6" t="s">
        <v>1004</v>
      </c>
      <c r="C721" s="6" t="s">
        <v>75</v>
      </c>
    </row>
    <row r="722" spans="1:3" x14ac:dyDescent="0.25">
      <c r="A722" s="15" t="s">
        <v>605</v>
      </c>
      <c r="B722" s="6" t="s">
        <v>66</v>
      </c>
      <c r="C722" s="6" t="s">
        <v>75</v>
      </c>
    </row>
    <row r="723" spans="1:3" x14ac:dyDescent="0.25">
      <c r="A723" s="15" t="s">
        <v>606</v>
      </c>
      <c r="B723" s="6" t="s">
        <v>1005</v>
      </c>
      <c r="C723" s="6" t="s">
        <v>75</v>
      </c>
    </row>
    <row r="724" spans="1:3" x14ac:dyDescent="0.25">
      <c r="A724" s="15" t="s">
        <v>607</v>
      </c>
      <c r="B724" s="6" t="s">
        <v>1003</v>
      </c>
      <c r="C724" s="6" t="s">
        <v>75</v>
      </c>
    </row>
    <row r="725" spans="1:3" x14ac:dyDescent="0.25">
      <c r="A725" s="15" t="s">
        <v>608</v>
      </c>
      <c r="B725" s="6" t="s">
        <v>1004</v>
      </c>
      <c r="C725" s="6" t="s">
        <v>75</v>
      </c>
    </row>
    <row r="726" spans="1:3" x14ac:dyDescent="0.25">
      <c r="A726" s="15" t="s">
        <v>609</v>
      </c>
      <c r="B726" s="6" t="s">
        <v>1003</v>
      </c>
      <c r="C726" s="6" t="s">
        <v>75</v>
      </c>
    </row>
    <row r="727" spans="1:3" x14ac:dyDescent="0.25">
      <c r="A727" s="15" t="s">
        <v>610</v>
      </c>
      <c r="B727" s="6" t="s">
        <v>66</v>
      </c>
      <c r="C727" s="6" t="s">
        <v>75</v>
      </c>
    </row>
    <row r="728" spans="1:3" x14ac:dyDescent="0.25">
      <c r="A728" s="15" t="s">
        <v>611</v>
      </c>
      <c r="B728" s="6" t="s">
        <v>1003</v>
      </c>
      <c r="C728" s="6" t="s">
        <v>75</v>
      </c>
    </row>
    <row r="729" spans="1:3" x14ac:dyDescent="0.25">
      <c r="A729" s="15" t="s">
        <v>612</v>
      </c>
      <c r="B729" s="6" t="s">
        <v>1005</v>
      </c>
      <c r="C729" s="6" t="s">
        <v>75</v>
      </c>
    </row>
    <row r="730" spans="1:3" x14ac:dyDescent="0.25">
      <c r="A730" s="15" t="s">
        <v>613</v>
      </c>
      <c r="B730" s="6" t="s">
        <v>66</v>
      </c>
      <c r="C730" s="6" t="s">
        <v>75</v>
      </c>
    </row>
    <row r="731" spans="1:3" x14ac:dyDescent="0.25">
      <c r="A731" s="15" t="s">
        <v>614</v>
      </c>
      <c r="B731" s="6" t="s">
        <v>1005</v>
      </c>
      <c r="C731" s="6" t="s">
        <v>75</v>
      </c>
    </row>
    <row r="732" spans="1:3" x14ac:dyDescent="0.25">
      <c r="A732" s="15" t="s">
        <v>615</v>
      </c>
      <c r="B732" s="6" t="s">
        <v>66</v>
      </c>
      <c r="C732" s="6" t="s">
        <v>75</v>
      </c>
    </row>
    <row r="733" spans="1:3" x14ac:dyDescent="0.25">
      <c r="A733" s="15" t="s">
        <v>616</v>
      </c>
      <c r="B733" s="6" t="s">
        <v>1003</v>
      </c>
      <c r="C733" s="6" t="s">
        <v>75</v>
      </c>
    </row>
    <row r="734" spans="1:3" x14ac:dyDescent="0.25">
      <c r="A734" s="15" t="s">
        <v>617</v>
      </c>
      <c r="B734" s="6" t="s">
        <v>1003</v>
      </c>
      <c r="C734" s="6" t="s">
        <v>75</v>
      </c>
    </row>
    <row r="735" spans="1:3" x14ac:dyDescent="0.25">
      <c r="A735" s="15" t="s">
        <v>618</v>
      </c>
      <c r="B735" s="6" t="s">
        <v>66</v>
      </c>
      <c r="C735" s="6" t="s">
        <v>75</v>
      </c>
    </row>
    <row r="736" spans="1:3" x14ac:dyDescent="0.25">
      <c r="A736" s="15" t="s">
        <v>619</v>
      </c>
      <c r="B736" s="6" t="s">
        <v>1003</v>
      </c>
      <c r="C736" s="6" t="s">
        <v>75</v>
      </c>
    </row>
    <row r="737" spans="1:3" x14ac:dyDescent="0.25">
      <c r="A737" s="15" t="s">
        <v>620</v>
      </c>
      <c r="B737" s="6" t="s">
        <v>1003</v>
      </c>
      <c r="C737" s="6" t="s">
        <v>75</v>
      </c>
    </row>
    <row r="738" spans="1:3" x14ac:dyDescent="0.25">
      <c r="A738" s="15" t="s">
        <v>621</v>
      </c>
      <c r="B738" s="6" t="s">
        <v>70</v>
      </c>
      <c r="C738" s="6" t="s">
        <v>75</v>
      </c>
    </row>
    <row r="739" spans="1:3" x14ac:dyDescent="0.25">
      <c r="A739" s="15" t="s">
        <v>622</v>
      </c>
      <c r="B739" s="6" t="s">
        <v>1005</v>
      </c>
      <c r="C739" s="6" t="s">
        <v>75</v>
      </c>
    </row>
    <row r="740" spans="1:3" x14ac:dyDescent="0.25">
      <c r="A740" s="15" t="s">
        <v>623</v>
      </c>
      <c r="B740" s="6" t="s">
        <v>1003</v>
      </c>
      <c r="C740" s="6" t="s">
        <v>75</v>
      </c>
    </row>
    <row r="741" spans="1:3" x14ac:dyDescent="0.25">
      <c r="A741" s="15" t="s">
        <v>624</v>
      </c>
      <c r="B741" s="6" t="s">
        <v>66</v>
      </c>
      <c r="C741" s="6" t="s">
        <v>75</v>
      </c>
    </row>
    <row r="742" spans="1:3" x14ac:dyDescent="0.25">
      <c r="A742" s="15" t="s">
        <v>625</v>
      </c>
      <c r="B742" s="6" t="s">
        <v>66</v>
      </c>
      <c r="C742" s="6" t="s">
        <v>75</v>
      </c>
    </row>
    <row r="743" spans="1:3" x14ac:dyDescent="0.25">
      <c r="A743" s="15" t="s">
        <v>626</v>
      </c>
      <c r="B743" s="6" t="s">
        <v>1008</v>
      </c>
      <c r="C743" s="6" t="s">
        <v>75</v>
      </c>
    </row>
    <row r="744" spans="1:3" x14ac:dyDescent="0.25">
      <c r="A744" s="15" t="s">
        <v>627</v>
      </c>
      <c r="B744" s="6" t="s">
        <v>1005</v>
      </c>
      <c r="C744" s="6" t="s">
        <v>75</v>
      </c>
    </row>
    <row r="745" spans="1:3" x14ac:dyDescent="0.25">
      <c r="A745" s="15" t="s">
        <v>628</v>
      </c>
      <c r="B745" s="6" t="s">
        <v>1014</v>
      </c>
      <c r="C745" s="6" t="s">
        <v>75</v>
      </c>
    </row>
    <row r="746" spans="1:3" x14ac:dyDescent="0.25">
      <c r="A746" s="15" t="s">
        <v>629</v>
      </c>
      <c r="B746" s="6" t="s">
        <v>66</v>
      </c>
      <c r="C746" s="6" t="s">
        <v>75</v>
      </c>
    </row>
    <row r="747" spans="1:3" x14ac:dyDescent="0.25">
      <c r="A747" s="15" t="s">
        <v>630</v>
      </c>
      <c r="B747" s="6" t="s">
        <v>1008</v>
      </c>
      <c r="C747" s="6" t="s">
        <v>75</v>
      </c>
    </row>
    <row r="748" spans="1:3" x14ac:dyDescent="0.25">
      <c r="A748" s="15" t="s">
        <v>631</v>
      </c>
      <c r="B748" s="6" t="s">
        <v>66</v>
      </c>
      <c r="C748" s="6" t="s">
        <v>75</v>
      </c>
    </row>
    <row r="749" spans="1:3" x14ac:dyDescent="0.25">
      <c r="A749" s="15" t="s">
        <v>632</v>
      </c>
      <c r="B749" s="6" t="s">
        <v>66</v>
      </c>
      <c r="C749" s="6" t="s">
        <v>75</v>
      </c>
    </row>
    <row r="750" spans="1:3" x14ac:dyDescent="0.25">
      <c r="A750" s="15" t="s">
        <v>633</v>
      </c>
      <c r="B750" s="6" t="s">
        <v>1003</v>
      </c>
      <c r="C750" s="6" t="s">
        <v>75</v>
      </c>
    </row>
    <row r="751" spans="1:3" x14ac:dyDescent="0.25">
      <c r="A751" s="15" t="s">
        <v>634</v>
      </c>
      <c r="B751" s="6" t="s">
        <v>1003</v>
      </c>
      <c r="C751" s="6" t="s">
        <v>75</v>
      </c>
    </row>
    <row r="752" spans="1:3" x14ac:dyDescent="0.25">
      <c r="A752" s="15" t="s">
        <v>635</v>
      </c>
      <c r="B752" s="6" t="s">
        <v>70</v>
      </c>
      <c r="C752" s="6" t="s">
        <v>75</v>
      </c>
    </row>
    <row r="753" spans="1:3" x14ac:dyDescent="0.25">
      <c r="A753" s="15" t="s">
        <v>636</v>
      </c>
      <c r="B753" s="6" t="s">
        <v>66</v>
      </c>
      <c r="C753" s="6" t="s">
        <v>75</v>
      </c>
    </row>
    <row r="754" spans="1:3" x14ac:dyDescent="0.25">
      <c r="A754" s="15" t="s">
        <v>637</v>
      </c>
      <c r="B754" s="6" t="s">
        <v>66</v>
      </c>
      <c r="C754" s="6" t="s">
        <v>75</v>
      </c>
    </row>
    <row r="755" spans="1:3" x14ac:dyDescent="0.25">
      <c r="A755" s="15" t="s">
        <v>638</v>
      </c>
      <c r="B755" s="6" t="s">
        <v>1007</v>
      </c>
      <c r="C755" s="6" t="s">
        <v>75</v>
      </c>
    </row>
    <row r="756" spans="1:3" x14ac:dyDescent="0.25">
      <c r="A756" s="15" t="s">
        <v>639</v>
      </c>
      <c r="B756" s="6" t="s">
        <v>1009</v>
      </c>
      <c r="C756" s="6" t="s">
        <v>75</v>
      </c>
    </row>
    <row r="757" spans="1:3" x14ac:dyDescent="0.25">
      <c r="A757" s="15" t="s">
        <v>640</v>
      </c>
      <c r="B757" s="6" t="s">
        <v>1004</v>
      </c>
      <c r="C757" s="6" t="s">
        <v>75</v>
      </c>
    </row>
    <row r="758" spans="1:3" x14ac:dyDescent="0.25">
      <c r="A758" s="15" t="s">
        <v>641</v>
      </c>
      <c r="B758" s="6" t="s">
        <v>66</v>
      </c>
      <c r="C758" s="6" t="s">
        <v>75</v>
      </c>
    </row>
    <row r="759" spans="1:3" x14ac:dyDescent="0.25">
      <c r="A759" s="15" t="s">
        <v>642</v>
      </c>
      <c r="B759" s="6" t="s">
        <v>1042</v>
      </c>
      <c r="C759" s="6" t="s">
        <v>75</v>
      </c>
    </row>
    <row r="760" spans="1:3" x14ac:dyDescent="0.25">
      <c r="A760" s="15" t="s">
        <v>643</v>
      </c>
      <c r="B760" s="6" t="s">
        <v>70</v>
      </c>
      <c r="C760" s="6" t="s">
        <v>75</v>
      </c>
    </row>
    <row r="761" spans="1:3" x14ac:dyDescent="0.25">
      <c r="A761" s="15" t="s">
        <v>644</v>
      </c>
      <c r="B761" s="6" t="s">
        <v>1005</v>
      </c>
      <c r="C761" s="6" t="s">
        <v>75</v>
      </c>
    </row>
    <row r="762" spans="1:3" x14ac:dyDescent="0.25">
      <c r="A762" s="15" t="s">
        <v>645</v>
      </c>
      <c r="B762" s="6" t="s">
        <v>1003</v>
      </c>
      <c r="C762" s="6" t="s">
        <v>75</v>
      </c>
    </row>
    <row r="763" spans="1:3" x14ac:dyDescent="0.25">
      <c r="A763" s="15" t="s">
        <v>646</v>
      </c>
      <c r="B763" s="6" t="s">
        <v>66</v>
      </c>
      <c r="C763" s="6" t="s">
        <v>75</v>
      </c>
    </row>
    <row r="764" spans="1:3" x14ac:dyDescent="0.25">
      <c r="A764" s="15" t="s">
        <v>647</v>
      </c>
      <c r="B764" s="6" t="s">
        <v>1003</v>
      </c>
      <c r="C764" s="6" t="s">
        <v>75</v>
      </c>
    </row>
    <row r="765" spans="1:3" x14ac:dyDescent="0.25">
      <c r="A765" s="15" t="s">
        <v>648</v>
      </c>
      <c r="B765" s="6" t="s">
        <v>1003</v>
      </c>
      <c r="C765" s="6" t="s">
        <v>75</v>
      </c>
    </row>
    <row r="766" spans="1:3" x14ac:dyDescent="0.25">
      <c r="A766" s="15" t="s">
        <v>649</v>
      </c>
      <c r="B766" s="6" t="s">
        <v>66</v>
      </c>
      <c r="C766" s="6" t="s">
        <v>75</v>
      </c>
    </row>
    <row r="767" spans="1:3" x14ac:dyDescent="0.25">
      <c r="A767" s="15" t="s">
        <v>650</v>
      </c>
      <c r="B767" s="6" t="s">
        <v>1016</v>
      </c>
      <c r="C767" s="6" t="s">
        <v>75</v>
      </c>
    </row>
    <row r="768" spans="1:3" x14ac:dyDescent="0.25">
      <c r="A768" s="15" t="s">
        <v>651</v>
      </c>
      <c r="B768" s="6" t="s">
        <v>1018</v>
      </c>
      <c r="C768" s="6" t="s">
        <v>75</v>
      </c>
    </row>
    <row r="769" spans="1:3" x14ac:dyDescent="0.25">
      <c r="A769" s="15" t="s">
        <v>652</v>
      </c>
      <c r="B769" s="6" t="s">
        <v>1016</v>
      </c>
      <c r="C769" s="6" t="s">
        <v>75</v>
      </c>
    </row>
    <row r="770" spans="1:3" x14ac:dyDescent="0.25">
      <c r="A770" s="15" t="s">
        <v>653</v>
      </c>
      <c r="B770" s="6" t="s">
        <v>1016</v>
      </c>
      <c r="C770" s="6" t="s">
        <v>75</v>
      </c>
    </row>
    <row r="771" spans="1:3" x14ac:dyDescent="0.25">
      <c r="A771" s="15" t="s">
        <v>654</v>
      </c>
      <c r="B771" s="6" t="s">
        <v>1009</v>
      </c>
      <c r="C771" s="6" t="s">
        <v>75</v>
      </c>
    </row>
    <row r="772" spans="1:3" x14ac:dyDescent="0.25">
      <c r="A772" s="15" t="s">
        <v>655</v>
      </c>
      <c r="B772" s="6" t="s">
        <v>1007</v>
      </c>
      <c r="C772" s="6" t="s">
        <v>75</v>
      </c>
    </row>
    <row r="773" spans="1:3" x14ac:dyDescent="0.25">
      <c r="A773" s="15" t="s">
        <v>656</v>
      </c>
      <c r="B773" s="6" t="s">
        <v>1005</v>
      </c>
      <c r="C773" s="6" t="s">
        <v>75</v>
      </c>
    </row>
    <row r="774" spans="1:3" x14ac:dyDescent="0.25">
      <c r="A774" s="15" t="s">
        <v>657</v>
      </c>
      <c r="B774" s="6" t="s">
        <v>1017</v>
      </c>
      <c r="C774" s="6" t="s">
        <v>75</v>
      </c>
    </row>
    <row r="775" spans="1:3" x14ac:dyDescent="0.25">
      <c r="A775" s="15" t="s">
        <v>658</v>
      </c>
      <c r="B775" s="6" t="s">
        <v>66</v>
      </c>
      <c r="C775" s="6" t="s">
        <v>75</v>
      </c>
    </row>
    <row r="776" spans="1:3" x14ac:dyDescent="0.25">
      <c r="A776" s="15" t="s">
        <v>659</v>
      </c>
      <c r="B776" s="6" t="s">
        <v>1003</v>
      </c>
      <c r="C776" s="6" t="s">
        <v>75</v>
      </c>
    </row>
    <row r="777" spans="1:3" x14ac:dyDescent="0.25">
      <c r="A777" s="15" t="s">
        <v>660</v>
      </c>
      <c r="B777" s="6" t="s">
        <v>1016</v>
      </c>
      <c r="C777" s="6" t="s">
        <v>75</v>
      </c>
    </row>
    <row r="778" spans="1:3" x14ac:dyDescent="0.25">
      <c r="A778" s="15" t="s">
        <v>661</v>
      </c>
      <c r="B778" s="6" t="s">
        <v>1014</v>
      </c>
      <c r="C778" s="6" t="s">
        <v>75</v>
      </c>
    </row>
    <row r="779" spans="1:3" x14ac:dyDescent="0.25">
      <c r="A779" s="15" t="s">
        <v>662</v>
      </c>
      <c r="B779" s="6" t="s">
        <v>66</v>
      </c>
      <c r="C779" s="6" t="s">
        <v>75</v>
      </c>
    </row>
    <row r="780" spans="1:3" x14ac:dyDescent="0.25">
      <c r="A780" s="15" t="s">
        <v>663</v>
      </c>
      <c r="B780" s="6" t="s">
        <v>1006</v>
      </c>
      <c r="C780" s="6" t="s">
        <v>75</v>
      </c>
    </row>
    <row r="781" spans="1:3" x14ac:dyDescent="0.25">
      <c r="A781" s="15" t="s">
        <v>664</v>
      </c>
      <c r="B781" s="6" t="s">
        <v>66</v>
      </c>
      <c r="C781" s="6" t="s">
        <v>75</v>
      </c>
    </row>
    <row r="782" spans="1:3" x14ac:dyDescent="0.25">
      <c r="A782" s="15" t="s">
        <v>665</v>
      </c>
      <c r="B782" s="6" t="s">
        <v>70</v>
      </c>
      <c r="C782" s="6" t="s">
        <v>75</v>
      </c>
    </row>
    <row r="783" spans="1:3" x14ac:dyDescent="0.25">
      <c r="A783" s="15" t="s">
        <v>666</v>
      </c>
      <c r="B783" s="6" t="s">
        <v>1003</v>
      </c>
      <c r="C783" s="6" t="s">
        <v>75</v>
      </c>
    </row>
    <row r="784" spans="1:3" x14ac:dyDescent="0.25">
      <c r="A784" s="15" t="s">
        <v>667</v>
      </c>
      <c r="B784" s="6" t="s">
        <v>70</v>
      </c>
      <c r="C784" s="6" t="s">
        <v>75</v>
      </c>
    </row>
    <row r="785" spans="1:3" x14ac:dyDescent="0.25">
      <c r="A785" s="15" t="s">
        <v>668</v>
      </c>
      <c r="B785" s="6" t="s">
        <v>1003</v>
      </c>
      <c r="C785" s="6" t="s">
        <v>75</v>
      </c>
    </row>
    <row r="786" spans="1:3" x14ac:dyDescent="0.25">
      <c r="A786" s="15" t="s">
        <v>669</v>
      </c>
      <c r="B786" s="6" t="s">
        <v>1017</v>
      </c>
      <c r="C786" s="6" t="s">
        <v>75</v>
      </c>
    </row>
    <row r="787" spans="1:3" x14ac:dyDescent="0.25">
      <c r="A787" s="15" t="s">
        <v>670</v>
      </c>
      <c r="B787" s="6" t="s">
        <v>1003</v>
      </c>
      <c r="C787" s="6" t="s">
        <v>75</v>
      </c>
    </row>
    <row r="788" spans="1:3" x14ac:dyDescent="0.25">
      <c r="A788" s="15" t="s">
        <v>671</v>
      </c>
      <c r="B788" s="6" t="s">
        <v>66</v>
      </c>
      <c r="C788" s="6" t="s">
        <v>75</v>
      </c>
    </row>
    <row r="789" spans="1:3" x14ac:dyDescent="0.25">
      <c r="A789" s="15" t="s">
        <v>672</v>
      </c>
      <c r="B789" s="6" t="s">
        <v>66</v>
      </c>
      <c r="C789" s="6" t="s">
        <v>75</v>
      </c>
    </row>
    <row r="790" spans="1:3" x14ac:dyDescent="0.25">
      <c r="A790" s="15" t="s">
        <v>673</v>
      </c>
      <c r="B790" s="6" t="s">
        <v>1010</v>
      </c>
      <c r="C790" s="6" t="s">
        <v>75</v>
      </c>
    </row>
    <row r="791" spans="1:3" x14ac:dyDescent="0.25">
      <c r="A791" s="15" t="s">
        <v>674</v>
      </c>
      <c r="B791" s="6" t="s">
        <v>1014</v>
      </c>
      <c r="C791" s="6" t="s">
        <v>75</v>
      </c>
    </row>
    <row r="792" spans="1:3" x14ac:dyDescent="0.25">
      <c r="A792" s="15" t="s">
        <v>675</v>
      </c>
      <c r="B792" s="6" t="s">
        <v>1003</v>
      </c>
      <c r="C792" s="6" t="s">
        <v>75</v>
      </c>
    </row>
    <row r="793" spans="1:3" x14ac:dyDescent="0.25">
      <c r="A793" s="15" t="s">
        <v>676</v>
      </c>
      <c r="B793" s="6" t="s">
        <v>1018</v>
      </c>
      <c r="C793" s="6" t="s">
        <v>75</v>
      </c>
    </row>
    <row r="794" spans="1:3" x14ac:dyDescent="0.25">
      <c r="A794" s="15" t="s">
        <v>677</v>
      </c>
      <c r="B794" s="6" t="s">
        <v>1007</v>
      </c>
      <c r="C794" s="6" t="s">
        <v>75</v>
      </c>
    </row>
    <row r="795" spans="1:3" x14ac:dyDescent="0.25">
      <c r="A795" s="15" t="s">
        <v>678</v>
      </c>
      <c r="B795" s="6" t="s">
        <v>1024</v>
      </c>
      <c r="C795" s="6" t="s">
        <v>75</v>
      </c>
    </row>
    <row r="796" spans="1:3" x14ac:dyDescent="0.25">
      <c r="A796" s="15" t="s">
        <v>679</v>
      </c>
      <c r="B796" s="6" t="s">
        <v>1003</v>
      </c>
      <c r="C796" s="6" t="s">
        <v>75</v>
      </c>
    </row>
    <row r="797" spans="1:3" x14ac:dyDescent="0.25">
      <c r="A797" s="15" t="s">
        <v>680</v>
      </c>
      <c r="B797" s="6" t="s">
        <v>66</v>
      </c>
      <c r="C797" s="6" t="s">
        <v>75</v>
      </c>
    </row>
    <row r="798" spans="1:3" x14ac:dyDescent="0.25">
      <c r="A798" s="15" t="s">
        <v>681</v>
      </c>
      <c r="B798" s="6" t="s">
        <v>1012</v>
      </c>
      <c r="C798" s="6" t="s">
        <v>75</v>
      </c>
    </row>
    <row r="799" spans="1:3" x14ac:dyDescent="0.25">
      <c r="A799" s="15" t="s">
        <v>682</v>
      </c>
      <c r="B799" s="6" t="s">
        <v>70</v>
      </c>
      <c r="C799" s="6" t="s">
        <v>75</v>
      </c>
    </row>
    <row r="800" spans="1:3" x14ac:dyDescent="0.25">
      <c r="A800" s="15" t="s">
        <v>683</v>
      </c>
      <c r="B800" s="6" t="s">
        <v>1009</v>
      </c>
      <c r="C800" s="6" t="s">
        <v>75</v>
      </c>
    </row>
    <row r="801" spans="1:3" x14ac:dyDescent="0.25">
      <c r="A801" s="15" t="s">
        <v>684</v>
      </c>
      <c r="B801" s="6" t="s">
        <v>70</v>
      </c>
      <c r="C801" s="6" t="s">
        <v>75</v>
      </c>
    </row>
    <row r="802" spans="1:3" x14ac:dyDescent="0.25">
      <c r="A802" s="15" t="s">
        <v>685</v>
      </c>
      <c r="B802" s="6" t="s">
        <v>66</v>
      </c>
      <c r="C802" s="6" t="s">
        <v>75</v>
      </c>
    </row>
    <row r="803" spans="1:3" x14ac:dyDescent="0.25">
      <c r="A803" s="15" t="s">
        <v>686</v>
      </c>
      <c r="B803" s="6" t="s">
        <v>1013</v>
      </c>
      <c r="C803" s="6" t="s">
        <v>75</v>
      </c>
    </row>
    <row r="804" spans="1:3" x14ac:dyDescent="0.25">
      <c r="A804" s="15" t="s">
        <v>687</v>
      </c>
      <c r="B804" s="6" t="s">
        <v>1006</v>
      </c>
      <c r="C804" s="6" t="s">
        <v>75</v>
      </c>
    </row>
    <row r="805" spans="1:3" x14ac:dyDescent="0.25">
      <c r="A805" s="15" t="s">
        <v>688</v>
      </c>
      <c r="B805" s="6" t="s">
        <v>70</v>
      </c>
      <c r="C805" s="6" t="s">
        <v>75</v>
      </c>
    </row>
    <row r="806" spans="1:3" x14ac:dyDescent="0.25">
      <c r="A806" s="15" t="s">
        <v>689</v>
      </c>
      <c r="B806" s="6" t="s">
        <v>1008</v>
      </c>
      <c r="C806" s="6" t="s">
        <v>75</v>
      </c>
    </row>
    <row r="807" spans="1:3" x14ac:dyDescent="0.25">
      <c r="A807" s="15" t="s">
        <v>690</v>
      </c>
      <c r="B807" s="6" t="s">
        <v>1004</v>
      </c>
      <c r="C807" s="6" t="s">
        <v>75</v>
      </c>
    </row>
    <row r="808" spans="1:3" x14ac:dyDescent="0.25">
      <c r="A808" s="15" t="s">
        <v>691</v>
      </c>
      <c r="B808" s="6" t="s">
        <v>1003</v>
      </c>
      <c r="C808" s="6" t="s">
        <v>75</v>
      </c>
    </row>
    <row r="809" spans="1:3" x14ac:dyDescent="0.25">
      <c r="A809" s="15" t="s">
        <v>692</v>
      </c>
      <c r="B809" s="6" t="s">
        <v>1003</v>
      </c>
      <c r="C809" s="6" t="s">
        <v>75</v>
      </c>
    </row>
    <row r="810" spans="1:3" x14ac:dyDescent="0.25">
      <c r="A810" s="15" t="s">
        <v>693</v>
      </c>
      <c r="B810" s="6" t="s">
        <v>1003</v>
      </c>
      <c r="C810" s="6" t="s">
        <v>75</v>
      </c>
    </row>
    <row r="811" spans="1:3" x14ac:dyDescent="0.25">
      <c r="A811" s="15" t="s">
        <v>694</v>
      </c>
      <c r="B811" s="6" t="s">
        <v>1015</v>
      </c>
      <c r="C811" s="6" t="s">
        <v>75</v>
      </c>
    </row>
    <row r="812" spans="1:3" x14ac:dyDescent="0.25">
      <c r="A812" s="15" t="s">
        <v>695</v>
      </c>
      <c r="B812" s="6" t="s">
        <v>1009</v>
      </c>
      <c r="C812" s="6" t="s">
        <v>75</v>
      </c>
    </row>
    <row r="813" spans="1:3" x14ac:dyDescent="0.25">
      <c r="A813" s="15" t="s">
        <v>696</v>
      </c>
      <c r="B813" s="6" t="s">
        <v>1003</v>
      </c>
      <c r="C813" s="6" t="s">
        <v>75</v>
      </c>
    </row>
    <row r="814" spans="1:3" x14ac:dyDescent="0.25">
      <c r="A814" s="15" t="s">
        <v>697</v>
      </c>
      <c r="B814" s="6" t="s">
        <v>1003</v>
      </c>
      <c r="C814" s="6" t="s">
        <v>75</v>
      </c>
    </row>
    <row r="815" spans="1:3" x14ac:dyDescent="0.25">
      <c r="A815" s="15" t="s">
        <v>698</v>
      </c>
      <c r="B815" s="6" t="s">
        <v>1024</v>
      </c>
      <c r="C815" s="6" t="s">
        <v>75</v>
      </c>
    </row>
    <row r="816" spans="1:3" x14ac:dyDescent="0.25">
      <c r="A816" s="15" t="s">
        <v>699</v>
      </c>
      <c r="B816" s="6" t="s">
        <v>1004</v>
      </c>
      <c r="C816" s="6" t="s">
        <v>75</v>
      </c>
    </row>
    <row r="817" spans="1:3" x14ac:dyDescent="0.25">
      <c r="A817" s="15" t="s">
        <v>700</v>
      </c>
      <c r="B817" s="6" t="s">
        <v>1012</v>
      </c>
      <c r="C817" s="6" t="s">
        <v>75</v>
      </c>
    </row>
    <row r="818" spans="1:3" x14ac:dyDescent="0.25">
      <c r="A818" s="15" t="s">
        <v>701</v>
      </c>
      <c r="B818" s="6" t="s">
        <v>66</v>
      </c>
      <c r="C818" s="6" t="s">
        <v>75</v>
      </c>
    </row>
    <row r="819" spans="1:3" x14ac:dyDescent="0.25">
      <c r="A819" s="15" t="s">
        <v>702</v>
      </c>
      <c r="B819" s="6" t="s">
        <v>1007</v>
      </c>
      <c r="C819" s="6" t="s">
        <v>75</v>
      </c>
    </row>
    <row r="820" spans="1:3" x14ac:dyDescent="0.25">
      <c r="A820" s="15" t="s">
        <v>703</v>
      </c>
      <c r="B820" s="6" t="s">
        <v>66</v>
      </c>
      <c r="C820" s="6" t="s">
        <v>75</v>
      </c>
    </row>
    <row r="821" spans="1:3" x14ac:dyDescent="0.25">
      <c r="A821" s="15" t="s">
        <v>704</v>
      </c>
      <c r="B821" s="6" t="s">
        <v>1003</v>
      </c>
      <c r="C821" s="6" t="s">
        <v>75</v>
      </c>
    </row>
    <row r="822" spans="1:3" x14ac:dyDescent="0.25">
      <c r="A822" s="15" t="s">
        <v>705</v>
      </c>
      <c r="B822" s="6" t="s">
        <v>1003</v>
      </c>
      <c r="C822" s="6" t="s">
        <v>75</v>
      </c>
    </row>
    <row r="823" spans="1:3" x14ac:dyDescent="0.25">
      <c r="A823" s="15" t="s">
        <v>706</v>
      </c>
      <c r="B823" s="6" t="s">
        <v>1003</v>
      </c>
      <c r="C823" s="6" t="s">
        <v>75</v>
      </c>
    </row>
    <row r="824" spans="1:3" x14ac:dyDescent="0.25">
      <c r="A824" s="15" t="s">
        <v>707</v>
      </c>
      <c r="B824" s="6" t="s">
        <v>66</v>
      </c>
      <c r="C824" s="6" t="s">
        <v>75</v>
      </c>
    </row>
    <row r="825" spans="1:3" x14ac:dyDescent="0.25">
      <c r="A825" s="15" t="s">
        <v>708</v>
      </c>
      <c r="B825" s="6" t="s">
        <v>1009</v>
      </c>
      <c r="C825" s="6" t="s">
        <v>75</v>
      </c>
    </row>
    <row r="826" spans="1:3" x14ac:dyDescent="0.25">
      <c r="A826" s="15" t="s">
        <v>709</v>
      </c>
      <c r="B826" s="6" t="s">
        <v>1003</v>
      </c>
      <c r="C826" s="6" t="s">
        <v>75</v>
      </c>
    </row>
    <row r="827" spans="1:3" x14ac:dyDescent="0.25">
      <c r="A827" s="15" t="s">
        <v>710</v>
      </c>
      <c r="B827" s="6" t="s">
        <v>1012</v>
      </c>
      <c r="C827" s="6" t="s">
        <v>75</v>
      </c>
    </row>
    <row r="828" spans="1:3" x14ac:dyDescent="0.25">
      <c r="A828" s="15" t="s">
        <v>711</v>
      </c>
      <c r="B828" s="6" t="s">
        <v>1005</v>
      </c>
      <c r="C828" s="6" t="s">
        <v>75</v>
      </c>
    </row>
    <row r="829" spans="1:3" x14ac:dyDescent="0.25">
      <c r="A829" s="15" t="s">
        <v>712</v>
      </c>
      <c r="B829" s="6" t="s">
        <v>1010</v>
      </c>
      <c r="C829" s="6" t="s">
        <v>75</v>
      </c>
    </row>
    <row r="830" spans="1:3" x14ac:dyDescent="0.25">
      <c r="A830" s="15" t="s">
        <v>713</v>
      </c>
      <c r="B830" s="6" t="s">
        <v>66</v>
      </c>
      <c r="C830" s="6" t="s">
        <v>75</v>
      </c>
    </row>
    <row r="831" spans="1:3" x14ac:dyDescent="0.25">
      <c r="A831" s="15" t="s">
        <v>714</v>
      </c>
      <c r="B831" s="6" t="s">
        <v>66</v>
      </c>
      <c r="C831" s="6" t="s">
        <v>75</v>
      </c>
    </row>
    <row r="832" spans="1:3" x14ac:dyDescent="0.25">
      <c r="A832" s="15" t="s">
        <v>715</v>
      </c>
      <c r="B832" s="6" t="s">
        <v>1007</v>
      </c>
      <c r="C832" s="6" t="s">
        <v>75</v>
      </c>
    </row>
    <row r="833" spans="1:3" x14ac:dyDescent="0.25">
      <c r="A833" s="15" t="s">
        <v>716</v>
      </c>
      <c r="B833" s="6" t="s">
        <v>1003</v>
      </c>
      <c r="C833" s="6" t="s">
        <v>75</v>
      </c>
    </row>
    <row r="834" spans="1:3" x14ac:dyDescent="0.25">
      <c r="A834" s="15" t="s">
        <v>717</v>
      </c>
      <c r="B834" s="6" t="s">
        <v>1003</v>
      </c>
      <c r="C834" s="6" t="s">
        <v>75</v>
      </c>
    </row>
    <row r="835" spans="1:3" x14ac:dyDescent="0.25">
      <c r="A835" s="15" t="s">
        <v>718</v>
      </c>
      <c r="B835" s="6" t="s">
        <v>1003</v>
      </c>
      <c r="C835" s="6" t="s">
        <v>75</v>
      </c>
    </row>
    <row r="836" spans="1:3" x14ac:dyDescent="0.25">
      <c r="A836" s="15" t="s">
        <v>719</v>
      </c>
      <c r="B836" s="6" t="s">
        <v>1004</v>
      </c>
      <c r="C836" s="6" t="s">
        <v>75</v>
      </c>
    </row>
    <row r="837" spans="1:3" x14ac:dyDescent="0.25">
      <c r="A837" s="15" t="s">
        <v>720</v>
      </c>
      <c r="B837" s="6" t="s">
        <v>1016</v>
      </c>
      <c r="C837" s="6" t="s">
        <v>75</v>
      </c>
    </row>
    <row r="838" spans="1:3" x14ac:dyDescent="0.25">
      <c r="A838" s="15" t="s">
        <v>721</v>
      </c>
      <c r="B838" s="6" t="s">
        <v>1012</v>
      </c>
      <c r="C838" s="6" t="s">
        <v>75</v>
      </c>
    </row>
    <row r="839" spans="1:3" x14ac:dyDescent="0.25">
      <c r="A839" s="15" t="s">
        <v>722</v>
      </c>
      <c r="B839" s="6" t="s">
        <v>1010</v>
      </c>
      <c r="C839" s="6" t="s">
        <v>75</v>
      </c>
    </row>
    <row r="840" spans="1:3" x14ac:dyDescent="0.25">
      <c r="A840" s="15" t="s">
        <v>723</v>
      </c>
      <c r="B840" s="6" t="s">
        <v>1004</v>
      </c>
      <c r="C840" s="6" t="s">
        <v>75</v>
      </c>
    </row>
    <row r="841" spans="1:3" x14ac:dyDescent="0.25">
      <c r="A841" s="15" t="s">
        <v>724</v>
      </c>
      <c r="B841" s="6" t="s">
        <v>66</v>
      </c>
      <c r="C841" s="6" t="s">
        <v>75</v>
      </c>
    </row>
    <row r="842" spans="1:3" x14ac:dyDescent="0.25">
      <c r="A842" s="15" t="s">
        <v>725</v>
      </c>
      <c r="B842" s="6" t="s">
        <v>1016</v>
      </c>
      <c r="C842" s="6" t="s">
        <v>75</v>
      </c>
    </row>
    <row r="843" spans="1:3" x14ac:dyDescent="0.25">
      <c r="A843" s="15" t="s">
        <v>726</v>
      </c>
      <c r="B843" s="6" t="s">
        <v>70</v>
      </c>
      <c r="C843" s="6" t="s">
        <v>75</v>
      </c>
    </row>
    <row r="844" spans="1:3" x14ac:dyDescent="0.25">
      <c r="A844" s="15" t="s">
        <v>727</v>
      </c>
      <c r="B844" s="6" t="s">
        <v>1009</v>
      </c>
      <c r="C844" s="6" t="s">
        <v>75</v>
      </c>
    </row>
    <row r="845" spans="1:3" x14ac:dyDescent="0.25">
      <c r="A845" s="15" t="s">
        <v>728</v>
      </c>
      <c r="B845" s="6" t="s">
        <v>1005</v>
      </c>
      <c r="C845" s="6" t="s">
        <v>75</v>
      </c>
    </row>
    <row r="846" spans="1:3" x14ac:dyDescent="0.25">
      <c r="A846" s="15" t="s">
        <v>729</v>
      </c>
      <c r="B846" s="6" t="s">
        <v>1005</v>
      </c>
      <c r="C846" s="6" t="s">
        <v>75</v>
      </c>
    </row>
    <row r="847" spans="1:3" x14ac:dyDescent="0.25">
      <c r="A847" s="15" t="s">
        <v>730</v>
      </c>
      <c r="B847" s="6" t="s">
        <v>1004</v>
      </c>
      <c r="C847" s="6" t="s">
        <v>75</v>
      </c>
    </row>
    <row r="848" spans="1:3" x14ac:dyDescent="0.25">
      <c r="A848" s="15" t="s">
        <v>731</v>
      </c>
      <c r="B848" s="6" t="s">
        <v>66</v>
      </c>
      <c r="C848" s="6" t="s">
        <v>75</v>
      </c>
    </row>
    <row r="849" spans="1:3" x14ac:dyDescent="0.25">
      <c r="A849" s="15" t="s">
        <v>732</v>
      </c>
      <c r="B849" s="6" t="s">
        <v>1004</v>
      </c>
      <c r="C849" s="6" t="s">
        <v>75</v>
      </c>
    </row>
    <row r="850" spans="1:3" x14ac:dyDescent="0.25">
      <c r="A850" s="15" t="s">
        <v>733</v>
      </c>
      <c r="B850" s="6" t="s">
        <v>1008</v>
      </c>
      <c r="C850" s="6" t="s">
        <v>75</v>
      </c>
    </row>
    <row r="851" spans="1:3" x14ac:dyDescent="0.25">
      <c r="A851" s="15" t="s">
        <v>734</v>
      </c>
      <c r="B851" s="6" t="s">
        <v>1016</v>
      </c>
      <c r="C851" s="6" t="s">
        <v>75</v>
      </c>
    </row>
    <row r="852" spans="1:3" x14ac:dyDescent="0.25">
      <c r="A852" s="15" t="s">
        <v>735</v>
      </c>
      <c r="B852" s="6" t="s">
        <v>1003</v>
      </c>
      <c r="C852" s="6" t="s">
        <v>75</v>
      </c>
    </row>
    <row r="853" spans="1:3" x14ac:dyDescent="0.25">
      <c r="A853" s="15" t="s">
        <v>736</v>
      </c>
      <c r="B853" s="6" t="s">
        <v>1014</v>
      </c>
      <c r="C853" s="6" t="s">
        <v>75</v>
      </c>
    </row>
    <row r="854" spans="1:3" x14ac:dyDescent="0.25">
      <c r="A854" s="15" t="s">
        <v>737</v>
      </c>
      <c r="B854" s="6" t="s">
        <v>66</v>
      </c>
      <c r="C854" s="6" t="s">
        <v>75</v>
      </c>
    </row>
    <row r="855" spans="1:3" x14ac:dyDescent="0.25">
      <c r="A855" s="15" t="s">
        <v>738</v>
      </c>
      <c r="B855" s="6" t="s">
        <v>70</v>
      </c>
      <c r="C855" s="6" t="s">
        <v>75</v>
      </c>
    </row>
    <row r="856" spans="1:3" x14ac:dyDescent="0.25">
      <c r="A856" s="15" t="s">
        <v>739</v>
      </c>
      <c r="B856" s="6" t="s">
        <v>1005</v>
      </c>
      <c r="C856" s="6" t="s">
        <v>75</v>
      </c>
    </row>
    <row r="857" spans="1:3" x14ac:dyDescent="0.25">
      <c r="A857" s="15" t="s">
        <v>740</v>
      </c>
      <c r="B857" s="6" t="s">
        <v>1013</v>
      </c>
      <c r="C857" s="6" t="s">
        <v>75</v>
      </c>
    </row>
    <row r="858" spans="1:3" x14ac:dyDescent="0.25">
      <c r="A858" s="15" t="s">
        <v>741</v>
      </c>
      <c r="B858" s="6" t="s">
        <v>66</v>
      </c>
      <c r="C858" s="6" t="s">
        <v>75</v>
      </c>
    </row>
    <row r="859" spans="1:3" x14ac:dyDescent="0.25">
      <c r="A859" s="15" t="s">
        <v>1193</v>
      </c>
      <c r="B859" s="6" t="s">
        <v>66</v>
      </c>
      <c r="C859" s="6" t="s">
        <v>174</v>
      </c>
    </row>
    <row r="860" spans="1:3" x14ac:dyDescent="0.25">
      <c r="A860" s="15" t="s">
        <v>742</v>
      </c>
      <c r="B860" s="6" t="s">
        <v>1006</v>
      </c>
      <c r="C860" s="6" t="s">
        <v>75</v>
      </c>
    </row>
    <row r="861" spans="1:3" x14ac:dyDescent="0.25">
      <c r="A861" s="15" t="s">
        <v>743</v>
      </c>
      <c r="B861" s="6" t="s">
        <v>1009</v>
      </c>
      <c r="C861" s="6" t="s">
        <v>75</v>
      </c>
    </row>
    <row r="862" spans="1:3" x14ac:dyDescent="0.25">
      <c r="A862" s="15" t="s">
        <v>744</v>
      </c>
      <c r="B862" s="6" t="s">
        <v>1010</v>
      </c>
      <c r="C862" s="6" t="s">
        <v>75</v>
      </c>
    </row>
    <row r="863" spans="1:3" x14ac:dyDescent="0.25">
      <c r="A863" s="15" t="s">
        <v>745</v>
      </c>
      <c r="B863" s="6" t="s">
        <v>1016</v>
      </c>
      <c r="C863" s="6" t="s">
        <v>75</v>
      </c>
    </row>
    <row r="864" spans="1:3" x14ac:dyDescent="0.25">
      <c r="A864" s="15" t="s">
        <v>746</v>
      </c>
      <c r="B864" s="6" t="s">
        <v>1010</v>
      </c>
      <c r="C864" s="6" t="s">
        <v>75</v>
      </c>
    </row>
    <row r="865" spans="1:3" x14ac:dyDescent="0.25">
      <c r="A865" s="15" t="s">
        <v>747</v>
      </c>
      <c r="B865" s="6" t="s">
        <v>1010</v>
      </c>
      <c r="C865" s="6" t="s">
        <v>75</v>
      </c>
    </row>
    <row r="866" spans="1:3" x14ac:dyDescent="0.25">
      <c r="A866" s="15" t="s">
        <v>748</v>
      </c>
      <c r="B866" s="6" t="s">
        <v>1005</v>
      </c>
      <c r="C866" s="6" t="s">
        <v>75</v>
      </c>
    </row>
    <row r="867" spans="1:3" x14ac:dyDescent="0.25">
      <c r="A867" s="15" t="s">
        <v>749</v>
      </c>
      <c r="B867" s="6" t="s">
        <v>1005</v>
      </c>
      <c r="C867" s="6" t="s">
        <v>75</v>
      </c>
    </row>
    <row r="868" spans="1:3" x14ac:dyDescent="0.25">
      <c r="A868" s="15" t="s">
        <v>750</v>
      </c>
      <c r="B868" s="6" t="s">
        <v>1025</v>
      </c>
      <c r="C868" s="6" t="s">
        <v>75</v>
      </c>
    </row>
    <row r="869" spans="1:3" x14ac:dyDescent="0.25">
      <c r="A869" s="15" t="s">
        <v>751</v>
      </c>
      <c r="B869" s="6" t="s">
        <v>66</v>
      </c>
      <c r="C869" s="6" t="s">
        <v>75</v>
      </c>
    </row>
    <row r="870" spans="1:3" x14ac:dyDescent="0.25">
      <c r="A870" s="15" t="s">
        <v>752</v>
      </c>
      <c r="B870" s="6" t="s">
        <v>1015</v>
      </c>
      <c r="C870" s="6" t="s">
        <v>75</v>
      </c>
    </row>
    <row r="871" spans="1:3" x14ac:dyDescent="0.25">
      <c r="A871" s="15" t="s">
        <v>753</v>
      </c>
      <c r="B871" s="6" t="s">
        <v>1019</v>
      </c>
      <c r="C871" s="6" t="s">
        <v>75</v>
      </c>
    </row>
    <row r="872" spans="1:3" x14ac:dyDescent="0.25">
      <c r="A872" s="15" t="s">
        <v>754</v>
      </c>
      <c r="B872" s="6" t="s">
        <v>66</v>
      </c>
      <c r="C872" s="6" t="s">
        <v>75</v>
      </c>
    </row>
    <row r="873" spans="1:3" x14ac:dyDescent="0.25">
      <c r="A873" s="15" t="s">
        <v>755</v>
      </c>
      <c r="B873" s="6" t="s">
        <v>1019</v>
      </c>
      <c r="C873" s="6" t="s">
        <v>75</v>
      </c>
    </row>
    <row r="874" spans="1:3" x14ac:dyDescent="0.25">
      <c r="A874" s="15" t="s">
        <v>756</v>
      </c>
      <c r="B874" s="6" t="s">
        <v>1012</v>
      </c>
      <c r="C874" s="6" t="s">
        <v>75</v>
      </c>
    </row>
    <row r="875" spans="1:3" x14ac:dyDescent="0.25">
      <c r="A875" s="15" t="s">
        <v>757</v>
      </c>
      <c r="B875" s="6" t="s">
        <v>1006</v>
      </c>
      <c r="C875" s="6" t="s">
        <v>75</v>
      </c>
    </row>
    <row r="876" spans="1:3" x14ac:dyDescent="0.25">
      <c r="A876" s="15" t="s">
        <v>758</v>
      </c>
      <c r="B876" s="6" t="s">
        <v>1005</v>
      </c>
      <c r="C876" s="6" t="s">
        <v>75</v>
      </c>
    </row>
    <row r="877" spans="1:3" x14ac:dyDescent="0.25">
      <c r="A877" s="15" t="s">
        <v>759</v>
      </c>
      <c r="B877" s="6" t="s">
        <v>66</v>
      </c>
      <c r="C877" s="6" t="s">
        <v>75</v>
      </c>
    </row>
    <row r="878" spans="1:3" x14ac:dyDescent="0.25">
      <c r="A878" s="15" t="s">
        <v>760</v>
      </c>
      <c r="B878" s="6" t="s">
        <v>1019</v>
      </c>
      <c r="C878" s="6" t="s">
        <v>75</v>
      </c>
    </row>
    <row r="879" spans="1:3" x14ac:dyDescent="0.25">
      <c r="A879" s="15" t="s">
        <v>761</v>
      </c>
      <c r="B879" s="6" t="s">
        <v>1016</v>
      </c>
      <c r="C879" s="6" t="s">
        <v>75</v>
      </c>
    </row>
    <row r="880" spans="1:3" x14ac:dyDescent="0.25">
      <c r="A880" s="15" t="s">
        <v>762</v>
      </c>
      <c r="B880" s="6" t="s">
        <v>70</v>
      </c>
      <c r="C880" s="6" t="s">
        <v>75</v>
      </c>
    </row>
    <row r="881" spans="1:3" x14ac:dyDescent="0.25">
      <c r="A881" s="15" t="s">
        <v>763</v>
      </c>
      <c r="B881" s="6" t="s">
        <v>1003</v>
      </c>
      <c r="C881" s="6" t="s">
        <v>75</v>
      </c>
    </row>
    <row r="882" spans="1:3" x14ac:dyDescent="0.25">
      <c r="A882" s="15" t="s">
        <v>764</v>
      </c>
      <c r="B882" s="6" t="s">
        <v>1016</v>
      </c>
      <c r="C882" s="6" t="s">
        <v>75</v>
      </c>
    </row>
    <row r="883" spans="1:3" x14ac:dyDescent="0.25">
      <c r="A883" s="15" t="s">
        <v>765</v>
      </c>
      <c r="B883" s="6" t="s">
        <v>1005</v>
      </c>
      <c r="C883" s="6" t="s">
        <v>75</v>
      </c>
    </row>
    <row r="884" spans="1:3" x14ac:dyDescent="0.25">
      <c r="A884" s="15" t="s">
        <v>766</v>
      </c>
      <c r="B884" s="6" t="s">
        <v>1003</v>
      </c>
      <c r="C884" s="6" t="s">
        <v>75</v>
      </c>
    </row>
    <row r="885" spans="1:3" x14ac:dyDescent="0.25">
      <c r="A885" s="15" t="s">
        <v>767</v>
      </c>
      <c r="B885" s="6" t="s">
        <v>1008</v>
      </c>
      <c r="C885" s="6" t="s">
        <v>75</v>
      </c>
    </row>
    <row r="886" spans="1:3" x14ac:dyDescent="0.25">
      <c r="A886" s="15" t="s">
        <v>768</v>
      </c>
      <c r="B886" s="6" t="s">
        <v>1003</v>
      </c>
      <c r="C886" s="6" t="s">
        <v>75</v>
      </c>
    </row>
    <row r="887" spans="1:3" x14ac:dyDescent="0.25">
      <c r="A887" s="15" t="s">
        <v>769</v>
      </c>
      <c r="B887" s="6" t="s">
        <v>1003</v>
      </c>
      <c r="C887" s="6" t="s">
        <v>75</v>
      </c>
    </row>
    <row r="888" spans="1:3" x14ac:dyDescent="0.25">
      <c r="A888" s="15" t="s">
        <v>770</v>
      </c>
      <c r="B888" s="6" t="s">
        <v>1017</v>
      </c>
      <c r="C888" s="6" t="s">
        <v>75</v>
      </c>
    </row>
    <row r="889" spans="1:3" x14ac:dyDescent="0.25">
      <c r="A889" s="15" t="s">
        <v>771</v>
      </c>
      <c r="B889" s="6" t="s">
        <v>1003</v>
      </c>
      <c r="C889" s="6" t="s">
        <v>75</v>
      </c>
    </row>
    <row r="890" spans="1:3" x14ac:dyDescent="0.25">
      <c r="A890" s="15" t="s">
        <v>772</v>
      </c>
      <c r="B890" s="6" t="s">
        <v>70</v>
      </c>
      <c r="C890" s="6" t="s">
        <v>75</v>
      </c>
    </row>
    <row r="891" spans="1:3" x14ac:dyDescent="0.25">
      <c r="A891" s="15" t="s">
        <v>773</v>
      </c>
      <c r="B891" s="6" t="s">
        <v>1003</v>
      </c>
      <c r="C891" s="6" t="s">
        <v>75</v>
      </c>
    </row>
    <row r="892" spans="1:3" x14ac:dyDescent="0.25">
      <c r="A892" s="15" t="s">
        <v>774</v>
      </c>
      <c r="B892" s="6" t="s">
        <v>1017</v>
      </c>
      <c r="C892" s="6" t="s">
        <v>75</v>
      </c>
    </row>
    <row r="893" spans="1:3" x14ac:dyDescent="0.25">
      <c r="A893" s="15" t="s">
        <v>775</v>
      </c>
      <c r="B893" s="6" t="s">
        <v>1003</v>
      </c>
      <c r="C893" s="6" t="s">
        <v>75</v>
      </c>
    </row>
    <row r="894" spans="1:3" x14ac:dyDescent="0.25">
      <c r="A894" s="15" t="s">
        <v>776</v>
      </c>
      <c r="B894" s="6" t="s">
        <v>1010</v>
      </c>
      <c r="C894" s="6" t="s">
        <v>75</v>
      </c>
    </row>
    <row r="895" spans="1:3" x14ac:dyDescent="0.25">
      <c r="A895" s="15" t="s">
        <v>777</v>
      </c>
      <c r="B895" s="6" t="s">
        <v>1010</v>
      </c>
      <c r="C895" s="6" t="s">
        <v>75</v>
      </c>
    </row>
    <row r="896" spans="1:3" x14ac:dyDescent="0.25">
      <c r="A896" s="15" t="s">
        <v>778</v>
      </c>
      <c r="B896" s="6" t="s">
        <v>1003</v>
      </c>
      <c r="C896" s="6" t="s">
        <v>75</v>
      </c>
    </row>
    <row r="897" spans="1:3" x14ac:dyDescent="0.25">
      <c r="A897" s="15" t="s">
        <v>779</v>
      </c>
      <c r="B897" s="6" t="s">
        <v>1009</v>
      </c>
      <c r="C897" s="6" t="s">
        <v>75</v>
      </c>
    </row>
    <row r="898" spans="1:3" x14ac:dyDescent="0.25">
      <c r="A898" s="15" t="s">
        <v>780</v>
      </c>
      <c r="B898" s="6" t="s">
        <v>1013</v>
      </c>
      <c r="C898" s="6" t="s">
        <v>75</v>
      </c>
    </row>
    <row r="899" spans="1:3" x14ac:dyDescent="0.25">
      <c r="A899" s="15" t="s">
        <v>781</v>
      </c>
      <c r="B899" s="6" t="s">
        <v>1006</v>
      </c>
      <c r="C899" s="6" t="s">
        <v>75</v>
      </c>
    </row>
    <row r="900" spans="1:3" x14ac:dyDescent="0.25">
      <c r="A900" s="15" t="s">
        <v>782</v>
      </c>
      <c r="B900" s="6" t="s">
        <v>1010</v>
      </c>
      <c r="C900" s="6" t="s">
        <v>75</v>
      </c>
    </row>
    <row r="901" spans="1:3" x14ac:dyDescent="0.25">
      <c r="A901" s="15" t="s">
        <v>783</v>
      </c>
      <c r="B901" s="6" t="s">
        <v>1003</v>
      </c>
      <c r="C901" s="6" t="s">
        <v>75</v>
      </c>
    </row>
    <row r="902" spans="1:3" x14ac:dyDescent="0.25">
      <c r="A902" s="15" t="s">
        <v>784</v>
      </c>
      <c r="B902" s="6" t="s">
        <v>1018</v>
      </c>
      <c r="C902" s="6" t="s">
        <v>75</v>
      </c>
    </row>
    <row r="903" spans="1:3" x14ac:dyDescent="0.25">
      <c r="A903" s="15" t="s">
        <v>785</v>
      </c>
      <c r="B903" s="6" t="s">
        <v>1016</v>
      </c>
      <c r="C903" s="6" t="s">
        <v>75</v>
      </c>
    </row>
    <row r="904" spans="1:3" x14ac:dyDescent="0.25">
      <c r="A904" s="15" t="s">
        <v>786</v>
      </c>
      <c r="B904" s="6" t="s">
        <v>1005</v>
      </c>
      <c r="C904" s="6" t="s">
        <v>75</v>
      </c>
    </row>
    <row r="905" spans="1:3" x14ac:dyDescent="0.25">
      <c r="A905" s="15" t="s">
        <v>787</v>
      </c>
      <c r="B905" s="6" t="s">
        <v>1025</v>
      </c>
      <c r="C905" s="6" t="s">
        <v>75</v>
      </c>
    </row>
    <row r="906" spans="1:3" x14ac:dyDescent="0.25">
      <c r="A906" s="15" t="s">
        <v>788</v>
      </c>
      <c r="B906" s="6" t="s">
        <v>70</v>
      </c>
      <c r="C906" s="6" t="s">
        <v>75</v>
      </c>
    </row>
    <row r="907" spans="1:3" x14ac:dyDescent="0.25">
      <c r="A907" s="15" t="s">
        <v>789</v>
      </c>
      <c r="B907" s="6" t="s">
        <v>1014</v>
      </c>
      <c r="C907" s="6" t="s">
        <v>75</v>
      </c>
    </row>
    <row r="908" spans="1:3" x14ac:dyDescent="0.25">
      <c r="A908" s="15" t="s">
        <v>790</v>
      </c>
      <c r="B908" s="6" t="s">
        <v>1019</v>
      </c>
      <c r="C908" s="6" t="s">
        <v>75</v>
      </c>
    </row>
    <row r="909" spans="1:3" x14ac:dyDescent="0.25">
      <c r="A909" s="15" t="s">
        <v>791</v>
      </c>
      <c r="B909" s="6" t="s">
        <v>1025</v>
      </c>
      <c r="C909" s="6" t="s">
        <v>75</v>
      </c>
    </row>
    <row r="910" spans="1:3" x14ac:dyDescent="0.25">
      <c r="A910" s="15" t="s">
        <v>792</v>
      </c>
      <c r="B910" s="6" t="s">
        <v>1009</v>
      </c>
      <c r="C910" s="6" t="s">
        <v>75</v>
      </c>
    </row>
    <row r="911" spans="1:3" x14ac:dyDescent="0.25">
      <c r="A911" s="15" t="s">
        <v>793</v>
      </c>
      <c r="B911" s="6" t="s">
        <v>1009</v>
      </c>
      <c r="C911" s="6" t="s">
        <v>75</v>
      </c>
    </row>
    <row r="912" spans="1:3" x14ac:dyDescent="0.25">
      <c r="A912" s="15" t="s">
        <v>794</v>
      </c>
      <c r="B912" s="6" t="s">
        <v>1004</v>
      </c>
      <c r="C912" s="6" t="s">
        <v>75</v>
      </c>
    </row>
    <row r="913" spans="1:3" x14ac:dyDescent="0.25">
      <c r="A913" s="15" t="s">
        <v>795</v>
      </c>
      <c r="B913" s="6" t="s">
        <v>66</v>
      </c>
      <c r="C913" s="6" t="s">
        <v>75</v>
      </c>
    </row>
    <row r="914" spans="1:3" x14ac:dyDescent="0.25">
      <c r="A914" s="15" t="s">
        <v>796</v>
      </c>
      <c r="B914" s="6" t="s">
        <v>1003</v>
      </c>
      <c r="C914" s="6" t="s">
        <v>75</v>
      </c>
    </row>
    <row r="915" spans="1:3" x14ac:dyDescent="0.25">
      <c r="A915" s="15" t="s">
        <v>797</v>
      </c>
      <c r="B915" s="6" t="s">
        <v>1007</v>
      </c>
      <c r="C915" s="6" t="s">
        <v>75</v>
      </c>
    </row>
    <row r="916" spans="1:3" x14ac:dyDescent="0.25">
      <c r="A916" s="15" t="s">
        <v>798</v>
      </c>
      <c r="B916" s="6" t="s">
        <v>1024</v>
      </c>
      <c r="C916" s="6" t="s">
        <v>75</v>
      </c>
    </row>
    <row r="917" spans="1:3" x14ac:dyDescent="0.25">
      <c r="A917" s="15" t="s">
        <v>799</v>
      </c>
      <c r="B917" s="6" t="s">
        <v>1013</v>
      </c>
      <c r="C917" s="6" t="s">
        <v>75</v>
      </c>
    </row>
    <row r="918" spans="1:3" x14ac:dyDescent="0.25">
      <c r="A918" s="15" t="s">
        <v>800</v>
      </c>
      <c r="B918" s="6" t="s">
        <v>1006</v>
      </c>
      <c r="C918" s="6" t="s">
        <v>75</v>
      </c>
    </row>
    <row r="919" spans="1:3" x14ac:dyDescent="0.25">
      <c r="A919" s="15" t="s">
        <v>801</v>
      </c>
      <c r="B919" s="6" t="s">
        <v>1003</v>
      </c>
      <c r="C919" s="6" t="s">
        <v>75</v>
      </c>
    </row>
    <row r="920" spans="1:3" x14ac:dyDescent="0.25">
      <c r="A920" s="15" t="s">
        <v>802</v>
      </c>
      <c r="B920" s="6" t="s">
        <v>1003</v>
      </c>
      <c r="C920" s="6" t="s">
        <v>75</v>
      </c>
    </row>
    <row r="921" spans="1:3" x14ac:dyDescent="0.25">
      <c r="A921" s="15" t="s">
        <v>803</v>
      </c>
      <c r="B921" s="6" t="s">
        <v>1003</v>
      </c>
      <c r="C921" s="6" t="s">
        <v>75</v>
      </c>
    </row>
    <row r="922" spans="1:3" x14ac:dyDescent="0.25">
      <c r="A922" s="15" t="s">
        <v>804</v>
      </c>
      <c r="B922" s="6" t="s">
        <v>1003</v>
      </c>
      <c r="C922" s="6" t="s">
        <v>75</v>
      </c>
    </row>
    <row r="923" spans="1:3" x14ac:dyDescent="0.25">
      <c r="A923" s="15" t="s">
        <v>805</v>
      </c>
      <c r="B923" s="6" t="s">
        <v>1010</v>
      </c>
      <c r="C923" s="6" t="s">
        <v>75</v>
      </c>
    </row>
    <row r="924" spans="1:3" x14ac:dyDescent="0.25">
      <c r="A924" s="15" t="s">
        <v>806</v>
      </c>
      <c r="B924" s="6" t="s">
        <v>1003</v>
      </c>
      <c r="C924" s="6" t="s">
        <v>75</v>
      </c>
    </row>
    <row r="925" spans="1:3" x14ac:dyDescent="0.25">
      <c r="A925" s="15" t="s">
        <v>807</v>
      </c>
      <c r="B925" s="6" t="s">
        <v>1003</v>
      </c>
      <c r="C925" s="6" t="s">
        <v>75</v>
      </c>
    </row>
    <row r="926" spans="1:3" x14ac:dyDescent="0.25">
      <c r="A926" s="15" t="s">
        <v>1194</v>
      </c>
      <c r="B926" s="6" t="s">
        <v>1007</v>
      </c>
      <c r="C926" s="6" t="s">
        <v>75</v>
      </c>
    </row>
    <row r="927" spans="1:3" x14ac:dyDescent="0.25">
      <c r="A927" s="15" t="s">
        <v>1195</v>
      </c>
      <c r="B927" s="6" t="s">
        <v>1009</v>
      </c>
      <c r="C927" s="6" t="s">
        <v>75</v>
      </c>
    </row>
    <row r="928" spans="1:3" x14ac:dyDescent="0.25">
      <c r="A928" s="15" t="s">
        <v>1196</v>
      </c>
      <c r="B928" s="6" t="s">
        <v>1005</v>
      </c>
      <c r="C928" s="6" t="s">
        <v>75</v>
      </c>
    </row>
    <row r="929" spans="1:3" x14ac:dyDescent="0.25">
      <c r="A929" s="15" t="s">
        <v>1197</v>
      </c>
      <c r="B929" s="6" t="s">
        <v>1003</v>
      </c>
      <c r="C929" s="6" t="s">
        <v>75</v>
      </c>
    </row>
    <row r="930" spans="1:3" x14ac:dyDescent="0.25">
      <c r="A930" s="15" t="s">
        <v>1198</v>
      </c>
      <c r="B930" s="6" t="s">
        <v>66</v>
      </c>
      <c r="C930" s="6" t="s">
        <v>75</v>
      </c>
    </row>
    <row r="931" spans="1:3" x14ac:dyDescent="0.25">
      <c r="A931" s="15" t="s">
        <v>1199</v>
      </c>
      <c r="B931" s="6" t="s">
        <v>1004</v>
      </c>
      <c r="C931" s="6" t="s">
        <v>75</v>
      </c>
    </row>
    <row r="932" spans="1:3" x14ac:dyDescent="0.25">
      <c r="A932" s="15" t="s">
        <v>1200</v>
      </c>
      <c r="B932" s="6" t="s">
        <v>70</v>
      </c>
      <c r="C932" s="6" t="s">
        <v>75</v>
      </c>
    </row>
    <row r="933" spans="1:3" x14ac:dyDescent="0.25">
      <c r="A933" s="15" t="s">
        <v>1201</v>
      </c>
      <c r="B933" s="6" t="s">
        <v>1006</v>
      </c>
      <c r="C933" s="6" t="s">
        <v>75</v>
      </c>
    </row>
    <row r="934" spans="1:3" x14ac:dyDescent="0.25">
      <c r="A934" s="15" t="s">
        <v>808</v>
      </c>
      <c r="B934" s="6" t="s">
        <v>1020</v>
      </c>
      <c r="C934" s="6" t="s">
        <v>75</v>
      </c>
    </row>
    <row r="935" spans="1:3" x14ac:dyDescent="0.25">
      <c r="A935" s="15" t="s">
        <v>809</v>
      </c>
      <c r="B935" s="6" t="s">
        <v>1023</v>
      </c>
      <c r="C935" s="6" t="s">
        <v>75</v>
      </c>
    </row>
    <row r="936" spans="1:3" x14ac:dyDescent="0.25">
      <c r="A936" s="15" t="s">
        <v>810</v>
      </c>
      <c r="B936" s="6" t="s">
        <v>1022</v>
      </c>
      <c r="C936" s="6" t="s">
        <v>75</v>
      </c>
    </row>
    <row r="937" spans="1:3" x14ac:dyDescent="0.25">
      <c r="A937" s="15" t="s">
        <v>1202</v>
      </c>
      <c r="B937" s="6" t="s">
        <v>1017</v>
      </c>
      <c r="C937" s="6" t="s">
        <v>75</v>
      </c>
    </row>
    <row r="938" spans="1:3" x14ac:dyDescent="0.25">
      <c r="A938" s="15" t="s">
        <v>811</v>
      </c>
      <c r="B938" s="6" t="s">
        <v>1021</v>
      </c>
      <c r="C938" s="6" t="s">
        <v>75</v>
      </c>
    </row>
    <row r="939" spans="1:3" x14ac:dyDescent="0.25">
      <c r="A939" s="15" t="s">
        <v>1203</v>
      </c>
      <c r="B939" s="6" t="s">
        <v>1014</v>
      </c>
      <c r="C939" s="6" t="s">
        <v>75</v>
      </c>
    </row>
    <row r="940" spans="1:3" x14ac:dyDescent="0.25">
      <c r="A940" s="15" t="s">
        <v>812</v>
      </c>
      <c r="B940" s="6" t="s">
        <v>1020</v>
      </c>
      <c r="C940" s="6" t="s">
        <v>75</v>
      </c>
    </row>
    <row r="941" spans="1:3" x14ac:dyDescent="0.25">
      <c r="A941" s="15" t="s">
        <v>813</v>
      </c>
      <c r="B941" s="6" t="s">
        <v>1025</v>
      </c>
      <c r="C941" s="6" t="s">
        <v>75</v>
      </c>
    </row>
    <row r="942" spans="1:3" x14ac:dyDescent="0.25">
      <c r="A942" s="15" t="s">
        <v>814</v>
      </c>
      <c r="B942" s="6" t="s">
        <v>1017</v>
      </c>
      <c r="C942" s="6" t="s">
        <v>75</v>
      </c>
    </row>
    <row r="943" spans="1:3" x14ac:dyDescent="0.25">
      <c r="A943" s="15" t="s">
        <v>815</v>
      </c>
      <c r="B943" s="6" t="s">
        <v>1027</v>
      </c>
      <c r="C943" s="6" t="s">
        <v>75</v>
      </c>
    </row>
    <row r="944" spans="1:3" x14ac:dyDescent="0.25">
      <c r="A944" s="15" t="s">
        <v>816</v>
      </c>
      <c r="B944" s="6" t="s">
        <v>1023</v>
      </c>
      <c r="C944" s="6" t="s">
        <v>75</v>
      </c>
    </row>
    <row r="945" spans="1:3" x14ac:dyDescent="0.25">
      <c r="A945" s="15" t="s">
        <v>817</v>
      </c>
      <c r="B945" s="6" t="s">
        <v>1004</v>
      </c>
      <c r="C945" s="6" t="s">
        <v>75</v>
      </c>
    </row>
    <row r="946" spans="1:3" x14ac:dyDescent="0.25">
      <c r="A946" s="15" t="s">
        <v>818</v>
      </c>
      <c r="B946" s="6" t="s">
        <v>1026</v>
      </c>
      <c r="C946" s="6" t="s">
        <v>75</v>
      </c>
    </row>
    <row r="947" spans="1:3" x14ac:dyDescent="0.25">
      <c r="A947" s="15" t="s">
        <v>819</v>
      </c>
      <c r="B947" s="6" t="s">
        <v>1022</v>
      </c>
      <c r="C947" s="6" t="s">
        <v>75</v>
      </c>
    </row>
    <row r="948" spans="1:3" x14ac:dyDescent="0.25">
      <c r="A948" s="15" t="s">
        <v>820</v>
      </c>
      <c r="B948" s="6" t="s">
        <v>70</v>
      </c>
      <c r="C948" s="6" t="s">
        <v>75</v>
      </c>
    </row>
    <row r="949" spans="1:3" x14ac:dyDescent="0.25">
      <c r="A949" s="15" t="s">
        <v>1204</v>
      </c>
      <c r="B949" s="6" t="s">
        <v>1008</v>
      </c>
      <c r="C949" s="6" t="s">
        <v>75</v>
      </c>
    </row>
    <row r="950" spans="1:3" x14ac:dyDescent="0.25">
      <c r="A950" s="15" t="s">
        <v>1205</v>
      </c>
      <c r="B950" s="6" t="s">
        <v>1019</v>
      </c>
      <c r="C950" s="6" t="s">
        <v>75</v>
      </c>
    </row>
    <row r="951" spans="1:3" x14ac:dyDescent="0.25">
      <c r="A951" s="15" t="s">
        <v>821</v>
      </c>
      <c r="B951" s="6" t="s">
        <v>1021</v>
      </c>
      <c r="C951" s="6" t="s">
        <v>75</v>
      </c>
    </row>
    <row r="952" spans="1:3" x14ac:dyDescent="0.25">
      <c r="A952" s="15" t="s">
        <v>822</v>
      </c>
      <c r="B952" s="6" t="s">
        <v>1034</v>
      </c>
      <c r="C952" s="6" t="s">
        <v>75</v>
      </c>
    </row>
    <row r="953" spans="1:3" x14ac:dyDescent="0.25">
      <c r="A953" s="15" t="s">
        <v>823</v>
      </c>
      <c r="B953" s="6" t="s">
        <v>1003</v>
      </c>
      <c r="C953" s="6" t="s">
        <v>75</v>
      </c>
    </row>
    <row r="954" spans="1:3" x14ac:dyDescent="0.25">
      <c r="A954" s="15" t="s">
        <v>1206</v>
      </c>
      <c r="B954" s="6" t="s">
        <v>1004</v>
      </c>
      <c r="C954" s="6" t="s">
        <v>75</v>
      </c>
    </row>
    <row r="955" spans="1:3" x14ac:dyDescent="0.25">
      <c r="A955" s="15" t="s">
        <v>1207</v>
      </c>
      <c r="B955" s="6" t="s">
        <v>1006</v>
      </c>
      <c r="C955" s="6" t="s">
        <v>75</v>
      </c>
    </row>
    <row r="956" spans="1:3" x14ac:dyDescent="0.25">
      <c r="A956" s="15" t="s">
        <v>1208</v>
      </c>
      <c r="B956" s="6" t="s">
        <v>1005</v>
      </c>
      <c r="C956" s="6" t="s">
        <v>75</v>
      </c>
    </row>
    <row r="957" spans="1:3" x14ac:dyDescent="0.25">
      <c r="A957" s="15" t="s">
        <v>824</v>
      </c>
      <c r="B957" s="6" t="s">
        <v>66</v>
      </c>
      <c r="C957" s="6" t="s">
        <v>75</v>
      </c>
    </row>
    <row r="958" spans="1:3" x14ac:dyDescent="0.25">
      <c r="A958" s="15" t="s">
        <v>1209</v>
      </c>
      <c r="B958" s="6" t="s">
        <v>1010</v>
      </c>
      <c r="C958" s="6" t="s">
        <v>75</v>
      </c>
    </row>
    <row r="959" spans="1:3" x14ac:dyDescent="0.25">
      <c r="A959" s="15" t="s">
        <v>825</v>
      </c>
      <c r="B959" s="6" t="s">
        <v>66</v>
      </c>
      <c r="C959" s="6" t="s">
        <v>75</v>
      </c>
    </row>
    <row r="960" spans="1:3" x14ac:dyDescent="0.25">
      <c r="A960" s="15" t="s">
        <v>1210</v>
      </c>
      <c r="B960" s="6" t="s">
        <v>1009</v>
      </c>
      <c r="C960" s="6" t="s">
        <v>75</v>
      </c>
    </row>
    <row r="961" spans="1:3" x14ac:dyDescent="0.25">
      <c r="A961" s="15" t="s">
        <v>1211</v>
      </c>
      <c r="B961" s="6" t="s">
        <v>70</v>
      </c>
      <c r="C961" s="6" t="s">
        <v>75</v>
      </c>
    </row>
    <row r="962" spans="1:3" x14ac:dyDescent="0.25">
      <c r="A962" s="15" t="s">
        <v>826</v>
      </c>
      <c r="B962" s="6" t="s">
        <v>66</v>
      </c>
      <c r="C962" s="6" t="s">
        <v>75</v>
      </c>
    </row>
    <row r="963" spans="1:3" x14ac:dyDescent="0.25">
      <c r="A963" s="15" t="s">
        <v>1212</v>
      </c>
      <c r="B963" s="6" t="s">
        <v>1004</v>
      </c>
      <c r="C963" s="6" t="s">
        <v>75</v>
      </c>
    </row>
    <row r="964" spans="1:3" x14ac:dyDescent="0.25">
      <c r="A964" s="15" t="s">
        <v>1213</v>
      </c>
      <c r="B964" s="6" t="s">
        <v>1004</v>
      </c>
      <c r="C964" s="6" t="s">
        <v>75</v>
      </c>
    </row>
    <row r="965" spans="1:3" x14ac:dyDescent="0.25">
      <c r="A965" s="15" t="s">
        <v>1214</v>
      </c>
      <c r="B965" s="6" t="s">
        <v>1006</v>
      </c>
      <c r="C965" s="6" t="s">
        <v>75</v>
      </c>
    </row>
    <row r="966" spans="1:3" x14ac:dyDescent="0.25">
      <c r="A966" s="15" t="s">
        <v>1215</v>
      </c>
      <c r="B966" s="6" t="s">
        <v>1005</v>
      </c>
      <c r="C966" s="6" t="s">
        <v>75</v>
      </c>
    </row>
    <row r="967" spans="1:3" x14ac:dyDescent="0.25">
      <c r="A967" s="15" t="s">
        <v>1216</v>
      </c>
      <c r="B967" s="6" t="s">
        <v>1004</v>
      </c>
      <c r="C967" s="6" t="s">
        <v>75</v>
      </c>
    </row>
    <row r="968" spans="1:3" x14ac:dyDescent="0.25">
      <c r="A968" s="15" t="s">
        <v>1217</v>
      </c>
      <c r="B968" s="6" t="s">
        <v>1006</v>
      </c>
      <c r="C968" s="6" t="s">
        <v>75</v>
      </c>
    </row>
    <row r="969" spans="1:3" x14ac:dyDescent="0.25">
      <c r="A969" s="15" t="s">
        <v>827</v>
      </c>
      <c r="B969" s="6" t="s">
        <v>66</v>
      </c>
      <c r="C969" s="6" t="s">
        <v>75</v>
      </c>
    </row>
    <row r="970" spans="1:3" x14ac:dyDescent="0.25">
      <c r="A970" s="15" t="s">
        <v>1218</v>
      </c>
      <c r="B970" s="6" t="s">
        <v>70</v>
      </c>
      <c r="C970" s="6" t="s">
        <v>75</v>
      </c>
    </row>
    <row r="971" spans="1:3" x14ac:dyDescent="0.25">
      <c r="A971" s="15" t="s">
        <v>1219</v>
      </c>
      <c r="B971" s="6" t="s">
        <v>1005</v>
      </c>
      <c r="C971" s="6" t="s">
        <v>75</v>
      </c>
    </row>
    <row r="972" spans="1:3" x14ac:dyDescent="0.25">
      <c r="A972" s="15" t="s">
        <v>1220</v>
      </c>
      <c r="B972" s="6" t="s">
        <v>1004</v>
      </c>
      <c r="C972" s="6" t="s">
        <v>75</v>
      </c>
    </row>
    <row r="973" spans="1:3" x14ac:dyDescent="0.25">
      <c r="A973" s="15" t="s">
        <v>1221</v>
      </c>
      <c r="B973" s="6" t="s">
        <v>1011</v>
      </c>
      <c r="C973" s="6" t="s">
        <v>75</v>
      </c>
    </row>
    <row r="974" spans="1:3" x14ac:dyDescent="0.25">
      <c r="A974" s="15" t="s">
        <v>828</v>
      </c>
      <c r="B974" s="6" t="s">
        <v>1003</v>
      </c>
      <c r="C974" s="6" t="s">
        <v>75</v>
      </c>
    </row>
    <row r="975" spans="1:3" x14ac:dyDescent="0.25">
      <c r="A975" s="15" t="s">
        <v>829</v>
      </c>
      <c r="B975" s="6" t="s">
        <v>1006</v>
      </c>
      <c r="C975" s="6" t="s">
        <v>75</v>
      </c>
    </row>
    <row r="976" spans="1:3" x14ac:dyDescent="0.25">
      <c r="A976" s="15" t="s">
        <v>830</v>
      </c>
      <c r="B976" s="6" t="s">
        <v>1004</v>
      </c>
      <c r="C976" s="6" t="s">
        <v>75</v>
      </c>
    </row>
    <row r="977" spans="1:3" x14ac:dyDescent="0.25">
      <c r="A977" s="15" t="s">
        <v>1222</v>
      </c>
      <c r="B977" s="6" t="s">
        <v>1006</v>
      </c>
      <c r="C977" s="6" t="s">
        <v>75</v>
      </c>
    </row>
    <row r="978" spans="1:3" x14ac:dyDescent="0.25">
      <c r="A978" s="15" t="s">
        <v>1223</v>
      </c>
      <c r="B978" s="6" t="s">
        <v>1005</v>
      </c>
      <c r="C978" s="6" t="s">
        <v>75</v>
      </c>
    </row>
    <row r="979" spans="1:3" x14ac:dyDescent="0.25">
      <c r="A979" s="15" t="s">
        <v>1224</v>
      </c>
      <c r="B979" s="6" t="s">
        <v>1007</v>
      </c>
      <c r="C979" s="6" t="s">
        <v>75</v>
      </c>
    </row>
    <row r="980" spans="1:3" x14ac:dyDescent="0.25">
      <c r="A980" s="15" t="s">
        <v>831</v>
      </c>
      <c r="B980" s="6" t="s">
        <v>1005</v>
      </c>
      <c r="C980" s="6" t="s">
        <v>75</v>
      </c>
    </row>
    <row r="981" spans="1:3" x14ac:dyDescent="0.25">
      <c r="A981" s="15" t="s">
        <v>1225</v>
      </c>
      <c r="B981" s="6" t="s">
        <v>1009</v>
      </c>
      <c r="C981" s="6" t="s">
        <v>75</v>
      </c>
    </row>
    <row r="982" spans="1:3" x14ac:dyDescent="0.25">
      <c r="A982" s="15" t="s">
        <v>832</v>
      </c>
      <c r="B982" s="6" t="s">
        <v>1004</v>
      </c>
      <c r="C982" s="6" t="s">
        <v>75</v>
      </c>
    </row>
    <row r="983" spans="1:3" x14ac:dyDescent="0.25">
      <c r="A983" s="15" t="s">
        <v>1226</v>
      </c>
      <c r="B983" s="6" t="s">
        <v>66</v>
      </c>
      <c r="C983" s="6" t="s">
        <v>174</v>
      </c>
    </row>
    <row r="984" spans="1:3" x14ac:dyDescent="0.25">
      <c r="A984" s="15" t="s">
        <v>1227</v>
      </c>
      <c r="B984" s="6" t="s">
        <v>1027</v>
      </c>
      <c r="C984" s="6" t="s">
        <v>75</v>
      </c>
    </row>
    <row r="985" spans="1:3" x14ac:dyDescent="0.25">
      <c r="A985" s="15" t="s">
        <v>1228</v>
      </c>
      <c r="B985" s="6" t="s">
        <v>1013</v>
      </c>
      <c r="C985" s="6" t="s">
        <v>75</v>
      </c>
    </row>
    <row r="986" spans="1:3" x14ac:dyDescent="0.25">
      <c r="A986" s="15" t="s">
        <v>1229</v>
      </c>
      <c r="B986" s="6" t="s">
        <v>1011</v>
      </c>
      <c r="C986" s="6" t="s">
        <v>75</v>
      </c>
    </row>
    <row r="987" spans="1:3" x14ac:dyDescent="0.25">
      <c r="A987" s="15" t="s">
        <v>1230</v>
      </c>
      <c r="B987" s="6" t="s">
        <v>1027</v>
      </c>
      <c r="C987" s="6" t="s">
        <v>75</v>
      </c>
    </row>
    <row r="988" spans="1:3" x14ac:dyDescent="0.25">
      <c r="A988" s="15" t="s">
        <v>833</v>
      </c>
      <c r="B988" s="6" t="s">
        <v>1021</v>
      </c>
      <c r="C988" s="6" t="s">
        <v>75</v>
      </c>
    </row>
    <row r="989" spans="1:3" x14ac:dyDescent="0.25">
      <c r="A989" s="16" t="s">
        <v>834</v>
      </c>
      <c r="B989" s="6" t="s">
        <v>66</v>
      </c>
      <c r="C989" s="6" t="s">
        <v>835</v>
      </c>
    </row>
    <row r="990" spans="1:3" x14ac:dyDescent="0.25">
      <c r="A990" s="17" t="s">
        <v>836</v>
      </c>
      <c r="B990" s="18" t="s">
        <v>66</v>
      </c>
      <c r="C990" s="6" t="s">
        <v>835</v>
      </c>
    </row>
    <row r="991" spans="1:3" x14ac:dyDescent="0.25">
      <c r="A991" s="16" t="s">
        <v>837</v>
      </c>
      <c r="B991" s="6" t="s">
        <v>66</v>
      </c>
      <c r="C991" s="6" t="s">
        <v>835</v>
      </c>
    </row>
    <row r="992" spans="1:3" x14ac:dyDescent="0.25">
      <c r="A992" s="17" t="s">
        <v>838</v>
      </c>
      <c r="B992" s="18" t="s">
        <v>66</v>
      </c>
      <c r="C992" s="6" t="s">
        <v>835</v>
      </c>
    </row>
    <row r="993" spans="1:3" x14ac:dyDescent="0.25">
      <c r="A993" s="17" t="s">
        <v>839</v>
      </c>
      <c r="B993" s="18" t="s">
        <v>66</v>
      </c>
      <c r="C993" s="6" t="s">
        <v>835</v>
      </c>
    </row>
    <row r="994" spans="1:3" x14ac:dyDescent="0.25">
      <c r="A994" s="16" t="s">
        <v>840</v>
      </c>
      <c r="B994" s="6" t="s">
        <v>1003</v>
      </c>
      <c r="C994" s="6" t="s">
        <v>835</v>
      </c>
    </row>
    <row r="995" spans="1:3" x14ac:dyDescent="0.25">
      <c r="A995" s="17" t="s">
        <v>841</v>
      </c>
      <c r="B995" s="18" t="s">
        <v>66</v>
      </c>
      <c r="C995" s="6" t="s">
        <v>835</v>
      </c>
    </row>
    <row r="996" spans="1:3" x14ac:dyDescent="0.25">
      <c r="A996" s="17" t="s">
        <v>842</v>
      </c>
      <c r="B996" s="18" t="s">
        <v>66</v>
      </c>
      <c r="C996" s="6" t="s">
        <v>835</v>
      </c>
    </row>
    <row r="997" spans="1:3" x14ac:dyDescent="0.25">
      <c r="A997" s="16" t="s">
        <v>843</v>
      </c>
      <c r="B997" s="18" t="s">
        <v>66</v>
      </c>
      <c r="C997" s="6" t="s">
        <v>835</v>
      </c>
    </row>
    <row r="998" spans="1:3" x14ac:dyDescent="0.25">
      <c r="A998" s="17" t="s">
        <v>844</v>
      </c>
      <c r="B998" s="6" t="s">
        <v>66</v>
      </c>
      <c r="C998" s="6" t="s">
        <v>835</v>
      </c>
    </row>
    <row r="999" spans="1:3" x14ac:dyDescent="0.25">
      <c r="A999" s="17" t="s">
        <v>845</v>
      </c>
      <c r="B999" s="18" t="s">
        <v>66</v>
      </c>
      <c r="C999" s="6" t="s">
        <v>835</v>
      </c>
    </row>
    <row r="1000" spans="1:3" x14ac:dyDescent="0.25">
      <c r="A1000" s="17" t="s">
        <v>846</v>
      </c>
      <c r="B1000" s="18" t="s">
        <v>66</v>
      </c>
      <c r="C1000" s="6" t="s">
        <v>835</v>
      </c>
    </row>
    <row r="1001" spans="1:3" x14ac:dyDescent="0.25">
      <c r="A1001" s="17" t="s">
        <v>1231</v>
      </c>
      <c r="B1001" s="18" t="s">
        <v>66</v>
      </c>
      <c r="C1001" s="6" t="s">
        <v>835</v>
      </c>
    </row>
    <row r="1002" spans="1:3" x14ac:dyDescent="0.25">
      <c r="A1002" s="17" t="s">
        <v>847</v>
      </c>
      <c r="B1002" s="18" t="s">
        <v>66</v>
      </c>
      <c r="C1002" s="6" t="s">
        <v>835</v>
      </c>
    </row>
    <row r="1003" spans="1:3" x14ac:dyDescent="0.25">
      <c r="A1003" s="16" t="s">
        <v>848</v>
      </c>
      <c r="B1003" s="18" t="s">
        <v>66</v>
      </c>
      <c r="C1003" s="6" t="s">
        <v>835</v>
      </c>
    </row>
    <row r="1004" spans="1:3" x14ac:dyDescent="0.25">
      <c r="A1004" s="17" t="s">
        <v>849</v>
      </c>
      <c r="B1004" s="18" t="s">
        <v>66</v>
      </c>
      <c r="C1004" s="6" t="s">
        <v>835</v>
      </c>
    </row>
    <row r="1005" spans="1:3" x14ac:dyDescent="0.25">
      <c r="A1005" s="16" t="s">
        <v>850</v>
      </c>
      <c r="B1005" s="6" t="s">
        <v>1026</v>
      </c>
      <c r="C1005" s="6" t="s">
        <v>75</v>
      </c>
    </row>
    <row r="1006" spans="1:3" x14ac:dyDescent="0.25">
      <c r="A1006" s="16" t="s">
        <v>851</v>
      </c>
      <c r="B1006" s="6" t="s">
        <v>1022</v>
      </c>
      <c r="C1006" s="6" t="s">
        <v>75</v>
      </c>
    </row>
    <row r="1007" spans="1:3" x14ac:dyDescent="0.25">
      <c r="A1007" s="16" t="s">
        <v>852</v>
      </c>
      <c r="B1007" s="6" t="s">
        <v>1037</v>
      </c>
      <c r="C1007" s="6" t="s">
        <v>75</v>
      </c>
    </row>
    <row r="1008" spans="1:3" x14ac:dyDescent="0.25">
      <c r="A1008" s="16" t="s">
        <v>1232</v>
      </c>
      <c r="B1008" s="6" t="s">
        <v>1016</v>
      </c>
      <c r="C1008" s="6" t="s">
        <v>75</v>
      </c>
    </row>
    <row r="1009" spans="1:3" x14ac:dyDescent="0.25">
      <c r="A1009" s="16" t="s">
        <v>853</v>
      </c>
      <c r="B1009" s="6" t="s">
        <v>1030</v>
      </c>
      <c r="C1009" s="6" t="s">
        <v>75</v>
      </c>
    </row>
    <row r="1010" spans="1:3" x14ac:dyDescent="0.25">
      <c r="A1010" s="16" t="s">
        <v>854</v>
      </c>
      <c r="B1010" s="6" t="s">
        <v>1025</v>
      </c>
      <c r="C1010" s="6" t="s">
        <v>75</v>
      </c>
    </row>
    <row r="1011" spans="1:3" x14ac:dyDescent="0.25">
      <c r="A1011" s="15" t="s">
        <v>1233</v>
      </c>
      <c r="B1011" s="6" t="s">
        <v>1006</v>
      </c>
      <c r="C1011" s="6" t="s">
        <v>75</v>
      </c>
    </row>
    <row r="1012" spans="1:3" x14ac:dyDescent="0.25">
      <c r="A1012" s="15" t="s">
        <v>855</v>
      </c>
      <c r="B1012" s="6" t="s">
        <v>1026</v>
      </c>
      <c r="C1012" s="6" t="s">
        <v>75</v>
      </c>
    </row>
    <row r="1013" spans="1:3" x14ac:dyDescent="0.25">
      <c r="A1013" s="15" t="s">
        <v>856</v>
      </c>
      <c r="B1013" s="6" t="s">
        <v>1022</v>
      </c>
      <c r="C1013" s="6" t="s">
        <v>75</v>
      </c>
    </row>
    <row r="1014" spans="1:3" x14ac:dyDescent="0.25">
      <c r="A1014" s="15" t="s">
        <v>1234</v>
      </c>
      <c r="B1014" s="6" t="s">
        <v>1015</v>
      </c>
      <c r="C1014" s="6" t="s">
        <v>75</v>
      </c>
    </row>
    <row r="1015" spans="1:3" x14ac:dyDescent="0.25">
      <c r="A1015" s="16" t="s">
        <v>857</v>
      </c>
      <c r="B1015" s="6" t="s">
        <v>1018</v>
      </c>
      <c r="C1015" s="6" t="s">
        <v>75</v>
      </c>
    </row>
    <row r="1016" spans="1:3" x14ac:dyDescent="0.25">
      <c r="A1016" s="16" t="s">
        <v>1235</v>
      </c>
      <c r="B1016" s="6" t="s">
        <v>1028</v>
      </c>
      <c r="C1016" s="6" t="s">
        <v>75</v>
      </c>
    </row>
    <row r="1017" spans="1:3" x14ac:dyDescent="0.25">
      <c r="A1017" s="16" t="s">
        <v>1236</v>
      </c>
      <c r="B1017" s="6" t="s">
        <v>1013</v>
      </c>
      <c r="C1017" s="6" t="s">
        <v>75</v>
      </c>
    </row>
    <row r="1018" spans="1:3" x14ac:dyDescent="0.25">
      <c r="A1018" s="15" t="s">
        <v>858</v>
      </c>
      <c r="B1018" s="6" t="s">
        <v>1003</v>
      </c>
      <c r="C1018" s="6" t="s">
        <v>75</v>
      </c>
    </row>
    <row r="1019" spans="1:3" x14ac:dyDescent="0.25">
      <c r="A1019" s="15" t="s">
        <v>859</v>
      </c>
      <c r="B1019" s="6" t="s">
        <v>66</v>
      </c>
      <c r="C1019" s="6" t="s">
        <v>75</v>
      </c>
    </row>
    <row r="1020" spans="1:3" x14ac:dyDescent="0.25">
      <c r="A1020" s="15" t="s">
        <v>860</v>
      </c>
      <c r="B1020" s="6" t="s">
        <v>66</v>
      </c>
      <c r="C1020" s="6" t="s">
        <v>75</v>
      </c>
    </row>
    <row r="1021" spans="1:3" x14ac:dyDescent="0.25">
      <c r="A1021" s="15" t="s">
        <v>861</v>
      </c>
      <c r="B1021" s="6" t="s">
        <v>1003</v>
      </c>
      <c r="C1021" s="6" t="s">
        <v>75</v>
      </c>
    </row>
    <row r="1022" spans="1:3" x14ac:dyDescent="0.25">
      <c r="A1022" s="15" t="s">
        <v>1237</v>
      </c>
      <c r="B1022" s="6" t="s">
        <v>1021</v>
      </c>
      <c r="C1022" s="6" t="s">
        <v>75</v>
      </c>
    </row>
    <row r="1023" spans="1:3" x14ac:dyDescent="0.25">
      <c r="A1023" s="15" t="s">
        <v>862</v>
      </c>
      <c r="B1023" s="6" t="s">
        <v>1003</v>
      </c>
      <c r="C1023" s="6" t="s">
        <v>75</v>
      </c>
    </row>
    <row r="1024" spans="1:3" x14ac:dyDescent="0.25">
      <c r="A1024" s="15" t="s">
        <v>863</v>
      </c>
      <c r="B1024" s="6" t="s">
        <v>66</v>
      </c>
      <c r="C1024" s="6" t="s">
        <v>75</v>
      </c>
    </row>
    <row r="1025" spans="1:3" x14ac:dyDescent="0.25">
      <c r="A1025" s="15" t="s">
        <v>864</v>
      </c>
      <c r="B1025" s="6" t="s">
        <v>70</v>
      </c>
      <c r="C1025" s="6" t="s">
        <v>75</v>
      </c>
    </row>
    <row r="1026" spans="1:3" x14ac:dyDescent="0.25">
      <c r="A1026" s="15" t="s">
        <v>1238</v>
      </c>
      <c r="B1026" s="6" t="s">
        <v>1016</v>
      </c>
      <c r="C1026" s="6" t="s">
        <v>75</v>
      </c>
    </row>
    <row r="1027" spans="1:3" x14ac:dyDescent="0.25">
      <c r="A1027" s="15" t="s">
        <v>865</v>
      </c>
      <c r="B1027" s="6" t="s">
        <v>66</v>
      </c>
      <c r="C1027" s="6" t="s">
        <v>75</v>
      </c>
    </row>
    <row r="1028" spans="1:3" x14ac:dyDescent="0.25">
      <c r="A1028" s="15" t="s">
        <v>1239</v>
      </c>
      <c r="B1028" s="6" t="s">
        <v>1026</v>
      </c>
      <c r="C1028" s="6" t="s">
        <v>75</v>
      </c>
    </row>
    <row r="1029" spans="1:3" x14ac:dyDescent="0.25">
      <c r="A1029" s="15" t="s">
        <v>1240</v>
      </c>
      <c r="B1029" s="6" t="s">
        <v>1020</v>
      </c>
      <c r="C1029" s="6" t="s">
        <v>75</v>
      </c>
    </row>
    <row r="1030" spans="1:3" x14ac:dyDescent="0.25">
      <c r="A1030" s="15" t="s">
        <v>866</v>
      </c>
      <c r="B1030" s="6" t="s">
        <v>1004</v>
      </c>
      <c r="C1030" s="6" t="s">
        <v>75</v>
      </c>
    </row>
    <row r="1031" spans="1:3" x14ac:dyDescent="0.25">
      <c r="A1031" s="15" t="s">
        <v>867</v>
      </c>
      <c r="B1031" s="6" t="s">
        <v>66</v>
      </c>
      <c r="C1031" s="6" t="s">
        <v>75</v>
      </c>
    </row>
    <row r="1032" spans="1:3" x14ac:dyDescent="0.25">
      <c r="A1032" s="15" t="s">
        <v>1241</v>
      </c>
      <c r="B1032" s="6" t="s">
        <v>1013</v>
      </c>
      <c r="C1032" s="6" t="s">
        <v>75</v>
      </c>
    </row>
    <row r="1033" spans="1:3" x14ac:dyDescent="0.25">
      <c r="A1033" s="15" t="s">
        <v>868</v>
      </c>
      <c r="B1033" s="6" t="s">
        <v>66</v>
      </c>
      <c r="C1033" s="6" t="s">
        <v>75</v>
      </c>
    </row>
    <row r="1034" spans="1:3" x14ac:dyDescent="0.25">
      <c r="A1034" s="15" t="s">
        <v>869</v>
      </c>
      <c r="B1034" s="6" t="s">
        <v>1003</v>
      </c>
      <c r="C1034" s="6" t="s">
        <v>75</v>
      </c>
    </row>
    <row r="1035" spans="1:3" x14ac:dyDescent="0.25">
      <c r="A1035" s="15" t="s">
        <v>870</v>
      </c>
      <c r="B1035" s="18" t="s">
        <v>66</v>
      </c>
      <c r="C1035" s="6" t="s">
        <v>75</v>
      </c>
    </row>
    <row r="1036" spans="1:3" x14ac:dyDescent="0.25">
      <c r="A1036" s="15" t="s">
        <v>1242</v>
      </c>
      <c r="B1036" s="6" t="s">
        <v>66</v>
      </c>
      <c r="C1036" s="6" t="s">
        <v>75</v>
      </c>
    </row>
    <row r="1037" spans="1:3" x14ac:dyDescent="0.25">
      <c r="A1037" s="15" t="s">
        <v>871</v>
      </c>
      <c r="B1037" s="6" t="s">
        <v>1003</v>
      </c>
      <c r="C1037" s="6" t="s">
        <v>75</v>
      </c>
    </row>
    <row r="1038" spans="1:3" x14ac:dyDescent="0.25">
      <c r="A1038" s="15" t="s">
        <v>872</v>
      </c>
      <c r="B1038" s="6" t="s">
        <v>1003</v>
      </c>
      <c r="C1038" s="6" t="s">
        <v>75</v>
      </c>
    </row>
    <row r="1039" spans="1:3" x14ac:dyDescent="0.25">
      <c r="A1039" s="15" t="s">
        <v>873</v>
      </c>
      <c r="B1039" s="6" t="s">
        <v>66</v>
      </c>
      <c r="C1039" s="6" t="s">
        <v>75</v>
      </c>
    </row>
    <row r="1040" spans="1:3" x14ac:dyDescent="0.25">
      <c r="A1040" s="15" t="s">
        <v>1243</v>
      </c>
      <c r="B1040" s="6" t="s">
        <v>1027</v>
      </c>
      <c r="C1040" s="6" t="s">
        <v>75</v>
      </c>
    </row>
    <row r="1041" spans="1:3" x14ac:dyDescent="0.25">
      <c r="A1041" s="15" t="s">
        <v>874</v>
      </c>
      <c r="B1041" s="6" t="s">
        <v>1018</v>
      </c>
      <c r="C1041" s="6" t="s">
        <v>75</v>
      </c>
    </row>
    <row r="1042" spans="1:3" x14ac:dyDescent="0.25">
      <c r="A1042" s="15" t="s">
        <v>875</v>
      </c>
      <c r="B1042" s="6" t="s">
        <v>1005</v>
      </c>
      <c r="C1042" s="6" t="s">
        <v>75</v>
      </c>
    </row>
    <row r="1043" spans="1:3" x14ac:dyDescent="0.25">
      <c r="A1043" s="15" t="s">
        <v>876</v>
      </c>
      <c r="B1043" s="6" t="s">
        <v>1028</v>
      </c>
      <c r="C1043" s="6" t="s">
        <v>75</v>
      </c>
    </row>
    <row r="1044" spans="1:3" x14ac:dyDescent="0.25">
      <c r="A1044" s="15" t="s">
        <v>877</v>
      </c>
      <c r="B1044" s="6" t="s">
        <v>1003</v>
      </c>
      <c r="C1044" s="6" t="s">
        <v>75</v>
      </c>
    </row>
    <row r="1045" spans="1:3" x14ac:dyDescent="0.25">
      <c r="A1045" s="15" t="s">
        <v>1244</v>
      </c>
      <c r="B1045" s="6" t="s">
        <v>1032</v>
      </c>
      <c r="C1045" s="6" t="s">
        <v>75</v>
      </c>
    </row>
    <row r="1046" spans="1:3" x14ac:dyDescent="0.25">
      <c r="A1046" s="15" t="s">
        <v>1245</v>
      </c>
      <c r="B1046" s="6" t="s">
        <v>66</v>
      </c>
      <c r="C1046" s="6" t="s">
        <v>75</v>
      </c>
    </row>
    <row r="1047" spans="1:3" x14ac:dyDescent="0.25">
      <c r="A1047" s="15" t="s">
        <v>878</v>
      </c>
      <c r="B1047" s="6" t="s">
        <v>70</v>
      </c>
      <c r="C1047" s="6" t="s">
        <v>75</v>
      </c>
    </row>
    <row r="1048" spans="1:3" x14ac:dyDescent="0.25">
      <c r="A1048" s="15" t="s">
        <v>1246</v>
      </c>
      <c r="B1048" s="6" t="s">
        <v>1031</v>
      </c>
      <c r="C1048" s="6" t="s">
        <v>75</v>
      </c>
    </row>
    <row r="1049" spans="1:3" x14ac:dyDescent="0.25">
      <c r="A1049" s="15" t="s">
        <v>879</v>
      </c>
      <c r="B1049" s="6" t="s">
        <v>66</v>
      </c>
      <c r="C1049" s="6" t="s">
        <v>75</v>
      </c>
    </row>
    <row r="1050" spans="1:3" x14ac:dyDescent="0.25">
      <c r="A1050" s="15" t="s">
        <v>880</v>
      </c>
      <c r="B1050" s="6" t="s">
        <v>66</v>
      </c>
      <c r="C1050" s="6" t="s">
        <v>75</v>
      </c>
    </row>
    <row r="1051" spans="1:3" x14ac:dyDescent="0.25">
      <c r="A1051" s="15" t="s">
        <v>1247</v>
      </c>
      <c r="B1051" s="6" t="s">
        <v>1013</v>
      </c>
      <c r="C1051" s="6" t="s">
        <v>75</v>
      </c>
    </row>
    <row r="1052" spans="1:3" x14ac:dyDescent="0.25">
      <c r="A1052" s="15" t="s">
        <v>1248</v>
      </c>
      <c r="B1052" s="6" t="s">
        <v>66</v>
      </c>
      <c r="C1052" s="6" t="s">
        <v>75</v>
      </c>
    </row>
    <row r="1053" spans="1:3" x14ac:dyDescent="0.25">
      <c r="A1053" s="15" t="s">
        <v>1249</v>
      </c>
      <c r="B1053" s="6" t="s">
        <v>1033</v>
      </c>
      <c r="C1053" s="6" t="s">
        <v>75</v>
      </c>
    </row>
    <row r="1054" spans="1:3" x14ac:dyDescent="0.25">
      <c r="A1054" s="15" t="s">
        <v>881</v>
      </c>
      <c r="B1054" s="6" t="s">
        <v>66</v>
      </c>
      <c r="C1054" s="6" t="s">
        <v>75</v>
      </c>
    </row>
    <row r="1055" spans="1:3" x14ac:dyDescent="0.25">
      <c r="A1055" s="15" t="s">
        <v>882</v>
      </c>
      <c r="B1055" s="6" t="s">
        <v>66</v>
      </c>
      <c r="C1055" s="6" t="s">
        <v>75</v>
      </c>
    </row>
    <row r="1056" spans="1:3" x14ac:dyDescent="0.25">
      <c r="A1056" s="15" t="s">
        <v>883</v>
      </c>
      <c r="B1056" s="6" t="s">
        <v>66</v>
      </c>
      <c r="C1056" s="6" t="s">
        <v>75</v>
      </c>
    </row>
    <row r="1057" spans="1:3" x14ac:dyDescent="0.25">
      <c r="A1057" s="15" t="s">
        <v>884</v>
      </c>
      <c r="B1057" s="6" t="s">
        <v>66</v>
      </c>
      <c r="C1057" s="6" t="s">
        <v>75</v>
      </c>
    </row>
    <row r="1058" spans="1:3" x14ac:dyDescent="0.25">
      <c r="A1058" s="15" t="s">
        <v>885</v>
      </c>
      <c r="B1058" s="6" t="s">
        <v>66</v>
      </c>
      <c r="C1058" s="6" t="s">
        <v>75</v>
      </c>
    </row>
    <row r="1059" spans="1:3" x14ac:dyDescent="0.25">
      <c r="A1059" s="15" t="s">
        <v>886</v>
      </c>
      <c r="B1059" s="6" t="s">
        <v>1003</v>
      </c>
      <c r="C1059" s="6" t="s">
        <v>75</v>
      </c>
    </row>
    <row r="1060" spans="1:3" x14ac:dyDescent="0.25">
      <c r="A1060" s="15" t="s">
        <v>887</v>
      </c>
      <c r="B1060" s="6" t="s">
        <v>66</v>
      </c>
      <c r="C1060" s="6" t="s">
        <v>75</v>
      </c>
    </row>
    <row r="1061" spans="1:3" x14ac:dyDescent="0.25">
      <c r="A1061" s="15" t="s">
        <v>888</v>
      </c>
      <c r="B1061" s="6" t="s">
        <v>66</v>
      </c>
      <c r="C1061" s="6" t="s">
        <v>75</v>
      </c>
    </row>
    <row r="1062" spans="1:3" x14ac:dyDescent="0.25">
      <c r="A1062" s="15" t="s">
        <v>889</v>
      </c>
      <c r="B1062" s="6" t="s">
        <v>66</v>
      </c>
      <c r="C1062" s="6" t="s">
        <v>75</v>
      </c>
    </row>
    <row r="1063" spans="1:3" x14ac:dyDescent="0.25">
      <c r="A1063" s="15" t="s">
        <v>890</v>
      </c>
      <c r="B1063" s="6" t="s">
        <v>66</v>
      </c>
      <c r="C1063" s="6" t="s">
        <v>75</v>
      </c>
    </row>
    <row r="1064" spans="1:3" x14ac:dyDescent="0.25">
      <c r="A1064" s="15" t="s">
        <v>891</v>
      </c>
      <c r="B1064" s="6" t="s">
        <v>1006</v>
      </c>
      <c r="C1064" s="6" t="s">
        <v>75</v>
      </c>
    </row>
    <row r="1065" spans="1:3" x14ac:dyDescent="0.25">
      <c r="A1065" s="15" t="s">
        <v>892</v>
      </c>
      <c r="B1065" s="6" t="s">
        <v>66</v>
      </c>
      <c r="C1065" s="6" t="s">
        <v>75</v>
      </c>
    </row>
    <row r="1066" spans="1:3" x14ac:dyDescent="0.25">
      <c r="A1066" s="15" t="s">
        <v>893</v>
      </c>
      <c r="B1066" s="6" t="s">
        <v>1004</v>
      </c>
      <c r="C1066" s="6" t="s">
        <v>75</v>
      </c>
    </row>
    <row r="1067" spans="1:3" x14ac:dyDescent="0.25">
      <c r="A1067" s="15" t="s">
        <v>894</v>
      </c>
      <c r="B1067" s="6" t="s">
        <v>70</v>
      </c>
      <c r="C1067" s="6" t="s">
        <v>75</v>
      </c>
    </row>
    <row r="1068" spans="1:3" x14ac:dyDescent="0.25">
      <c r="A1068" s="15" t="s">
        <v>895</v>
      </c>
      <c r="B1068" s="6" t="s">
        <v>66</v>
      </c>
      <c r="C1068" s="6" t="s">
        <v>75</v>
      </c>
    </row>
    <row r="1069" spans="1:3" x14ac:dyDescent="0.25">
      <c r="A1069" s="15" t="s">
        <v>1250</v>
      </c>
      <c r="B1069" s="6" t="s">
        <v>1003</v>
      </c>
      <c r="C1069" s="6" t="s">
        <v>75</v>
      </c>
    </row>
    <row r="1070" spans="1:3" x14ac:dyDescent="0.25">
      <c r="A1070" s="15" t="s">
        <v>896</v>
      </c>
      <c r="B1070" s="6" t="s">
        <v>1003</v>
      </c>
      <c r="C1070" s="6" t="s">
        <v>75</v>
      </c>
    </row>
    <row r="1071" spans="1:3" x14ac:dyDescent="0.25">
      <c r="A1071" s="15" t="s">
        <v>897</v>
      </c>
      <c r="B1071" s="6" t="s">
        <v>66</v>
      </c>
      <c r="C1071" s="6" t="s">
        <v>75</v>
      </c>
    </row>
    <row r="1072" spans="1:3" x14ac:dyDescent="0.25">
      <c r="A1072" s="15" t="s">
        <v>898</v>
      </c>
      <c r="B1072" s="6" t="s">
        <v>1003</v>
      </c>
      <c r="C1072" s="6" t="s">
        <v>75</v>
      </c>
    </row>
    <row r="1073" spans="1:3" x14ac:dyDescent="0.25">
      <c r="A1073" s="15" t="s">
        <v>1251</v>
      </c>
      <c r="B1073" s="6" t="s">
        <v>1010</v>
      </c>
      <c r="C1073" s="6" t="s">
        <v>75</v>
      </c>
    </row>
    <row r="1074" spans="1:3" x14ac:dyDescent="0.25">
      <c r="A1074" s="15" t="s">
        <v>899</v>
      </c>
      <c r="B1074" s="6" t="s">
        <v>1023</v>
      </c>
      <c r="C1074" s="6" t="s">
        <v>75</v>
      </c>
    </row>
    <row r="1075" spans="1:3" x14ac:dyDescent="0.25">
      <c r="A1075" s="15" t="s">
        <v>900</v>
      </c>
      <c r="B1075" s="6" t="s">
        <v>66</v>
      </c>
      <c r="C1075" s="6" t="s">
        <v>75</v>
      </c>
    </row>
    <row r="1076" spans="1:3" x14ac:dyDescent="0.25">
      <c r="A1076" s="15" t="s">
        <v>901</v>
      </c>
      <c r="B1076" s="6" t="s">
        <v>1030</v>
      </c>
      <c r="C1076" s="6" t="s">
        <v>75</v>
      </c>
    </row>
    <row r="1077" spans="1:3" x14ac:dyDescent="0.25">
      <c r="A1077" s="15" t="s">
        <v>902</v>
      </c>
      <c r="B1077" s="6" t="s">
        <v>66</v>
      </c>
      <c r="C1077" s="6" t="s">
        <v>75</v>
      </c>
    </row>
    <row r="1078" spans="1:3" x14ac:dyDescent="0.25">
      <c r="A1078" s="15" t="s">
        <v>903</v>
      </c>
      <c r="B1078" s="6" t="s">
        <v>66</v>
      </c>
      <c r="C1078" s="6" t="s">
        <v>75</v>
      </c>
    </row>
    <row r="1079" spans="1:3" x14ac:dyDescent="0.25">
      <c r="A1079" s="15" t="s">
        <v>904</v>
      </c>
      <c r="B1079" s="6" t="s">
        <v>66</v>
      </c>
      <c r="C1079" s="6" t="s">
        <v>75</v>
      </c>
    </row>
    <row r="1080" spans="1:3" x14ac:dyDescent="0.25">
      <c r="A1080" s="15" t="s">
        <v>905</v>
      </c>
      <c r="B1080" s="6" t="s">
        <v>66</v>
      </c>
      <c r="C1080" s="6" t="s">
        <v>75</v>
      </c>
    </row>
    <row r="1081" spans="1:3" x14ac:dyDescent="0.25">
      <c r="A1081" s="15" t="s">
        <v>906</v>
      </c>
      <c r="B1081" s="6" t="s">
        <v>1003</v>
      </c>
      <c r="C1081" s="6" t="s">
        <v>75</v>
      </c>
    </row>
    <row r="1082" spans="1:3" x14ac:dyDescent="0.25">
      <c r="A1082" s="15" t="s">
        <v>907</v>
      </c>
      <c r="B1082" s="6" t="s">
        <v>70</v>
      </c>
      <c r="C1082" s="6" t="s">
        <v>75</v>
      </c>
    </row>
    <row r="1083" spans="1:3" x14ac:dyDescent="0.25">
      <c r="A1083" s="15" t="s">
        <v>908</v>
      </c>
      <c r="B1083" s="6" t="s">
        <v>1003</v>
      </c>
      <c r="C1083" s="6" t="s">
        <v>75</v>
      </c>
    </row>
    <row r="1084" spans="1:3" x14ac:dyDescent="0.25">
      <c r="A1084" s="15" t="s">
        <v>909</v>
      </c>
      <c r="B1084" s="6" t="s">
        <v>1004</v>
      </c>
      <c r="C1084" s="6" t="s">
        <v>75</v>
      </c>
    </row>
    <row r="1085" spans="1:3" x14ac:dyDescent="0.25">
      <c r="A1085" s="15" t="s">
        <v>910</v>
      </c>
      <c r="B1085" s="6" t="s">
        <v>1006</v>
      </c>
      <c r="C1085" s="6" t="s">
        <v>75</v>
      </c>
    </row>
    <row r="1086" spans="1:3" x14ac:dyDescent="0.25">
      <c r="A1086" s="15" t="s">
        <v>911</v>
      </c>
      <c r="B1086" s="6" t="s">
        <v>1005</v>
      </c>
      <c r="C1086" s="6" t="s">
        <v>75</v>
      </c>
    </row>
    <row r="1087" spans="1:3" x14ac:dyDescent="0.25">
      <c r="A1087" s="15" t="s">
        <v>912</v>
      </c>
      <c r="B1087" s="6" t="s">
        <v>66</v>
      </c>
      <c r="C1087" s="6" t="s">
        <v>75</v>
      </c>
    </row>
    <row r="1088" spans="1:3" x14ac:dyDescent="0.25">
      <c r="A1088" s="15" t="s">
        <v>913</v>
      </c>
      <c r="B1088" s="6" t="s">
        <v>66</v>
      </c>
      <c r="C1088" s="6" t="s">
        <v>75</v>
      </c>
    </row>
    <row r="1089" spans="1:3" x14ac:dyDescent="0.25">
      <c r="A1089" s="15" t="s">
        <v>1252</v>
      </c>
      <c r="B1089" s="6" t="s">
        <v>66</v>
      </c>
      <c r="C1089" s="6" t="s">
        <v>75</v>
      </c>
    </row>
    <row r="1090" spans="1:3" x14ac:dyDescent="0.25">
      <c r="A1090" s="15" t="s">
        <v>1253</v>
      </c>
      <c r="B1090" s="6" t="s">
        <v>1003</v>
      </c>
      <c r="C1090" s="6" t="s">
        <v>75</v>
      </c>
    </row>
    <row r="1091" spans="1:3" x14ac:dyDescent="0.25">
      <c r="A1091" s="15" t="s">
        <v>914</v>
      </c>
      <c r="B1091" s="6" t="s">
        <v>1003</v>
      </c>
      <c r="C1091" s="6" t="s">
        <v>75</v>
      </c>
    </row>
    <row r="1092" spans="1:3" x14ac:dyDescent="0.25">
      <c r="A1092" s="15" t="s">
        <v>915</v>
      </c>
      <c r="B1092" s="6" t="s">
        <v>1003</v>
      </c>
      <c r="C1092" s="6" t="s">
        <v>75</v>
      </c>
    </row>
    <row r="1093" spans="1:3" x14ac:dyDescent="0.25">
      <c r="A1093" s="15" t="s">
        <v>916</v>
      </c>
      <c r="B1093" s="6" t="s">
        <v>1005</v>
      </c>
      <c r="C1093" s="6" t="s">
        <v>75</v>
      </c>
    </row>
    <row r="1094" spans="1:3" x14ac:dyDescent="0.25">
      <c r="A1094" s="15" t="s">
        <v>917</v>
      </c>
      <c r="B1094" s="6" t="s">
        <v>66</v>
      </c>
      <c r="C1094" s="6" t="s">
        <v>75</v>
      </c>
    </row>
    <row r="1095" spans="1:3" x14ac:dyDescent="0.25">
      <c r="A1095" s="15" t="s">
        <v>918</v>
      </c>
      <c r="B1095" s="6" t="s">
        <v>66</v>
      </c>
      <c r="C1095" s="6" t="s">
        <v>75</v>
      </c>
    </row>
    <row r="1096" spans="1:3" x14ac:dyDescent="0.25">
      <c r="A1096" s="15" t="s">
        <v>919</v>
      </c>
      <c r="B1096" s="6" t="s">
        <v>66</v>
      </c>
      <c r="C1096" s="6" t="s">
        <v>75</v>
      </c>
    </row>
    <row r="1097" spans="1:3" x14ac:dyDescent="0.25">
      <c r="A1097" s="15" t="s">
        <v>920</v>
      </c>
      <c r="B1097" s="6" t="s">
        <v>66</v>
      </c>
      <c r="C1097" s="6" t="s">
        <v>75</v>
      </c>
    </row>
    <row r="1098" spans="1:3" x14ac:dyDescent="0.25">
      <c r="A1098" s="15" t="s">
        <v>921</v>
      </c>
      <c r="B1098" s="6" t="s">
        <v>66</v>
      </c>
      <c r="C1098" s="6" t="s">
        <v>75</v>
      </c>
    </row>
    <row r="1099" spans="1:3" x14ac:dyDescent="0.25">
      <c r="A1099" s="15" t="s">
        <v>922</v>
      </c>
      <c r="B1099" s="6" t="s">
        <v>66</v>
      </c>
      <c r="C1099" s="6" t="s">
        <v>75</v>
      </c>
    </row>
    <row r="1100" spans="1:3" x14ac:dyDescent="0.25">
      <c r="A1100" s="15" t="s">
        <v>923</v>
      </c>
      <c r="B1100" s="6" t="s">
        <v>1025</v>
      </c>
      <c r="C1100" s="6" t="s">
        <v>75</v>
      </c>
    </row>
    <row r="1101" spans="1:3" x14ac:dyDescent="0.25">
      <c r="A1101" s="15" t="s">
        <v>924</v>
      </c>
      <c r="B1101" s="6" t="s">
        <v>1024</v>
      </c>
      <c r="C1101" s="6" t="s">
        <v>75</v>
      </c>
    </row>
    <row r="1102" spans="1:3" x14ac:dyDescent="0.25">
      <c r="A1102" s="15" t="s">
        <v>1254</v>
      </c>
      <c r="B1102" s="6" t="s">
        <v>1015</v>
      </c>
      <c r="C1102" s="6" t="s">
        <v>75</v>
      </c>
    </row>
    <row r="1103" spans="1:3" x14ac:dyDescent="0.25">
      <c r="A1103" s="15" t="s">
        <v>1255</v>
      </c>
      <c r="B1103" s="6" t="s">
        <v>1022</v>
      </c>
      <c r="C1103" s="6" t="s">
        <v>75</v>
      </c>
    </row>
    <row r="1104" spans="1:3" x14ac:dyDescent="0.25">
      <c r="A1104" s="15" t="s">
        <v>925</v>
      </c>
      <c r="B1104" s="6" t="s">
        <v>1029</v>
      </c>
      <c r="C1104" s="6" t="s">
        <v>75</v>
      </c>
    </row>
    <row r="1105" spans="1:3" x14ac:dyDescent="0.25">
      <c r="A1105" s="15" t="s">
        <v>1256</v>
      </c>
      <c r="B1105" s="6" t="s">
        <v>66</v>
      </c>
      <c r="C1105" s="6" t="s">
        <v>75</v>
      </c>
    </row>
    <row r="1106" spans="1:3" x14ac:dyDescent="0.25">
      <c r="A1106" s="15" t="s">
        <v>926</v>
      </c>
      <c r="B1106" s="6" t="s">
        <v>1004</v>
      </c>
      <c r="C1106" s="6" t="s">
        <v>75</v>
      </c>
    </row>
    <row r="1107" spans="1:3" x14ac:dyDescent="0.25">
      <c r="A1107" s="15" t="s">
        <v>1257</v>
      </c>
      <c r="B1107" s="6" t="s">
        <v>1008</v>
      </c>
      <c r="C1107" s="6" t="s">
        <v>75</v>
      </c>
    </row>
    <row r="1108" spans="1:3" x14ac:dyDescent="0.25">
      <c r="A1108" s="15" t="s">
        <v>1258</v>
      </c>
      <c r="B1108" s="6" t="s">
        <v>1027</v>
      </c>
      <c r="C1108" s="6" t="s">
        <v>75</v>
      </c>
    </row>
    <row r="1109" spans="1:3" x14ac:dyDescent="0.25">
      <c r="A1109" s="15" t="s">
        <v>1259</v>
      </c>
      <c r="B1109" s="6" t="s">
        <v>1005</v>
      </c>
      <c r="C1109" s="6" t="s">
        <v>75</v>
      </c>
    </row>
    <row r="1110" spans="1:3" x14ac:dyDescent="0.25">
      <c r="A1110" s="15" t="s">
        <v>927</v>
      </c>
      <c r="B1110" s="6" t="s">
        <v>70</v>
      </c>
      <c r="C1110" s="6" t="s">
        <v>75</v>
      </c>
    </row>
    <row r="1111" spans="1:3" x14ac:dyDescent="0.25">
      <c r="A1111" s="15" t="s">
        <v>1260</v>
      </c>
      <c r="B1111" s="6" t="s">
        <v>70</v>
      </c>
      <c r="C1111" s="6" t="s">
        <v>75</v>
      </c>
    </row>
    <row r="1112" spans="1:3" x14ac:dyDescent="0.25">
      <c r="A1112" s="15" t="s">
        <v>1261</v>
      </c>
      <c r="B1112" s="6" t="s">
        <v>1027</v>
      </c>
      <c r="C1112" s="6" t="s">
        <v>75</v>
      </c>
    </row>
    <row r="1113" spans="1:3" x14ac:dyDescent="0.25">
      <c r="A1113" s="15" t="s">
        <v>928</v>
      </c>
      <c r="B1113" s="6" t="s">
        <v>66</v>
      </c>
      <c r="C1113" s="6" t="s">
        <v>75</v>
      </c>
    </row>
    <row r="1114" spans="1:3" x14ac:dyDescent="0.25">
      <c r="A1114" s="15" t="s">
        <v>1262</v>
      </c>
      <c r="B1114" s="6" t="s">
        <v>1011</v>
      </c>
      <c r="C1114" s="6" t="s">
        <v>75</v>
      </c>
    </row>
    <row r="1115" spans="1:3" x14ac:dyDescent="0.25">
      <c r="A1115" s="15" t="s">
        <v>929</v>
      </c>
      <c r="B1115" s="6" t="s">
        <v>1018</v>
      </c>
      <c r="C1115" s="6" t="s">
        <v>75</v>
      </c>
    </row>
    <row r="1116" spans="1:3" x14ac:dyDescent="0.25">
      <c r="A1116" s="15" t="s">
        <v>930</v>
      </c>
      <c r="B1116" s="6" t="s">
        <v>66</v>
      </c>
      <c r="C1116" s="6" t="s">
        <v>75</v>
      </c>
    </row>
    <row r="1117" spans="1:3" x14ac:dyDescent="0.25">
      <c r="A1117" s="15" t="s">
        <v>1263</v>
      </c>
      <c r="B1117" s="6" t="s">
        <v>1018</v>
      </c>
      <c r="C1117" s="6" t="s">
        <v>75</v>
      </c>
    </row>
    <row r="1118" spans="1:3" x14ac:dyDescent="0.25">
      <c r="A1118" s="15" t="s">
        <v>931</v>
      </c>
      <c r="B1118" s="6" t="s">
        <v>1027</v>
      </c>
      <c r="C1118" s="6" t="s">
        <v>75</v>
      </c>
    </row>
    <row r="1119" spans="1:3" x14ac:dyDescent="0.25">
      <c r="A1119" s="15" t="s">
        <v>932</v>
      </c>
      <c r="B1119" s="6" t="s">
        <v>1021</v>
      </c>
      <c r="C1119" s="6" t="s">
        <v>75</v>
      </c>
    </row>
    <row r="1120" spans="1:3" x14ac:dyDescent="0.25">
      <c r="A1120" s="15" t="s">
        <v>1264</v>
      </c>
      <c r="B1120" s="6" t="s">
        <v>1026</v>
      </c>
      <c r="C1120" s="6" t="s">
        <v>75</v>
      </c>
    </row>
    <row r="1121" spans="1:3" x14ac:dyDescent="0.25">
      <c r="A1121" s="15" t="s">
        <v>1265</v>
      </c>
      <c r="B1121" s="6" t="s">
        <v>1029</v>
      </c>
      <c r="C1121" s="6" t="s">
        <v>75</v>
      </c>
    </row>
    <row r="1122" spans="1:3" x14ac:dyDescent="0.25">
      <c r="A1122" s="15" t="s">
        <v>933</v>
      </c>
      <c r="B1122" s="6" t="s">
        <v>66</v>
      </c>
      <c r="C1122" s="6" t="s">
        <v>75</v>
      </c>
    </row>
    <row r="1123" spans="1:3" x14ac:dyDescent="0.25">
      <c r="A1123" s="15" t="s">
        <v>934</v>
      </c>
      <c r="B1123" s="6" t="s">
        <v>1020</v>
      </c>
      <c r="C1123" s="6" t="s">
        <v>75</v>
      </c>
    </row>
    <row r="1124" spans="1:3" x14ac:dyDescent="0.25">
      <c r="A1124" s="15" t="s">
        <v>935</v>
      </c>
      <c r="B1124" s="6" t="s">
        <v>70</v>
      </c>
      <c r="C1124" s="6" t="s">
        <v>75</v>
      </c>
    </row>
    <row r="1125" spans="1:3" x14ac:dyDescent="0.25">
      <c r="A1125" s="15" t="s">
        <v>1266</v>
      </c>
      <c r="B1125" s="6" t="s">
        <v>1024</v>
      </c>
      <c r="C1125" s="6" t="s">
        <v>75</v>
      </c>
    </row>
    <row r="1126" spans="1:3" x14ac:dyDescent="0.25">
      <c r="A1126" s="15" t="s">
        <v>1267</v>
      </c>
      <c r="B1126" s="6" t="s">
        <v>1008</v>
      </c>
      <c r="C1126" s="6" t="s">
        <v>75</v>
      </c>
    </row>
    <row r="1127" spans="1:3" x14ac:dyDescent="0.25">
      <c r="A1127" s="15" t="s">
        <v>936</v>
      </c>
      <c r="B1127" s="6" t="s">
        <v>1017</v>
      </c>
      <c r="C1127" s="6" t="s">
        <v>75</v>
      </c>
    </row>
    <row r="1128" spans="1:3" x14ac:dyDescent="0.25">
      <c r="A1128" s="15" t="s">
        <v>937</v>
      </c>
      <c r="B1128" s="6" t="s">
        <v>1003</v>
      </c>
      <c r="C1128" s="6" t="s">
        <v>75</v>
      </c>
    </row>
    <row r="1129" spans="1:3" x14ac:dyDescent="0.25">
      <c r="A1129" s="15" t="s">
        <v>938</v>
      </c>
      <c r="B1129" s="6" t="s">
        <v>1003</v>
      </c>
      <c r="C1129" s="6" t="s">
        <v>75</v>
      </c>
    </row>
    <row r="1130" spans="1:3" x14ac:dyDescent="0.25">
      <c r="A1130" s="15" t="s">
        <v>939</v>
      </c>
      <c r="B1130" s="6" t="s">
        <v>70</v>
      </c>
      <c r="C1130" s="6" t="s">
        <v>75</v>
      </c>
    </row>
    <row r="1131" spans="1:3" x14ac:dyDescent="0.25">
      <c r="A1131" s="15" t="s">
        <v>940</v>
      </c>
      <c r="B1131" s="6" t="s">
        <v>1005</v>
      </c>
      <c r="C1131" s="6" t="s">
        <v>75</v>
      </c>
    </row>
    <row r="1132" spans="1:3" x14ac:dyDescent="0.25">
      <c r="A1132" s="15" t="s">
        <v>941</v>
      </c>
      <c r="B1132" s="6" t="s">
        <v>1006</v>
      </c>
      <c r="C1132" s="6" t="s">
        <v>75</v>
      </c>
    </row>
    <row r="1133" spans="1:3" x14ac:dyDescent="0.25">
      <c r="A1133" s="15" t="s">
        <v>942</v>
      </c>
      <c r="B1133" s="6" t="s">
        <v>1026</v>
      </c>
      <c r="C1133" s="6" t="s">
        <v>75</v>
      </c>
    </row>
    <row r="1134" spans="1:3" x14ac:dyDescent="0.25">
      <c r="A1134" s="15" t="s">
        <v>1268</v>
      </c>
      <c r="B1134" s="6" t="s">
        <v>1024</v>
      </c>
      <c r="C1134" s="6" t="s">
        <v>75</v>
      </c>
    </row>
    <row r="1135" spans="1:3" x14ac:dyDescent="0.25">
      <c r="A1135" s="15" t="s">
        <v>1269</v>
      </c>
      <c r="B1135" s="6" t="s">
        <v>1024</v>
      </c>
      <c r="C1135" s="6" t="s">
        <v>75</v>
      </c>
    </row>
    <row r="1136" spans="1:3" x14ac:dyDescent="0.25">
      <c r="A1136" s="15" t="s">
        <v>1270</v>
      </c>
      <c r="B1136" s="6" t="s">
        <v>1033</v>
      </c>
      <c r="C1136" s="6" t="s">
        <v>75</v>
      </c>
    </row>
    <row r="1137" spans="1:3" x14ac:dyDescent="0.25">
      <c r="A1137" s="15" t="s">
        <v>1271</v>
      </c>
      <c r="B1137" s="6" t="s">
        <v>1011</v>
      </c>
      <c r="C1137" s="6" t="s">
        <v>75</v>
      </c>
    </row>
    <row r="1138" spans="1:3" x14ac:dyDescent="0.25">
      <c r="A1138" s="15" t="s">
        <v>1272</v>
      </c>
      <c r="B1138" s="6" t="s">
        <v>1028</v>
      </c>
      <c r="C1138" s="6" t="s">
        <v>75</v>
      </c>
    </row>
    <row r="1139" spans="1:3" x14ac:dyDescent="0.25">
      <c r="A1139" s="15" t="s">
        <v>943</v>
      </c>
      <c r="B1139" s="6" t="s">
        <v>66</v>
      </c>
      <c r="C1139" s="6" t="s">
        <v>75</v>
      </c>
    </row>
    <row r="1140" spans="1:3" x14ac:dyDescent="0.25">
      <c r="A1140" s="15" t="s">
        <v>1273</v>
      </c>
      <c r="B1140" s="6" t="s">
        <v>1023</v>
      </c>
      <c r="C1140" s="6" t="s">
        <v>75</v>
      </c>
    </row>
    <row r="1141" spans="1:3" x14ac:dyDescent="0.25">
      <c r="A1141" s="15" t="s">
        <v>1274</v>
      </c>
      <c r="B1141" s="6" t="s">
        <v>1013</v>
      </c>
      <c r="C1141" s="6" t="s">
        <v>75</v>
      </c>
    </row>
    <row r="1142" spans="1:3" x14ac:dyDescent="0.25">
      <c r="A1142" s="15" t="s">
        <v>944</v>
      </c>
      <c r="B1142" s="6" t="s">
        <v>1034</v>
      </c>
      <c r="C1142" s="6" t="s">
        <v>75</v>
      </c>
    </row>
    <row r="1143" spans="1:3" x14ac:dyDescent="0.25">
      <c r="A1143" s="15" t="s">
        <v>1275</v>
      </c>
      <c r="B1143" s="6" t="s">
        <v>1028</v>
      </c>
      <c r="C1143" s="6" t="s">
        <v>75</v>
      </c>
    </row>
    <row r="1144" spans="1:3" x14ac:dyDescent="0.25">
      <c r="A1144" s="15" t="s">
        <v>945</v>
      </c>
      <c r="B1144" s="6" t="s">
        <v>1021</v>
      </c>
      <c r="C1144" s="6" t="s">
        <v>75</v>
      </c>
    </row>
    <row r="1145" spans="1:3" x14ac:dyDescent="0.25">
      <c r="A1145" s="15" t="s">
        <v>1276</v>
      </c>
      <c r="B1145" s="6" t="s">
        <v>1018</v>
      </c>
      <c r="C1145" s="6" t="s">
        <v>75</v>
      </c>
    </row>
    <row r="1146" spans="1:3" x14ac:dyDescent="0.25">
      <c r="A1146" s="15" t="s">
        <v>946</v>
      </c>
      <c r="B1146" s="6" t="s">
        <v>1010</v>
      </c>
      <c r="C1146" s="6" t="s">
        <v>75</v>
      </c>
    </row>
    <row r="1147" spans="1:3" x14ac:dyDescent="0.25">
      <c r="A1147" s="15" t="s">
        <v>947</v>
      </c>
      <c r="B1147" s="6" t="s">
        <v>1030</v>
      </c>
      <c r="C1147" s="6" t="s">
        <v>75</v>
      </c>
    </row>
    <row r="1148" spans="1:3" x14ac:dyDescent="0.25">
      <c r="A1148" s="15" t="s">
        <v>948</v>
      </c>
      <c r="B1148" s="6" t="s">
        <v>1021</v>
      </c>
      <c r="C1148" s="6" t="s">
        <v>75</v>
      </c>
    </row>
    <row r="1149" spans="1:3" x14ac:dyDescent="0.25">
      <c r="A1149" s="15" t="s">
        <v>949</v>
      </c>
      <c r="B1149" s="6" t="s">
        <v>66</v>
      </c>
      <c r="C1149" s="6" t="s">
        <v>75</v>
      </c>
    </row>
    <row r="1150" spans="1:3" x14ac:dyDescent="0.25">
      <c r="A1150" s="15" t="s">
        <v>1277</v>
      </c>
      <c r="B1150" s="6" t="s">
        <v>1017</v>
      </c>
      <c r="C1150" s="6" t="s">
        <v>75</v>
      </c>
    </row>
    <row r="1151" spans="1:3" x14ac:dyDescent="0.25">
      <c r="A1151" s="15" t="s">
        <v>1278</v>
      </c>
      <c r="B1151" s="6" t="s">
        <v>1027</v>
      </c>
      <c r="C1151" s="6" t="s">
        <v>75</v>
      </c>
    </row>
    <row r="1152" spans="1:3" x14ac:dyDescent="0.25">
      <c r="A1152" s="15" t="s">
        <v>950</v>
      </c>
      <c r="B1152" s="6" t="s">
        <v>1023</v>
      </c>
      <c r="C1152" s="6" t="s">
        <v>75</v>
      </c>
    </row>
    <row r="1153" spans="1:3" x14ac:dyDescent="0.25">
      <c r="A1153" s="15" t="s">
        <v>951</v>
      </c>
      <c r="B1153" s="6" t="s">
        <v>1025</v>
      </c>
      <c r="C1153" s="6" t="s">
        <v>75</v>
      </c>
    </row>
    <row r="1154" spans="1:3" x14ac:dyDescent="0.25">
      <c r="A1154" s="15" t="s">
        <v>952</v>
      </c>
      <c r="B1154" s="6" t="s">
        <v>70</v>
      </c>
      <c r="C1154" s="6" t="s">
        <v>75</v>
      </c>
    </row>
    <row r="1155" spans="1:3" x14ac:dyDescent="0.25">
      <c r="A1155" s="15" t="s">
        <v>953</v>
      </c>
      <c r="B1155" s="6" t="s">
        <v>66</v>
      </c>
      <c r="C1155" s="6" t="s">
        <v>75</v>
      </c>
    </row>
    <row r="1156" spans="1:3" x14ac:dyDescent="0.25">
      <c r="A1156" s="15" t="s">
        <v>954</v>
      </c>
      <c r="B1156" s="6" t="s">
        <v>1032</v>
      </c>
      <c r="C1156" s="6" t="s">
        <v>75</v>
      </c>
    </row>
    <row r="1157" spans="1:3" x14ac:dyDescent="0.25">
      <c r="A1157" s="15" t="s">
        <v>955</v>
      </c>
      <c r="B1157" s="6" t="s">
        <v>66</v>
      </c>
      <c r="C1157" s="6" t="s">
        <v>75</v>
      </c>
    </row>
    <row r="1158" spans="1:3" x14ac:dyDescent="0.25">
      <c r="A1158" s="15" t="s">
        <v>956</v>
      </c>
      <c r="B1158" s="6" t="s">
        <v>1009</v>
      </c>
      <c r="C1158" s="6" t="s">
        <v>75</v>
      </c>
    </row>
    <row r="1159" spans="1:3" x14ac:dyDescent="0.25">
      <c r="A1159" s="15" t="s">
        <v>1279</v>
      </c>
      <c r="B1159" s="6" t="s">
        <v>1004</v>
      </c>
      <c r="C1159" s="6" t="s">
        <v>75</v>
      </c>
    </row>
    <row r="1160" spans="1:3" x14ac:dyDescent="0.25">
      <c r="A1160" s="15" t="s">
        <v>1280</v>
      </c>
      <c r="B1160" s="6" t="s">
        <v>1008</v>
      </c>
      <c r="C1160" s="6" t="s">
        <v>75</v>
      </c>
    </row>
    <row r="1161" spans="1:3" x14ac:dyDescent="0.25">
      <c r="A1161" s="15" t="s">
        <v>1281</v>
      </c>
      <c r="B1161" s="15" t="s">
        <v>1017</v>
      </c>
      <c r="C1161" s="6" t="s">
        <v>75</v>
      </c>
    </row>
    <row r="1162" spans="1:3" x14ac:dyDescent="0.25">
      <c r="A1162" s="15" t="s">
        <v>957</v>
      </c>
      <c r="B1162" s="6" t="s">
        <v>1026</v>
      </c>
      <c r="C1162" s="6" t="s">
        <v>75</v>
      </c>
    </row>
    <row r="1163" spans="1:3" x14ac:dyDescent="0.25">
      <c r="A1163" s="15" t="s">
        <v>958</v>
      </c>
      <c r="B1163" s="6" t="s">
        <v>1022</v>
      </c>
      <c r="C1163" s="6" t="s">
        <v>75</v>
      </c>
    </row>
    <row r="1164" spans="1:3" x14ac:dyDescent="0.25">
      <c r="A1164" s="15" t="s">
        <v>959</v>
      </c>
      <c r="B1164" s="6" t="s">
        <v>1023</v>
      </c>
      <c r="C1164" s="6" t="s">
        <v>75</v>
      </c>
    </row>
    <row r="1165" spans="1:3" x14ac:dyDescent="0.25">
      <c r="A1165" s="15" t="s">
        <v>1282</v>
      </c>
      <c r="B1165" s="6" t="s">
        <v>1006</v>
      </c>
      <c r="C1165" s="6" t="s">
        <v>75</v>
      </c>
    </row>
    <row r="1166" spans="1:3" x14ac:dyDescent="0.25">
      <c r="A1166" s="15" t="s">
        <v>960</v>
      </c>
      <c r="B1166" s="6" t="s">
        <v>1027</v>
      </c>
      <c r="C1166" s="6" t="s">
        <v>75</v>
      </c>
    </row>
    <row r="1167" spans="1:3" x14ac:dyDescent="0.25">
      <c r="A1167" s="15" t="s">
        <v>961</v>
      </c>
      <c r="B1167" s="6" t="s">
        <v>1023</v>
      </c>
      <c r="C1167" s="6" t="s">
        <v>75</v>
      </c>
    </row>
    <row r="1168" spans="1:3" x14ac:dyDescent="0.25">
      <c r="A1168" s="15" t="s">
        <v>1283</v>
      </c>
      <c r="B1168" s="6" t="s">
        <v>1011</v>
      </c>
      <c r="C1168" s="6" t="s">
        <v>75</v>
      </c>
    </row>
    <row r="1169" spans="1:3" x14ac:dyDescent="0.25">
      <c r="A1169" s="15" t="s">
        <v>1284</v>
      </c>
      <c r="B1169" s="6" t="s">
        <v>1032</v>
      </c>
      <c r="C1169" s="6" t="s">
        <v>75</v>
      </c>
    </row>
    <row r="1170" spans="1:3" x14ac:dyDescent="0.25">
      <c r="A1170" s="15" t="s">
        <v>1285</v>
      </c>
      <c r="B1170" s="6" t="s">
        <v>1019</v>
      </c>
      <c r="C1170" s="6" t="s">
        <v>75</v>
      </c>
    </row>
    <row r="1171" spans="1:3" x14ac:dyDescent="0.25">
      <c r="A1171" s="15" t="s">
        <v>962</v>
      </c>
      <c r="B1171" s="6" t="s">
        <v>1030</v>
      </c>
      <c r="C1171" s="6" t="s">
        <v>75</v>
      </c>
    </row>
    <row r="1172" spans="1:3" x14ac:dyDescent="0.25">
      <c r="A1172" s="15" t="s">
        <v>963</v>
      </c>
      <c r="B1172" s="6" t="s">
        <v>70</v>
      </c>
      <c r="C1172" s="6" t="s">
        <v>75</v>
      </c>
    </row>
    <row r="1173" spans="1:3" x14ac:dyDescent="0.25">
      <c r="A1173" s="15" t="s">
        <v>1286</v>
      </c>
      <c r="B1173" s="6" t="s">
        <v>1022</v>
      </c>
      <c r="C1173" s="6" t="s">
        <v>75</v>
      </c>
    </row>
    <row r="1174" spans="1:3" x14ac:dyDescent="0.25">
      <c r="A1174" s="15" t="s">
        <v>964</v>
      </c>
      <c r="B1174" s="6" t="s">
        <v>1005</v>
      </c>
      <c r="C1174" s="6" t="s">
        <v>75</v>
      </c>
    </row>
    <row r="1175" spans="1:3" x14ac:dyDescent="0.25">
      <c r="A1175" s="15" t="s">
        <v>965</v>
      </c>
      <c r="B1175" s="6" t="s">
        <v>1027</v>
      </c>
      <c r="C1175" s="6" t="s">
        <v>75</v>
      </c>
    </row>
    <row r="1176" spans="1:3" x14ac:dyDescent="0.25">
      <c r="A1176" s="15" t="s">
        <v>966</v>
      </c>
      <c r="B1176" s="6" t="s">
        <v>1027</v>
      </c>
      <c r="C1176" s="6" t="s">
        <v>75</v>
      </c>
    </row>
    <row r="1177" spans="1:3" x14ac:dyDescent="0.25">
      <c r="A1177" s="12" t="s">
        <v>1291</v>
      </c>
      <c r="B1177" s="12" t="s">
        <v>1030</v>
      </c>
      <c r="C1177" s="6" t="s">
        <v>75</v>
      </c>
    </row>
    <row r="1178" spans="1:3" x14ac:dyDescent="0.25">
      <c r="A1178" s="23" t="s">
        <v>1362</v>
      </c>
      <c r="B1178" s="23" t="s">
        <v>1018</v>
      </c>
      <c r="C1178" s="22" t="s">
        <v>75</v>
      </c>
    </row>
    <row r="1179" spans="1:3" x14ac:dyDescent="0.25">
      <c r="A1179" s="23" t="s">
        <v>1363</v>
      </c>
      <c r="B1179" s="23" t="s">
        <v>1026</v>
      </c>
      <c r="C1179" s="22" t="s">
        <v>75</v>
      </c>
    </row>
    <row r="1180" spans="1:3" x14ac:dyDescent="0.25">
      <c r="A1180" s="23" t="s">
        <v>1364</v>
      </c>
      <c r="B1180" s="23" t="s">
        <v>1034</v>
      </c>
      <c r="C1180" s="22" t="s">
        <v>75</v>
      </c>
    </row>
    <row r="1181" spans="1:3" x14ac:dyDescent="0.25">
      <c r="A1181" s="23" t="s">
        <v>1363</v>
      </c>
      <c r="B1181" s="23" t="s">
        <v>1026</v>
      </c>
      <c r="C1181" s="22" t="s">
        <v>75</v>
      </c>
    </row>
    <row r="1182" spans="1:3" x14ac:dyDescent="0.25">
      <c r="A1182" s="23" t="s">
        <v>1365</v>
      </c>
      <c r="B1182" s="23" t="s">
        <v>1019</v>
      </c>
      <c r="C1182" s="22" t="s">
        <v>75</v>
      </c>
    </row>
    <row r="1183" spans="1:3" x14ac:dyDescent="0.25">
      <c r="A1183" s="23" t="s">
        <v>1366</v>
      </c>
      <c r="B1183" s="23" t="s">
        <v>1026</v>
      </c>
      <c r="C1183" s="22" t="s">
        <v>75</v>
      </c>
    </row>
    <row r="1184" spans="1:3" x14ac:dyDescent="0.25">
      <c r="A1184" s="23" t="s">
        <v>1367</v>
      </c>
      <c r="B1184" s="23" t="s">
        <v>70</v>
      </c>
      <c r="C1184" s="22" t="s">
        <v>75</v>
      </c>
    </row>
    <row r="1185" spans="1:3" x14ac:dyDescent="0.25">
      <c r="A1185" s="23" t="s">
        <v>1368</v>
      </c>
      <c r="B1185" s="23" t="s">
        <v>1017</v>
      </c>
      <c r="C1185" s="22" t="s">
        <v>75</v>
      </c>
    </row>
    <row r="1186" spans="1:3" x14ac:dyDescent="0.25">
      <c r="A1186" s="23" t="s">
        <v>1369</v>
      </c>
      <c r="B1186" s="23" t="s">
        <v>1017</v>
      </c>
      <c r="C1186" s="22" t="s">
        <v>75</v>
      </c>
    </row>
    <row r="1187" spans="1:3" x14ac:dyDescent="0.25">
      <c r="A1187" s="23" t="s">
        <v>1370</v>
      </c>
      <c r="B1187" s="23" t="s">
        <v>1033</v>
      </c>
      <c r="C1187" s="22" t="s">
        <v>75</v>
      </c>
    </row>
    <row r="1188" spans="1:3" x14ac:dyDescent="0.25">
      <c r="A1188" s="23" t="s">
        <v>1371</v>
      </c>
      <c r="B1188" s="23" t="s">
        <v>1027</v>
      </c>
      <c r="C1188" s="22" t="s">
        <v>75</v>
      </c>
    </row>
    <row r="1189" spans="1:3" x14ac:dyDescent="0.25">
      <c r="A1189" s="23" t="s">
        <v>1372</v>
      </c>
      <c r="B1189" s="23" t="s">
        <v>1003</v>
      </c>
      <c r="C1189" s="22" t="s">
        <v>75</v>
      </c>
    </row>
    <row r="1190" spans="1:3" x14ac:dyDescent="0.25">
      <c r="A1190" s="23" t="s">
        <v>1373</v>
      </c>
      <c r="B1190" s="23" t="s">
        <v>1017</v>
      </c>
      <c r="C1190" s="22" t="s">
        <v>75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D0DCC-6FB0-4360-B28D-D920493CA205}">
  <dimension ref="A1:E32"/>
  <sheetViews>
    <sheetView workbookViewId="0">
      <pane ySplit="1" topLeftCell="A13" activePane="bottomLeft" state="frozen"/>
      <selection pane="bottomLeft" activeCell="E32" sqref="E32"/>
    </sheetView>
  </sheetViews>
  <sheetFormatPr defaultRowHeight="15" x14ac:dyDescent="0.25"/>
  <cols>
    <col min="1" max="1" width="27.28515625" customWidth="1"/>
  </cols>
  <sheetData>
    <row r="1" spans="1:5" x14ac:dyDescent="0.25">
      <c r="A1" s="7" t="s">
        <v>967</v>
      </c>
      <c r="B1" s="7" t="s">
        <v>968</v>
      </c>
      <c r="C1" s="7" t="s">
        <v>969</v>
      </c>
      <c r="D1" s="7" t="s">
        <v>970</v>
      </c>
      <c r="E1" s="7" t="s">
        <v>971</v>
      </c>
    </row>
    <row r="2" spans="1:5" s="9" customFormat="1" x14ac:dyDescent="0.25">
      <c r="A2" s="8">
        <v>61001000000</v>
      </c>
      <c r="B2" s="8" t="s">
        <v>972</v>
      </c>
      <c r="C2" s="8">
        <v>3</v>
      </c>
      <c r="D2" s="8">
        <v>80</v>
      </c>
      <c r="E2" s="8">
        <v>48</v>
      </c>
    </row>
    <row r="3" spans="1:5" x14ac:dyDescent="0.25">
      <c r="A3" s="7">
        <v>61001001000</v>
      </c>
      <c r="B3" s="7" t="s">
        <v>973</v>
      </c>
      <c r="C3" s="7">
        <v>1</v>
      </c>
      <c r="D3" s="7">
        <v>150</v>
      </c>
      <c r="E3" s="7">
        <v>90</v>
      </c>
    </row>
    <row r="4" spans="1:5" x14ac:dyDescent="0.25">
      <c r="A4" s="7">
        <v>61001001001</v>
      </c>
      <c r="B4" s="7" t="s">
        <v>974</v>
      </c>
      <c r="C4" s="7">
        <v>1</v>
      </c>
      <c r="D4" s="7">
        <v>150</v>
      </c>
      <c r="E4" s="7">
        <v>90</v>
      </c>
    </row>
    <row r="5" spans="1:5" x14ac:dyDescent="0.25">
      <c r="A5" s="7">
        <v>61001001002</v>
      </c>
      <c r="B5" s="7" t="s">
        <v>975</v>
      </c>
      <c r="C5" s="7">
        <v>3</v>
      </c>
      <c r="D5" s="7">
        <v>80</v>
      </c>
      <c r="E5" s="7">
        <v>48</v>
      </c>
    </row>
    <row r="6" spans="1:5" x14ac:dyDescent="0.25">
      <c r="A6" s="7">
        <v>61001001003</v>
      </c>
      <c r="B6" s="7" t="s">
        <v>976</v>
      </c>
      <c r="C6" s="7">
        <v>1</v>
      </c>
      <c r="D6" s="7">
        <v>150</v>
      </c>
      <c r="E6" s="7">
        <v>90</v>
      </c>
    </row>
    <row r="7" spans="1:5" x14ac:dyDescent="0.25">
      <c r="A7" s="7">
        <v>61001002000</v>
      </c>
      <c r="B7" s="7" t="s">
        <v>977</v>
      </c>
      <c r="C7" s="7">
        <v>4</v>
      </c>
      <c r="D7" s="7">
        <v>50</v>
      </c>
      <c r="E7" s="7">
        <v>30</v>
      </c>
    </row>
    <row r="8" spans="1:5" x14ac:dyDescent="0.25">
      <c r="A8" s="7">
        <v>61001002001</v>
      </c>
      <c r="B8" s="7" t="s">
        <v>978</v>
      </c>
      <c r="C8" s="7">
        <v>4</v>
      </c>
      <c r="D8" s="7">
        <v>50</v>
      </c>
      <c r="E8" s="7">
        <v>30</v>
      </c>
    </row>
    <row r="9" spans="1:5" x14ac:dyDescent="0.25">
      <c r="A9" s="7">
        <v>61001002002</v>
      </c>
      <c r="B9" s="7" t="s">
        <v>979</v>
      </c>
      <c r="C9" s="7">
        <v>5</v>
      </c>
      <c r="D9" s="7">
        <v>30</v>
      </c>
      <c r="E9" s="7">
        <v>18</v>
      </c>
    </row>
    <row r="10" spans="1:5" x14ac:dyDescent="0.25">
      <c r="A10" s="7">
        <v>61001002003</v>
      </c>
      <c r="B10" s="7" t="s">
        <v>980</v>
      </c>
      <c r="C10" s="7">
        <v>5</v>
      </c>
      <c r="D10" s="7">
        <v>30</v>
      </c>
      <c r="E10" s="7">
        <v>18</v>
      </c>
    </row>
    <row r="11" spans="1:5" x14ac:dyDescent="0.25">
      <c r="A11" s="7">
        <v>61001002004</v>
      </c>
      <c r="B11" s="7" t="s">
        <v>981</v>
      </c>
      <c r="C11" s="7">
        <v>5</v>
      </c>
      <c r="D11" s="7">
        <v>30</v>
      </c>
      <c r="E11" s="7">
        <v>18</v>
      </c>
    </row>
    <row r="12" spans="1:5" x14ac:dyDescent="0.25">
      <c r="A12" s="7">
        <v>61001002005</v>
      </c>
      <c r="B12" s="7" t="s">
        <v>982</v>
      </c>
      <c r="C12" s="7">
        <v>5</v>
      </c>
      <c r="D12" s="7">
        <v>30</v>
      </c>
      <c r="E12" s="7">
        <v>18</v>
      </c>
    </row>
    <row r="13" spans="1:5" x14ac:dyDescent="0.25">
      <c r="A13" s="7">
        <v>61001002006</v>
      </c>
      <c r="B13" s="7" t="s">
        <v>983</v>
      </c>
      <c r="C13" s="7">
        <v>4</v>
      </c>
      <c r="D13" s="7">
        <v>50</v>
      </c>
      <c r="E13" s="7">
        <v>30</v>
      </c>
    </row>
    <row r="14" spans="1:5" x14ac:dyDescent="0.25">
      <c r="A14" s="7">
        <v>61001003000</v>
      </c>
      <c r="B14" s="7" t="s">
        <v>984</v>
      </c>
      <c r="C14" s="7">
        <v>2</v>
      </c>
      <c r="D14" s="7">
        <v>100</v>
      </c>
      <c r="E14" s="7">
        <v>60</v>
      </c>
    </row>
    <row r="15" spans="1:5" x14ac:dyDescent="0.25">
      <c r="A15" s="7">
        <v>61001003001</v>
      </c>
      <c r="B15" s="7" t="s">
        <v>985</v>
      </c>
      <c r="C15" s="7">
        <v>2</v>
      </c>
      <c r="D15" s="7">
        <v>100</v>
      </c>
      <c r="E15" s="7">
        <v>60</v>
      </c>
    </row>
    <row r="16" spans="1:5" x14ac:dyDescent="0.25">
      <c r="A16" s="7">
        <v>61001003002</v>
      </c>
      <c r="B16" s="7" t="s">
        <v>986</v>
      </c>
      <c r="C16" s="7">
        <v>1</v>
      </c>
      <c r="D16" s="7">
        <v>150</v>
      </c>
      <c r="E16" s="7">
        <v>90</v>
      </c>
    </row>
    <row r="17" spans="1:5" x14ac:dyDescent="0.25">
      <c r="A17" s="7">
        <v>61001004000</v>
      </c>
      <c r="B17" s="7" t="s">
        <v>987</v>
      </c>
      <c r="C17" s="7">
        <v>3</v>
      </c>
      <c r="D17" s="7">
        <v>80</v>
      </c>
      <c r="E17" s="7">
        <v>48</v>
      </c>
    </row>
    <row r="18" spans="1:5" x14ac:dyDescent="0.25">
      <c r="A18" s="7">
        <v>61001005000</v>
      </c>
      <c r="B18" s="7" t="s">
        <v>988</v>
      </c>
      <c r="C18" s="7">
        <v>3</v>
      </c>
      <c r="D18" s="7">
        <v>80</v>
      </c>
      <c r="E18" s="7">
        <v>48</v>
      </c>
    </row>
    <row r="19" spans="1:5" x14ac:dyDescent="0.25">
      <c r="A19" s="7">
        <v>61001006000</v>
      </c>
      <c r="B19" s="7" t="s">
        <v>989</v>
      </c>
      <c r="C19" s="7">
        <v>1</v>
      </c>
      <c r="D19" s="7">
        <v>150</v>
      </c>
      <c r="E19" s="7">
        <v>90</v>
      </c>
    </row>
    <row r="20" spans="1:5" x14ac:dyDescent="0.25">
      <c r="A20" s="7">
        <v>61001006001</v>
      </c>
      <c r="B20" s="7" t="s">
        <v>990</v>
      </c>
      <c r="C20" s="7">
        <v>1</v>
      </c>
      <c r="D20" s="7">
        <v>150</v>
      </c>
      <c r="E20" s="7">
        <v>90</v>
      </c>
    </row>
    <row r="21" spans="1:5" x14ac:dyDescent="0.25">
      <c r="A21" s="7">
        <v>61001006002</v>
      </c>
      <c r="B21" s="7" t="s">
        <v>991</v>
      </c>
      <c r="C21" s="7">
        <v>2</v>
      </c>
      <c r="D21" s="7">
        <v>100</v>
      </c>
      <c r="E21" s="7">
        <v>60</v>
      </c>
    </row>
    <row r="22" spans="1:5" x14ac:dyDescent="0.25">
      <c r="A22" s="7">
        <v>61001006003</v>
      </c>
      <c r="B22" s="7" t="s">
        <v>992</v>
      </c>
      <c r="C22" s="7">
        <v>2</v>
      </c>
      <c r="D22" s="7">
        <v>100</v>
      </c>
      <c r="E22" s="7">
        <v>60</v>
      </c>
    </row>
    <row r="23" spans="1:5" x14ac:dyDescent="0.25">
      <c r="A23" s="7">
        <v>61001007000</v>
      </c>
      <c r="B23" s="7" t="s">
        <v>993</v>
      </c>
      <c r="C23" s="7">
        <v>1</v>
      </c>
      <c r="D23" s="7">
        <v>150</v>
      </c>
      <c r="E23" s="7">
        <v>90</v>
      </c>
    </row>
    <row r="24" spans="1:5" x14ac:dyDescent="0.25">
      <c r="A24" s="7">
        <v>61001007001</v>
      </c>
      <c r="B24" s="7" t="s">
        <v>994</v>
      </c>
      <c r="C24" s="7">
        <v>1</v>
      </c>
      <c r="D24" s="7">
        <v>150</v>
      </c>
      <c r="E24" s="7">
        <v>90</v>
      </c>
    </row>
    <row r="25" spans="1:5" x14ac:dyDescent="0.25">
      <c r="A25" s="7">
        <v>61001007002</v>
      </c>
      <c r="B25" s="7" t="s">
        <v>995</v>
      </c>
      <c r="C25" s="7">
        <v>2</v>
      </c>
      <c r="D25" s="7">
        <v>100</v>
      </c>
      <c r="E25" s="7">
        <v>60</v>
      </c>
    </row>
    <row r="26" spans="1:5" x14ac:dyDescent="0.25">
      <c r="A26" s="7">
        <v>61001007003</v>
      </c>
      <c r="B26" s="7" t="s">
        <v>990</v>
      </c>
      <c r="C26" s="7">
        <v>1</v>
      </c>
      <c r="D26" s="7">
        <v>150</v>
      </c>
      <c r="E26" s="7">
        <v>90</v>
      </c>
    </row>
    <row r="27" spans="1:5" x14ac:dyDescent="0.25">
      <c r="A27" s="7">
        <v>61001007004</v>
      </c>
      <c r="B27" s="7" t="s">
        <v>996</v>
      </c>
      <c r="C27" s="7">
        <v>1</v>
      </c>
      <c r="D27" s="7">
        <v>150</v>
      </c>
      <c r="E27" s="7">
        <v>90</v>
      </c>
    </row>
    <row r="28" spans="1:5" x14ac:dyDescent="0.25">
      <c r="A28" s="7">
        <v>61001007005</v>
      </c>
      <c r="B28" s="7" t="s">
        <v>997</v>
      </c>
      <c r="C28" s="7">
        <v>1</v>
      </c>
      <c r="D28" s="7">
        <v>150</v>
      </c>
      <c r="E28" s="7">
        <v>90</v>
      </c>
    </row>
    <row r="29" spans="1:5" x14ac:dyDescent="0.25">
      <c r="A29" s="7">
        <v>61001007006</v>
      </c>
      <c r="B29" s="7" t="s">
        <v>998</v>
      </c>
      <c r="C29" s="7">
        <v>1</v>
      </c>
      <c r="D29" s="7">
        <v>150</v>
      </c>
      <c r="E29" s="7">
        <v>90</v>
      </c>
    </row>
    <row r="30" spans="1:5" x14ac:dyDescent="0.25">
      <c r="A30" s="7">
        <v>61001008000</v>
      </c>
      <c r="B30" s="7" t="s">
        <v>64</v>
      </c>
      <c r="C30" s="7">
        <v>3</v>
      </c>
      <c r="D30" s="7">
        <v>80</v>
      </c>
      <c r="E30" s="7">
        <v>48</v>
      </c>
    </row>
    <row r="31" spans="1:5" x14ac:dyDescent="0.25">
      <c r="A31" s="7">
        <v>61001009000</v>
      </c>
      <c r="B31" s="7" t="s">
        <v>999</v>
      </c>
      <c r="C31" s="7">
        <v>4</v>
      </c>
      <c r="D31" s="7">
        <v>50</v>
      </c>
      <c r="E31" s="7">
        <v>30</v>
      </c>
    </row>
    <row r="32" spans="1:5" s="9" customFormat="1" x14ac:dyDescent="0.25">
      <c r="A32" s="8">
        <v>61001999000</v>
      </c>
      <c r="B32" s="8" t="s">
        <v>1000</v>
      </c>
      <c r="C32" s="8">
        <v>3</v>
      </c>
      <c r="D32" s="8">
        <v>80</v>
      </c>
      <c r="E32" s="8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F2056-10ED-44E1-8971-CBDB8C4EAC43}">
  <dimension ref="A1:C30"/>
  <sheetViews>
    <sheetView workbookViewId="0">
      <selection activeCell="F33" sqref="F33"/>
    </sheetView>
  </sheetViews>
  <sheetFormatPr defaultRowHeight="15" x14ac:dyDescent="0.25"/>
  <cols>
    <col min="1" max="1" width="19.42578125" style="12" customWidth="1"/>
    <col min="2" max="2" width="63" style="10" customWidth="1"/>
    <col min="3" max="3" width="32.7109375" style="10" customWidth="1"/>
  </cols>
  <sheetData>
    <row r="1" spans="1:3" x14ac:dyDescent="0.25">
      <c r="A1" s="12" t="s">
        <v>1296</v>
      </c>
      <c r="B1" s="10" t="s">
        <v>1297</v>
      </c>
      <c r="C1" s="10" t="s">
        <v>1344</v>
      </c>
    </row>
    <row r="2" spans="1:3" x14ac:dyDescent="0.25">
      <c r="A2" s="12" t="s">
        <v>1298</v>
      </c>
      <c r="B2" s="10" t="s">
        <v>1299</v>
      </c>
      <c r="C2" s="10" t="s">
        <v>1300</v>
      </c>
    </row>
    <row r="3" spans="1:3" x14ac:dyDescent="0.25">
      <c r="A3" s="12" t="s">
        <v>1301</v>
      </c>
      <c r="B3" s="10" t="s">
        <v>1302</v>
      </c>
      <c r="C3" s="10" t="s">
        <v>1300</v>
      </c>
    </row>
    <row r="4" spans="1:3" x14ac:dyDescent="0.25">
      <c r="A4" s="12" t="s">
        <v>1303</v>
      </c>
      <c r="B4" s="10" t="s">
        <v>1304</v>
      </c>
      <c r="C4" s="10" t="s">
        <v>1300</v>
      </c>
    </row>
    <row r="5" spans="1:3" x14ac:dyDescent="0.25">
      <c r="A5" s="12" t="s">
        <v>1305</v>
      </c>
      <c r="B5" s="10" t="s">
        <v>1306</v>
      </c>
      <c r="C5" s="10" t="s">
        <v>1300</v>
      </c>
    </row>
    <row r="6" spans="1:3" x14ac:dyDescent="0.25">
      <c r="A6" s="12" t="s">
        <v>1307</v>
      </c>
      <c r="B6" s="10" t="s">
        <v>1308</v>
      </c>
      <c r="C6" s="10" t="s">
        <v>1300</v>
      </c>
    </row>
    <row r="7" spans="1:3" x14ac:dyDescent="0.25">
      <c r="A7" s="12" t="s">
        <v>1309</v>
      </c>
      <c r="B7" s="10" t="s">
        <v>1310</v>
      </c>
      <c r="C7" s="10" t="s">
        <v>1300</v>
      </c>
    </row>
    <row r="8" spans="1:3" x14ac:dyDescent="0.25">
      <c r="A8" s="12" t="s">
        <v>1311</v>
      </c>
      <c r="B8" s="10" t="s">
        <v>1312</v>
      </c>
      <c r="C8" s="10" t="s">
        <v>1300</v>
      </c>
    </row>
    <row r="9" spans="1:3" x14ac:dyDescent="0.25">
      <c r="A9" s="12" t="s">
        <v>1313</v>
      </c>
      <c r="B9" s="10" t="s">
        <v>1314</v>
      </c>
      <c r="C9" s="10" t="s">
        <v>1300</v>
      </c>
    </row>
    <row r="10" spans="1:3" x14ac:dyDescent="0.25">
      <c r="A10" s="12" t="s">
        <v>1315</v>
      </c>
      <c r="B10" s="10" t="s">
        <v>1316</v>
      </c>
      <c r="C10" s="10" t="s">
        <v>1300</v>
      </c>
    </row>
    <row r="11" spans="1:3" x14ac:dyDescent="0.25">
      <c r="A11" s="12" t="s">
        <v>1317</v>
      </c>
      <c r="B11" s="10" t="s">
        <v>1318</v>
      </c>
      <c r="C11" s="10" t="s">
        <v>1300</v>
      </c>
    </row>
    <row r="12" spans="1:3" x14ac:dyDescent="0.25">
      <c r="A12" s="12" t="s">
        <v>1319</v>
      </c>
      <c r="B12" s="10" t="s">
        <v>1320</v>
      </c>
      <c r="C12" s="10" t="s">
        <v>1300</v>
      </c>
    </row>
    <row r="13" spans="1:3" x14ac:dyDescent="0.25">
      <c r="A13" s="12" t="s">
        <v>1321</v>
      </c>
      <c r="B13" s="10" t="s">
        <v>1322</v>
      </c>
      <c r="C13" s="10" t="s">
        <v>1300</v>
      </c>
    </row>
    <row r="14" spans="1:3" x14ac:dyDescent="0.25">
      <c r="A14" s="12" t="s">
        <v>1323</v>
      </c>
      <c r="B14" s="10" t="s">
        <v>1324</v>
      </c>
      <c r="C14" s="10" t="s">
        <v>1300</v>
      </c>
    </row>
    <row r="15" spans="1:3" x14ac:dyDescent="0.25">
      <c r="A15" s="12" t="s">
        <v>1325</v>
      </c>
      <c r="B15" s="10" t="s">
        <v>1326</v>
      </c>
      <c r="C15" s="10" t="s">
        <v>1300</v>
      </c>
    </row>
    <row r="16" spans="1:3" x14ac:dyDescent="0.25">
      <c r="A16" s="12" t="s">
        <v>1327</v>
      </c>
      <c r="B16" s="10" t="s">
        <v>1328</v>
      </c>
      <c r="C16" s="10" t="s">
        <v>1300</v>
      </c>
    </row>
    <row r="17" spans="1:3" x14ac:dyDescent="0.25">
      <c r="A17" s="12" t="s">
        <v>1329</v>
      </c>
      <c r="B17" s="10" t="s">
        <v>1330</v>
      </c>
      <c r="C17" s="10" t="s">
        <v>1300</v>
      </c>
    </row>
    <row r="18" spans="1:3" x14ac:dyDescent="0.25">
      <c r="A18" s="12" t="s">
        <v>1331</v>
      </c>
      <c r="B18" s="10" t="s">
        <v>1332</v>
      </c>
      <c r="C18" s="10" t="s">
        <v>1300</v>
      </c>
    </row>
    <row r="19" spans="1:3" x14ac:dyDescent="0.25">
      <c r="A19" s="12" t="s">
        <v>1333</v>
      </c>
      <c r="B19" s="10" t="s">
        <v>1334</v>
      </c>
      <c r="C19" s="10" t="s">
        <v>1300</v>
      </c>
    </row>
    <row r="20" spans="1:3" x14ac:dyDescent="0.25">
      <c r="A20" s="12" t="s">
        <v>1335</v>
      </c>
      <c r="B20" s="10" t="s">
        <v>1336</v>
      </c>
      <c r="C20" s="10" t="s">
        <v>1300</v>
      </c>
    </row>
    <row r="21" spans="1:3" x14ac:dyDescent="0.25">
      <c r="A21" s="12" t="s">
        <v>1337</v>
      </c>
      <c r="B21" s="10" t="s">
        <v>1338</v>
      </c>
      <c r="C21" s="10" t="s">
        <v>1338</v>
      </c>
    </row>
    <row r="22" spans="1:3" x14ac:dyDescent="0.25">
      <c r="A22" s="12" t="s">
        <v>1339</v>
      </c>
      <c r="B22" s="10" t="s">
        <v>1338</v>
      </c>
      <c r="C22" s="10" t="s">
        <v>1338</v>
      </c>
    </row>
    <row r="23" spans="1:3" x14ac:dyDescent="0.25">
      <c r="A23" s="12" t="s">
        <v>1340</v>
      </c>
      <c r="B23" s="10" t="s">
        <v>1338</v>
      </c>
      <c r="C23" s="10" t="s">
        <v>1338</v>
      </c>
    </row>
    <row r="24" spans="1:3" x14ac:dyDescent="0.25">
      <c r="A24" s="12" t="s">
        <v>1341</v>
      </c>
      <c r="B24" s="10" t="s">
        <v>1338</v>
      </c>
      <c r="C24" s="10" t="s">
        <v>1338</v>
      </c>
    </row>
    <row r="25" spans="1:3" x14ac:dyDescent="0.25">
      <c r="A25" s="12" t="s">
        <v>1342</v>
      </c>
      <c r="B25" s="10" t="s">
        <v>1338</v>
      </c>
      <c r="C25" s="10" t="s">
        <v>1338</v>
      </c>
    </row>
    <row r="26" spans="1:3" x14ac:dyDescent="0.25">
      <c r="A26" s="12" t="s">
        <v>1343</v>
      </c>
      <c r="B26" s="10" t="s">
        <v>1338</v>
      </c>
      <c r="C26" s="10" t="s">
        <v>1338</v>
      </c>
    </row>
    <row r="27" spans="1:3" x14ac:dyDescent="0.25">
      <c r="A27" s="12" t="s">
        <v>7016</v>
      </c>
      <c r="B27" s="10" t="s">
        <v>7020</v>
      </c>
      <c r="C27" s="10" t="s">
        <v>7020</v>
      </c>
    </row>
    <row r="28" spans="1:3" x14ac:dyDescent="0.25">
      <c r="A28" s="12" t="s">
        <v>7017</v>
      </c>
      <c r="B28" s="10" t="s">
        <v>7020</v>
      </c>
      <c r="C28" s="10" t="s">
        <v>7020</v>
      </c>
    </row>
    <row r="29" spans="1:3" x14ac:dyDescent="0.25">
      <c r="A29" s="12" t="s">
        <v>7018</v>
      </c>
      <c r="B29" s="10" t="s">
        <v>7020</v>
      </c>
      <c r="C29" s="10" t="s">
        <v>7020</v>
      </c>
    </row>
    <row r="30" spans="1:3" x14ac:dyDescent="0.25">
      <c r="A30" s="12" t="s">
        <v>7019</v>
      </c>
      <c r="B30" s="10" t="s">
        <v>7020</v>
      </c>
      <c r="C30" s="10" t="s">
        <v>7020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765E1-453F-4397-BCAC-4919582BA57C}">
  <dimension ref="A1:F61"/>
  <sheetViews>
    <sheetView topLeftCell="A37" workbookViewId="0">
      <selection activeCell="H60" sqref="H60"/>
    </sheetView>
  </sheetViews>
  <sheetFormatPr defaultRowHeight="15" x14ac:dyDescent="0.25"/>
  <cols>
    <col min="1" max="1" width="46.140625" style="10" customWidth="1"/>
    <col min="2" max="2" width="17.28515625" style="10" customWidth="1"/>
    <col min="3" max="3" width="21" style="10" customWidth="1"/>
    <col min="4" max="4" width="13.42578125" style="10" customWidth="1"/>
    <col min="5" max="5" width="15.42578125" style="10" customWidth="1"/>
  </cols>
  <sheetData>
    <row r="1" spans="1:6" x14ac:dyDescent="0.25">
      <c r="A1" s="10" t="s">
        <v>1345</v>
      </c>
      <c r="B1" s="10" t="s">
        <v>1344</v>
      </c>
      <c r="C1" s="10" t="s">
        <v>1346</v>
      </c>
      <c r="D1" s="10" t="s">
        <v>1347</v>
      </c>
      <c r="E1" s="10" t="s">
        <v>1348</v>
      </c>
    </row>
    <row r="2" spans="1:6" x14ac:dyDescent="0.25">
      <c r="A2" s="10" t="str">
        <f>CONCATENATE(B2,C2,D2)</f>
        <v>ПрочиеМалоэтажное1</v>
      </c>
      <c r="B2" s="10" t="s">
        <v>1349</v>
      </c>
      <c r="C2" s="10" t="s">
        <v>1293</v>
      </c>
      <c r="D2" s="10">
        <v>1</v>
      </c>
      <c r="E2" s="10">
        <v>1</v>
      </c>
      <c r="F2" t="s">
        <v>1350</v>
      </c>
    </row>
    <row r="3" spans="1:6" x14ac:dyDescent="0.25">
      <c r="A3" s="10" t="str">
        <f t="shared" ref="A3:A61" si="0">CONCATENATE(B3,C3,D3)</f>
        <v>ПрочиеСреднеэтажное1</v>
      </c>
      <c r="B3" s="10" t="s">
        <v>1349</v>
      </c>
      <c r="C3" s="10" t="s">
        <v>1294</v>
      </c>
      <c r="D3" s="10">
        <v>1</v>
      </c>
      <c r="E3" s="10">
        <v>1</v>
      </c>
      <c r="F3" s="10" t="s">
        <v>1350</v>
      </c>
    </row>
    <row r="4" spans="1:6" x14ac:dyDescent="0.25">
      <c r="A4" s="10" t="str">
        <f t="shared" si="0"/>
        <v>ПрочиеМногоэтажное1</v>
      </c>
      <c r="B4" s="10" t="s">
        <v>1349</v>
      </c>
      <c r="C4" s="10" t="s">
        <v>1295</v>
      </c>
      <c r="D4" s="10">
        <v>1</v>
      </c>
      <c r="E4" s="10">
        <v>1</v>
      </c>
      <c r="F4" s="10" t="s">
        <v>1350</v>
      </c>
    </row>
    <row r="5" spans="1:6" x14ac:dyDescent="0.25">
      <c r="A5" s="10" t="str">
        <f t="shared" si="0"/>
        <v>ПрочиеМалоэтажное2</v>
      </c>
      <c r="B5" s="10" t="s">
        <v>1349</v>
      </c>
      <c r="C5" s="10" t="s">
        <v>1293</v>
      </c>
      <c r="D5" s="10">
        <v>2</v>
      </c>
      <c r="E5" s="10">
        <v>2</v>
      </c>
      <c r="F5" t="s">
        <v>1351</v>
      </c>
    </row>
    <row r="6" spans="1:6" x14ac:dyDescent="0.25">
      <c r="A6" s="10" t="str">
        <f t="shared" si="0"/>
        <v>ПрочиеСреднеэтажное2</v>
      </c>
      <c r="B6" s="10" t="s">
        <v>1349</v>
      </c>
      <c r="C6" s="10" t="s">
        <v>1294</v>
      </c>
      <c r="D6" s="10">
        <v>2</v>
      </c>
      <c r="E6" s="10">
        <v>2</v>
      </c>
      <c r="F6" s="10" t="s">
        <v>1351</v>
      </c>
    </row>
    <row r="7" spans="1:6" x14ac:dyDescent="0.25">
      <c r="A7" s="10" t="str">
        <f t="shared" si="0"/>
        <v>ПрочиеМногоэтажное2</v>
      </c>
      <c r="B7" s="10" t="s">
        <v>1349</v>
      </c>
      <c r="C7" s="10" t="s">
        <v>1295</v>
      </c>
      <c r="D7" s="10">
        <v>2</v>
      </c>
      <c r="E7" s="10">
        <v>2</v>
      </c>
      <c r="F7" s="10" t="s">
        <v>1351</v>
      </c>
    </row>
    <row r="8" spans="1:6" x14ac:dyDescent="0.25">
      <c r="A8" s="10" t="str">
        <f t="shared" si="0"/>
        <v>ПрочиеМалоэтажное3</v>
      </c>
      <c r="B8" s="10" t="s">
        <v>1349</v>
      </c>
      <c r="C8" s="10" t="s">
        <v>1293</v>
      </c>
      <c r="D8" s="10">
        <v>3</v>
      </c>
      <c r="E8" s="10">
        <v>3</v>
      </c>
      <c r="F8" t="s">
        <v>68</v>
      </c>
    </row>
    <row r="9" spans="1:6" x14ac:dyDescent="0.25">
      <c r="A9" s="10" t="str">
        <f t="shared" si="0"/>
        <v>ПрочиеСреднеэтажное3</v>
      </c>
      <c r="B9" s="10" t="s">
        <v>1349</v>
      </c>
      <c r="C9" s="10" t="s">
        <v>1294</v>
      </c>
      <c r="D9" s="10">
        <v>3</v>
      </c>
      <c r="E9" s="10">
        <v>3</v>
      </c>
      <c r="F9" s="10" t="s">
        <v>68</v>
      </c>
    </row>
    <row r="10" spans="1:6" x14ac:dyDescent="0.25">
      <c r="A10" s="10" t="str">
        <f t="shared" si="0"/>
        <v>ПрочиеМногоэтажное3</v>
      </c>
      <c r="B10" s="10" t="s">
        <v>1349</v>
      </c>
      <c r="C10" s="10" t="s">
        <v>1295</v>
      </c>
      <c r="D10" s="10">
        <v>3</v>
      </c>
      <c r="E10" s="10">
        <v>3</v>
      </c>
      <c r="F10" s="10" t="s">
        <v>68</v>
      </c>
    </row>
    <row r="11" spans="1:6" x14ac:dyDescent="0.25">
      <c r="A11" s="10" t="str">
        <f t="shared" si="0"/>
        <v>ПрочиеМалоэтажное4</v>
      </c>
      <c r="B11" s="10" t="s">
        <v>1349</v>
      </c>
      <c r="C11" s="10" t="s">
        <v>1293</v>
      </c>
      <c r="D11" s="10">
        <v>4</v>
      </c>
      <c r="E11" s="10">
        <v>4</v>
      </c>
      <c r="F11" t="s">
        <v>1352</v>
      </c>
    </row>
    <row r="12" spans="1:6" x14ac:dyDescent="0.25">
      <c r="A12" s="10" t="str">
        <f t="shared" si="0"/>
        <v>ПрочиеСреднеэтажное4</v>
      </c>
      <c r="B12" s="10" t="s">
        <v>1349</v>
      </c>
      <c r="C12" s="10" t="s">
        <v>1294</v>
      </c>
      <c r="D12" s="10">
        <v>4</v>
      </c>
      <c r="E12" s="10">
        <v>4</v>
      </c>
      <c r="F12" s="10" t="s">
        <v>1352</v>
      </c>
    </row>
    <row r="13" spans="1:6" x14ac:dyDescent="0.25">
      <c r="A13" s="10" t="str">
        <f t="shared" si="0"/>
        <v>ПрочиеМногоэтажное4</v>
      </c>
      <c r="B13" s="10" t="s">
        <v>1349</v>
      </c>
      <c r="C13" s="10" t="s">
        <v>1295</v>
      </c>
      <c r="D13" s="10">
        <v>4</v>
      </c>
      <c r="E13" s="10">
        <v>4</v>
      </c>
      <c r="F13" s="10" t="s">
        <v>1352</v>
      </c>
    </row>
    <row r="14" spans="1:6" x14ac:dyDescent="0.25">
      <c r="A14" s="10" t="str">
        <f t="shared" si="0"/>
        <v>ПрочиеМалоэтажное5</v>
      </c>
      <c r="B14" s="10" t="s">
        <v>1349</v>
      </c>
      <c r="C14" s="10" t="s">
        <v>1293</v>
      </c>
      <c r="D14" s="10">
        <v>5</v>
      </c>
      <c r="E14" s="10">
        <v>5</v>
      </c>
      <c r="F14" t="s">
        <v>1353</v>
      </c>
    </row>
    <row r="15" spans="1:6" x14ac:dyDescent="0.25">
      <c r="A15" s="10" t="str">
        <f t="shared" si="0"/>
        <v>ПрочиеСреднеэтажное5</v>
      </c>
      <c r="B15" s="10" t="s">
        <v>1349</v>
      </c>
      <c r="C15" s="10" t="s">
        <v>1294</v>
      </c>
      <c r="D15" s="10">
        <v>5</v>
      </c>
      <c r="E15" s="10">
        <v>5</v>
      </c>
      <c r="F15" s="10" t="s">
        <v>1353</v>
      </c>
    </row>
    <row r="16" spans="1:6" x14ac:dyDescent="0.25">
      <c r="A16" s="10" t="str">
        <f t="shared" si="0"/>
        <v>ПрочиеМногоэтажное5</v>
      </c>
      <c r="B16" s="10" t="s">
        <v>1349</v>
      </c>
      <c r="C16" s="10" t="s">
        <v>1295</v>
      </c>
      <c r="D16" s="10">
        <v>5</v>
      </c>
      <c r="E16" s="10">
        <v>5</v>
      </c>
      <c r="F16" s="10" t="s">
        <v>1353</v>
      </c>
    </row>
    <row r="17" spans="1:6" x14ac:dyDescent="0.25">
      <c r="A17" s="10" t="str">
        <f t="shared" si="0"/>
        <v>МКДМалоэтажное1</v>
      </c>
      <c r="B17" s="10" t="s">
        <v>1338</v>
      </c>
      <c r="C17" s="10" t="s">
        <v>1293</v>
      </c>
      <c r="D17" s="10">
        <v>1</v>
      </c>
      <c r="E17" s="10">
        <v>1</v>
      </c>
      <c r="F17" s="10" t="s">
        <v>1350</v>
      </c>
    </row>
    <row r="18" spans="1:6" x14ac:dyDescent="0.25">
      <c r="A18" s="10" t="str">
        <f t="shared" si="0"/>
        <v>МКДСреднеэтажное1</v>
      </c>
      <c r="B18" s="10" t="s">
        <v>1338</v>
      </c>
      <c r="C18" s="10" t="s">
        <v>1294</v>
      </c>
      <c r="D18" s="10">
        <v>1</v>
      </c>
      <c r="E18" s="10">
        <v>1</v>
      </c>
      <c r="F18" s="10" t="s">
        <v>1350</v>
      </c>
    </row>
    <row r="19" spans="1:6" x14ac:dyDescent="0.25">
      <c r="A19" s="10" t="str">
        <f t="shared" si="0"/>
        <v>МКДМногоэтажное1</v>
      </c>
      <c r="B19" s="10" t="s">
        <v>1338</v>
      </c>
      <c r="C19" s="10" t="s">
        <v>1295</v>
      </c>
      <c r="D19" s="10">
        <v>1</v>
      </c>
      <c r="E19" s="10">
        <v>1</v>
      </c>
      <c r="F19" s="10" t="s">
        <v>1350</v>
      </c>
    </row>
    <row r="20" spans="1:6" x14ac:dyDescent="0.25">
      <c r="A20" s="10" t="str">
        <f t="shared" si="0"/>
        <v>МКДМалоэтажное2</v>
      </c>
      <c r="B20" s="10" t="s">
        <v>1338</v>
      </c>
      <c r="C20" s="10" t="s">
        <v>1293</v>
      </c>
      <c r="D20" s="10">
        <v>2</v>
      </c>
      <c r="E20" s="10">
        <v>2</v>
      </c>
      <c r="F20" s="10" t="s">
        <v>1351</v>
      </c>
    </row>
    <row r="21" spans="1:6" x14ac:dyDescent="0.25">
      <c r="A21" s="10" t="str">
        <f t="shared" si="0"/>
        <v>МКДСреднеэтажное2</v>
      </c>
      <c r="B21" s="10" t="s">
        <v>1338</v>
      </c>
      <c r="C21" s="10" t="s">
        <v>1294</v>
      </c>
      <c r="D21" s="10">
        <v>2</v>
      </c>
      <c r="E21" s="10">
        <v>2</v>
      </c>
      <c r="F21" s="10" t="s">
        <v>1351</v>
      </c>
    </row>
    <row r="22" spans="1:6" x14ac:dyDescent="0.25">
      <c r="A22" s="10" t="str">
        <f t="shared" si="0"/>
        <v>МКДМногоэтажное2</v>
      </c>
      <c r="B22" s="10" t="s">
        <v>1338</v>
      </c>
      <c r="C22" s="10" t="s">
        <v>1295</v>
      </c>
      <c r="D22" s="10">
        <v>2</v>
      </c>
      <c r="E22" s="10">
        <v>1</v>
      </c>
      <c r="F22" s="10" t="s">
        <v>1350</v>
      </c>
    </row>
    <row r="23" spans="1:6" x14ac:dyDescent="0.25">
      <c r="A23" s="10" t="str">
        <f t="shared" si="0"/>
        <v>МКДМалоэтажное3</v>
      </c>
      <c r="B23" s="10" t="s">
        <v>1338</v>
      </c>
      <c r="C23" s="10" t="s">
        <v>1293</v>
      </c>
      <c r="D23" s="10">
        <v>3</v>
      </c>
      <c r="E23" s="10">
        <v>3</v>
      </c>
      <c r="F23" s="10" t="s">
        <v>68</v>
      </c>
    </row>
    <row r="24" spans="1:6" x14ac:dyDescent="0.25">
      <c r="A24" s="10" t="str">
        <f t="shared" si="0"/>
        <v>МКДСреднеэтажное3</v>
      </c>
      <c r="B24" s="10" t="s">
        <v>1338</v>
      </c>
      <c r="C24" s="10" t="s">
        <v>1294</v>
      </c>
      <c r="D24" s="10">
        <v>3</v>
      </c>
      <c r="E24" s="10">
        <v>2</v>
      </c>
      <c r="F24" s="10" t="s">
        <v>1351</v>
      </c>
    </row>
    <row r="25" spans="1:6" x14ac:dyDescent="0.25">
      <c r="A25" s="10" t="str">
        <f t="shared" si="0"/>
        <v>МКДМногоэтажное3</v>
      </c>
      <c r="B25" s="10" t="s">
        <v>1338</v>
      </c>
      <c r="C25" s="10" t="s">
        <v>1295</v>
      </c>
      <c r="D25" s="10">
        <v>3</v>
      </c>
      <c r="E25" s="10">
        <v>1</v>
      </c>
      <c r="F25" s="10" t="s">
        <v>1350</v>
      </c>
    </row>
    <row r="26" spans="1:6" x14ac:dyDescent="0.25">
      <c r="A26" s="10" t="str">
        <f t="shared" si="0"/>
        <v>МКДМалоэтажное4</v>
      </c>
      <c r="B26" s="10" t="s">
        <v>1338</v>
      </c>
      <c r="C26" s="10" t="s">
        <v>1293</v>
      </c>
      <c r="D26" s="10">
        <v>4</v>
      </c>
      <c r="E26" s="10">
        <v>3</v>
      </c>
      <c r="F26" s="10" t="s">
        <v>68</v>
      </c>
    </row>
    <row r="27" spans="1:6" x14ac:dyDescent="0.25">
      <c r="A27" s="10" t="str">
        <f t="shared" si="0"/>
        <v>МКДСреднеэтажное4</v>
      </c>
      <c r="B27" s="10" t="s">
        <v>1338</v>
      </c>
      <c r="C27" s="10" t="s">
        <v>1294</v>
      </c>
      <c r="D27" s="10">
        <v>4</v>
      </c>
      <c r="E27" s="10">
        <v>2</v>
      </c>
      <c r="F27" s="10" t="s">
        <v>1351</v>
      </c>
    </row>
    <row r="28" spans="1:6" x14ac:dyDescent="0.25">
      <c r="A28" s="10" t="str">
        <f t="shared" si="0"/>
        <v>МКДМногоэтажное4</v>
      </c>
      <c r="B28" s="10" t="s">
        <v>1338</v>
      </c>
      <c r="C28" s="10" t="s">
        <v>1295</v>
      </c>
      <c r="D28" s="10">
        <v>4</v>
      </c>
      <c r="E28" s="10">
        <v>1</v>
      </c>
      <c r="F28" s="10" t="s">
        <v>1350</v>
      </c>
    </row>
    <row r="29" spans="1:6" x14ac:dyDescent="0.25">
      <c r="A29" s="10" t="str">
        <f t="shared" si="0"/>
        <v>МКДМалоэтажное5</v>
      </c>
      <c r="B29" s="10" t="s">
        <v>1338</v>
      </c>
      <c r="C29" s="10" t="s">
        <v>1293</v>
      </c>
      <c r="D29" s="10">
        <v>5</v>
      </c>
      <c r="E29" s="10">
        <v>3</v>
      </c>
      <c r="F29" s="10" t="s">
        <v>68</v>
      </c>
    </row>
    <row r="30" spans="1:6" x14ac:dyDescent="0.25">
      <c r="A30" s="10" t="str">
        <f t="shared" si="0"/>
        <v>МКДСреднеэтажное5</v>
      </c>
      <c r="B30" s="10" t="s">
        <v>1338</v>
      </c>
      <c r="C30" s="10" t="s">
        <v>1294</v>
      </c>
      <c r="D30" s="10">
        <v>5</v>
      </c>
      <c r="E30" s="10">
        <v>2</v>
      </c>
      <c r="F30" s="10" t="s">
        <v>1351</v>
      </c>
    </row>
    <row r="31" spans="1:6" x14ac:dyDescent="0.25">
      <c r="A31" s="10" t="str">
        <f t="shared" si="0"/>
        <v>МКДМногоэтажное5</v>
      </c>
      <c r="B31" s="10" t="s">
        <v>1338</v>
      </c>
      <c r="C31" s="10" t="s">
        <v>1295</v>
      </c>
      <c r="D31" s="10">
        <v>5</v>
      </c>
      <c r="E31" s="10">
        <v>1</v>
      </c>
      <c r="F31" s="10" t="s">
        <v>1350</v>
      </c>
    </row>
    <row r="32" spans="1:6" x14ac:dyDescent="0.25">
      <c r="A32" s="10" t="str">
        <f t="shared" si="0"/>
        <v>Бизнес и АдминистрацияМалоэтажное1</v>
      </c>
      <c r="B32" s="10" t="s">
        <v>1300</v>
      </c>
      <c r="C32" s="10" t="s">
        <v>1293</v>
      </c>
      <c r="D32" s="10">
        <v>1</v>
      </c>
      <c r="E32" s="10">
        <v>1</v>
      </c>
      <c r="F32" s="10" t="s">
        <v>1350</v>
      </c>
    </row>
    <row r="33" spans="1:6" x14ac:dyDescent="0.25">
      <c r="A33" s="10" t="str">
        <f t="shared" si="0"/>
        <v>Бизнес и АдминистрацияСреднеэтажное1</v>
      </c>
      <c r="B33" s="10" t="s">
        <v>1300</v>
      </c>
      <c r="C33" s="10" t="s">
        <v>1294</v>
      </c>
      <c r="D33" s="10">
        <v>1</v>
      </c>
      <c r="E33" s="10">
        <v>1</v>
      </c>
      <c r="F33" s="10" t="s">
        <v>1350</v>
      </c>
    </row>
    <row r="34" spans="1:6" x14ac:dyDescent="0.25">
      <c r="A34" s="10" t="str">
        <f t="shared" si="0"/>
        <v>Бизнес и АдминистрацияМногоэтажное1</v>
      </c>
      <c r="B34" s="10" t="s">
        <v>1300</v>
      </c>
      <c r="C34" s="10" t="s">
        <v>1295</v>
      </c>
      <c r="D34" s="10">
        <v>1</v>
      </c>
      <c r="E34" s="10">
        <v>1</v>
      </c>
      <c r="F34" s="10" t="s">
        <v>1350</v>
      </c>
    </row>
    <row r="35" spans="1:6" x14ac:dyDescent="0.25">
      <c r="A35" s="10" t="str">
        <f t="shared" si="0"/>
        <v>Бизнес и АдминистрацияМалоэтажное2</v>
      </c>
      <c r="B35" s="10" t="s">
        <v>1300</v>
      </c>
      <c r="C35" s="10" t="s">
        <v>1293</v>
      </c>
      <c r="D35" s="10">
        <v>2</v>
      </c>
      <c r="E35" s="10">
        <v>2</v>
      </c>
      <c r="F35" s="10" t="s">
        <v>1351</v>
      </c>
    </row>
    <row r="36" spans="1:6" x14ac:dyDescent="0.25">
      <c r="A36" s="10" t="str">
        <f t="shared" si="0"/>
        <v>Бизнес и АдминистрацияСреднеэтажное2</v>
      </c>
      <c r="B36" s="10" t="s">
        <v>1300</v>
      </c>
      <c r="C36" s="10" t="s">
        <v>1294</v>
      </c>
      <c r="D36" s="10">
        <v>2</v>
      </c>
      <c r="E36" s="10">
        <v>2</v>
      </c>
      <c r="F36" s="10" t="s">
        <v>1351</v>
      </c>
    </row>
    <row r="37" spans="1:6" x14ac:dyDescent="0.25">
      <c r="A37" s="10" t="str">
        <f t="shared" si="0"/>
        <v>Бизнес и АдминистрацияМногоэтажное2</v>
      </c>
      <c r="B37" s="10" t="s">
        <v>1300</v>
      </c>
      <c r="C37" s="10" t="s">
        <v>1295</v>
      </c>
      <c r="D37" s="10">
        <v>2</v>
      </c>
      <c r="E37" s="10">
        <v>2</v>
      </c>
      <c r="F37" s="10" t="s">
        <v>1351</v>
      </c>
    </row>
    <row r="38" spans="1:6" x14ac:dyDescent="0.25">
      <c r="A38" s="10" t="str">
        <f t="shared" si="0"/>
        <v>Бизнес и АдминистрацияМалоэтажное3</v>
      </c>
      <c r="B38" s="10" t="s">
        <v>1300</v>
      </c>
      <c r="C38" s="10" t="s">
        <v>1293</v>
      </c>
      <c r="D38" s="10">
        <v>3</v>
      </c>
      <c r="E38" s="10">
        <v>2</v>
      </c>
      <c r="F38" s="10" t="s">
        <v>1351</v>
      </c>
    </row>
    <row r="39" spans="1:6" x14ac:dyDescent="0.25">
      <c r="A39" s="10" t="str">
        <f t="shared" si="0"/>
        <v>Бизнес и АдминистрацияСреднеэтажное3</v>
      </c>
      <c r="B39" s="10" t="s">
        <v>1300</v>
      </c>
      <c r="C39" s="10" t="s">
        <v>1294</v>
      </c>
      <c r="D39" s="10">
        <v>3</v>
      </c>
      <c r="E39" s="10">
        <v>2</v>
      </c>
      <c r="F39" s="10" t="s">
        <v>1351</v>
      </c>
    </row>
    <row r="40" spans="1:6" x14ac:dyDescent="0.25">
      <c r="A40" s="10" t="str">
        <f t="shared" si="0"/>
        <v>Бизнес и АдминистрацияМногоэтажное3</v>
      </c>
      <c r="B40" s="10" t="s">
        <v>1300</v>
      </c>
      <c r="C40" s="10" t="s">
        <v>1295</v>
      </c>
      <c r="D40" s="10">
        <v>3</v>
      </c>
      <c r="E40" s="10">
        <v>2</v>
      </c>
      <c r="F40" s="10" t="s">
        <v>1351</v>
      </c>
    </row>
    <row r="41" spans="1:6" x14ac:dyDescent="0.25">
      <c r="A41" s="10" t="str">
        <f t="shared" si="0"/>
        <v>Бизнес и АдминистрацияМалоэтажное4</v>
      </c>
      <c r="B41" s="10" t="s">
        <v>1300</v>
      </c>
      <c r="C41" s="10" t="s">
        <v>1293</v>
      </c>
      <c r="D41" s="10">
        <v>4</v>
      </c>
      <c r="E41" s="10">
        <v>2</v>
      </c>
      <c r="F41" s="10" t="s">
        <v>1351</v>
      </c>
    </row>
    <row r="42" spans="1:6" x14ac:dyDescent="0.25">
      <c r="A42" s="10" t="str">
        <f t="shared" si="0"/>
        <v>Бизнес и АдминистрацияСреднеэтажное4</v>
      </c>
      <c r="B42" s="10" t="s">
        <v>1300</v>
      </c>
      <c r="C42" s="10" t="s">
        <v>1294</v>
      </c>
      <c r="D42" s="10">
        <v>4</v>
      </c>
      <c r="E42" s="10">
        <v>2</v>
      </c>
      <c r="F42" s="10" t="s">
        <v>1351</v>
      </c>
    </row>
    <row r="43" spans="1:6" x14ac:dyDescent="0.25">
      <c r="A43" s="10" t="str">
        <f t="shared" si="0"/>
        <v>Бизнес и АдминистрацияМногоэтажное4</v>
      </c>
      <c r="B43" s="10" t="s">
        <v>1300</v>
      </c>
      <c r="C43" s="10" t="s">
        <v>1295</v>
      </c>
      <c r="D43" s="10">
        <v>4</v>
      </c>
      <c r="E43" s="10">
        <v>2</v>
      </c>
      <c r="F43" s="10" t="s">
        <v>1351</v>
      </c>
    </row>
    <row r="44" spans="1:6" x14ac:dyDescent="0.25">
      <c r="A44" s="10" t="str">
        <f t="shared" si="0"/>
        <v>Бизнес и АдминистрацияМалоэтажное5</v>
      </c>
      <c r="B44" s="10" t="s">
        <v>1300</v>
      </c>
      <c r="C44" s="10" t="s">
        <v>1293</v>
      </c>
      <c r="D44" s="10">
        <v>5</v>
      </c>
      <c r="E44" s="10">
        <v>2</v>
      </c>
      <c r="F44" s="10" t="s">
        <v>1351</v>
      </c>
    </row>
    <row r="45" spans="1:6" x14ac:dyDescent="0.25">
      <c r="A45" s="10" t="str">
        <f t="shared" si="0"/>
        <v>Бизнес и АдминистрацияСреднеэтажное5</v>
      </c>
      <c r="B45" s="10" t="s">
        <v>1300</v>
      </c>
      <c r="C45" s="10" t="s">
        <v>1294</v>
      </c>
      <c r="D45" s="10">
        <v>5</v>
      </c>
      <c r="E45" s="10">
        <v>2</v>
      </c>
      <c r="F45" s="10" t="s">
        <v>1351</v>
      </c>
    </row>
    <row r="46" spans="1:6" x14ac:dyDescent="0.25">
      <c r="A46" s="10" t="str">
        <f t="shared" si="0"/>
        <v>Бизнес и АдминистрацияМногоэтажное5</v>
      </c>
      <c r="B46" s="10" t="s">
        <v>1300</v>
      </c>
      <c r="C46" s="10" t="s">
        <v>1295</v>
      </c>
      <c r="D46" s="10">
        <v>5</v>
      </c>
      <c r="E46" s="10">
        <v>2</v>
      </c>
      <c r="F46" s="10" t="s">
        <v>1351</v>
      </c>
    </row>
    <row r="47" spans="1:6" x14ac:dyDescent="0.25">
      <c r="A47" s="10" t="str">
        <f t="shared" si="0"/>
        <v>ИЖСМалоэтажное1</v>
      </c>
      <c r="B47" s="10" t="s">
        <v>7020</v>
      </c>
      <c r="C47" s="10" t="s">
        <v>1293</v>
      </c>
      <c r="D47" s="10">
        <v>1</v>
      </c>
      <c r="E47" s="10">
        <v>1</v>
      </c>
      <c r="F47" s="10" t="s">
        <v>1350</v>
      </c>
    </row>
    <row r="48" spans="1:6" x14ac:dyDescent="0.25">
      <c r="A48" s="10" t="str">
        <f t="shared" si="0"/>
        <v>ИЖССреднеэтажное1</v>
      </c>
      <c r="B48" s="10" t="s">
        <v>7020</v>
      </c>
      <c r="C48" s="10" t="s">
        <v>1294</v>
      </c>
      <c r="D48" s="10">
        <v>1</v>
      </c>
      <c r="E48" s="10">
        <v>1</v>
      </c>
      <c r="F48" s="10" t="s">
        <v>1350</v>
      </c>
    </row>
    <row r="49" spans="1:6" x14ac:dyDescent="0.25">
      <c r="A49" s="10" t="str">
        <f t="shared" si="0"/>
        <v>ИЖСМногоэтажное1</v>
      </c>
      <c r="B49" s="10" t="s">
        <v>7020</v>
      </c>
      <c r="C49" s="10" t="s">
        <v>1295</v>
      </c>
      <c r="D49" s="10">
        <v>1</v>
      </c>
      <c r="E49" s="10">
        <v>1</v>
      </c>
      <c r="F49" s="10" t="s">
        <v>1350</v>
      </c>
    </row>
    <row r="50" spans="1:6" x14ac:dyDescent="0.25">
      <c r="A50" s="10" t="str">
        <f t="shared" si="0"/>
        <v>ИЖСМалоэтажное2</v>
      </c>
      <c r="B50" s="10" t="s">
        <v>7020</v>
      </c>
      <c r="C50" s="10" t="s">
        <v>1293</v>
      </c>
      <c r="D50" s="10">
        <v>2</v>
      </c>
      <c r="E50" s="10">
        <v>2</v>
      </c>
      <c r="F50" s="10" t="s">
        <v>1351</v>
      </c>
    </row>
    <row r="51" spans="1:6" x14ac:dyDescent="0.25">
      <c r="A51" s="10" t="str">
        <f t="shared" si="0"/>
        <v>ИЖССреднеэтажное2</v>
      </c>
      <c r="B51" s="10" t="s">
        <v>7020</v>
      </c>
      <c r="C51" s="10" t="s">
        <v>1294</v>
      </c>
      <c r="D51" s="10">
        <v>2</v>
      </c>
      <c r="E51" s="10">
        <v>2</v>
      </c>
      <c r="F51" s="10" t="s">
        <v>1351</v>
      </c>
    </row>
    <row r="52" spans="1:6" x14ac:dyDescent="0.25">
      <c r="A52" s="10" t="str">
        <f t="shared" si="0"/>
        <v>ИЖСМногоэтажное2</v>
      </c>
      <c r="B52" s="10" t="s">
        <v>7020</v>
      </c>
      <c r="C52" s="10" t="s">
        <v>1295</v>
      </c>
      <c r="D52" s="10">
        <v>2</v>
      </c>
      <c r="E52" s="10">
        <v>2</v>
      </c>
      <c r="F52" s="10" t="s">
        <v>1351</v>
      </c>
    </row>
    <row r="53" spans="1:6" x14ac:dyDescent="0.25">
      <c r="A53" s="10" t="str">
        <f t="shared" si="0"/>
        <v>ИЖСМалоэтажное3</v>
      </c>
      <c r="B53" s="10" t="s">
        <v>7020</v>
      </c>
      <c r="C53" s="10" t="s">
        <v>1293</v>
      </c>
      <c r="D53" s="10">
        <v>3</v>
      </c>
      <c r="E53" s="10">
        <v>3</v>
      </c>
      <c r="F53" s="10" t="s">
        <v>68</v>
      </c>
    </row>
    <row r="54" spans="1:6" x14ac:dyDescent="0.25">
      <c r="A54" s="10" t="str">
        <f t="shared" si="0"/>
        <v>ИЖССреднеэтажное3</v>
      </c>
      <c r="B54" s="10" t="s">
        <v>7020</v>
      </c>
      <c r="C54" s="10" t="s">
        <v>1294</v>
      </c>
      <c r="D54" s="10">
        <v>3</v>
      </c>
      <c r="E54" s="10">
        <v>3</v>
      </c>
      <c r="F54" s="10" t="s">
        <v>68</v>
      </c>
    </row>
    <row r="55" spans="1:6" x14ac:dyDescent="0.25">
      <c r="A55" s="10" t="str">
        <f t="shared" si="0"/>
        <v>ИЖСМногоэтажное3</v>
      </c>
      <c r="B55" s="10" t="s">
        <v>7020</v>
      </c>
      <c r="C55" s="10" t="s">
        <v>1295</v>
      </c>
      <c r="D55" s="10">
        <v>3</v>
      </c>
      <c r="E55" s="10">
        <v>3</v>
      </c>
      <c r="F55" s="10" t="s">
        <v>68</v>
      </c>
    </row>
    <row r="56" spans="1:6" x14ac:dyDescent="0.25">
      <c r="A56" s="10" t="str">
        <f t="shared" si="0"/>
        <v>ИЖСМалоэтажное4</v>
      </c>
      <c r="B56" s="10" t="s">
        <v>7020</v>
      </c>
      <c r="C56" s="10" t="s">
        <v>1293</v>
      </c>
      <c r="D56" s="10">
        <v>4</v>
      </c>
      <c r="E56" s="10">
        <v>4</v>
      </c>
      <c r="F56" s="10" t="s">
        <v>1352</v>
      </c>
    </row>
    <row r="57" spans="1:6" x14ac:dyDescent="0.25">
      <c r="A57" s="10" t="str">
        <f t="shared" si="0"/>
        <v>ИЖССреднеэтажное4</v>
      </c>
      <c r="B57" s="10" t="s">
        <v>7020</v>
      </c>
      <c r="C57" s="10" t="s">
        <v>1294</v>
      </c>
      <c r="D57" s="10">
        <v>4</v>
      </c>
      <c r="E57" s="10">
        <v>4</v>
      </c>
      <c r="F57" s="10" t="s">
        <v>1352</v>
      </c>
    </row>
    <row r="58" spans="1:6" x14ac:dyDescent="0.25">
      <c r="A58" s="10" t="str">
        <f t="shared" si="0"/>
        <v>ИЖСМногоэтажное4</v>
      </c>
      <c r="B58" s="10" t="s">
        <v>7020</v>
      </c>
      <c r="C58" s="10" t="s">
        <v>1295</v>
      </c>
      <c r="D58" s="10">
        <v>4</v>
      </c>
      <c r="E58" s="10">
        <v>4</v>
      </c>
      <c r="F58" s="10" t="s">
        <v>1352</v>
      </c>
    </row>
    <row r="59" spans="1:6" x14ac:dyDescent="0.25">
      <c r="A59" s="10" t="str">
        <f t="shared" si="0"/>
        <v>ИЖСМалоэтажное5</v>
      </c>
      <c r="B59" s="10" t="s">
        <v>7020</v>
      </c>
      <c r="C59" s="10" t="s">
        <v>1293</v>
      </c>
      <c r="D59" s="10">
        <v>5</v>
      </c>
      <c r="E59" s="10">
        <v>4</v>
      </c>
      <c r="F59" s="10" t="s">
        <v>1352</v>
      </c>
    </row>
    <row r="60" spans="1:6" x14ac:dyDescent="0.25">
      <c r="A60" s="10" t="str">
        <f t="shared" si="0"/>
        <v>ИЖССреднеэтажное5</v>
      </c>
      <c r="B60" s="10" t="s">
        <v>7020</v>
      </c>
      <c r="C60" s="10" t="s">
        <v>1294</v>
      </c>
      <c r="D60" s="10">
        <v>5</v>
      </c>
      <c r="E60" s="10">
        <v>4</v>
      </c>
      <c r="F60" s="10" t="s">
        <v>1352</v>
      </c>
    </row>
    <row r="61" spans="1:6" x14ac:dyDescent="0.25">
      <c r="A61" s="10" t="str">
        <f t="shared" si="0"/>
        <v>ИЖСМногоэтажное5</v>
      </c>
      <c r="B61" s="10" t="s">
        <v>7020</v>
      </c>
      <c r="C61" s="10" t="s">
        <v>1295</v>
      </c>
      <c r="D61" s="10">
        <v>5</v>
      </c>
      <c r="E61" s="10">
        <v>4</v>
      </c>
      <c r="F61" s="10" t="s">
        <v>1352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C36F4-FE66-4218-901A-F13D447EB5E7}">
  <dimension ref="A1:D2"/>
  <sheetViews>
    <sheetView workbookViewId="0">
      <selection activeCell="I6" sqref="I6"/>
    </sheetView>
  </sheetViews>
  <sheetFormatPr defaultRowHeight="15" x14ac:dyDescent="0.25"/>
  <cols>
    <col min="1" max="1" width="20.7109375" customWidth="1"/>
    <col min="2" max="2" width="52.5703125" customWidth="1"/>
  </cols>
  <sheetData>
    <row r="1" spans="1:4" x14ac:dyDescent="0.25">
      <c r="A1" s="10" t="s">
        <v>36</v>
      </c>
      <c r="B1" s="10" t="s">
        <v>38</v>
      </c>
      <c r="C1" s="10" t="s">
        <v>1001</v>
      </c>
      <c r="D1" s="10" t="s">
        <v>1002</v>
      </c>
    </row>
    <row r="2" spans="1:4" x14ac:dyDescent="0.25">
      <c r="A2" s="10" t="s">
        <v>62</v>
      </c>
      <c r="B2" s="10" t="s">
        <v>64</v>
      </c>
      <c r="C2" s="10" t="s">
        <v>70</v>
      </c>
      <c r="D2" s="10" t="s">
        <v>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01232-0E42-4EF5-B66F-3D5AAB65CE7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3D9D-BE85-4AEF-91F0-7B372775CA5E}">
  <dimension ref="A1:C2"/>
  <sheetViews>
    <sheetView workbookViewId="0">
      <selection activeCell="K4" sqref="K4"/>
    </sheetView>
  </sheetViews>
  <sheetFormatPr defaultRowHeight="15" x14ac:dyDescent="0.25"/>
  <sheetData>
    <row r="1" spans="1:3" x14ac:dyDescent="0.25">
      <c r="A1" s="33" t="s">
        <v>36</v>
      </c>
      <c r="B1" s="33" t="s">
        <v>58</v>
      </c>
      <c r="C1" t="s">
        <v>7038</v>
      </c>
    </row>
    <row r="2" spans="1:3" x14ac:dyDescent="0.25">
      <c r="A2" s="33" t="s">
        <v>7039</v>
      </c>
      <c r="B2" s="33"/>
      <c r="C2" s="3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9EEBA-5847-4BB9-B352-9F4985D76B00}">
  <dimension ref="A1:B2"/>
  <sheetViews>
    <sheetView workbookViewId="0">
      <selection activeCell="C1" sqref="C1"/>
    </sheetView>
  </sheetViews>
  <sheetFormatPr defaultRowHeight="15" x14ac:dyDescent="0.25"/>
  <sheetData>
    <row r="1" spans="1:2" x14ac:dyDescent="0.25">
      <c r="A1" s="33" t="s">
        <v>36</v>
      </c>
      <c r="B1" s="33" t="s">
        <v>59</v>
      </c>
    </row>
    <row r="2" spans="1:2" x14ac:dyDescent="0.25">
      <c r="A2">
        <v>1</v>
      </c>
      <c r="B2">
        <v>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7E10F-431C-4EE2-BBA7-74005D40D53B}">
  <dimension ref="A1:C2"/>
  <sheetViews>
    <sheetView workbookViewId="0">
      <selection activeCell="C2" sqref="A2:C2"/>
    </sheetView>
  </sheetViews>
  <sheetFormatPr defaultRowHeight="15" x14ac:dyDescent="0.25"/>
  <sheetData>
    <row r="1" spans="1:3" x14ac:dyDescent="0.25">
      <c r="A1" s="33" t="s">
        <v>36</v>
      </c>
      <c r="B1" s="33" t="s">
        <v>60</v>
      </c>
      <c r="C1" t="s">
        <v>7038</v>
      </c>
    </row>
    <row r="2" spans="1:3" x14ac:dyDescent="0.25">
      <c r="A2" s="33" t="s">
        <v>7039</v>
      </c>
      <c r="B2" s="33"/>
      <c r="C2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Объекты</vt:lpstr>
      <vt:lpstr>Спр ОКТМО</vt:lpstr>
      <vt:lpstr>СПР ФГ</vt:lpstr>
      <vt:lpstr>СУРС ГКО2023</vt:lpstr>
      <vt:lpstr>Константы0</vt:lpstr>
      <vt:lpstr>СПР Наименований</vt:lpstr>
      <vt:lpstr>Тип территории</vt:lpstr>
      <vt:lpstr>Тип этажности</vt:lpstr>
      <vt:lpstr>Соответствие этажей</vt:lpstr>
      <vt:lpstr>СПР МС</vt:lpstr>
      <vt:lpstr>ТипФГ</vt:lpstr>
      <vt:lpstr>ОпределениеГК</vt:lpstr>
      <vt:lpstr>Промежуточный параметр</vt:lpstr>
      <vt:lpstr>Промежуточная табл 1</vt:lpstr>
      <vt:lpstr>Промежуточная табл 2</vt:lpstr>
      <vt:lpstr>Промежуточная табл 3</vt:lpstr>
      <vt:lpstr>Промежуточная табл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Троицких Владимир Вениаминович</dc:creator>
  <cp:lastModifiedBy>Троицких Владимир Вениаминович</cp:lastModifiedBy>
  <dcterms:created xsi:type="dcterms:W3CDTF">2023-12-14T08:40:06Z</dcterms:created>
  <dcterms:modified xsi:type="dcterms:W3CDTF">2024-03-13T05:45:18Z</dcterms:modified>
</cp:coreProperties>
</file>