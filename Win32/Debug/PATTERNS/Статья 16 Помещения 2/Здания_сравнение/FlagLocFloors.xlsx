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RESULT\"/>
    </mc:Choice>
  </mc:AlternateContent>
  <bookViews>
    <workbookView xWindow="0" yWindow="0" windowWidth="25200" windowHeight="11685"/>
  </bookViews>
  <sheets>
    <sheet name="Опр этажности" sheetId="1" r:id="rId1"/>
    <sheet name="Лист1" sheetId="3" r:id="rId2"/>
    <sheet name="Справочник соответствий" sheetId="2" r:id="rId3"/>
  </sheets>
  <definedNames>
    <definedName name="_FilterDatabase" localSheetId="0" hidden="1">'Опр этажности'!$A$1:$R$1</definedName>
    <definedName name="_FilterDatabase" localSheetId="2" hidden="1">'Справочник соответствий'!$A$1:$E$988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24" i="1" l="1"/>
  <c r="L624" i="1"/>
  <c r="O624" i="1" s="1"/>
  <c r="P624" i="1" s="1"/>
  <c r="R624" i="1" s="1"/>
  <c r="J624" i="1"/>
  <c r="I624" i="1"/>
  <c r="K624" i="1" s="1"/>
  <c r="N624" i="1" s="1"/>
  <c r="Q624" i="1" s="1"/>
  <c r="S623" i="1"/>
  <c r="L623" i="1"/>
  <c r="O623" i="1" s="1"/>
  <c r="P623" i="1" s="1"/>
  <c r="R623" i="1" s="1"/>
  <c r="J623" i="1"/>
  <c r="I623" i="1"/>
  <c r="M623" i="1" s="1"/>
  <c r="S622" i="1"/>
  <c r="L622" i="1"/>
  <c r="O622" i="1" s="1"/>
  <c r="P622" i="1" s="1"/>
  <c r="R622" i="1" s="1"/>
  <c r="K622" i="1"/>
  <c r="N622" i="1" s="1"/>
  <c r="Q622" i="1" s="1"/>
  <c r="J622" i="1"/>
  <c r="I622" i="1"/>
  <c r="M622" i="1" s="1"/>
  <c r="S621" i="1"/>
  <c r="L621" i="1"/>
  <c r="O621" i="1" s="1"/>
  <c r="P621" i="1" s="1"/>
  <c r="R621" i="1" s="1"/>
  <c r="J621" i="1"/>
  <c r="I621" i="1"/>
  <c r="K621" i="1" s="1"/>
  <c r="N621" i="1" s="1"/>
  <c r="Q621" i="1" s="1"/>
  <c r="S620" i="1"/>
  <c r="L620" i="1"/>
  <c r="O620" i="1" s="1"/>
  <c r="P620" i="1" s="1"/>
  <c r="R620" i="1" s="1"/>
  <c r="J620" i="1"/>
  <c r="I620" i="1"/>
  <c r="K620" i="1" s="1"/>
  <c r="N620" i="1" s="1"/>
  <c r="Q620" i="1" s="1"/>
  <c r="S619" i="1"/>
  <c r="L619" i="1"/>
  <c r="O619" i="1" s="1"/>
  <c r="P619" i="1" s="1"/>
  <c r="R619" i="1" s="1"/>
  <c r="J619" i="1"/>
  <c r="I619" i="1"/>
  <c r="M619" i="1" s="1"/>
  <c r="S618" i="1"/>
  <c r="L618" i="1"/>
  <c r="O618" i="1" s="1"/>
  <c r="P618" i="1" s="1"/>
  <c r="R618" i="1" s="1"/>
  <c r="J618" i="1"/>
  <c r="I618" i="1"/>
  <c r="M618" i="1" s="1"/>
  <c r="S617" i="1"/>
  <c r="L617" i="1"/>
  <c r="O617" i="1" s="1"/>
  <c r="P617" i="1" s="1"/>
  <c r="R617" i="1" s="1"/>
  <c r="J617" i="1"/>
  <c r="I617" i="1"/>
  <c r="K617" i="1" s="1"/>
  <c r="N617" i="1" s="1"/>
  <c r="Q617" i="1" s="1"/>
  <c r="S616" i="1"/>
  <c r="L616" i="1"/>
  <c r="O616" i="1" s="1"/>
  <c r="P616" i="1" s="1"/>
  <c r="R616" i="1" s="1"/>
  <c r="J616" i="1"/>
  <c r="I616" i="1"/>
  <c r="K616" i="1" s="1"/>
  <c r="N616" i="1" s="1"/>
  <c r="Q616" i="1" s="1"/>
  <c r="S615" i="1"/>
  <c r="L615" i="1"/>
  <c r="O615" i="1" s="1"/>
  <c r="P615" i="1" s="1"/>
  <c r="R615" i="1" s="1"/>
  <c r="K615" i="1"/>
  <c r="N615" i="1" s="1"/>
  <c r="Q615" i="1" s="1"/>
  <c r="J615" i="1"/>
  <c r="I615" i="1"/>
  <c r="M615" i="1" s="1"/>
  <c r="S614" i="1"/>
  <c r="L614" i="1"/>
  <c r="O614" i="1" s="1"/>
  <c r="P614" i="1" s="1"/>
  <c r="R614" i="1" s="1"/>
  <c r="J614" i="1"/>
  <c r="I614" i="1"/>
  <c r="M614" i="1" s="1"/>
  <c r="S613" i="1"/>
  <c r="L613" i="1"/>
  <c r="O613" i="1" s="1"/>
  <c r="P613" i="1" s="1"/>
  <c r="R613" i="1" s="1"/>
  <c r="J613" i="1"/>
  <c r="I613" i="1"/>
  <c r="K613" i="1" s="1"/>
  <c r="N613" i="1" s="1"/>
  <c r="Q613" i="1" s="1"/>
  <c r="S612" i="1"/>
  <c r="L612" i="1"/>
  <c r="O612" i="1" s="1"/>
  <c r="P612" i="1" s="1"/>
  <c r="R612" i="1" s="1"/>
  <c r="J612" i="1"/>
  <c r="I612" i="1"/>
  <c r="K612" i="1" s="1"/>
  <c r="N612" i="1" s="1"/>
  <c r="Q612" i="1" s="1"/>
  <c r="S611" i="1"/>
  <c r="L611" i="1"/>
  <c r="O611" i="1" s="1"/>
  <c r="P611" i="1" s="1"/>
  <c r="R611" i="1" s="1"/>
  <c r="J611" i="1"/>
  <c r="I611" i="1"/>
  <c r="M611" i="1" s="1"/>
  <c r="S610" i="1"/>
  <c r="L610" i="1"/>
  <c r="O610" i="1" s="1"/>
  <c r="P610" i="1" s="1"/>
  <c r="R610" i="1" s="1"/>
  <c r="J610" i="1"/>
  <c r="I610" i="1"/>
  <c r="M610" i="1" s="1"/>
  <c r="S609" i="1"/>
  <c r="L609" i="1"/>
  <c r="O609" i="1" s="1"/>
  <c r="P609" i="1" s="1"/>
  <c r="R609" i="1" s="1"/>
  <c r="J609" i="1"/>
  <c r="I609" i="1"/>
  <c r="K609" i="1" s="1"/>
  <c r="N609" i="1" s="1"/>
  <c r="Q609" i="1" s="1"/>
  <c r="S608" i="1"/>
  <c r="L608" i="1"/>
  <c r="O608" i="1" s="1"/>
  <c r="P608" i="1" s="1"/>
  <c r="R608" i="1" s="1"/>
  <c r="J608" i="1"/>
  <c r="I608" i="1"/>
  <c r="K608" i="1" s="1"/>
  <c r="N608" i="1" s="1"/>
  <c r="Q608" i="1" s="1"/>
  <c r="S607" i="1"/>
  <c r="L607" i="1"/>
  <c r="O607" i="1" s="1"/>
  <c r="P607" i="1" s="1"/>
  <c r="R607" i="1" s="1"/>
  <c r="K607" i="1"/>
  <c r="N607" i="1" s="1"/>
  <c r="Q607" i="1" s="1"/>
  <c r="J607" i="1"/>
  <c r="I607" i="1"/>
  <c r="M607" i="1" s="1"/>
  <c r="S606" i="1"/>
  <c r="L606" i="1"/>
  <c r="O606" i="1" s="1"/>
  <c r="P606" i="1" s="1"/>
  <c r="R606" i="1" s="1"/>
  <c r="J606" i="1"/>
  <c r="I606" i="1"/>
  <c r="M606" i="1" s="1"/>
  <c r="S605" i="1"/>
  <c r="L605" i="1"/>
  <c r="O605" i="1" s="1"/>
  <c r="P605" i="1" s="1"/>
  <c r="R605" i="1" s="1"/>
  <c r="J605" i="1"/>
  <c r="I605" i="1"/>
  <c r="S604" i="1"/>
  <c r="L604" i="1"/>
  <c r="O604" i="1" s="1"/>
  <c r="P604" i="1" s="1"/>
  <c r="R604" i="1" s="1"/>
  <c r="J604" i="1"/>
  <c r="I604" i="1"/>
  <c r="K604" i="1" s="1"/>
  <c r="N604" i="1" s="1"/>
  <c r="Q604" i="1" s="1"/>
  <c r="S603" i="1"/>
  <c r="L603" i="1"/>
  <c r="O603" i="1" s="1"/>
  <c r="P603" i="1" s="1"/>
  <c r="R603" i="1" s="1"/>
  <c r="K603" i="1"/>
  <c r="N603" i="1" s="1"/>
  <c r="Q603" i="1" s="1"/>
  <c r="J603" i="1"/>
  <c r="I603" i="1"/>
  <c r="M603" i="1" s="1"/>
  <c r="S602" i="1"/>
  <c r="L602" i="1"/>
  <c r="O602" i="1" s="1"/>
  <c r="P602" i="1" s="1"/>
  <c r="R602" i="1" s="1"/>
  <c r="K602" i="1"/>
  <c r="N602" i="1" s="1"/>
  <c r="Q602" i="1" s="1"/>
  <c r="J602" i="1"/>
  <c r="I602" i="1"/>
  <c r="M602" i="1" s="1"/>
  <c r="S601" i="1"/>
  <c r="L601" i="1"/>
  <c r="O601" i="1" s="1"/>
  <c r="P601" i="1" s="1"/>
  <c r="R601" i="1" s="1"/>
  <c r="J601" i="1"/>
  <c r="I601" i="1"/>
  <c r="K601" i="1" s="1"/>
  <c r="S600" i="1"/>
  <c r="L600" i="1"/>
  <c r="O600" i="1" s="1"/>
  <c r="P600" i="1" s="1"/>
  <c r="R600" i="1" s="1"/>
  <c r="J600" i="1"/>
  <c r="I600" i="1"/>
  <c r="M600" i="1" s="1"/>
  <c r="S599" i="1"/>
  <c r="O599" i="1"/>
  <c r="P599" i="1" s="1"/>
  <c r="R599" i="1" s="1"/>
  <c r="L599" i="1"/>
  <c r="J599" i="1"/>
  <c r="I599" i="1"/>
  <c r="M599" i="1" s="1"/>
  <c r="S598" i="1"/>
  <c r="L598" i="1"/>
  <c r="O598" i="1" s="1"/>
  <c r="P598" i="1" s="1"/>
  <c r="R598" i="1" s="1"/>
  <c r="J598" i="1"/>
  <c r="I598" i="1"/>
  <c r="M598" i="1" s="1"/>
  <c r="S597" i="1"/>
  <c r="L597" i="1"/>
  <c r="O597" i="1" s="1"/>
  <c r="P597" i="1" s="1"/>
  <c r="R597" i="1" s="1"/>
  <c r="J597" i="1"/>
  <c r="I597" i="1"/>
  <c r="K597" i="1" s="1"/>
  <c r="N597" i="1" s="1"/>
  <c r="Q597" i="1" s="1"/>
  <c r="S596" i="1"/>
  <c r="L596" i="1"/>
  <c r="J596" i="1"/>
  <c r="I596" i="1"/>
  <c r="K596" i="1" s="1"/>
  <c r="S595" i="1"/>
  <c r="L595" i="1"/>
  <c r="O595" i="1" s="1"/>
  <c r="P595" i="1" s="1"/>
  <c r="R595" i="1" s="1"/>
  <c r="J595" i="1"/>
  <c r="I595" i="1"/>
  <c r="M595" i="1" s="1"/>
  <c r="S594" i="1"/>
  <c r="L594" i="1"/>
  <c r="O594" i="1" s="1"/>
  <c r="P594" i="1" s="1"/>
  <c r="R594" i="1" s="1"/>
  <c r="K594" i="1"/>
  <c r="J594" i="1"/>
  <c r="I594" i="1"/>
  <c r="M594" i="1" s="1"/>
  <c r="S593" i="1"/>
  <c r="L593" i="1"/>
  <c r="O593" i="1" s="1"/>
  <c r="P593" i="1" s="1"/>
  <c r="R593" i="1" s="1"/>
  <c r="J593" i="1"/>
  <c r="I593" i="1"/>
  <c r="K593" i="1" s="1"/>
  <c r="S592" i="1"/>
  <c r="L592" i="1"/>
  <c r="J592" i="1"/>
  <c r="I592" i="1"/>
  <c r="K592" i="1" s="1"/>
  <c r="S591" i="1"/>
  <c r="L591" i="1"/>
  <c r="O591" i="1" s="1"/>
  <c r="P591" i="1" s="1"/>
  <c r="R591" i="1" s="1"/>
  <c r="J591" i="1"/>
  <c r="I591" i="1"/>
  <c r="M591" i="1" s="1"/>
  <c r="S590" i="1"/>
  <c r="L590" i="1"/>
  <c r="O590" i="1" s="1"/>
  <c r="P590" i="1" s="1"/>
  <c r="R590" i="1" s="1"/>
  <c r="K590" i="1"/>
  <c r="J590" i="1"/>
  <c r="I590" i="1"/>
  <c r="M590" i="1" s="1"/>
  <c r="S589" i="1"/>
  <c r="L589" i="1"/>
  <c r="O589" i="1" s="1"/>
  <c r="P589" i="1" s="1"/>
  <c r="R589" i="1" s="1"/>
  <c r="J589" i="1"/>
  <c r="I589" i="1"/>
  <c r="K589" i="1" s="1"/>
  <c r="S588" i="1"/>
  <c r="L588" i="1"/>
  <c r="K588" i="1"/>
  <c r="J588" i="1"/>
  <c r="I588" i="1"/>
  <c r="M588" i="1" s="1"/>
  <c r="S587" i="1"/>
  <c r="L587" i="1"/>
  <c r="O587" i="1" s="1"/>
  <c r="P587" i="1" s="1"/>
  <c r="R587" i="1" s="1"/>
  <c r="J587" i="1"/>
  <c r="I587" i="1"/>
  <c r="M587" i="1" s="1"/>
  <c r="S586" i="1"/>
  <c r="O586" i="1"/>
  <c r="P586" i="1" s="1"/>
  <c r="R586" i="1" s="1"/>
  <c r="L586" i="1"/>
  <c r="J586" i="1"/>
  <c r="I586" i="1"/>
  <c r="M586" i="1" s="1"/>
  <c r="S585" i="1"/>
  <c r="L585" i="1"/>
  <c r="O585" i="1" s="1"/>
  <c r="P585" i="1" s="1"/>
  <c r="R585" i="1" s="1"/>
  <c r="J585" i="1"/>
  <c r="I585" i="1"/>
  <c r="K585" i="1" s="1"/>
  <c r="N585" i="1" s="1"/>
  <c r="Q585" i="1" s="1"/>
  <c r="S584" i="1"/>
  <c r="M584" i="1"/>
  <c r="L584" i="1"/>
  <c r="O584" i="1" s="1"/>
  <c r="P584" i="1" s="1"/>
  <c r="R584" i="1" s="1"/>
  <c r="J584" i="1"/>
  <c r="I584" i="1"/>
  <c r="K584" i="1" s="1"/>
  <c r="N584" i="1" s="1"/>
  <c r="Q584" i="1" s="1"/>
  <c r="S583" i="1"/>
  <c r="L583" i="1"/>
  <c r="O583" i="1" s="1"/>
  <c r="P583" i="1" s="1"/>
  <c r="R583" i="1" s="1"/>
  <c r="J583" i="1"/>
  <c r="I583" i="1"/>
  <c r="M583" i="1" s="1"/>
  <c r="S582" i="1"/>
  <c r="L582" i="1"/>
  <c r="O582" i="1" s="1"/>
  <c r="P582" i="1" s="1"/>
  <c r="R582" i="1" s="1"/>
  <c r="K582" i="1"/>
  <c r="N582" i="1" s="1"/>
  <c r="Q582" i="1" s="1"/>
  <c r="J582" i="1"/>
  <c r="I582" i="1"/>
  <c r="M582" i="1" s="1"/>
  <c r="S581" i="1"/>
  <c r="L581" i="1"/>
  <c r="O581" i="1" s="1"/>
  <c r="P581" i="1" s="1"/>
  <c r="R581" i="1" s="1"/>
  <c r="J581" i="1"/>
  <c r="I581" i="1"/>
  <c r="S580" i="1"/>
  <c r="L580" i="1"/>
  <c r="O580" i="1" s="1"/>
  <c r="P580" i="1" s="1"/>
  <c r="R580" i="1" s="1"/>
  <c r="J580" i="1"/>
  <c r="I580" i="1"/>
  <c r="M580" i="1" s="1"/>
  <c r="S579" i="1"/>
  <c r="O579" i="1"/>
  <c r="P579" i="1" s="1"/>
  <c r="R579" i="1" s="1"/>
  <c r="L579" i="1"/>
  <c r="J579" i="1"/>
  <c r="I579" i="1"/>
  <c r="M579" i="1" s="1"/>
  <c r="S578" i="1"/>
  <c r="L578" i="1"/>
  <c r="O578" i="1" s="1"/>
  <c r="P578" i="1" s="1"/>
  <c r="R578" i="1" s="1"/>
  <c r="J578" i="1"/>
  <c r="I578" i="1"/>
  <c r="S577" i="1"/>
  <c r="P577" i="1"/>
  <c r="R577" i="1" s="1"/>
  <c r="L577" i="1"/>
  <c r="O577" i="1" s="1"/>
  <c r="J577" i="1"/>
  <c r="I577" i="1"/>
  <c r="K577" i="1" s="1"/>
  <c r="N577" i="1" s="1"/>
  <c r="Q577" i="1" s="1"/>
  <c r="S576" i="1"/>
  <c r="L576" i="1"/>
  <c r="O576" i="1" s="1"/>
  <c r="P576" i="1" s="1"/>
  <c r="R576" i="1" s="1"/>
  <c r="J576" i="1"/>
  <c r="I576" i="1"/>
  <c r="M576" i="1" s="1"/>
  <c r="S575" i="1"/>
  <c r="L575" i="1"/>
  <c r="O575" i="1" s="1"/>
  <c r="P575" i="1" s="1"/>
  <c r="R575" i="1" s="1"/>
  <c r="J575" i="1"/>
  <c r="I575" i="1"/>
  <c r="M575" i="1" s="1"/>
  <c r="S574" i="1"/>
  <c r="L574" i="1"/>
  <c r="O574" i="1" s="1"/>
  <c r="P574" i="1" s="1"/>
  <c r="R574" i="1" s="1"/>
  <c r="J574" i="1"/>
  <c r="I574" i="1"/>
  <c r="M574" i="1" s="1"/>
  <c r="S573" i="1"/>
  <c r="L573" i="1"/>
  <c r="O573" i="1" s="1"/>
  <c r="P573" i="1" s="1"/>
  <c r="R573" i="1" s="1"/>
  <c r="J573" i="1"/>
  <c r="I573" i="1"/>
  <c r="K573" i="1" s="1"/>
  <c r="N573" i="1" s="1"/>
  <c r="Q573" i="1" s="1"/>
  <c r="S572" i="1"/>
  <c r="L572" i="1"/>
  <c r="O572" i="1" s="1"/>
  <c r="P572" i="1" s="1"/>
  <c r="R572" i="1" s="1"/>
  <c r="J572" i="1"/>
  <c r="I572" i="1"/>
  <c r="M572" i="1" s="1"/>
  <c r="S571" i="1"/>
  <c r="O571" i="1"/>
  <c r="P571" i="1" s="1"/>
  <c r="R571" i="1" s="1"/>
  <c r="L571" i="1"/>
  <c r="J571" i="1"/>
  <c r="I571" i="1"/>
  <c r="M571" i="1" s="1"/>
  <c r="S570" i="1"/>
  <c r="L570" i="1"/>
  <c r="O570" i="1" s="1"/>
  <c r="P570" i="1" s="1"/>
  <c r="R570" i="1" s="1"/>
  <c r="J570" i="1"/>
  <c r="I570" i="1"/>
  <c r="M570" i="1" s="1"/>
  <c r="S569" i="1"/>
  <c r="L569" i="1"/>
  <c r="O569" i="1" s="1"/>
  <c r="P569" i="1" s="1"/>
  <c r="R569" i="1" s="1"/>
  <c r="J569" i="1"/>
  <c r="I569" i="1"/>
  <c r="K569" i="1" s="1"/>
  <c r="N569" i="1" s="1"/>
  <c r="Q569" i="1" s="1"/>
  <c r="S568" i="1"/>
  <c r="L568" i="1"/>
  <c r="O568" i="1" s="1"/>
  <c r="P568" i="1" s="1"/>
  <c r="R568" i="1" s="1"/>
  <c r="J568" i="1"/>
  <c r="I568" i="1"/>
  <c r="M568" i="1" s="1"/>
  <c r="S567" i="1"/>
  <c r="O567" i="1"/>
  <c r="P567" i="1" s="1"/>
  <c r="R567" i="1" s="1"/>
  <c r="L567" i="1"/>
  <c r="J567" i="1"/>
  <c r="I567" i="1"/>
  <c r="M567" i="1" s="1"/>
  <c r="S566" i="1"/>
  <c r="M566" i="1"/>
  <c r="L566" i="1"/>
  <c r="O566" i="1" s="1"/>
  <c r="P566" i="1" s="1"/>
  <c r="R566" i="1" s="1"/>
  <c r="J566" i="1"/>
  <c r="I566" i="1"/>
  <c r="K566" i="1" s="1"/>
  <c r="N566" i="1" s="1"/>
  <c r="Q566" i="1" s="1"/>
  <c r="S565" i="1"/>
  <c r="L565" i="1"/>
  <c r="O565" i="1" s="1"/>
  <c r="P565" i="1" s="1"/>
  <c r="R565" i="1" s="1"/>
  <c r="J565" i="1"/>
  <c r="I565" i="1"/>
  <c r="S564" i="1"/>
  <c r="L564" i="1"/>
  <c r="O564" i="1" s="1"/>
  <c r="P564" i="1" s="1"/>
  <c r="R564" i="1" s="1"/>
  <c r="J564" i="1"/>
  <c r="I564" i="1"/>
  <c r="M564" i="1" s="1"/>
  <c r="S563" i="1"/>
  <c r="L563" i="1"/>
  <c r="O563" i="1" s="1"/>
  <c r="P563" i="1" s="1"/>
  <c r="R563" i="1" s="1"/>
  <c r="J563" i="1"/>
  <c r="I563" i="1"/>
  <c r="M563" i="1" s="1"/>
  <c r="S562" i="1"/>
  <c r="L562" i="1"/>
  <c r="O562" i="1" s="1"/>
  <c r="P562" i="1" s="1"/>
  <c r="R562" i="1" s="1"/>
  <c r="J562" i="1"/>
  <c r="I562" i="1"/>
  <c r="K562" i="1" s="1"/>
  <c r="N562" i="1" s="1"/>
  <c r="Q562" i="1" s="1"/>
  <c r="S561" i="1"/>
  <c r="L561" i="1"/>
  <c r="O561" i="1" s="1"/>
  <c r="P561" i="1" s="1"/>
  <c r="R561" i="1" s="1"/>
  <c r="J561" i="1"/>
  <c r="I561" i="1"/>
  <c r="K561" i="1" s="1"/>
  <c r="N561" i="1" s="1"/>
  <c r="Q561" i="1" s="1"/>
  <c r="S560" i="1"/>
  <c r="L560" i="1"/>
  <c r="O560" i="1" s="1"/>
  <c r="P560" i="1" s="1"/>
  <c r="R560" i="1" s="1"/>
  <c r="K560" i="1"/>
  <c r="N560" i="1" s="1"/>
  <c r="Q560" i="1" s="1"/>
  <c r="J560" i="1"/>
  <c r="I560" i="1"/>
  <c r="M560" i="1" s="1"/>
  <c r="S559" i="1"/>
  <c r="O559" i="1"/>
  <c r="P559" i="1" s="1"/>
  <c r="R559" i="1" s="1"/>
  <c r="L559" i="1"/>
  <c r="J559" i="1"/>
  <c r="I559" i="1"/>
  <c r="M559" i="1" s="1"/>
  <c r="S558" i="1"/>
  <c r="L558" i="1"/>
  <c r="O558" i="1" s="1"/>
  <c r="P558" i="1" s="1"/>
  <c r="R558" i="1" s="1"/>
  <c r="J558" i="1"/>
  <c r="I558" i="1"/>
  <c r="K558" i="1" s="1"/>
  <c r="N558" i="1" s="1"/>
  <c r="Q558" i="1" s="1"/>
  <c r="S557" i="1"/>
  <c r="L557" i="1"/>
  <c r="J557" i="1"/>
  <c r="I557" i="1"/>
  <c r="S556" i="1"/>
  <c r="L556" i="1"/>
  <c r="J556" i="1"/>
  <c r="I556" i="1"/>
  <c r="M556" i="1" s="1"/>
  <c r="S555" i="1"/>
  <c r="L555" i="1"/>
  <c r="O555" i="1" s="1"/>
  <c r="P555" i="1" s="1"/>
  <c r="R555" i="1" s="1"/>
  <c r="K555" i="1"/>
  <c r="J555" i="1"/>
  <c r="I555" i="1"/>
  <c r="M555" i="1" s="1"/>
  <c r="S554" i="1"/>
  <c r="L554" i="1"/>
  <c r="J554" i="1"/>
  <c r="I554" i="1"/>
  <c r="K554" i="1" s="1"/>
  <c r="S553" i="1"/>
  <c r="L553" i="1"/>
  <c r="J553" i="1"/>
  <c r="I553" i="1"/>
  <c r="K553" i="1" s="1"/>
  <c r="S552" i="1"/>
  <c r="O552" i="1"/>
  <c r="P552" i="1" s="1"/>
  <c r="R552" i="1" s="1"/>
  <c r="L552" i="1"/>
  <c r="J552" i="1"/>
  <c r="I552" i="1"/>
  <c r="M552" i="1" s="1"/>
  <c r="S551" i="1"/>
  <c r="L551" i="1"/>
  <c r="O551" i="1" s="1"/>
  <c r="P551" i="1" s="1"/>
  <c r="R551" i="1" s="1"/>
  <c r="J551" i="1"/>
  <c r="I551" i="1"/>
  <c r="M551" i="1" s="1"/>
  <c r="S550" i="1"/>
  <c r="L550" i="1"/>
  <c r="O550" i="1" s="1"/>
  <c r="P550" i="1" s="1"/>
  <c r="R550" i="1" s="1"/>
  <c r="J550" i="1"/>
  <c r="I550" i="1"/>
  <c r="K550" i="1" s="1"/>
  <c r="S549" i="1"/>
  <c r="P549" i="1"/>
  <c r="R549" i="1" s="1"/>
  <c r="O549" i="1"/>
  <c r="L549" i="1"/>
  <c r="J549" i="1"/>
  <c r="I549" i="1"/>
  <c r="K549" i="1" s="1"/>
  <c r="S548" i="1"/>
  <c r="L548" i="1"/>
  <c r="J548" i="1"/>
  <c r="I548" i="1"/>
  <c r="M548" i="1" s="1"/>
  <c r="S547" i="1"/>
  <c r="O547" i="1"/>
  <c r="P547" i="1" s="1"/>
  <c r="R547" i="1" s="1"/>
  <c r="L547" i="1"/>
  <c r="J547" i="1"/>
  <c r="I547" i="1"/>
  <c r="K547" i="1" s="1"/>
  <c r="S546" i="1"/>
  <c r="L546" i="1"/>
  <c r="O546" i="1" s="1"/>
  <c r="P546" i="1" s="1"/>
  <c r="R546" i="1" s="1"/>
  <c r="J546" i="1"/>
  <c r="I546" i="1"/>
  <c r="S545" i="1"/>
  <c r="L545" i="1"/>
  <c r="O545" i="1" s="1"/>
  <c r="P545" i="1" s="1"/>
  <c r="R545" i="1" s="1"/>
  <c r="J545" i="1"/>
  <c r="I545" i="1"/>
  <c r="M545" i="1" s="1"/>
  <c r="S544" i="1"/>
  <c r="L544" i="1"/>
  <c r="O544" i="1" s="1"/>
  <c r="P544" i="1" s="1"/>
  <c r="R544" i="1" s="1"/>
  <c r="J544" i="1"/>
  <c r="I544" i="1"/>
  <c r="M544" i="1" s="1"/>
  <c r="S543" i="1"/>
  <c r="O543" i="1"/>
  <c r="P543" i="1" s="1"/>
  <c r="R543" i="1" s="1"/>
  <c r="M543" i="1"/>
  <c r="L543" i="1"/>
  <c r="J543" i="1"/>
  <c r="I543" i="1"/>
  <c r="K543" i="1" s="1"/>
  <c r="N543" i="1" s="1"/>
  <c r="Q543" i="1" s="1"/>
  <c r="S542" i="1"/>
  <c r="L542" i="1"/>
  <c r="O542" i="1" s="1"/>
  <c r="P542" i="1" s="1"/>
  <c r="R542" i="1" s="1"/>
  <c r="J542" i="1"/>
  <c r="I542" i="1"/>
  <c r="K542" i="1" s="1"/>
  <c r="N542" i="1" s="1"/>
  <c r="Q542" i="1" s="1"/>
  <c r="S541" i="1"/>
  <c r="L541" i="1"/>
  <c r="O541" i="1" s="1"/>
  <c r="P541" i="1" s="1"/>
  <c r="R541" i="1" s="1"/>
  <c r="K541" i="1"/>
  <c r="N541" i="1" s="1"/>
  <c r="Q541" i="1" s="1"/>
  <c r="J541" i="1"/>
  <c r="I541" i="1"/>
  <c r="M541" i="1" s="1"/>
  <c r="S540" i="1"/>
  <c r="R540" i="1"/>
  <c r="L540" i="1"/>
  <c r="O540" i="1" s="1"/>
  <c r="P540" i="1" s="1"/>
  <c r="J540" i="1"/>
  <c r="I540" i="1"/>
  <c r="M540" i="1" s="1"/>
  <c r="S539" i="1"/>
  <c r="L539" i="1"/>
  <c r="O539" i="1" s="1"/>
  <c r="P539" i="1" s="1"/>
  <c r="R539" i="1" s="1"/>
  <c r="J539" i="1"/>
  <c r="I539" i="1"/>
  <c r="M539" i="1" s="1"/>
  <c r="S538" i="1"/>
  <c r="L538" i="1"/>
  <c r="O538" i="1" s="1"/>
  <c r="P538" i="1" s="1"/>
  <c r="R538" i="1" s="1"/>
  <c r="J538" i="1"/>
  <c r="I538" i="1"/>
  <c r="M538" i="1" s="1"/>
  <c r="S537" i="1"/>
  <c r="L537" i="1"/>
  <c r="O537" i="1" s="1"/>
  <c r="P537" i="1" s="1"/>
  <c r="R537" i="1" s="1"/>
  <c r="J537" i="1"/>
  <c r="I537" i="1"/>
  <c r="K537" i="1" s="1"/>
  <c r="N537" i="1" s="1"/>
  <c r="Q537" i="1" s="1"/>
  <c r="S536" i="1"/>
  <c r="L536" i="1"/>
  <c r="O536" i="1" s="1"/>
  <c r="P536" i="1" s="1"/>
  <c r="R536" i="1" s="1"/>
  <c r="J536" i="1"/>
  <c r="I536" i="1"/>
  <c r="K536" i="1" s="1"/>
  <c r="N536" i="1" s="1"/>
  <c r="Q536" i="1" s="1"/>
  <c r="S535" i="1"/>
  <c r="L535" i="1"/>
  <c r="O535" i="1" s="1"/>
  <c r="P535" i="1" s="1"/>
  <c r="R535" i="1" s="1"/>
  <c r="J535" i="1"/>
  <c r="I535" i="1"/>
  <c r="M535" i="1" s="1"/>
  <c r="S534" i="1"/>
  <c r="L534" i="1"/>
  <c r="O534" i="1" s="1"/>
  <c r="P534" i="1" s="1"/>
  <c r="R534" i="1" s="1"/>
  <c r="K534" i="1"/>
  <c r="N534" i="1" s="1"/>
  <c r="Q534" i="1" s="1"/>
  <c r="J534" i="1"/>
  <c r="I534" i="1"/>
  <c r="M534" i="1" s="1"/>
  <c r="S533" i="1"/>
  <c r="O533" i="1"/>
  <c r="P533" i="1" s="1"/>
  <c r="R533" i="1" s="1"/>
  <c r="L533" i="1"/>
  <c r="J533" i="1"/>
  <c r="I533" i="1"/>
  <c r="K533" i="1" s="1"/>
  <c r="N533" i="1" s="1"/>
  <c r="Q533" i="1" s="1"/>
  <c r="S532" i="1"/>
  <c r="L532" i="1"/>
  <c r="O532" i="1" s="1"/>
  <c r="P532" i="1" s="1"/>
  <c r="R532" i="1" s="1"/>
  <c r="J532" i="1"/>
  <c r="I532" i="1"/>
  <c r="K532" i="1" s="1"/>
  <c r="N532" i="1" s="1"/>
  <c r="Q532" i="1" s="1"/>
  <c r="S531" i="1"/>
  <c r="L531" i="1"/>
  <c r="O531" i="1" s="1"/>
  <c r="P531" i="1" s="1"/>
  <c r="R531" i="1" s="1"/>
  <c r="J531" i="1"/>
  <c r="I531" i="1"/>
  <c r="M531" i="1" s="1"/>
  <c r="S530" i="1"/>
  <c r="L530" i="1"/>
  <c r="O530" i="1" s="1"/>
  <c r="P530" i="1" s="1"/>
  <c r="R530" i="1" s="1"/>
  <c r="J530" i="1"/>
  <c r="I530" i="1"/>
  <c r="M530" i="1" s="1"/>
  <c r="S529" i="1"/>
  <c r="L529" i="1"/>
  <c r="O529" i="1" s="1"/>
  <c r="P529" i="1" s="1"/>
  <c r="R529" i="1" s="1"/>
  <c r="J529" i="1"/>
  <c r="I529" i="1"/>
  <c r="K529" i="1" s="1"/>
  <c r="N529" i="1" s="1"/>
  <c r="Q529" i="1" s="1"/>
  <c r="S528" i="1"/>
  <c r="L528" i="1"/>
  <c r="O528" i="1" s="1"/>
  <c r="P528" i="1" s="1"/>
  <c r="R528" i="1" s="1"/>
  <c r="J528" i="1"/>
  <c r="I528" i="1"/>
  <c r="K528" i="1" s="1"/>
  <c r="N528" i="1" s="1"/>
  <c r="Q528" i="1" s="1"/>
  <c r="S527" i="1"/>
  <c r="O527" i="1"/>
  <c r="P527" i="1" s="1"/>
  <c r="R527" i="1" s="1"/>
  <c r="L527" i="1"/>
  <c r="J527" i="1"/>
  <c r="I527" i="1"/>
  <c r="M527" i="1" s="1"/>
  <c r="S526" i="1"/>
  <c r="L526" i="1"/>
  <c r="O526" i="1" s="1"/>
  <c r="P526" i="1" s="1"/>
  <c r="R526" i="1" s="1"/>
  <c r="J526" i="1"/>
  <c r="I526" i="1"/>
  <c r="M526" i="1" s="1"/>
  <c r="S525" i="1"/>
  <c r="L525" i="1"/>
  <c r="O525" i="1" s="1"/>
  <c r="P525" i="1" s="1"/>
  <c r="R525" i="1" s="1"/>
  <c r="J525" i="1"/>
  <c r="I525" i="1"/>
  <c r="K525" i="1" s="1"/>
  <c r="N525" i="1" s="1"/>
  <c r="Q525" i="1" s="1"/>
  <c r="S524" i="1"/>
  <c r="L524" i="1"/>
  <c r="O524" i="1" s="1"/>
  <c r="P524" i="1" s="1"/>
  <c r="R524" i="1" s="1"/>
  <c r="J524" i="1"/>
  <c r="I524" i="1"/>
  <c r="K524" i="1" s="1"/>
  <c r="N524" i="1" s="1"/>
  <c r="Q524" i="1" s="1"/>
  <c r="S523" i="1"/>
  <c r="O523" i="1"/>
  <c r="P523" i="1" s="1"/>
  <c r="R523" i="1" s="1"/>
  <c r="L523" i="1"/>
  <c r="J523" i="1"/>
  <c r="I523" i="1"/>
  <c r="M523" i="1" s="1"/>
  <c r="S522" i="1"/>
  <c r="L522" i="1"/>
  <c r="O522" i="1" s="1"/>
  <c r="P522" i="1" s="1"/>
  <c r="R522" i="1" s="1"/>
  <c r="J522" i="1"/>
  <c r="I522" i="1"/>
  <c r="M522" i="1" s="1"/>
  <c r="S521" i="1"/>
  <c r="L521" i="1"/>
  <c r="O521" i="1" s="1"/>
  <c r="P521" i="1" s="1"/>
  <c r="R521" i="1" s="1"/>
  <c r="J521" i="1"/>
  <c r="I521" i="1"/>
  <c r="K521" i="1" s="1"/>
  <c r="N521" i="1" s="1"/>
  <c r="Q521" i="1" s="1"/>
  <c r="S520" i="1"/>
  <c r="L520" i="1"/>
  <c r="O520" i="1" s="1"/>
  <c r="P520" i="1" s="1"/>
  <c r="R520" i="1" s="1"/>
  <c r="J520" i="1"/>
  <c r="I520" i="1"/>
  <c r="K520" i="1" s="1"/>
  <c r="N520" i="1" s="1"/>
  <c r="Q520" i="1" s="1"/>
  <c r="S519" i="1"/>
  <c r="L519" i="1"/>
  <c r="O519" i="1" s="1"/>
  <c r="P519" i="1" s="1"/>
  <c r="R519" i="1" s="1"/>
  <c r="J519" i="1"/>
  <c r="I519" i="1"/>
  <c r="M519" i="1" s="1"/>
  <c r="S518" i="1"/>
  <c r="L518" i="1"/>
  <c r="O518" i="1" s="1"/>
  <c r="P518" i="1" s="1"/>
  <c r="R518" i="1" s="1"/>
  <c r="K518" i="1"/>
  <c r="N518" i="1" s="1"/>
  <c r="Q518" i="1" s="1"/>
  <c r="J518" i="1"/>
  <c r="I518" i="1"/>
  <c r="M518" i="1" s="1"/>
  <c r="S517" i="1"/>
  <c r="O517" i="1"/>
  <c r="P517" i="1" s="1"/>
  <c r="R517" i="1" s="1"/>
  <c r="L517" i="1"/>
  <c r="J517" i="1"/>
  <c r="I517" i="1"/>
  <c r="K517" i="1" s="1"/>
  <c r="N517" i="1" s="1"/>
  <c r="Q517" i="1" s="1"/>
  <c r="S516" i="1"/>
  <c r="L516" i="1"/>
  <c r="J516" i="1"/>
  <c r="I516" i="1"/>
  <c r="K516" i="1" s="1"/>
  <c r="S515" i="1"/>
  <c r="L515" i="1"/>
  <c r="J515" i="1"/>
  <c r="I515" i="1"/>
  <c r="M515" i="1" s="1"/>
  <c r="S514" i="1"/>
  <c r="L514" i="1"/>
  <c r="O514" i="1" s="1"/>
  <c r="P514" i="1" s="1"/>
  <c r="R514" i="1" s="1"/>
  <c r="J514" i="1"/>
  <c r="I514" i="1"/>
  <c r="M514" i="1" s="1"/>
  <c r="S513" i="1"/>
  <c r="L513" i="1"/>
  <c r="J513" i="1"/>
  <c r="I513" i="1"/>
  <c r="K513" i="1" s="1"/>
  <c r="S512" i="1"/>
  <c r="L512" i="1"/>
  <c r="J512" i="1"/>
  <c r="I512" i="1"/>
  <c r="K512" i="1" s="1"/>
  <c r="S511" i="1"/>
  <c r="P511" i="1"/>
  <c r="R511" i="1" s="1"/>
  <c r="O511" i="1"/>
  <c r="L511" i="1"/>
  <c r="J511" i="1"/>
  <c r="I511" i="1"/>
  <c r="M511" i="1" s="1"/>
  <c r="S510" i="1"/>
  <c r="L510" i="1"/>
  <c r="O510" i="1" s="1"/>
  <c r="P510" i="1" s="1"/>
  <c r="R510" i="1" s="1"/>
  <c r="J510" i="1"/>
  <c r="I510" i="1"/>
  <c r="M510" i="1" s="1"/>
  <c r="S509" i="1"/>
  <c r="L509" i="1"/>
  <c r="J509" i="1"/>
  <c r="I509" i="1"/>
  <c r="M509" i="1" s="1"/>
  <c r="S508" i="1"/>
  <c r="L508" i="1"/>
  <c r="O508" i="1" s="1"/>
  <c r="P508" i="1" s="1"/>
  <c r="R508" i="1" s="1"/>
  <c r="J508" i="1"/>
  <c r="I508" i="1"/>
  <c r="M508" i="1" s="1"/>
  <c r="S507" i="1"/>
  <c r="L507" i="1"/>
  <c r="O507" i="1" s="1"/>
  <c r="P507" i="1" s="1"/>
  <c r="R507" i="1" s="1"/>
  <c r="J507" i="1"/>
  <c r="I507" i="1"/>
  <c r="M507" i="1" s="1"/>
  <c r="S506" i="1"/>
  <c r="L506" i="1"/>
  <c r="O506" i="1" s="1"/>
  <c r="P506" i="1" s="1"/>
  <c r="R506" i="1" s="1"/>
  <c r="J506" i="1"/>
  <c r="I506" i="1"/>
  <c r="M506" i="1" s="1"/>
  <c r="S505" i="1"/>
  <c r="L505" i="1"/>
  <c r="O505" i="1" s="1"/>
  <c r="P505" i="1" s="1"/>
  <c r="R505" i="1" s="1"/>
  <c r="J505" i="1"/>
  <c r="I505" i="1"/>
  <c r="M505" i="1" s="1"/>
  <c r="S504" i="1"/>
  <c r="L504" i="1"/>
  <c r="O504" i="1" s="1"/>
  <c r="P504" i="1" s="1"/>
  <c r="R504" i="1" s="1"/>
  <c r="K504" i="1"/>
  <c r="N504" i="1" s="1"/>
  <c r="Q504" i="1" s="1"/>
  <c r="J504" i="1"/>
  <c r="I504" i="1"/>
  <c r="M504" i="1" s="1"/>
  <c r="S503" i="1"/>
  <c r="O503" i="1"/>
  <c r="P503" i="1" s="1"/>
  <c r="R503" i="1" s="1"/>
  <c r="L503" i="1"/>
  <c r="J503" i="1"/>
  <c r="I503" i="1"/>
  <c r="M503" i="1" s="1"/>
  <c r="S502" i="1"/>
  <c r="L502" i="1"/>
  <c r="O502" i="1" s="1"/>
  <c r="P502" i="1" s="1"/>
  <c r="R502" i="1" s="1"/>
  <c r="J502" i="1"/>
  <c r="I502" i="1"/>
  <c r="M502" i="1" s="1"/>
  <c r="S501" i="1"/>
  <c r="L501" i="1"/>
  <c r="O501" i="1" s="1"/>
  <c r="P501" i="1" s="1"/>
  <c r="R501" i="1" s="1"/>
  <c r="J501" i="1"/>
  <c r="I501" i="1"/>
  <c r="M501" i="1" s="1"/>
  <c r="S500" i="1"/>
  <c r="L500" i="1"/>
  <c r="O500" i="1" s="1"/>
  <c r="P500" i="1" s="1"/>
  <c r="R500" i="1" s="1"/>
  <c r="K500" i="1"/>
  <c r="N500" i="1" s="1"/>
  <c r="Q500" i="1" s="1"/>
  <c r="J500" i="1"/>
  <c r="I500" i="1"/>
  <c r="M500" i="1" s="1"/>
  <c r="S499" i="1"/>
  <c r="O499" i="1"/>
  <c r="P499" i="1" s="1"/>
  <c r="R499" i="1" s="1"/>
  <c r="L499" i="1"/>
  <c r="J499" i="1"/>
  <c r="I499" i="1"/>
  <c r="M499" i="1" s="1"/>
  <c r="S498" i="1"/>
  <c r="L498" i="1"/>
  <c r="O498" i="1" s="1"/>
  <c r="P498" i="1" s="1"/>
  <c r="R498" i="1" s="1"/>
  <c r="J498" i="1"/>
  <c r="I498" i="1"/>
  <c r="M498" i="1" s="1"/>
  <c r="S497" i="1"/>
  <c r="O497" i="1"/>
  <c r="P497" i="1" s="1"/>
  <c r="R497" i="1" s="1"/>
  <c r="L497" i="1"/>
  <c r="J497" i="1"/>
  <c r="I497" i="1"/>
  <c r="M497" i="1" s="1"/>
  <c r="S496" i="1"/>
  <c r="L496" i="1"/>
  <c r="O496" i="1" s="1"/>
  <c r="P496" i="1" s="1"/>
  <c r="R496" i="1" s="1"/>
  <c r="J496" i="1"/>
  <c r="I496" i="1"/>
  <c r="M496" i="1" s="1"/>
  <c r="S495" i="1"/>
  <c r="L495" i="1"/>
  <c r="O495" i="1" s="1"/>
  <c r="P495" i="1" s="1"/>
  <c r="R495" i="1" s="1"/>
  <c r="J495" i="1"/>
  <c r="I495" i="1"/>
  <c r="M495" i="1" s="1"/>
  <c r="S494" i="1"/>
  <c r="L494" i="1"/>
  <c r="O494" i="1" s="1"/>
  <c r="P494" i="1" s="1"/>
  <c r="R494" i="1" s="1"/>
  <c r="J494" i="1"/>
  <c r="I494" i="1"/>
  <c r="M494" i="1" s="1"/>
  <c r="S493" i="1"/>
  <c r="L493" i="1"/>
  <c r="O493" i="1" s="1"/>
  <c r="P493" i="1" s="1"/>
  <c r="R493" i="1" s="1"/>
  <c r="K493" i="1"/>
  <c r="N493" i="1" s="1"/>
  <c r="Q493" i="1" s="1"/>
  <c r="J493" i="1"/>
  <c r="I493" i="1"/>
  <c r="M493" i="1" s="1"/>
  <c r="S492" i="1"/>
  <c r="L492" i="1"/>
  <c r="O492" i="1" s="1"/>
  <c r="P492" i="1" s="1"/>
  <c r="R492" i="1" s="1"/>
  <c r="J492" i="1"/>
  <c r="I492" i="1"/>
  <c r="M492" i="1" s="1"/>
  <c r="S491" i="1"/>
  <c r="L491" i="1"/>
  <c r="O491" i="1" s="1"/>
  <c r="P491" i="1" s="1"/>
  <c r="R491" i="1" s="1"/>
  <c r="J491" i="1"/>
  <c r="I491" i="1"/>
  <c r="M491" i="1" s="1"/>
  <c r="S490" i="1"/>
  <c r="L490" i="1"/>
  <c r="O490" i="1" s="1"/>
  <c r="P490" i="1" s="1"/>
  <c r="R490" i="1" s="1"/>
  <c r="J490" i="1"/>
  <c r="I490" i="1"/>
  <c r="M490" i="1" s="1"/>
  <c r="S489" i="1"/>
  <c r="O489" i="1"/>
  <c r="P489" i="1" s="1"/>
  <c r="R489" i="1" s="1"/>
  <c r="L489" i="1"/>
  <c r="J489" i="1"/>
  <c r="I489" i="1"/>
  <c r="M489" i="1" s="1"/>
  <c r="S488" i="1"/>
  <c r="L488" i="1"/>
  <c r="O488" i="1" s="1"/>
  <c r="P488" i="1" s="1"/>
  <c r="R488" i="1" s="1"/>
  <c r="J488" i="1"/>
  <c r="I488" i="1"/>
  <c r="M488" i="1" s="1"/>
  <c r="S487" i="1"/>
  <c r="L487" i="1"/>
  <c r="O487" i="1" s="1"/>
  <c r="P487" i="1" s="1"/>
  <c r="R487" i="1" s="1"/>
  <c r="J487" i="1"/>
  <c r="I487" i="1"/>
  <c r="M487" i="1" s="1"/>
  <c r="S486" i="1"/>
  <c r="L486" i="1"/>
  <c r="O486" i="1" s="1"/>
  <c r="P486" i="1" s="1"/>
  <c r="R486" i="1" s="1"/>
  <c r="J486" i="1"/>
  <c r="I486" i="1"/>
  <c r="M486" i="1" s="1"/>
  <c r="S485" i="1"/>
  <c r="O485" i="1"/>
  <c r="P485" i="1" s="1"/>
  <c r="R485" i="1" s="1"/>
  <c r="L485" i="1"/>
  <c r="J485" i="1"/>
  <c r="I485" i="1"/>
  <c r="M485" i="1" s="1"/>
  <c r="S484" i="1"/>
  <c r="L484" i="1"/>
  <c r="O484" i="1" s="1"/>
  <c r="P484" i="1" s="1"/>
  <c r="R484" i="1" s="1"/>
  <c r="J484" i="1"/>
  <c r="I484" i="1"/>
  <c r="M484" i="1" s="1"/>
  <c r="S483" i="1"/>
  <c r="O483" i="1"/>
  <c r="P483" i="1" s="1"/>
  <c r="R483" i="1" s="1"/>
  <c r="L483" i="1"/>
  <c r="J483" i="1"/>
  <c r="I483" i="1"/>
  <c r="M483" i="1" s="1"/>
  <c r="S482" i="1"/>
  <c r="L482" i="1"/>
  <c r="O482" i="1" s="1"/>
  <c r="P482" i="1" s="1"/>
  <c r="R482" i="1" s="1"/>
  <c r="J482" i="1"/>
  <c r="I482" i="1"/>
  <c r="M482" i="1" s="1"/>
  <c r="S481" i="1"/>
  <c r="L481" i="1"/>
  <c r="O481" i="1" s="1"/>
  <c r="P481" i="1" s="1"/>
  <c r="R481" i="1" s="1"/>
  <c r="K481" i="1"/>
  <c r="N481" i="1" s="1"/>
  <c r="Q481" i="1" s="1"/>
  <c r="J481" i="1"/>
  <c r="I481" i="1"/>
  <c r="M481" i="1" s="1"/>
  <c r="S480" i="1"/>
  <c r="L480" i="1"/>
  <c r="O480" i="1" s="1"/>
  <c r="P480" i="1" s="1"/>
  <c r="R480" i="1" s="1"/>
  <c r="J480" i="1"/>
  <c r="I480" i="1"/>
  <c r="M480" i="1" s="1"/>
  <c r="S479" i="1"/>
  <c r="O479" i="1"/>
  <c r="P479" i="1" s="1"/>
  <c r="R479" i="1" s="1"/>
  <c r="L479" i="1"/>
  <c r="J479" i="1"/>
  <c r="I479" i="1"/>
  <c r="M479" i="1" s="1"/>
  <c r="S478" i="1"/>
  <c r="L478" i="1"/>
  <c r="O478" i="1" s="1"/>
  <c r="P478" i="1" s="1"/>
  <c r="R478" i="1" s="1"/>
  <c r="J478" i="1"/>
  <c r="I478" i="1"/>
  <c r="M478" i="1" s="1"/>
  <c r="S477" i="1"/>
  <c r="L477" i="1"/>
  <c r="J477" i="1"/>
  <c r="I477" i="1"/>
  <c r="M477" i="1" s="1"/>
  <c r="S476" i="1"/>
  <c r="L476" i="1"/>
  <c r="O476" i="1" s="1"/>
  <c r="P476" i="1" s="1"/>
  <c r="R476" i="1" s="1"/>
  <c r="J476" i="1"/>
  <c r="I476" i="1"/>
  <c r="M476" i="1" s="1"/>
  <c r="S475" i="1"/>
  <c r="L475" i="1"/>
  <c r="O475" i="1" s="1"/>
  <c r="P475" i="1" s="1"/>
  <c r="R475" i="1" s="1"/>
  <c r="J475" i="1"/>
  <c r="I475" i="1"/>
  <c r="M475" i="1" s="1"/>
  <c r="S474" i="1"/>
  <c r="L474" i="1"/>
  <c r="O474" i="1" s="1"/>
  <c r="P474" i="1" s="1"/>
  <c r="R474" i="1" s="1"/>
  <c r="J474" i="1"/>
  <c r="I474" i="1"/>
  <c r="M474" i="1" s="1"/>
  <c r="S473" i="1"/>
  <c r="L473" i="1"/>
  <c r="J473" i="1"/>
  <c r="I473" i="1"/>
  <c r="M473" i="1" s="1"/>
  <c r="S472" i="1"/>
  <c r="L472" i="1"/>
  <c r="O472" i="1" s="1"/>
  <c r="P472" i="1" s="1"/>
  <c r="R472" i="1" s="1"/>
  <c r="K472" i="1"/>
  <c r="J472" i="1"/>
  <c r="I472" i="1"/>
  <c r="M472" i="1" s="1"/>
  <c r="S471" i="1"/>
  <c r="O471" i="1"/>
  <c r="P471" i="1" s="1"/>
  <c r="R471" i="1" s="1"/>
  <c r="L471" i="1"/>
  <c r="J471" i="1"/>
  <c r="I471" i="1"/>
  <c r="M471" i="1" s="1"/>
  <c r="S470" i="1"/>
  <c r="L470" i="1"/>
  <c r="O470" i="1" s="1"/>
  <c r="P470" i="1" s="1"/>
  <c r="R470" i="1" s="1"/>
  <c r="J470" i="1"/>
  <c r="I470" i="1"/>
  <c r="M470" i="1" s="1"/>
  <c r="S469" i="1"/>
  <c r="O469" i="1"/>
  <c r="P469" i="1" s="1"/>
  <c r="R469" i="1" s="1"/>
  <c r="L469" i="1"/>
  <c r="J469" i="1"/>
  <c r="I469" i="1"/>
  <c r="M469" i="1" s="1"/>
  <c r="S468" i="1"/>
  <c r="L468" i="1"/>
  <c r="O468" i="1" s="1"/>
  <c r="P468" i="1" s="1"/>
  <c r="R468" i="1" s="1"/>
  <c r="K468" i="1"/>
  <c r="J468" i="1"/>
  <c r="I468" i="1"/>
  <c r="M468" i="1" s="1"/>
  <c r="S467" i="1"/>
  <c r="O467" i="1"/>
  <c r="P467" i="1" s="1"/>
  <c r="R467" i="1" s="1"/>
  <c r="L467" i="1"/>
  <c r="J467" i="1"/>
  <c r="I467" i="1"/>
  <c r="M467" i="1" s="1"/>
  <c r="S466" i="1"/>
  <c r="L466" i="1"/>
  <c r="O466" i="1" s="1"/>
  <c r="P466" i="1" s="1"/>
  <c r="R466" i="1" s="1"/>
  <c r="J466" i="1"/>
  <c r="I466" i="1"/>
  <c r="M466" i="1" s="1"/>
  <c r="S465" i="1"/>
  <c r="O465" i="1"/>
  <c r="P465" i="1" s="1"/>
  <c r="R465" i="1" s="1"/>
  <c r="L465" i="1"/>
  <c r="J465" i="1"/>
  <c r="I465" i="1"/>
  <c r="M465" i="1" s="1"/>
  <c r="S464" i="1"/>
  <c r="L464" i="1"/>
  <c r="O464" i="1" s="1"/>
  <c r="P464" i="1" s="1"/>
  <c r="R464" i="1" s="1"/>
  <c r="J464" i="1"/>
  <c r="I464" i="1"/>
  <c r="M464" i="1" s="1"/>
  <c r="S463" i="1"/>
  <c r="L463" i="1"/>
  <c r="O463" i="1" s="1"/>
  <c r="P463" i="1" s="1"/>
  <c r="R463" i="1" s="1"/>
  <c r="J463" i="1"/>
  <c r="I463" i="1"/>
  <c r="K463" i="1" s="1"/>
  <c r="N463" i="1" s="1"/>
  <c r="Q463" i="1" s="1"/>
  <c r="S462" i="1"/>
  <c r="P462" i="1"/>
  <c r="R462" i="1" s="1"/>
  <c r="L462" i="1"/>
  <c r="O462" i="1" s="1"/>
  <c r="J462" i="1"/>
  <c r="I462" i="1"/>
  <c r="M462" i="1" s="1"/>
  <c r="S461" i="1"/>
  <c r="O461" i="1"/>
  <c r="P461" i="1" s="1"/>
  <c r="R461" i="1" s="1"/>
  <c r="L461" i="1"/>
  <c r="J461" i="1"/>
  <c r="I461" i="1"/>
  <c r="M461" i="1" s="1"/>
  <c r="S460" i="1"/>
  <c r="L460" i="1"/>
  <c r="O460" i="1" s="1"/>
  <c r="P460" i="1" s="1"/>
  <c r="R460" i="1" s="1"/>
  <c r="J460" i="1"/>
  <c r="I460" i="1"/>
  <c r="M460" i="1" s="1"/>
  <c r="S459" i="1"/>
  <c r="O459" i="1"/>
  <c r="P459" i="1" s="1"/>
  <c r="R459" i="1" s="1"/>
  <c r="L459" i="1"/>
  <c r="K459" i="1"/>
  <c r="N459" i="1" s="1"/>
  <c r="Q459" i="1" s="1"/>
  <c r="J459" i="1"/>
  <c r="I459" i="1"/>
  <c r="M459" i="1" s="1"/>
  <c r="S458" i="1"/>
  <c r="M458" i="1"/>
  <c r="L458" i="1"/>
  <c r="O458" i="1" s="1"/>
  <c r="P458" i="1" s="1"/>
  <c r="R458" i="1" s="1"/>
  <c r="J458" i="1"/>
  <c r="I458" i="1"/>
  <c r="K458" i="1" s="1"/>
  <c r="N458" i="1" s="1"/>
  <c r="Q458" i="1" s="1"/>
  <c r="S457" i="1"/>
  <c r="L457" i="1"/>
  <c r="O457" i="1" s="1"/>
  <c r="P457" i="1" s="1"/>
  <c r="R457" i="1" s="1"/>
  <c r="J457" i="1"/>
  <c r="I457" i="1"/>
  <c r="M457" i="1" s="1"/>
  <c r="S456" i="1"/>
  <c r="O456" i="1"/>
  <c r="P456" i="1" s="1"/>
  <c r="R456" i="1" s="1"/>
  <c r="L456" i="1"/>
  <c r="J456" i="1"/>
  <c r="I456" i="1"/>
  <c r="M456" i="1" s="1"/>
  <c r="S455" i="1"/>
  <c r="L455" i="1"/>
  <c r="O455" i="1" s="1"/>
  <c r="P455" i="1" s="1"/>
  <c r="R455" i="1" s="1"/>
  <c r="J455" i="1"/>
  <c r="I455" i="1"/>
  <c r="M455" i="1" s="1"/>
  <c r="S454" i="1"/>
  <c r="L454" i="1"/>
  <c r="O454" i="1" s="1"/>
  <c r="P454" i="1" s="1"/>
  <c r="R454" i="1" s="1"/>
  <c r="J454" i="1"/>
  <c r="I454" i="1"/>
  <c r="K454" i="1" s="1"/>
  <c r="N454" i="1" s="1"/>
  <c r="Q454" i="1" s="1"/>
  <c r="S453" i="1"/>
  <c r="O453" i="1"/>
  <c r="P453" i="1" s="1"/>
  <c r="R453" i="1" s="1"/>
  <c r="L453" i="1"/>
  <c r="J453" i="1"/>
  <c r="I453" i="1"/>
  <c r="K453" i="1" s="1"/>
  <c r="N453" i="1" s="1"/>
  <c r="Q453" i="1" s="1"/>
  <c r="S452" i="1"/>
  <c r="O452" i="1"/>
  <c r="P452" i="1" s="1"/>
  <c r="R452" i="1" s="1"/>
  <c r="L452" i="1"/>
  <c r="J452" i="1"/>
  <c r="I452" i="1"/>
  <c r="M452" i="1" s="1"/>
  <c r="S451" i="1"/>
  <c r="L451" i="1"/>
  <c r="O451" i="1" s="1"/>
  <c r="P451" i="1" s="1"/>
  <c r="R451" i="1" s="1"/>
  <c r="J451" i="1"/>
  <c r="I451" i="1"/>
  <c r="M451" i="1" s="1"/>
  <c r="S450" i="1"/>
  <c r="P450" i="1"/>
  <c r="R450" i="1" s="1"/>
  <c r="L450" i="1"/>
  <c r="O450" i="1" s="1"/>
  <c r="J450" i="1"/>
  <c r="I450" i="1"/>
  <c r="K450" i="1" s="1"/>
  <c r="N450" i="1" s="1"/>
  <c r="Q450" i="1" s="1"/>
  <c r="S449" i="1"/>
  <c r="O449" i="1"/>
  <c r="P449" i="1" s="1"/>
  <c r="R449" i="1" s="1"/>
  <c r="L449" i="1"/>
  <c r="J449" i="1"/>
  <c r="I449" i="1"/>
  <c r="M449" i="1" s="1"/>
  <c r="S448" i="1"/>
  <c r="L448" i="1"/>
  <c r="O448" i="1" s="1"/>
  <c r="P448" i="1" s="1"/>
  <c r="R448" i="1" s="1"/>
  <c r="J448" i="1"/>
  <c r="I448" i="1"/>
  <c r="K448" i="1" s="1"/>
  <c r="N448" i="1" s="1"/>
  <c r="Q448" i="1" s="1"/>
  <c r="S447" i="1"/>
  <c r="L447" i="1"/>
  <c r="O447" i="1" s="1"/>
  <c r="P447" i="1" s="1"/>
  <c r="R447" i="1" s="1"/>
  <c r="J447" i="1"/>
  <c r="I447" i="1"/>
  <c r="M447" i="1" s="1"/>
  <c r="S446" i="1"/>
  <c r="L446" i="1"/>
  <c r="O446" i="1" s="1"/>
  <c r="P446" i="1" s="1"/>
  <c r="R446" i="1" s="1"/>
  <c r="J446" i="1"/>
  <c r="I446" i="1"/>
  <c r="M446" i="1" s="1"/>
  <c r="S445" i="1"/>
  <c r="L445" i="1"/>
  <c r="O445" i="1" s="1"/>
  <c r="P445" i="1" s="1"/>
  <c r="R445" i="1" s="1"/>
  <c r="J445" i="1"/>
  <c r="I445" i="1"/>
  <c r="M445" i="1" s="1"/>
  <c r="S444" i="1"/>
  <c r="L444" i="1"/>
  <c r="O444" i="1" s="1"/>
  <c r="P444" i="1" s="1"/>
  <c r="R444" i="1" s="1"/>
  <c r="J444" i="1"/>
  <c r="I444" i="1"/>
  <c r="K444" i="1" s="1"/>
  <c r="N444" i="1" s="1"/>
  <c r="Q444" i="1" s="1"/>
  <c r="S443" i="1"/>
  <c r="L443" i="1"/>
  <c r="J443" i="1"/>
  <c r="I443" i="1"/>
  <c r="M443" i="1" s="1"/>
  <c r="S442" i="1"/>
  <c r="L442" i="1"/>
  <c r="O442" i="1" s="1"/>
  <c r="P442" i="1" s="1"/>
  <c r="R442" i="1" s="1"/>
  <c r="J442" i="1"/>
  <c r="I442" i="1"/>
  <c r="M442" i="1" s="1"/>
  <c r="S441" i="1"/>
  <c r="L441" i="1"/>
  <c r="O441" i="1" s="1"/>
  <c r="P441" i="1" s="1"/>
  <c r="R441" i="1" s="1"/>
  <c r="J441" i="1"/>
  <c r="I441" i="1"/>
  <c r="M441" i="1" s="1"/>
  <c r="S440" i="1"/>
  <c r="L440" i="1"/>
  <c r="O440" i="1" s="1"/>
  <c r="P440" i="1" s="1"/>
  <c r="R440" i="1" s="1"/>
  <c r="J440" i="1"/>
  <c r="I440" i="1"/>
  <c r="K440" i="1" s="1"/>
  <c r="N440" i="1" s="1"/>
  <c r="Q440" i="1" s="1"/>
  <c r="S439" i="1"/>
  <c r="L439" i="1"/>
  <c r="O439" i="1" s="1"/>
  <c r="P439" i="1" s="1"/>
  <c r="R439" i="1" s="1"/>
  <c r="J439" i="1"/>
  <c r="I439" i="1"/>
  <c r="M439" i="1" s="1"/>
  <c r="S438" i="1"/>
  <c r="L438" i="1"/>
  <c r="O438" i="1" s="1"/>
  <c r="P438" i="1" s="1"/>
  <c r="R438" i="1" s="1"/>
  <c r="J438" i="1"/>
  <c r="I438" i="1"/>
  <c r="S437" i="1"/>
  <c r="L437" i="1"/>
  <c r="O437" i="1" s="1"/>
  <c r="P437" i="1" s="1"/>
  <c r="R437" i="1" s="1"/>
  <c r="K437" i="1"/>
  <c r="J437" i="1"/>
  <c r="I437" i="1"/>
  <c r="M437" i="1" s="1"/>
  <c r="S436" i="1"/>
  <c r="L436" i="1"/>
  <c r="O436" i="1" s="1"/>
  <c r="P436" i="1" s="1"/>
  <c r="R436" i="1" s="1"/>
  <c r="J436" i="1"/>
  <c r="I436" i="1"/>
  <c r="K436" i="1" s="1"/>
  <c r="S435" i="1"/>
  <c r="O435" i="1"/>
  <c r="P435" i="1" s="1"/>
  <c r="R435" i="1" s="1"/>
  <c r="L435" i="1"/>
  <c r="J435" i="1"/>
  <c r="I435" i="1"/>
  <c r="M435" i="1" s="1"/>
  <c r="S434" i="1"/>
  <c r="L434" i="1"/>
  <c r="O434" i="1" s="1"/>
  <c r="P434" i="1" s="1"/>
  <c r="R434" i="1" s="1"/>
  <c r="J434" i="1"/>
  <c r="I434" i="1"/>
  <c r="M434" i="1" s="1"/>
  <c r="S433" i="1"/>
  <c r="L433" i="1"/>
  <c r="O433" i="1" s="1"/>
  <c r="P433" i="1" s="1"/>
  <c r="R433" i="1" s="1"/>
  <c r="J433" i="1"/>
  <c r="I433" i="1"/>
  <c r="S432" i="1"/>
  <c r="L432" i="1"/>
  <c r="O432" i="1" s="1"/>
  <c r="P432" i="1" s="1"/>
  <c r="R432" i="1" s="1"/>
  <c r="K432" i="1"/>
  <c r="N432" i="1" s="1"/>
  <c r="Q432" i="1" s="1"/>
  <c r="J432" i="1"/>
  <c r="I432" i="1"/>
  <c r="M432" i="1" s="1"/>
  <c r="S431" i="1"/>
  <c r="O431" i="1"/>
  <c r="P431" i="1" s="1"/>
  <c r="R431" i="1" s="1"/>
  <c r="L431" i="1"/>
  <c r="J431" i="1"/>
  <c r="I431" i="1"/>
  <c r="M431" i="1" s="1"/>
  <c r="S430" i="1"/>
  <c r="L430" i="1"/>
  <c r="O430" i="1" s="1"/>
  <c r="P430" i="1" s="1"/>
  <c r="R430" i="1" s="1"/>
  <c r="J430" i="1"/>
  <c r="I430" i="1"/>
  <c r="M430" i="1" s="1"/>
  <c r="S429" i="1"/>
  <c r="L429" i="1"/>
  <c r="O429" i="1" s="1"/>
  <c r="P429" i="1" s="1"/>
  <c r="R429" i="1" s="1"/>
  <c r="J429" i="1"/>
  <c r="I429" i="1"/>
  <c r="M429" i="1" s="1"/>
  <c r="S428" i="1"/>
  <c r="O428" i="1"/>
  <c r="P428" i="1" s="1"/>
  <c r="R428" i="1" s="1"/>
  <c r="L428" i="1"/>
  <c r="K428" i="1"/>
  <c r="N428" i="1" s="1"/>
  <c r="Q428" i="1" s="1"/>
  <c r="J428" i="1"/>
  <c r="I428" i="1"/>
  <c r="M428" i="1" s="1"/>
  <c r="S427" i="1"/>
  <c r="L427" i="1"/>
  <c r="O427" i="1" s="1"/>
  <c r="P427" i="1" s="1"/>
  <c r="R427" i="1" s="1"/>
  <c r="J427" i="1"/>
  <c r="I427" i="1"/>
  <c r="M427" i="1" s="1"/>
  <c r="S426" i="1"/>
  <c r="L426" i="1"/>
  <c r="O426" i="1" s="1"/>
  <c r="P426" i="1" s="1"/>
  <c r="R426" i="1" s="1"/>
  <c r="J426" i="1"/>
  <c r="I426" i="1"/>
  <c r="M426" i="1" s="1"/>
  <c r="S425" i="1"/>
  <c r="L425" i="1"/>
  <c r="O425" i="1" s="1"/>
  <c r="P425" i="1" s="1"/>
  <c r="R425" i="1" s="1"/>
  <c r="J425" i="1"/>
  <c r="I425" i="1"/>
  <c r="M425" i="1" s="1"/>
  <c r="S424" i="1"/>
  <c r="O424" i="1"/>
  <c r="P424" i="1" s="1"/>
  <c r="R424" i="1" s="1"/>
  <c r="L424" i="1"/>
  <c r="J424" i="1"/>
  <c r="I424" i="1"/>
  <c r="M424" i="1" s="1"/>
  <c r="S423" i="1"/>
  <c r="L423" i="1"/>
  <c r="O423" i="1" s="1"/>
  <c r="P423" i="1" s="1"/>
  <c r="R423" i="1" s="1"/>
  <c r="J423" i="1"/>
  <c r="I423" i="1"/>
  <c r="M423" i="1" s="1"/>
  <c r="S422" i="1"/>
  <c r="L422" i="1"/>
  <c r="O422" i="1" s="1"/>
  <c r="P422" i="1" s="1"/>
  <c r="R422" i="1" s="1"/>
  <c r="J422" i="1"/>
  <c r="I422" i="1"/>
  <c r="M422" i="1" s="1"/>
  <c r="S421" i="1"/>
  <c r="L421" i="1"/>
  <c r="O421" i="1" s="1"/>
  <c r="P421" i="1" s="1"/>
  <c r="R421" i="1" s="1"/>
  <c r="K421" i="1"/>
  <c r="N421" i="1" s="1"/>
  <c r="Q421" i="1" s="1"/>
  <c r="J421" i="1"/>
  <c r="I421" i="1"/>
  <c r="M421" i="1" s="1"/>
  <c r="S420" i="1"/>
  <c r="L420" i="1"/>
  <c r="O420" i="1" s="1"/>
  <c r="P420" i="1" s="1"/>
  <c r="R420" i="1" s="1"/>
  <c r="J420" i="1"/>
  <c r="I420" i="1"/>
  <c r="S419" i="1"/>
  <c r="L419" i="1"/>
  <c r="O419" i="1" s="1"/>
  <c r="P419" i="1" s="1"/>
  <c r="R419" i="1" s="1"/>
  <c r="J419" i="1"/>
  <c r="I419" i="1"/>
  <c r="M419" i="1" s="1"/>
  <c r="S418" i="1"/>
  <c r="L418" i="1"/>
  <c r="O418" i="1" s="1"/>
  <c r="P418" i="1" s="1"/>
  <c r="R418" i="1" s="1"/>
  <c r="J418" i="1"/>
  <c r="I418" i="1"/>
  <c r="M418" i="1" s="1"/>
  <c r="S417" i="1"/>
  <c r="L417" i="1"/>
  <c r="O417" i="1" s="1"/>
  <c r="P417" i="1" s="1"/>
  <c r="R417" i="1" s="1"/>
  <c r="K417" i="1"/>
  <c r="N417" i="1" s="1"/>
  <c r="Q417" i="1" s="1"/>
  <c r="J417" i="1"/>
  <c r="I417" i="1"/>
  <c r="M417" i="1" s="1"/>
  <c r="S416" i="1"/>
  <c r="O416" i="1"/>
  <c r="P416" i="1" s="1"/>
  <c r="R416" i="1" s="1"/>
  <c r="L416" i="1"/>
  <c r="J416" i="1"/>
  <c r="I416" i="1"/>
  <c r="M416" i="1" s="1"/>
  <c r="S415" i="1"/>
  <c r="L415" i="1"/>
  <c r="O415" i="1" s="1"/>
  <c r="P415" i="1" s="1"/>
  <c r="R415" i="1" s="1"/>
  <c r="J415" i="1"/>
  <c r="I415" i="1"/>
  <c r="M415" i="1" s="1"/>
  <c r="S414" i="1"/>
  <c r="L414" i="1"/>
  <c r="O414" i="1" s="1"/>
  <c r="P414" i="1" s="1"/>
  <c r="R414" i="1" s="1"/>
  <c r="J414" i="1"/>
  <c r="I414" i="1"/>
  <c r="M414" i="1" s="1"/>
  <c r="S413" i="1"/>
  <c r="L413" i="1"/>
  <c r="O413" i="1" s="1"/>
  <c r="P413" i="1" s="1"/>
  <c r="R413" i="1" s="1"/>
  <c r="J413" i="1"/>
  <c r="I413" i="1"/>
  <c r="M413" i="1" s="1"/>
  <c r="S412" i="1"/>
  <c r="L412" i="1"/>
  <c r="O412" i="1" s="1"/>
  <c r="P412" i="1" s="1"/>
  <c r="R412" i="1" s="1"/>
  <c r="K412" i="1"/>
  <c r="N412" i="1" s="1"/>
  <c r="Q412" i="1" s="1"/>
  <c r="J412" i="1"/>
  <c r="I412" i="1"/>
  <c r="M412" i="1" s="1"/>
  <c r="S411" i="1"/>
  <c r="L411" i="1"/>
  <c r="O411" i="1" s="1"/>
  <c r="P411" i="1" s="1"/>
  <c r="R411" i="1" s="1"/>
  <c r="J411" i="1"/>
  <c r="I411" i="1"/>
  <c r="M411" i="1" s="1"/>
  <c r="S410" i="1"/>
  <c r="L410" i="1"/>
  <c r="O410" i="1" s="1"/>
  <c r="P410" i="1" s="1"/>
  <c r="R410" i="1" s="1"/>
  <c r="J410" i="1"/>
  <c r="I410" i="1"/>
  <c r="M410" i="1" s="1"/>
  <c r="S409" i="1"/>
  <c r="L409" i="1"/>
  <c r="O409" i="1" s="1"/>
  <c r="P409" i="1" s="1"/>
  <c r="R409" i="1" s="1"/>
  <c r="J409" i="1"/>
  <c r="I409" i="1"/>
  <c r="M409" i="1" s="1"/>
  <c r="S408" i="1"/>
  <c r="O408" i="1"/>
  <c r="P408" i="1" s="1"/>
  <c r="R408" i="1" s="1"/>
  <c r="L408" i="1"/>
  <c r="J408" i="1"/>
  <c r="I408" i="1"/>
  <c r="M408" i="1" s="1"/>
  <c r="S407" i="1"/>
  <c r="L407" i="1"/>
  <c r="O407" i="1" s="1"/>
  <c r="P407" i="1" s="1"/>
  <c r="R407" i="1" s="1"/>
  <c r="J407" i="1"/>
  <c r="I407" i="1"/>
  <c r="M407" i="1" s="1"/>
  <c r="S406" i="1"/>
  <c r="L406" i="1"/>
  <c r="O406" i="1" s="1"/>
  <c r="P406" i="1" s="1"/>
  <c r="R406" i="1" s="1"/>
  <c r="J406" i="1"/>
  <c r="I406" i="1"/>
  <c r="M406" i="1" s="1"/>
  <c r="S405" i="1"/>
  <c r="L405" i="1"/>
  <c r="O405" i="1" s="1"/>
  <c r="P405" i="1" s="1"/>
  <c r="R405" i="1" s="1"/>
  <c r="K405" i="1"/>
  <c r="N405" i="1" s="1"/>
  <c r="Q405" i="1" s="1"/>
  <c r="J405" i="1"/>
  <c r="I405" i="1"/>
  <c r="M405" i="1" s="1"/>
  <c r="S404" i="1"/>
  <c r="L404" i="1"/>
  <c r="O404" i="1" s="1"/>
  <c r="P404" i="1" s="1"/>
  <c r="R404" i="1" s="1"/>
  <c r="J404" i="1"/>
  <c r="I404" i="1"/>
  <c r="S403" i="1"/>
  <c r="L403" i="1"/>
  <c r="O403" i="1" s="1"/>
  <c r="P403" i="1" s="1"/>
  <c r="R403" i="1" s="1"/>
  <c r="J403" i="1"/>
  <c r="I403" i="1"/>
  <c r="M403" i="1" s="1"/>
  <c r="S402" i="1"/>
  <c r="L402" i="1"/>
  <c r="O402" i="1" s="1"/>
  <c r="P402" i="1" s="1"/>
  <c r="R402" i="1" s="1"/>
  <c r="J402" i="1"/>
  <c r="I402" i="1"/>
  <c r="M402" i="1" s="1"/>
  <c r="S401" i="1"/>
  <c r="L401" i="1"/>
  <c r="O401" i="1" s="1"/>
  <c r="P401" i="1" s="1"/>
  <c r="R401" i="1" s="1"/>
  <c r="K401" i="1"/>
  <c r="J401" i="1"/>
  <c r="I401" i="1"/>
  <c r="M401" i="1" s="1"/>
  <c r="S400" i="1"/>
  <c r="O400" i="1"/>
  <c r="P400" i="1" s="1"/>
  <c r="R400" i="1" s="1"/>
  <c r="L400" i="1"/>
  <c r="J400" i="1"/>
  <c r="I400" i="1"/>
  <c r="K400" i="1" s="1"/>
  <c r="S399" i="1"/>
  <c r="L399" i="1"/>
  <c r="J399" i="1"/>
  <c r="I399" i="1"/>
  <c r="M399" i="1" s="1"/>
  <c r="S398" i="1"/>
  <c r="O398" i="1"/>
  <c r="P398" i="1" s="1"/>
  <c r="R398" i="1" s="1"/>
  <c r="L398" i="1"/>
  <c r="J398" i="1"/>
  <c r="I398" i="1"/>
  <c r="S397" i="1"/>
  <c r="L397" i="1"/>
  <c r="J397" i="1"/>
  <c r="I397" i="1"/>
  <c r="M397" i="1" s="1"/>
  <c r="S396" i="1"/>
  <c r="L396" i="1"/>
  <c r="O396" i="1" s="1"/>
  <c r="P396" i="1" s="1"/>
  <c r="R396" i="1" s="1"/>
  <c r="J396" i="1"/>
  <c r="I396" i="1"/>
  <c r="K396" i="1" s="1"/>
  <c r="S395" i="1"/>
  <c r="L395" i="1"/>
  <c r="J395" i="1"/>
  <c r="I395" i="1"/>
  <c r="M395" i="1" s="1"/>
  <c r="S394" i="1"/>
  <c r="L394" i="1"/>
  <c r="O394" i="1" s="1"/>
  <c r="P394" i="1" s="1"/>
  <c r="R394" i="1" s="1"/>
  <c r="J394" i="1"/>
  <c r="I394" i="1"/>
  <c r="M394" i="1" s="1"/>
  <c r="S393" i="1"/>
  <c r="L393" i="1"/>
  <c r="O393" i="1" s="1"/>
  <c r="P393" i="1" s="1"/>
  <c r="R393" i="1" s="1"/>
  <c r="K393" i="1"/>
  <c r="J393" i="1"/>
  <c r="I393" i="1"/>
  <c r="M393" i="1" s="1"/>
  <c r="S392" i="1"/>
  <c r="O392" i="1"/>
  <c r="P392" i="1" s="1"/>
  <c r="R392" i="1" s="1"/>
  <c r="L392" i="1"/>
  <c r="J392" i="1"/>
  <c r="I392" i="1"/>
  <c r="K392" i="1" s="1"/>
  <c r="N392" i="1" s="1"/>
  <c r="Q392" i="1" s="1"/>
  <c r="S391" i="1"/>
  <c r="L391" i="1"/>
  <c r="J391" i="1"/>
  <c r="I391" i="1"/>
  <c r="M391" i="1" s="1"/>
  <c r="S390" i="1"/>
  <c r="L390" i="1"/>
  <c r="J390" i="1"/>
  <c r="I390" i="1"/>
  <c r="M390" i="1" s="1"/>
  <c r="S389" i="1"/>
  <c r="L389" i="1"/>
  <c r="O389" i="1" s="1"/>
  <c r="P389" i="1" s="1"/>
  <c r="R389" i="1" s="1"/>
  <c r="J389" i="1"/>
  <c r="I389" i="1"/>
  <c r="S388" i="1"/>
  <c r="L388" i="1"/>
  <c r="O388" i="1" s="1"/>
  <c r="P388" i="1" s="1"/>
  <c r="R388" i="1" s="1"/>
  <c r="J388" i="1"/>
  <c r="I388" i="1"/>
  <c r="K388" i="1" s="1"/>
  <c r="N388" i="1" s="1"/>
  <c r="Q388" i="1" s="1"/>
  <c r="S387" i="1"/>
  <c r="L387" i="1"/>
  <c r="O387" i="1" s="1"/>
  <c r="P387" i="1" s="1"/>
  <c r="R387" i="1" s="1"/>
  <c r="J387" i="1"/>
  <c r="I387" i="1"/>
  <c r="M387" i="1" s="1"/>
  <c r="S386" i="1"/>
  <c r="L386" i="1"/>
  <c r="O386" i="1" s="1"/>
  <c r="P386" i="1" s="1"/>
  <c r="R386" i="1" s="1"/>
  <c r="J386" i="1"/>
  <c r="I386" i="1"/>
  <c r="M386" i="1" s="1"/>
  <c r="S385" i="1"/>
  <c r="L385" i="1"/>
  <c r="O385" i="1" s="1"/>
  <c r="P385" i="1" s="1"/>
  <c r="R385" i="1" s="1"/>
  <c r="K385" i="1"/>
  <c r="N385" i="1" s="1"/>
  <c r="Q385" i="1" s="1"/>
  <c r="J385" i="1"/>
  <c r="I385" i="1"/>
  <c r="M385" i="1" s="1"/>
  <c r="S384" i="1"/>
  <c r="L384" i="1"/>
  <c r="O384" i="1" s="1"/>
  <c r="P384" i="1" s="1"/>
  <c r="R384" i="1" s="1"/>
  <c r="J384" i="1"/>
  <c r="I384" i="1"/>
  <c r="K384" i="1" s="1"/>
  <c r="N384" i="1" s="1"/>
  <c r="Q384" i="1" s="1"/>
  <c r="S383" i="1"/>
  <c r="L383" i="1"/>
  <c r="O383" i="1" s="1"/>
  <c r="P383" i="1" s="1"/>
  <c r="R383" i="1" s="1"/>
  <c r="J383" i="1"/>
  <c r="I383" i="1"/>
  <c r="M383" i="1" s="1"/>
  <c r="S382" i="1"/>
  <c r="O382" i="1"/>
  <c r="P382" i="1" s="1"/>
  <c r="R382" i="1" s="1"/>
  <c r="L382" i="1"/>
  <c r="J382" i="1"/>
  <c r="I382" i="1"/>
  <c r="S381" i="1"/>
  <c r="L381" i="1"/>
  <c r="O381" i="1" s="1"/>
  <c r="P381" i="1" s="1"/>
  <c r="R381" i="1" s="1"/>
  <c r="J381" i="1"/>
  <c r="I381" i="1"/>
  <c r="M381" i="1" s="1"/>
  <c r="S380" i="1"/>
  <c r="L380" i="1"/>
  <c r="O380" i="1" s="1"/>
  <c r="P380" i="1" s="1"/>
  <c r="R380" i="1" s="1"/>
  <c r="J380" i="1"/>
  <c r="I380" i="1"/>
  <c r="K380" i="1" s="1"/>
  <c r="N380" i="1" s="1"/>
  <c r="Q380" i="1" s="1"/>
  <c r="S379" i="1"/>
  <c r="L379" i="1"/>
  <c r="O379" i="1" s="1"/>
  <c r="P379" i="1" s="1"/>
  <c r="R379" i="1" s="1"/>
  <c r="J379" i="1"/>
  <c r="I379" i="1"/>
  <c r="M379" i="1" s="1"/>
  <c r="S378" i="1"/>
  <c r="L378" i="1"/>
  <c r="O378" i="1" s="1"/>
  <c r="P378" i="1" s="1"/>
  <c r="R378" i="1" s="1"/>
  <c r="K378" i="1"/>
  <c r="N378" i="1" s="1"/>
  <c r="Q378" i="1" s="1"/>
  <c r="J378" i="1"/>
  <c r="I378" i="1"/>
  <c r="M378" i="1" s="1"/>
  <c r="S377" i="1"/>
  <c r="L377" i="1"/>
  <c r="O377" i="1" s="1"/>
  <c r="P377" i="1" s="1"/>
  <c r="R377" i="1" s="1"/>
  <c r="J377" i="1"/>
  <c r="I377" i="1"/>
  <c r="S376" i="1"/>
  <c r="L376" i="1"/>
  <c r="O376" i="1" s="1"/>
  <c r="P376" i="1" s="1"/>
  <c r="R376" i="1" s="1"/>
  <c r="J376" i="1"/>
  <c r="I376" i="1"/>
  <c r="K376" i="1" s="1"/>
  <c r="N376" i="1" s="1"/>
  <c r="Q376" i="1" s="1"/>
  <c r="S375" i="1"/>
  <c r="L375" i="1"/>
  <c r="O375" i="1" s="1"/>
  <c r="P375" i="1" s="1"/>
  <c r="R375" i="1" s="1"/>
  <c r="J375" i="1"/>
  <c r="I375" i="1"/>
  <c r="M375" i="1" s="1"/>
  <c r="S374" i="1"/>
  <c r="L374" i="1"/>
  <c r="O374" i="1" s="1"/>
  <c r="P374" i="1" s="1"/>
  <c r="R374" i="1" s="1"/>
  <c r="J374" i="1"/>
  <c r="I374" i="1"/>
  <c r="S373" i="1"/>
  <c r="L373" i="1"/>
  <c r="O373" i="1" s="1"/>
  <c r="P373" i="1" s="1"/>
  <c r="R373" i="1" s="1"/>
  <c r="J373" i="1"/>
  <c r="I373" i="1"/>
  <c r="M373" i="1" s="1"/>
  <c r="S372" i="1"/>
  <c r="O372" i="1"/>
  <c r="P372" i="1" s="1"/>
  <c r="R372" i="1" s="1"/>
  <c r="L372" i="1"/>
  <c r="J372" i="1"/>
  <c r="I372" i="1"/>
  <c r="K372" i="1" s="1"/>
  <c r="N372" i="1" s="1"/>
  <c r="Q372" i="1" s="1"/>
  <c r="S371" i="1"/>
  <c r="L371" i="1"/>
  <c r="O371" i="1" s="1"/>
  <c r="P371" i="1" s="1"/>
  <c r="R371" i="1" s="1"/>
  <c r="J371" i="1"/>
  <c r="I371" i="1"/>
  <c r="M371" i="1" s="1"/>
  <c r="S370" i="1"/>
  <c r="L370" i="1"/>
  <c r="O370" i="1" s="1"/>
  <c r="P370" i="1" s="1"/>
  <c r="R370" i="1" s="1"/>
  <c r="J370" i="1"/>
  <c r="I370" i="1"/>
  <c r="K370" i="1" s="1"/>
  <c r="N370" i="1" s="1"/>
  <c r="Q370" i="1" s="1"/>
  <c r="S369" i="1"/>
  <c r="P369" i="1"/>
  <c r="R369" i="1" s="1"/>
  <c r="L369" i="1"/>
  <c r="O369" i="1" s="1"/>
  <c r="J369" i="1"/>
  <c r="I369" i="1"/>
  <c r="M369" i="1" s="1"/>
  <c r="S368" i="1"/>
  <c r="L368" i="1"/>
  <c r="O368" i="1" s="1"/>
  <c r="P368" i="1" s="1"/>
  <c r="R368" i="1" s="1"/>
  <c r="J368" i="1"/>
  <c r="I368" i="1"/>
  <c r="K368" i="1" s="1"/>
  <c r="N368" i="1" s="1"/>
  <c r="Q368" i="1" s="1"/>
  <c r="S367" i="1"/>
  <c r="L367" i="1"/>
  <c r="O367" i="1" s="1"/>
  <c r="P367" i="1" s="1"/>
  <c r="R367" i="1" s="1"/>
  <c r="J367" i="1"/>
  <c r="I367" i="1"/>
  <c r="K367" i="1" s="1"/>
  <c r="N367" i="1" s="1"/>
  <c r="Q367" i="1" s="1"/>
  <c r="S366" i="1"/>
  <c r="L366" i="1"/>
  <c r="O366" i="1" s="1"/>
  <c r="P366" i="1" s="1"/>
  <c r="R366" i="1" s="1"/>
  <c r="J366" i="1"/>
  <c r="I366" i="1"/>
  <c r="M366" i="1" s="1"/>
  <c r="S365" i="1"/>
  <c r="L365" i="1"/>
  <c r="O365" i="1" s="1"/>
  <c r="P365" i="1" s="1"/>
  <c r="R365" i="1" s="1"/>
  <c r="K365" i="1"/>
  <c r="N365" i="1" s="1"/>
  <c r="Q365" i="1" s="1"/>
  <c r="J365" i="1"/>
  <c r="I365" i="1"/>
  <c r="M365" i="1" s="1"/>
  <c r="S364" i="1"/>
  <c r="O364" i="1"/>
  <c r="P364" i="1" s="1"/>
  <c r="R364" i="1" s="1"/>
  <c r="L364" i="1"/>
  <c r="J364" i="1"/>
  <c r="I364" i="1"/>
  <c r="M364" i="1" s="1"/>
  <c r="S363" i="1"/>
  <c r="L363" i="1"/>
  <c r="O363" i="1" s="1"/>
  <c r="P363" i="1" s="1"/>
  <c r="R363" i="1" s="1"/>
  <c r="J363" i="1"/>
  <c r="I363" i="1"/>
  <c r="K363" i="1" s="1"/>
  <c r="N363" i="1" s="1"/>
  <c r="Q363" i="1" s="1"/>
  <c r="S362" i="1"/>
  <c r="L362" i="1"/>
  <c r="O362" i="1" s="1"/>
  <c r="P362" i="1" s="1"/>
  <c r="R362" i="1" s="1"/>
  <c r="J362" i="1"/>
  <c r="I362" i="1"/>
  <c r="M362" i="1" s="1"/>
  <c r="S361" i="1"/>
  <c r="O361" i="1"/>
  <c r="P361" i="1" s="1"/>
  <c r="R361" i="1" s="1"/>
  <c r="L361" i="1"/>
  <c r="J361" i="1"/>
  <c r="I361" i="1"/>
  <c r="M361" i="1" s="1"/>
  <c r="S360" i="1"/>
  <c r="L360" i="1"/>
  <c r="O360" i="1" s="1"/>
  <c r="P360" i="1" s="1"/>
  <c r="R360" i="1" s="1"/>
  <c r="J360" i="1"/>
  <c r="I360" i="1"/>
  <c r="M360" i="1" s="1"/>
  <c r="S359" i="1"/>
  <c r="L359" i="1"/>
  <c r="O359" i="1" s="1"/>
  <c r="P359" i="1" s="1"/>
  <c r="R359" i="1" s="1"/>
  <c r="J359" i="1"/>
  <c r="I359" i="1"/>
  <c r="K359" i="1" s="1"/>
  <c r="S358" i="1"/>
  <c r="L358" i="1"/>
  <c r="O358" i="1" s="1"/>
  <c r="P358" i="1" s="1"/>
  <c r="R358" i="1" s="1"/>
  <c r="J358" i="1"/>
  <c r="I358" i="1"/>
  <c r="M358" i="1" s="1"/>
  <c r="S357" i="1"/>
  <c r="L357" i="1"/>
  <c r="O357" i="1" s="1"/>
  <c r="P357" i="1" s="1"/>
  <c r="R357" i="1" s="1"/>
  <c r="J357" i="1"/>
  <c r="I357" i="1"/>
  <c r="M357" i="1" s="1"/>
  <c r="S356" i="1"/>
  <c r="L356" i="1"/>
  <c r="N356" i="1" s="1"/>
  <c r="Q356" i="1" s="1"/>
  <c r="J356" i="1"/>
  <c r="I356" i="1"/>
  <c r="K356" i="1" s="1"/>
  <c r="S355" i="1"/>
  <c r="L355" i="1"/>
  <c r="O355" i="1" s="1"/>
  <c r="P355" i="1" s="1"/>
  <c r="R355" i="1" s="1"/>
  <c r="K355" i="1"/>
  <c r="J355" i="1"/>
  <c r="I355" i="1"/>
  <c r="M355" i="1" s="1"/>
  <c r="S354" i="1"/>
  <c r="O354" i="1"/>
  <c r="P354" i="1" s="1"/>
  <c r="R354" i="1" s="1"/>
  <c r="L354" i="1"/>
  <c r="J354" i="1"/>
  <c r="I354" i="1"/>
  <c r="M354" i="1" s="1"/>
  <c r="S353" i="1"/>
  <c r="L353" i="1"/>
  <c r="O353" i="1" s="1"/>
  <c r="P353" i="1" s="1"/>
  <c r="R353" i="1" s="1"/>
  <c r="J353" i="1"/>
  <c r="I353" i="1"/>
  <c r="M353" i="1" s="1"/>
  <c r="S352" i="1"/>
  <c r="L352" i="1"/>
  <c r="O352" i="1" s="1"/>
  <c r="P352" i="1" s="1"/>
  <c r="R352" i="1" s="1"/>
  <c r="J352" i="1"/>
  <c r="I352" i="1"/>
  <c r="K352" i="1" s="1"/>
  <c r="S351" i="1"/>
  <c r="L351" i="1"/>
  <c r="O351" i="1" s="1"/>
  <c r="P351" i="1" s="1"/>
  <c r="R351" i="1" s="1"/>
  <c r="K351" i="1"/>
  <c r="J351" i="1"/>
  <c r="I351" i="1"/>
  <c r="M351" i="1" s="1"/>
  <c r="S350" i="1"/>
  <c r="O350" i="1"/>
  <c r="P350" i="1" s="1"/>
  <c r="R350" i="1" s="1"/>
  <c r="L350" i="1"/>
  <c r="J350" i="1"/>
  <c r="I350" i="1"/>
  <c r="M350" i="1" s="1"/>
  <c r="S349" i="1"/>
  <c r="L349" i="1"/>
  <c r="O349" i="1" s="1"/>
  <c r="P349" i="1" s="1"/>
  <c r="R349" i="1" s="1"/>
  <c r="J349" i="1"/>
  <c r="I349" i="1"/>
  <c r="M349" i="1" s="1"/>
  <c r="S348" i="1"/>
  <c r="L348" i="1"/>
  <c r="O348" i="1" s="1"/>
  <c r="P348" i="1" s="1"/>
  <c r="R348" i="1" s="1"/>
  <c r="K348" i="1"/>
  <c r="N348" i="1" s="1"/>
  <c r="Q348" i="1" s="1"/>
  <c r="J348" i="1"/>
  <c r="I348" i="1"/>
  <c r="M348" i="1" s="1"/>
  <c r="S347" i="1"/>
  <c r="L347" i="1"/>
  <c r="O347" i="1" s="1"/>
  <c r="P347" i="1" s="1"/>
  <c r="R347" i="1" s="1"/>
  <c r="J347" i="1"/>
  <c r="I347" i="1"/>
  <c r="M347" i="1" s="1"/>
  <c r="S346" i="1"/>
  <c r="L346" i="1"/>
  <c r="O346" i="1" s="1"/>
  <c r="P346" i="1" s="1"/>
  <c r="R346" i="1" s="1"/>
  <c r="J346" i="1"/>
  <c r="I346" i="1"/>
  <c r="M346" i="1" s="1"/>
  <c r="S345" i="1"/>
  <c r="L345" i="1"/>
  <c r="O345" i="1" s="1"/>
  <c r="P345" i="1" s="1"/>
  <c r="R345" i="1" s="1"/>
  <c r="J345" i="1"/>
  <c r="I345" i="1"/>
  <c r="M345" i="1" s="1"/>
  <c r="S344" i="1"/>
  <c r="L344" i="1"/>
  <c r="O344" i="1" s="1"/>
  <c r="P344" i="1" s="1"/>
  <c r="R344" i="1" s="1"/>
  <c r="J344" i="1"/>
  <c r="I344" i="1"/>
  <c r="M344" i="1" s="1"/>
  <c r="S343" i="1"/>
  <c r="L343" i="1"/>
  <c r="O343" i="1" s="1"/>
  <c r="P343" i="1" s="1"/>
  <c r="R343" i="1" s="1"/>
  <c r="K343" i="1"/>
  <c r="N343" i="1" s="1"/>
  <c r="Q343" i="1" s="1"/>
  <c r="J343" i="1"/>
  <c r="I343" i="1"/>
  <c r="M343" i="1" s="1"/>
  <c r="S342" i="1"/>
  <c r="L342" i="1"/>
  <c r="O342" i="1" s="1"/>
  <c r="P342" i="1" s="1"/>
  <c r="R342" i="1" s="1"/>
  <c r="J342" i="1"/>
  <c r="I342" i="1"/>
  <c r="M342" i="1" s="1"/>
  <c r="S341" i="1"/>
  <c r="L341" i="1"/>
  <c r="O341" i="1" s="1"/>
  <c r="P341" i="1" s="1"/>
  <c r="R341" i="1" s="1"/>
  <c r="J341" i="1"/>
  <c r="I341" i="1"/>
  <c r="M341" i="1" s="1"/>
  <c r="S340" i="1"/>
  <c r="O340" i="1"/>
  <c r="P340" i="1" s="1"/>
  <c r="R340" i="1" s="1"/>
  <c r="L340" i="1"/>
  <c r="J340" i="1"/>
  <c r="I340" i="1"/>
  <c r="M340" i="1" s="1"/>
  <c r="S339" i="1"/>
  <c r="L339" i="1"/>
  <c r="O339" i="1" s="1"/>
  <c r="P339" i="1" s="1"/>
  <c r="R339" i="1" s="1"/>
  <c r="J339" i="1"/>
  <c r="I339" i="1"/>
  <c r="M339" i="1" s="1"/>
  <c r="S338" i="1"/>
  <c r="L338" i="1"/>
  <c r="O338" i="1" s="1"/>
  <c r="P338" i="1" s="1"/>
  <c r="R338" i="1" s="1"/>
  <c r="J338" i="1"/>
  <c r="I338" i="1"/>
  <c r="M338" i="1" s="1"/>
  <c r="S337" i="1"/>
  <c r="L337" i="1"/>
  <c r="O337" i="1" s="1"/>
  <c r="P337" i="1" s="1"/>
  <c r="R337" i="1" s="1"/>
  <c r="J337" i="1"/>
  <c r="I337" i="1"/>
  <c r="M337" i="1" s="1"/>
  <c r="S336" i="1"/>
  <c r="O336" i="1"/>
  <c r="P336" i="1" s="1"/>
  <c r="R336" i="1" s="1"/>
  <c r="L336" i="1"/>
  <c r="J336" i="1"/>
  <c r="I336" i="1"/>
  <c r="S335" i="1"/>
  <c r="L335" i="1"/>
  <c r="O335" i="1" s="1"/>
  <c r="P335" i="1" s="1"/>
  <c r="R335" i="1" s="1"/>
  <c r="J335" i="1"/>
  <c r="I335" i="1"/>
  <c r="M335" i="1" s="1"/>
  <c r="S334" i="1"/>
  <c r="L334" i="1"/>
  <c r="O334" i="1" s="1"/>
  <c r="P334" i="1" s="1"/>
  <c r="R334" i="1" s="1"/>
  <c r="J334" i="1"/>
  <c r="I334" i="1"/>
  <c r="M334" i="1" s="1"/>
  <c r="S333" i="1"/>
  <c r="L333" i="1"/>
  <c r="O333" i="1" s="1"/>
  <c r="P333" i="1" s="1"/>
  <c r="R333" i="1" s="1"/>
  <c r="J333" i="1"/>
  <c r="I333" i="1"/>
  <c r="M333" i="1" s="1"/>
  <c r="S332" i="1"/>
  <c r="L332" i="1"/>
  <c r="O332" i="1" s="1"/>
  <c r="P332" i="1" s="1"/>
  <c r="R332" i="1" s="1"/>
  <c r="K332" i="1"/>
  <c r="N332" i="1" s="1"/>
  <c r="Q332" i="1" s="1"/>
  <c r="J332" i="1"/>
  <c r="I332" i="1"/>
  <c r="M332" i="1" s="1"/>
  <c r="S331" i="1"/>
  <c r="L331" i="1"/>
  <c r="O331" i="1" s="1"/>
  <c r="P331" i="1" s="1"/>
  <c r="R331" i="1" s="1"/>
  <c r="J331" i="1"/>
  <c r="I331" i="1"/>
  <c r="M331" i="1" s="1"/>
  <c r="S330" i="1"/>
  <c r="L330" i="1"/>
  <c r="O330" i="1" s="1"/>
  <c r="P330" i="1" s="1"/>
  <c r="R330" i="1" s="1"/>
  <c r="J330" i="1"/>
  <c r="I330" i="1"/>
  <c r="M330" i="1" s="1"/>
  <c r="S329" i="1"/>
  <c r="L329" i="1"/>
  <c r="O329" i="1" s="1"/>
  <c r="P329" i="1" s="1"/>
  <c r="R329" i="1" s="1"/>
  <c r="J329" i="1"/>
  <c r="I329" i="1"/>
  <c r="M329" i="1" s="1"/>
  <c r="S328" i="1"/>
  <c r="L328" i="1"/>
  <c r="O328" i="1" s="1"/>
  <c r="P328" i="1" s="1"/>
  <c r="R328" i="1" s="1"/>
  <c r="J328" i="1"/>
  <c r="I328" i="1"/>
  <c r="M328" i="1" s="1"/>
  <c r="S327" i="1"/>
  <c r="L327" i="1"/>
  <c r="O327" i="1" s="1"/>
  <c r="P327" i="1" s="1"/>
  <c r="R327" i="1" s="1"/>
  <c r="K327" i="1"/>
  <c r="N327" i="1" s="1"/>
  <c r="Q327" i="1" s="1"/>
  <c r="J327" i="1"/>
  <c r="I327" i="1"/>
  <c r="M327" i="1" s="1"/>
  <c r="S326" i="1"/>
  <c r="L326" i="1"/>
  <c r="O326" i="1" s="1"/>
  <c r="P326" i="1" s="1"/>
  <c r="R326" i="1" s="1"/>
  <c r="J326" i="1"/>
  <c r="I326" i="1"/>
  <c r="M326" i="1" s="1"/>
  <c r="S325" i="1"/>
  <c r="L325" i="1"/>
  <c r="O325" i="1" s="1"/>
  <c r="P325" i="1" s="1"/>
  <c r="R325" i="1" s="1"/>
  <c r="J325" i="1"/>
  <c r="I325" i="1"/>
  <c r="M325" i="1" s="1"/>
  <c r="S324" i="1"/>
  <c r="O324" i="1"/>
  <c r="P324" i="1" s="1"/>
  <c r="R324" i="1" s="1"/>
  <c r="L324" i="1"/>
  <c r="J324" i="1"/>
  <c r="I324" i="1"/>
  <c r="M324" i="1" s="1"/>
  <c r="S323" i="1"/>
  <c r="L323" i="1"/>
  <c r="O323" i="1" s="1"/>
  <c r="P323" i="1" s="1"/>
  <c r="R323" i="1" s="1"/>
  <c r="J323" i="1"/>
  <c r="I323" i="1"/>
  <c r="M323" i="1" s="1"/>
  <c r="S322" i="1"/>
  <c r="L322" i="1"/>
  <c r="O322" i="1" s="1"/>
  <c r="P322" i="1" s="1"/>
  <c r="R322" i="1" s="1"/>
  <c r="J322" i="1"/>
  <c r="I322" i="1"/>
  <c r="M322" i="1" s="1"/>
  <c r="S321" i="1"/>
  <c r="L321" i="1"/>
  <c r="O321" i="1" s="1"/>
  <c r="P321" i="1" s="1"/>
  <c r="R321" i="1" s="1"/>
  <c r="J321" i="1"/>
  <c r="I321" i="1"/>
  <c r="M321" i="1" s="1"/>
  <c r="S320" i="1"/>
  <c r="O320" i="1"/>
  <c r="P320" i="1" s="1"/>
  <c r="R320" i="1" s="1"/>
  <c r="L320" i="1"/>
  <c r="J320" i="1"/>
  <c r="I320" i="1"/>
  <c r="S319" i="1"/>
  <c r="L319" i="1"/>
  <c r="O319" i="1" s="1"/>
  <c r="P319" i="1" s="1"/>
  <c r="R319" i="1" s="1"/>
  <c r="J319" i="1"/>
  <c r="I319" i="1"/>
  <c r="M319" i="1" s="1"/>
  <c r="S318" i="1"/>
  <c r="L318" i="1"/>
  <c r="O318" i="1" s="1"/>
  <c r="P318" i="1" s="1"/>
  <c r="R318" i="1" s="1"/>
  <c r="J318" i="1"/>
  <c r="I318" i="1"/>
  <c r="M318" i="1" s="1"/>
  <c r="S317" i="1"/>
  <c r="L317" i="1"/>
  <c r="O317" i="1" s="1"/>
  <c r="P317" i="1" s="1"/>
  <c r="R317" i="1" s="1"/>
  <c r="J317" i="1"/>
  <c r="I317" i="1"/>
  <c r="M317" i="1" s="1"/>
  <c r="S316" i="1"/>
  <c r="L316" i="1"/>
  <c r="K316" i="1"/>
  <c r="J316" i="1"/>
  <c r="I316" i="1"/>
  <c r="M316" i="1" s="1"/>
  <c r="S315" i="1"/>
  <c r="L315" i="1"/>
  <c r="O315" i="1" s="1"/>
  <c r="P315" i="1" s="1"/>
  <c r="R315" i="1" s="1"/>
  <c r="J315" i="1"/>
  <c r="I315" i="1"/>
  <c r="M315" i="1" s="1"/>
  <c r="S314" i="1"/>
  <c r="L314" i="1"/>
  <c r="O314" i="1" s="1"/>
  <c r="P314" i="1" s="1"/>
  <c r="R314" i="1" s="1"/>
  <c r="J314" i="1"/>
  <c r="I314" i="1"/>
  <c r="M314" i="1" s="1"/>
  <c r="S313" i="1"/>
  <c r="L313" i="1"/>
  <c r="O313" i="1" s="1"/>
  <c r="P313" i="1" s="1"/>
  <c r="R313" i="1" s="1"/>
  <c r="J313" i="1"/>
  <c r="I313" i="1"/>
  <c r="M313" i="1" s="1"/>
  <c r="S312" i="1"/>
  <c r="L312" i="1"/>
  <c r="O312" i="1" s="1"/>
  <c r="P312" i="1" s="1"/>
  <c r="R312" i="1" s="1"/>
  <c r="J312" i="1"/>
  <c r="I312" i="1"/>
  <c r="K312" i="1" s="1"/>
  <c r="N312" i="1" s="1"/>
  <c r="Q312" i="1" s="1"/>
  <c r="S311" i="1"/>
  <c r="L311" i="1"/>
  <c r="O311" i="1" s="1"/>
  <c r="P311" i="1" s="1"/>
  <c r="R311" i="1" s="1"/>
  <c r="J311" i="1"/>
  <c r="I311" i="1"/>
  <c r="M311" i="1" s="1"/>
  <c r="S310" i="1"/>
  <c r="L310" i="1"/>
  <c r="O310" i="1" s="1"/>
  <c r="P310" i="1" s="1"/>
  <c r="R310" i="1" s="1"/>
  <c r="J310" i="1"/>
  <c r="I310" i="1"/>
  <c r="M310" i="1" s="1"/>
  <c r="S309" i="1"/>
  <c r="L309" i="1"/>
  <c r="O309" i="1" s="1"/>
  <c r="P309" i="1" s="1"/>
  <c r="R309" i="1" s="1"/>
  <c r="J309" i="1"/>
  <c r="I309" i="1"/>
  <c r="M309" i="1" s="1"/>
  <c r="S308" i="1"/>
  <c r="L308" i="1"/>
  <c r="O308" i="1" s="1"/>
  <c r="P308" i="1" s="1"/>
  <c r="R308" i="1" s="1"/>
  <c r="J308" i="1"/>
  <c r="I308" i="1"/>
  <c r="K308" i="1" s="1"/>
  <c r="N308" i="1" s="1"/>
  <c r="Q308" i="1" s="1"/>
  <c r="S307" i="1"/>
  <c r="L307" i="1"/>
  <c r="O307" i="1" s="1"/>
  <c r="P307" i="1" s="1"/>
  <c r="R307" i="1" s="1"/>
  <c r="J307" i="1"/>
  <c r="I307" i="1"/>
  <c r="M307" i="1" s="1"/>
  <c r="S306" i="1"/>
  <c r="L306" i="1"/>
  <c r="O306" i="1" s="1"/>
  <c r="P306" i="1" s="1"/>
  <c r="R306" i="1" s="1"/>
  <c r="J306" i="1"/>
  <c r="I306" i="1"/>
  <c r="M306" i="1" s="1"/>
  <c r="S305" i="1"/>
  <c r="L305" i="1"/>
  <c r="O305" i="1" s="1"/>
  <c r="P305" i="1" s="1"/>
  <c r="R305" i="1" s="1"/>
  <c r="J305" i="1"/>
  <c r="I305" i="1"/>
  <c r="M305" i="1" s="1"/>
  <c r="S304" i="1"/>
  <c r="L304" i="1"/>
  <c r="O304" i="1" s="1"/>
  <c r="P304" i="1" s="1"/>
  <c r="R304" i="1" s="1"/>
  <c r="J304" i="1"/>
  <c r="I304" i="1"/>
  <c r="K304" i="1" s="1"/>
  <c r="N304" i="1" s="1"/>
  <c r="Q304" i="1" s="1"/>
  <c r="S303" i="1"/>
  <c r="L303" i="1"/>
  <c r="O303" i="1" s="1"/>
  <c r="P303" i="1" s="1"/>
  <c r="R303" i="1" s="1"/>
  <c r="J303" i="1"/>
  <c r="I303" i="1"/>
  <c r="M303" i="1" s="1"/>
  <c r="S302" i="1"/>
  <c r="L302" i="1"/>
  <c r="O302" i="1" s="1"/>
  <c r="P302" i="1" s="1"/>
  <c r="R302" i="1" s="1"/>
  <c r="J302" i="1"/>
  <c r="I302" i="1"/>
  <c r="M302" i="1" s="1"/>
  <c r="S301" i="1"/>
  <c r="L301" i="1"/>
  <c r="O301" i="1" s="1"/>
  <c r="P301" i="1" s="1"/>
  <c r="R301" i="1" s="1"/>
  <c r="J301" i="1"/>
  <c r="I301" i="1"/>
  <c r="M301" i="1" s="1"/>
  <c r="S300" i="1"/>
  <c r="L300" i="1"/>
  <c r="O300" i="1" s="1"/>
  <c r="P300" i="1" s="1"/>
  <c r="R300" i="1" s="1"/>
  <c r="J300" i="1"/>
  <c r="I300" i="1"/>
  <c r="K300" i="1" s="1"/>
  <c r="N300" i="1" s="1"/>
  <c r="Q300" i="1" s="1"/>
  <c r="S299" i="1"/>
  <c r="L299" i="1"/>
  <c r="O299" i="1" s="1"/>
  <c r="P299" i="1" s="1"/>
  <c r="R299" i="1" s="1"/>
  <c r="J299" i="1"/>
  <c r="I299" i="1"/>
  <c r="M299" i="1" s="1"/>
  <c r="S298" i="1"/>
  <c r="L298" i="1"/>
  <c r="O298" i="1" s="1"/>
  <c r="P298" i="1" s="1"/>
  <c r="R298" i="1" s="1"/>
  <c r="J298" i="1"/>
  <c r="I298" i="1"/>
  <c r="M298" i="1" s="1"/>
  <c r="S297" i="1"/>
  <c r="L297" i="1"/>
  <c r="O297" i="1" s="1"/>
  <c r="P297" i="1" s="1"/>
  <c r="R297" i="1" s="1"/>
  <c r="J297" i="1"/>
  <c r="I297" i="1"/>
  <c r="M297" i="1" s="1"/>
  <c r="S296" i="1"/>
  <c r="L296" i="1"/>
  <c r="O296" i="1" s="1"/>
  <c r="P296" i="1" s="1"/>
  <c r="R296" i="1" s="1"/>
  <c r="J296" i="1"/>
  <c r="I296" i="1"/>
  <c r="K296" i="1" s="1"/>
  <c r="N296" i="1" s="1"/>
  <c r="Q296" i="1" s="1"/>
  <c r="S295" i="1"/>
  <c r="L295" i="1"/>
  <c r="O295" i="1" s="1"/>
  <c r="P295" i="1" s="1"/>
  <c r="R295" i="1" s="1"/>
  <c r="J295" i="1"/>
  <c r="I295" i="1"/>
  <c r="M295" i="1" s="1"/>
  <c r="S294" i="1"/>
  <c r="L294" i="1"/>
  <c r="O294" i="1" s="1"/>
  <c r="P294" i="1" s="1"/>
  <c r="R294" i="1" s="1"/>
  <c r="J294" i="1"/>
  <c r="I294" i="1"/>
  <c r="M294" i="1" s="1"/>
  <c r="S293" i="1"/>
  <c r="L293" i="1"/>
  <c r="O293" i="1" s="1"/>
  <c r="P293" i="1" s="1"/>
  <c r="R293" i="1" s="1"/>
  <c r="J293" i="1"/>
  <c r="I293" i="1"/>
  <c r="M293" i="1" s="1"/>
  <c r="S292" i="1"/>
  <c r="L292" i="1"/>
  <c r="O292" i="1" s="1"/>
  <c r="P292" i="1" s="1"/>
  <c r="R292" i="1" s="1"/>
  <c r="J292" i="1"/>
  <c r="I292" i="1"/>
  <c r="K292" i="1" s="1"/>
  <c r="N292" i="1" s="1"/>
  <c r="Q292" i="1" s="1"/>
  <c r="S291" i="1"/>
  <c r="L291" i="1"/>
  <c r="O291" i="1" s="1"/>
  <c r="P291" i="1" s="1"/>
  <c r="R291" i="1" s="1"/>
  <c r="J291" i="1"/>
  <c r="I291" i="1"/>
  <c r="S290" i="1"/>
  <c r="L290" i="1"/>
  <c r="O290" i="1" s="1"/>
  <c r="P290" i="1" s="1"/>
  <c r="R290" i="1" s="1"/>
  <c r="J290" i="1"/>
  <c r="I290" i="1"/>
  <c r="M290" i="1" s="1"/>
  <c r="S289" i="1"/>
  <c r="L289" i="1"/>
  <c r="O289" i="1" s="1"/>
  <c r="P289" i="1" s="1"/>
  <c r="R289" i="1" s="1"/>
  <c r="J289" i="1"/>
  <c r="I289" i="1"/>
  <c r="M289" i="1" s="1"/>
  <c r="S288" i="1"/>
  <c r="O288" i="1"/>
  <c r="P288" i="1" s="1"/>
  <c r="R288" i="1" s="1"/>
  <c r="L288" i="1"/>
  <c r="J288" i="1"/>
  <c r="I288" i="1"/>
  <c r="S287" i="1"/>
  <c r="L287" i="1"/>
  <c r="O287" i="1" s="1"/>
  <c r="P287" i="1" s="1"/>
  <c r="R287" i="1" s="1"/>
  <c r="J287" i="1"/>
  <c r="I287" i="1"/>
  <c r="M287" i="1" s="1"/>
  <c r="S286" i="1"/>
  <c r="L286" i="1"/>
  <c r="O286" i="1" s="1"/>
  <c r="P286" i="1" s="1"/>
  <c r="R286" i="1" s="1"/>
  <c r="J286" i="1"/>
  <c r="I286" i="1"/>
  <c r="M286" i="1" s="1"/>
  <c r="S285" i="1"/>
  <c r="L285" i="1"/>
  <c r="O285" i="1" s="1"/>
  <c r="P285" i="1" s="1"/>
  <c r="R285" i="1" s="1"/>
  <c r="J285" i="1"/>
  <c r="I285" i="1"/>
  <c r="M285" i="1" s="1"/>
  <c r="S284" i="1"/>
  <c r="L284" i="1"/>
  <c r="O284" i="1" s="1"/>
  <c r="P284" i="1" s="1"/>
  <c r="R284" i="1" s="1"/>
  <c r="K284" i="1"/>
  <c r="N284" i="1" s="1"/>
  <c r="Q284" i="1" s="1"/>
  <c r="J284" i="1"/>
  <c r="I284" i="1"/>
  <c r="M284" i="1" s="1"/>
  <c r="S283" i="1"/>
  <c r="P283" i="1"/>
  <c r="R283" i="1" s="1"/>
  <c r="L283" i="1"/>
  <c r="O283" i="1" s="1"/>
  <c r="J283" i="1"/>
  <c r="I283" i="1"/>
  <c r="M283" i="1" s="1"/>
  <c r="S282" i="1"/>
  <c r="L282" i="1"/>
  <c r="O282" i="1" s="1"/>
  <c r="P282" i="1" s="1"/>
  <c r="R282" i="1" s="1"/>
  <c r="J282" i="1"/>
  <c r="I282" i="1"/>
  <c r="M282" i="1" s="1"/>
  <c r="S281" i="1"/>
  <c r="L281" i="1"/>
  <c r="O281" i="1" s="1"/>
  <c r="P281" i="1" s="1"/>
  <c r="R281" i="1" s="1"/>
  <c r="J281" i="1"/>
  <c r="I281" i="1"/>
  <c r="M281" i="1" s="1"/>
  <c r="S280" i="1"/>
  <c r="M280" i="1"/>
  <c r="L280" i="1"/>
  <c r="O280" i="1" s="1"/>
  <c r="P280" i="1" s="1"/>
  <c r="R280" i="1" s="1"/>
  <c r="J280" i="1"/>
  <c r="I280" i="1"/>
  <c r="K280" i="1" s="1"/>
  <c r="S279" i="1"/>
  <c r="P279" i="1"/>
  <c r="R279" i="1" s="1"/>
  <c r="L279" i="1"/>
  <c r="O279" i="1" s="1"/>
  <c r="J279" i="1"/>
  <c r="I279" i="1"/>
  <c r="M279" i="1" s="1"/>
  <c r="S278" i="1"/>
  <c r="M278" i="1"/>
  <c r="L278" i="1"/>
  <c r="O278" i="1" s="1"/>
  <c r="P278" i="1" s="1"/>
  <c r="R278" i="1" s="1"/>
  <c r="J278" i="1"/>
  <c r="I278" i="1"/>
  <c r="K278" i="1" s="1"/>
  <c r="S277" i="1"/>
  <c r="P277" i="1"/>
  <c r="R277" i="1" s="1"/>
  <c r="L277" i="1"/>
  <c r="O277" i="1" s="1"/>
  <c r="J277" i="1"/>
  <c r="I277" i="1"/>
  <c r="M277" i="1" s="1"/>
  <c r="S276" i="1"/>
  <c r="L276" i="1"/>
  <c r="J276" i="1"/>
  <c r="I276" i="1"/>
  <c r="K276" i="1" s="1"/>
  <c r="S275" i="1"/>
  <c r="L275" i="1"/>
  <c r="J275" i="1"/>
  <c r="I275" i="1"/>
  <c r="M275" i="1" s="1"/>
  <c r="S274" i="1"/>
  <c r="L274" i="1"/>
  <c r="O274" i="1" s="1"/>
  <c r="P274" i="1" s="1"/>
  <c r="R274" i="1" s="1"/>
  <c r="J274" i="1"/>
  <c r="I274" i="1"/>
  <c r="K274" i="1" s="1"/>
  <c r="N274" i="1" s="1"/>
  <c r="Q274" i="1" s="1"/>
  <c r="S273" i="1"/>
  <c r="P273" i="1"/>
  <c r="R273" i="1" s="1"/>
  <c r="L273" i="1"/>
  <c r="O273" i="1" s="1"/>
  <c r="J273" i="1"/>
  <c r="I273" i="1"/>
  <c r="S272" i="1"/>
  <c r="L272" i="1"/>
  <c r="O272" i="1" s="1"/>
  <c r="P272" i="1" s="1"/>
  <c r="R272" i="1" s="1"/>
  <c r="J272" i="1"/>
  <c r="I272" i="1"/>
  <c r="S271" i="1"/>
  <c r="L271" i="1"/>
  <c r="O271" i="1" s="1"/>
  <c r="P271" i="1" s="1"/>
  <c r="R271" i="1" s="1"/>
  <c r="J271" i="1"/>
  <c r="I271" i="1"/>
  <c r="S270" i="1"/>
  <c r="M270" i="1"/>
  <c r="L270" i="1"/>
  <c r="O270" i="1" s="1"/>
  <c r="P270" i="1" s="1"/>
  <c r="R270" i="1" s="1"/>
  <c r="J270" i="1"/>
  <c r="I270" i="1"/>
  <c r="K270" i="1" s="1"/>
  <c r="N270" i="1" s="1"/>
  <c r="Q270" i="1" s="1"/>
  <c r="S269" i="1"/>
  <c r="P269" i="1"/>
  <c r="R269" i="1" s="1"/>
  <c r="L269" i="1"/>
  <c r="O269" i="1" s="1"/>
  <c r="J269" i="1"/>
  <c r="I269" i="1"/>
  <c r="K269" i="1" s="1"/>
  <c r="N269" i="1" s="1"/>
  <c r="Q269" i="1" s="1"/>
  <c r="S268" i="1"/>
  <c r="L268" i="1"/>
  <c r="O268" i="1" s="1"/>
  <c r="P268" i="1" s="1"/>
  <c r="R268" i="1" s="1"/>
  <c r="J268" i="1"/>
  <c r="I268" i="1"/>
  <c r="S267" i="1"/>
  <c r="L267" i="1"/>
  <c r="O267" i="1" s="1"/>
  <c r="P267" i="1" s="1"/>
  <c r="R267" i="1" s="1"/>
  <c r="J267" i="1"/>
  <c r="I267" i="1"/>
  <c r="K267" i="1" s="1"/>
  <c r="N267" i="1" s="1"/>
  <c r="Q267" i="1" s="1"/>
  <c r="S266" i="1"/>
  <c r="L266" i="1"/>
  <c r="O266" i="1" s="1"/>
  <c r="P266" i="1" s="1"/>
  <c r="R266" i="1" s="1"/>
  <c r="J266" i="1"/>
  <c r="I266" i="1"/>
  <c r="M266" i="1" s="1"/>
  <c r="S265" i="1"/>
  <c r="L265" i="1"/>
  <c r="O265" i="1" s="1"/>
  <c r="P265" i="1" s="1"/>
  <c r="R265" i="1" s="1"/>
  <c r="K265" i="1"/>
  <c r="N265" i="1" s="1"/>
  <c r="Q265" i="1" s="1"/>
  <c r="J265" i="1"/>
  <c r="I265" i="1"/>
  <c r="M265" i="1" s="1"/>
  <c r="S264" i="1"/>
  <c r="L264" i="1"/>
  <c r="O264" i="1" s="1"/>
  <c r="P264" i="1" s="1"/>
  <c r="R264" i="1" s="1"/>
  <c r="J264" i="1"/>
  <c r="I264" i="1"/>
  <c r="S263" i="1"/>
  <c r="L263" i="1"/>
  <c r="O263" i="1" s="1"/>
  <c r="P263" i="1" s="1"/>
  <c r="R263" i="1" s="1"/>
  <c r="J263" i="1"/>
  <c r="I263" i="1"/>
  <c r="K263" i="1" s="1"/>
  <c r="N263" i="1" s="1"/>
  <c r="Q263" i="1" s="1"/>
  <c r="S262" i="1"/>
  <c r="L262" i="1"/>
  <c r="O262" i="1" s="1"/>
  <c r="P262" i="1" s="1"/>
  <c r="R262" i="1" s="1"/>
  <c r="J262" i="1"/>
  <c r="I262" i="1"/>
  <c r="S261" i="1"/>
  <c r="L261" i="1"/>
  <c r="O261" i="1" s="1"/>
  <c r="P261" i="1" s="1"/>
  <c r="R261" i="1" s="1"/>
  <c r="J261" i="1"/>
  <c r="I261" i="1"/>
  <c r="S260" i="1"/>
  <c r="L260" i="1"/>
  <c r="O260" i="1" s="1"/>
  <c r="P260" i="1" s="1"/>
  <c r="R260" i="1" s="1"/>
  <c r="J260" i="1"/>
  <c r="I260" i="1"/>
  <c r="K260" i="1" s="1"/>
  <c r="N260" i="1" s="1"/>
  <c r="Q260" i="1" s="1"/>
  <c r="S259" i="1"/>
  <c r="L259" i="1"/>
  <c r="O259" i="1" s="1"/>
  <c r="P259" i="1" s="1"/>
  <c r="R259" i="1" s="1"/>
  <c r="J259" i="1"/>
  <c r="I259" i="1"/>
  <c r="K259" i="1" s="1"/>
  <c r="N259" i="1" s="1"/>
  <c r="Q259" i="1" s="1"/>
  <c r="S258" i="1"/>
  <c r="L258" i="1"/>
  <c r="O258" i="1" s="1"/>
  <c r="P258" i="1" s="1"/>
  <c r="R258" i="1" s="1"/>
  <c r="J258" i="1"/>
  <c r="I258" i="1"/>
  <c r="S257" i="1"/>
  <c r="L257" i="1"/>
  <c r="O257" i="1" s="1"/>
  <c r="P257" i="1" s="1"/>
  <c r="R257" i="1" s="1"/>
  <c r="J257" i="1"/>
  <c r="I257" i="1"/>
  <c r="M257" i="1" s="1"/>
  <c r="S256" i="1"/>
  <c r="L256" i="1"/>
  <c r="O256" i="1" s="1"/>
  <c r="P256" i="1" s="1"/>
  <c r="R256" i="1" s="1"/>
  <c r="J256" i="1"/>
  <c r="I256" i="1"/>
  <c r="S255" i="1"/>
  <c r="L255" i="1"/>
  <c r="O255" i="1" s="1"/>
  <c r="P255" i="1" s="1"/>
  <c r="R255" i="1" s="1"/>
  <c r="J255" i="1"/>
  <c r="I255" i="1"/>
  <c r="K255" i="1" s="1"/>
  <c r="N255" i="1" s="1"/>
  <c r="Q255" i="1" s="1"/>
  <c r="S254" i="1"/>
  <c r="L254" i="1"/>
  <c r="O254" i="1" s="1"/>
  <c r="P254" i="1" s="1"/>
  <c r="R254" i="1" s="1"/>
  <c r="J254" i="1"/>
  <c r="I254" i="1"/>
  <c r="S253" i="1"/>
  <c r="L253" i="1"/>
  <c r="O253" i="1" s="1"/>
  <c r="P253" i="1" s="1"/>
  <c r="R253" i="1" s="1"/>
  <c r="J253" i="1"/>
  <c r="I253" i="1"/>
  <c r="K253" i="1" s="1"/>
  <c r="N253" i="1" s="1"/>
  <c r="Q253" i="1" s="1"/>
  <c r="S252" i="1"/>
  <c r="M252" i="1"/>
  <c r="L252" i="1"/>
  <c r="O252" i="1" s="1"/>
  <c r="P252" i="1" s="1"/>
  <c r="R252" i="1" s="1"/>
  <c r="J252" i="1"/>
  <c r="I252" i="1"/>
  <c r="K252" i="1" s="1"/>
  <c r="N252" i="1" s="1"/>
  <c r="Q252" i="1" s="1"/>
  <c r="S251" i="1"/>
  <c r="L251" i="1"/>
  <c r="J251" i="1"/>
  <c r="I251" i="1"/>
  <c r="M251" i="1" s="1"/>
  <c r="S250" i="1"/>
  <c r="L250" i="1"/>
  <c r="O250" i="1" s="1"/>
  <c r="P250" i="1" s="1"/>
  <c r="R250" i="1" s="1"/>
  <c r="J250" i="1"/>
  <c r="I250" i="1"/>
  <c r="S249" i="1"/>
  <c r="L249" i="1"/>
  <c r="O249" i="1" s="1"/>
  <c r="P249" i="1" s="1"/>
  <c r="R249" i="1" s="1"/>
  <c r="J249" i="1"/>
  <c r="I249" i="1"/>
  <c r="S248" i="1"/>
  <c r="M248" i="1"/>
  <c r="L248" i="1"/>
  <c r="O248" i="1" s="1"/>
  <c r="P248" i="1" s="1"/>
  <c r="R248" i="1" s="1"/>
  <c r="J248" i="1"/>
  <c r="I248" i="1"/>
  <c r="K248" i="1" s="1"/>
  <c r="N248" i="1" s="1"/>
  <c r="Q248" i="1" s="1"/>
  <c r="S247" i="1"/>
  <c r="L247" i="1"/>
  <c r="O247" i="1" s="1"/>
  <c r="P247" i="1" s="1"/>
  <c r="R247" i="1" s="1"/>
  <c r="J247" i="1"/>
  <c r="I247" i="1"/>
  <c r="M247" i="1" s="1"/>
  <c r="S246" i="1"/>
  <c r="L246" i="1"/>
  <c r="J246" i="1"/>
  <c r="I246" i="1"/>
  <c r="S245" i="1"/>
  <c r="L245" i="1"/>
  <c r="J245" i="1"/>
  <c r="I245" i="1"/>
  <c r="M245" i="1" s="1"/>
  <c r="S244" i="1"/>
  <c r="L244" i="1"/>
  <c r="J244" i="1"/>
  <c r="I244" i="1"/>
  <c r="S243" i="1"/>
  <c r="L243" i="1"/>
  <c r="K243" i="1"/>
  <c r="J243" i="1"/>
  <c r="I243" i="1"/>
  <c r="M243" i="1" s="1"/>
  <c r="S242" i="1"/>
  <c r="L242" i="1"/>
  <c r="O242" i="1" s="1"/>
  <c r="P242" i="1" s="1"/>
  <c r="R242" i="1" s="1"/>
  <c r="J242" i="1"/>
  <c r="I242" i="1"/>
  <c r="S241" i="1"/>
  <c r="O241" i="1"/>
  <c r="P241" i="1" s="1"/>
  <c r="R241" i="1" s="1"/>
  <c r="L241" i="1"/>
  <c r="J241" i="1"/>
  <c r="I241" i="1"/>
  <c r="S240" i="1"/>
  <c r="M240" i="1"/>
  <c r="L240" i="1"/>
  <c r="O240" i="1" s="1"/>
  <c r="P240" i="1" s="1"/>
  <c r="R240" i="1" s="1"/>
  <c r="J240" i="1"/>
  <c r="I240" i="1"/>
  <c r="K240" i="1" s="1"/>
  <c r="S239" i="1"/>
  <c r="L239" i="1"/>
  <c r="O239" i="1" s="1"/>
  <c r="P239" i="1" s="1"/>
  <c r="R239" i="1" s="1"/>
  <c r="J239" i="1"/>
  <c r="I239" i="1"/>
  <c r="S238" i="1"/>
  <c r="L238" i="1"/>
  <c r="O238" i="1" s="1"/>
  <c r="P238" i="1" s="1"/>
  <c r="R238" i="1" s="1"/>
  <c r="J238" i="1"/>
  <c r="I238" i="1"/>
  <c r="S237" i="1"/>
  <c r="L237" i="1"/>
  <c r="O237" i="1" s="1"/>
  <c r="P237" i="1" s="1"/>
  <c r="R237" i="1" s="1"/>
  <c r="J237" i="1"/>
  <c r="I237" i="1"/>
  <c r="S236" i="1"/>
  <c r="L236" i="1"/>
  <c r="O236" i="1" s="1"/>
  <c r="P236" i="1" s="1"/>
  <c r="R236" i="1" s="1"/>
  <c r="J236" i="1"/>
  <c r="I236" i="1"/>
  <c r="S235" i="1"/>
  <c r="L235" i="1"/>
  <c r="O235" i="1" s="1"/>
  <c r="P235" i="1" s="1"/>
  <c r="R235" i="1" s="1"/>
  <c r="J235" i="1"/>
  <c r="I235" i="1"/>
  <c r="M235" i="1" s="1"/>
  <c r="S234" i="1"/>
  <c r="O234" i="1"/>
  <c r="P234" i="1" s="1"/>
  <c r="R234" i="1" s="1"/>
  <c r="L234" i="1"/>
  <c r="J234" i="1"/>
  <c r="I234" i="1"/>
  <c r="S233" i="1"/>
  <c r="M233" i="1"/>
  <c r="L233" i="1"/>
  <c r="O233" i="1" s="1"/>
  <c r="P233" i="1" s="1"/>
  <c r="R233" i="1" s="1"/>
  <c r="J233" i="1"/>
  <c r="I233" i="1"/>
  <c r="K233" i="1" s="1"/>
  <c r="N233" i="1" s="1"/>
  <c r="Q233" i="1" s="1"/>
  <c r="S232" i="1"/>
  <c r="L232" i="1"/>
  <c r="O232" i="1" s="1"/>
  <c r="P232" i="1" s="1"/>
  <c r="R232" i="1" s="1"/>
  <c r="J232" i="1"/>
  <c r="I232" i="1"/>
  <c r="K232" i="1" s="1"/>
  <c r="N232" i="1" s="1"/>
  <c r="Q232" i="1" s="1"/>
  <c r="S231" i="1"/>
  <c r="L231" i="1"/>
  <c r="O231" i="1" s="1"/>
  <c r="P231" i="1" s="1"/>
  <c r="R231" i="1" s="1"/>
  <c r="J231" i="1"/>
  <c r="I231" i="1"/>
  <c r="S230" i="1"/>
  <c r="L230" i="1"/>
  <c r="O230" i="1" s="1"/>
  <c r="P230" i="1" s="1"/>
  <c r="R230" i="1" s="1"/>
  <c r="J230" i="1"/>
  <c r="I230" i="1"/>
  <c r="S229" i="1"/>
  <c r="L229" i="1"/>
  <c r="O229" i="1" s="1"/>
  <c r="P229" i="1" s="1"/>
  <c r="R229" i="1" s="1"/>
  <c r="J229" i="1"/>
  <c r="I229" i="1"/>
  <c r="M229" i="1" s="1"/>
  <c r="S228" i="1"/>
  <c r="M228" i="1"/>
  <c r="L228" i="1"/>
  <c r="O228" i="1" s="1"/>
  <c r="P228" i="1" s="1"/>
  <c r="R228" i="1" s="1"/>
  <c r="J228" i="1"/>
  <c r="I228" i="1"/>
  <c r="K228" i="1" s="1"/>
  <c r="N228" i="1" s="1"/>
  <c r="Q228" i="1" s="1"/>
  <c r="S227" i="1"/>
  <c r="L227" i="1"/>
  <c r="O227" i="1" s="1"/>
  <c r="P227" i="1" s="1"/>
  <c r="R227" i="1" s="1"/>
  <c r="J227" i="1"/>
  <c r="I227" i="1"/>
  <c r="S226" i="1"/>
  <c r="L226" i="1"/>
  <c r="O226" i="1" s="1"/>
  <c r="P226" i="1" s="1"/>
  <c r="R226" i="1" s="1"/>
  <c r="J226" i="1"/>
  <c r="I226" i="1"/>
  <c r="S225" i="1"/>
  <c r="L225" i="1"/>
  <c r="O225" i="1" s="1"/>
  <c r="P225" i="1" s="1"/>
  <c r="R225" i="1" s="1"/>
  <c r="K225" i="1"/>
  <c r="N225" i="1" s="1"/>
  <c r="Q225" i="1" s="1"/>
  <c r="J225" i="1"/>
  <c r="I225" i="1"/>
  <c r="M225" i="1" s="1"/>
  <c r="S224" i="1"/>
  <c r="R224" i="1"/>
  <c r="L224" i="1"/>
  <c r="O224" i="1" s="1"/>
  <c r="P224" i="1" s="1"/>
  <c r="J224" i="1"/>
  <c r="I224" i="1"/>
  <c r="K224" i="1" s="1"/>
  <c r="N224" i="1" s="1"/>
  <c r="Q224" i="1" s="1"/>
  <c r="S223" i="1"/>
  <c r="L223" i="1"/>
  <c r="O223" i="1" s="1"/>
  <c r="P223" i="1" s="1"/>
  <c r="R223" i="1" s="1"/>
  <c r="J223" i="1"/>
  <c r="I223" i="1"/>
  <c r="S222" i="1"/>
  <c r="L222" i="1"/>
  <c r="O222" i="1" s="1"/>
  <c r="P222" i="1" s="1"/>
  <c r="R222" i="1" s="1"/>
  <c r="J222" i="1"/>
  <c r="I222" i="1"/>
  <c r="S221" i="1"/>
  <c r="L221" i="1"/>
  <c r="O221" i="1" s="1"/>
  <c r="P221" i="1" s="1"/>
  <c r="R221" i="1" s="1"/>
  <c r="J221" i="1"/>
  <c r="I221" i="1"/>
  <c r="S220" i="1"/>
  <c r="L220" i="1"/>
  <c r="O220" i="1" s="1"/>
  <c r="P220" i="1" s="1"/>
  <c r="R220" i="1" s="1"/>
  <c r="J220" i="1"/>
  <c r="I220" i="1"/>
  <c r="S219" i="1"/>
  <c r="L219" i="1"/>
  <c r="O219" i="1" s="1"/>
  <c r="P219" i="1" s="1"/>
  <c r="R219" i="1" s="1"/>
  <c r="J219" i="1"/>
  <c r="I219" i="1"/>
  <c r="M219" i="1" s="1"/>
  <c r="S218" i="1"/>
  <c r="O218" i="1"/>
  <c r="P218" i="1" s="1"/>
  <c r="R218" i="1" s="1"/>
  <c r="L218" i="1"/>
  <c r="J218" i="1"/>
  <c r="I218" i="1"/>
  <c r="S217" i="1"/>
  <c r="L217" i="1"/>
  <c r="O217" i="1" s="1"/>
  <c r="P217" i="1" s="1"/>
  <c r="R217" i="1" s="1"/>
  <c r="J217" i="1"/>
  <c r="I217" i="1"/>
  <c r="K217" i="1" s="1"/>
  <c r="N217" i="1" s="1"/>
  <c r="Q217" i="1" s="1"/>
  <c r="S216" i="1"/>
  <c r="L216" i="1"/>
  <c r="O216" i="1" s="1"/>
  <c r="P216" i="1" s="1"/>
  <c r="R216" i="1" s="1"/>
  <c r="J216" i="1"/>
  <c r="I216" i="1"/>
  <c r="K216" i="1" s="1"/>
  <c r="N216" i="1" s="1"/>
  <c r="Q216" i="1" s="1"/>
  <c r="S215" i="1"/>
  <c r="L215" i="1"/>
  <c r="O215" i="1" s="1"/>
  <c r="P215" i="1" s="1"/>
  <c r="R215" i="1" s="1"/>
  <c r="J215" i="1"/>
  <c r="I215" i="1"/>
  <c r="S214" i="1"/>
  <c r="L214" i="1"/>
  <c r="O214" i="1" s="1"/>
  <c r="P214" i="1" s="1"/>
  <c r="R214" i="1" s="1"/>
  <c r="J214" i="1"/>
  <c r="I214" i="1"/>
  <c r="S213" i="1"/>
  <c r="L213" i="1"/>
  <c r="O213" i="1" s="1"/>
  <c r="P213" i="1" s="1"/>
  <c r="R213" i="1" s="1"/>
  <c r="J213" i="1"/>
  <c r="I213" i="1"/>
  <c r="M213" i="1" s="1"/>
  <c r="S212" i="1"/>
  <c r="M212" i="1"/>
  <c r="L212" i="1"/>
  <c r="J212" i="1"/>
  <c r="I212" i="1"/>
  <c r="K212" i="1" s="1"/>
  <c r="S211" i="1"/>
  <c r="L211" i="1"/>
  <c r="O211" i="1" s="1"/>
  <c r="P211" i="1" s="1"/>
  <c r="R211" i="1" s="1"/>
  <c r="K211" i="1"/>
  <c r="N211" i="1" s="1"/>
  <c r="Q211" i="1" s="1"/>
  <c r="J211" i="1"/>
  <c r="I211" i="1"/>
  <c r="M211" i="1" s="1"/>
  <c r="S210" i="1"/>
  <c r="L210" i="1"/>
  <c r="O210" i="1" s="1"/>
  <c r="P210" i="1" s="1"/>
  <c r="R210" i="1" s="1"/>
  <c r="J210" i="1"/>
  <c r="I210" i="1"/>
  <c r="S209" i="1"/>
  <c r="L209" i="1"/>
  <c r="O209" i="1" s="1"/>
  <c r="P209" i="1" s="1"/>
  <c r="R209" i="1" s="1"/>
  <c r="J209" i="1"/>
  <c r="I209" i="1"/>
  <c r="S208" i="1"/>
  <c r="L208" i="1"/>
  <c r="O208" i="1" s="1"/>
  <c r="P208" i="1" s="1"/>
  <c r="R208" i="1" s="1"/>
  <c r="J208" i="1"/>
  <c r="I208" i="1"/>
  <c r="K208" i="1" s="1"/>
  <c r="N208" i="1" s="1"/>
  <c r="Q208" i="1" s="1"/>
  <c r="S207" i="1"/>
  <c r="L207" i="1"/>
  <c r="O207" i="1" s="1"/>
  <c r="P207" i="1" s="1"/>
  <c r="R207" i="1" s="1"/>
  <c r="J207" i="1"/>
  <c r="I207" i="1"/>
  <c r="K207" i="1" s="1"/>
  <c r="N207" i="1" s="1"/>
  <c r="Q207" i="1" s="1"/>
  <c r="S206" i="1"/>
  <c r="L206" i="1"/>
  <c r="K206" i="1"/>
  <c r="J206" i="1"/>
  <c r="I206" i="1"/>
  <c r="M206" i="1" s="1"/>
  <c r="S205" i="1"/>
  <c r="O205" i="1"/>
  <c r="P205" i="1" s="1"/>
  <c r="R205" i="1" s="1"/>
  <c r="L205" i="1"/>
  <c r="J205" i="1"/>
  <c r="I205" i="1"/>
  <c r="M205" i="1" s="1"/>
  <c r="S204" i="1"/>
  <c r="L204" i="1"/>
  <c r="O204" i="1" s="1"/>
  <c r="P204" i="1" s="1"/>
  <c r="R204" i="1" s="1"/>
  <c r="J204" i="1"/>
  <c r="I204" i="1"/>
  <c r="S203" i="1"/>
  <c r="O203" i="1"/>
  <c r="P203" i="1" s="1"/>
  <c r="R203" i="1" s="1"/>
  <c r="L203" i="1"/>
  <c r="J203" i="1"/>
  <c r="I203" i="1"/>
  <c r="M203" i="1" s="1"/>
  <c r="S202" i="1"/>
  <c r="L202" i="1"/>
  <c r="O202" i="1" s="1"/>
  <c r="P202" i="1" s="1"/>
  <c r="R202" i="1" s="1"/>
  <c r="J202" i="1"/>
  <c r="I202" i="1"/>
  <c r="M202" i="1" s="1"/>
  <c r="S201" i="1"/>
  <c r="L201" i="1"/>
  <c r="O201" i="1" s="1"/>
  <c r="P201" i="1" s="1"/>
  <c r="R201" i="1" s="1"/>
  <c r="J201" i="1"/>
  <c r="I201" i="1"/>
  <c r="K201" i="1" s="1"/>
  <c r="S200" i="1"/>
  <c r="L200" i="1"/>
  <c r="O200" i="1" s="1"/>
  <c r="P200" i="1" s="1"/>
  <c r="R200" i="1" s="1"/>
  <c r="J200" i="1"/>
  <c r="I200" i="1"/>
  <c r="K200" i="1" s="1"/>
  <c r="S199" i="1"/>
  <c r="O199" i="1"/>
  <c r="P199" i="1" s="1"/>
  <c r="R199" i="1" s="1"/>
  <c r="L199" i="1"/>
  <c r="J199" i="1"/>
  <c r="I199" i="1"/>
  <c r="S198" i="1"/>
  <c r="L198" i="1"/>
  <c r="J198" i="1"/>
  <c r="I198" i="1"/>
  <c r="S197" i="1"/>
  <c r="L197" i="1"/>
  <c r="O197" i="1" s="1"/>
  <c r="P197" i="1" s="1"/>
  <c r="R197" i="1" s="1"/>
  <c r="J197" i="1"/>
  <c r="I197" i="1"/>
  <c r="M197" i="1" s="1"/>
  <c r="S196" i="1"/>
  <c r="L196" i="1"/>
  <c r="J196" i="1"/>
  <c r="I196" i="1"/>
  <c r="S195" i="1"/>
  <c r="L195" i="1"/>
  <c r="J195" i="1"/>
  <c r="I195" i="1"/>
  <c r="S194" i="1"/>
  <c r="L194" i="1"/>
  <c r="O194" i="1" s="1"/>
  <c r="P194" i="1" s="1"/>
  <c r="R194" i="1" s="1"/>
  <c r="J194" i="1"/>
  <c r="I194" i="1"/>
  <c r="S193" i="1"/>
  <c r="L193" i="1"/>
  <c r="O193" i="1" s="1"/>
  <c r="P193" i="1" s="1"/>
  <c r="R193" i="1" s="1"/>
  <c r="J193" i="1"/>
  <c r="I193" i="1"/>
  <c r="S192" i="1"/>
  <c r="M192" i="1"/>
  <c r="L192" i="1"/>
  <c r="O192" i="1" s="1"/>
  <c r="P192" i="1" s="1"/>
  <c r="R192" i="1" s="1"/>
  <c r="J192" i="1"/>
  <c r="I192" i="1"/>
  <c r="K192" i="1" s="1"/>
  <c r="N192" i="1" s="1"/>
  <c r="Q192" i="1" s="1"/>
  <c r="S191" i="1"/>
  <c r="L191" i="1"/>
  <c r="O191" i="1" s="1"/>
  <c r="P191" i="1" s="1"/>
  <c r="R191" i="1" s="1"/>
  <c r="J191" i="1"/>
  <c r="I191" i="1"/>
  <c r="K191" i="1" s="1"/>
  <c r="N191" i="1" s="1"/>
  <c r="Q191" i="1" s="1"/>
  <c r="S190" i="1"/>
  <c r="L190" i="1"/>
  <c r="O190" i="1" s="1"/>
  <c r="P190" i="1" s="1"/>
  <c r="R190" i="1" s="1"/>
  <c r="J190" i="1"/>
  <c r="I190" i="1"/>
  <c r="M190" i="1" s="1"/>
  <c r="S189" i="1"/>
  <c r="L189" i="1"/>
  <c r="O189" i="1" s="1"/>
  <c r="P189" i="1" s="1"/>
  <c r="R189" i="1" s="1"/>
  <c r="J189" i="1"/>
  <c r="I189" i="1"/>
  <c r="S188" i="1"/>
  <c r="L188" i="1"/>
  <c r="O188" i="1" s="1"/>
  <c r="P188" i="1" s="1"/>
  <c r="R188" i="1" s="1"/>
  <c r="J188" i="1"/>
  <c r="I188" i="1"/>
  <c r="S187" i="1"/>
  <c r="L187" i="1"/>
  <c r="O187" i="1" s="1"/>
  <c r="P187" i="1" s="1"/>
  <c r="R187" i="1" s="1"/>
  <c r="J187" i="1"/>
  <c r="I187" i="1"/>
  <c r="M187" i="1" s="1"/>
  <c r="S186" i="1"/>
  <c r="L186" i="1"/>
  <c r="O186" i="1" s="1"/>
  <c r="P186" i="1" s="1"/>
  <c r="R186" i="1" s="1"/>
  <c r="J186" i="1"/>
  <c r="I186" i="1"/>
  <c r="M186" i="1" s="1"/>
  <c r="S185" i="1"/>
  <c r="L185" i="1"/>
  <c r="O185" i="1" s="1"/>
  <c r="P185" i="1" s="1"/>
  <c r="R185" i="1" s="1"/>
  <c r="J185" i="1"/>
  <c r="I185" i="1"/>
  <c r="K185" i="1" s="1"/>
  <c r="N185" i="1" s="1"/>
  <c r="Q185" i="1" s="1"/>
  <c r="S184" i="1"/>
  <c r="L184" i="1"/>
  <c r="O184" i="1" s="1"/>
  <c r="P184" i="1" s="1"/>
  <c r="R184" i="1" s="1"/>
  <c r="J184" i="1"/>
  <c r="I184" i="1"/>
  <c r="K184" i="1" s="1"/>
  <c r="N184" i="1" s="1"/>
  <c r="Q184" i="1" s="1"/>
  <c r="S183" i="1"/>
  <c r="L183" i="1"/>
  <c r="O183" i="1" s="1"/>
  <c r="P183" i="1" s="1"/>
  <c r="R183" i="1" s="1"/>
  <c r="K183" i="1"/>
  <c r="N183" i="1" s="1"/>
  <c r="Q183" i="1" s="1"/>
  <c r="J183" i="1"/>
  <c r="I183" i="1"/>
  <c r="M183" i="1" s="1"/>
  <c r="S182" i="1"/>
  <c r="L182" i="1"/>
  <c r="O182" i="1" s="1"/>
  <c r="P182" i="1" s="1"/>
  <c r="R182" i="1" s="1"/>
  <c r="J182" i="1"/>
  <c r="I182" i="1"/>
  <c r="M182" i="1" s="1"/>
  <c r="S181" i="1"/>
  <c r="L181" i="1"/>
  <c r="O181" i="1" s="1"/>
  <c r="P181" i="1" s="1"/>
  <c r="R181" i="1" s="1"/>
  <c r="J181" i="1"/>
  <c r="I181" i="1"/>
  <c r="M181" i="1" s="1"/>
  <c r="S180" i="1"/>
  <c r="L180" i="1"/>
  <c r="O180" i="1" s="1"/>
  <c r="P180" i="1" s="1"/>
  <c r="R180" i="1" s="1"/>
  <c r="J180" i="1"/>
  <c r="I180" i="1"/>
  <c r="K180" i="1" s="1"/>
  <c r="N180" i="1" s="1"/>
  <c r="Q180" i="1" s="1"/>
  <c r="S179" i="1"/>
  <c r="L179" i="1"/>
  <c r="O179" i="1" s="1"/>
  <c r="P179" i="1" s="1"/>
  <c r="R179" i="1" s="1"/>
  <c r="J179" i="1"/>
  <c r="I179" i="1"/>
  <c r="S178" i="1"/>
  <c r="L178" i="1"/>
  <c r="O178" i="1" s="1"/>
  <c r="P178" i="1" s="1"/>
  <c r="R178" i="1" s="1"/>
  <c r="J178" i="1"/>
  <c r="I178" i="1"/>
  <c r="M178" i="1" s="1"/>
  <c r="S177" i="1"/>
  <c r="L177" i="1"/>
  <c r="O177" i="1" s="1"/>
  <c r="P177" i="1" s="1"/>
  <c r="R177" i="1" s="1"/>
  <c r="J177" i="1"/>
  <c r="I177" i="1"/>
  <c r="M177" i="1" s="1"/>
  <c r="S176" i="1"/>
  <c r="L176" i="1"/>
  <c r="O176" i="1" s="1"/>
  <c r="P176" i="1" s="1"/>
  <c r="R176" i="1" s="1"/>
  <c r="J176" i="1"/>
  <c r="I176" i="1"/>
  <c r="K176" i="1" s="1"/>
  <c r="N176" i="1" s="1"/>
  <c r="Q176" i="1" s="1"/>
  <c r="S175" i="1"/>
  <c r="L175" i="1"/>
  <c r="O175" i="1" s="1"/>
  <c r="P175" i="1" s="1"/>
  <c r="R175" i="1" s="1"/>
  <c r="K175" i="1"/>
  <c r="N175" i="1" s="1"/>
  <c r="Q175" i="1" s="1"/>
  <c r="J175" i="1"/>
  <c r="I175" i="1"/>
  <c r="M175" i="1" s="1"/>
  <c r="S174" i="1"/>
  <c r="O174" i="1"/>
  <c r="P174" i="1" s="1"/>
  <c r="R174" i="1" s="1"/>
  <c r="L174" i="1"/>
  <c r="J174" i="1"/>
  <c r="I174" i="1"/>
  <c r="M174" i="1" s="1"/>
  <c r="S173" i="1"/>
  <c r="L173" i="1"/>
  <c r="O173" i="1" s="1"/>
  <c r="P173" i="1" s="1"/>
  <c r="R173" i="1" s="1"/>
  <c r="J173" i="1"/>
  <c r="I173" i="1"/>
  <c r="M173" i="1" s="1"/>
  <c r="S172" i="1"/>
  <c r="L172" i="1"/>
  <c r="O172" i="1" s="1"/>
  <c r="P172" i="1" s="1"/>
  <c r="R172" i="1" s="1"/>
  <c r="J172" i="1"/>
  <c r="I172" i="1"/>
  <c r="K172" i="1" s="1"/>
  <c r="N172" i="1" s="1"/>
  <c r="Q172" i="1" s="1"/>
  <c r="S171" i="1"/>
  <c r="L171" i="1"/>
  <c r="J171" i="1"/>
  <c r="I171" i="1"/>
  <c r="M171" i="1" s="1"/>
  <c r="S170" i="1"/>
  <c r="L170" i="1"/>
  <c r="O170" i="1" s="1"/>
  <c r="P170" i="1" s="1"/>
  <c r="R170" i="1" s="1"/>
  <c r="J170" i="1"/>
  <c r="I170" i="1"/>
  <c r="S169" i="1"/>
  <c r="L169" i="1"/>
  <c r="O169" i="1" s="1"/>
  <c r="P169" i="1" s="1"/>
  <c r="R169" i="1" s="1"/>
  <c r="J169" i="1"/>
  <c r="I169" i="1"/>
  <c r="M169" i="1" s="1"/>
  <c r="S168" i="1"/>
  <c r="L168" i="1"/>
  <c r="O168" i="1" s="1"/>
  <c r="P168" i="1" s="1"/>
  <c r="R168" i="1" s="1"/>
  <c r="J168" i="1"/>
  <c r="I168" i="1"/>
  <c r="K168" i="1" s="1"/>
  <c r="N168" i="1" s="1"/>
  <c r="Q168" i="1" s="1"/>
  <c r="S167" i="1"/>
  <c r="L167" i="1"/>
  <c r="O167" i="1" s="1"/>
  <c r="P167" i="1" s="1"/>
  <c r="R167" i="1" s="1"/>
  <c r="K167" i="1"/>
  <c r="N167" i="1" s="1"/>
  <c r="Q167" i="1" s="1"/>
  <c r="J167" i="1"/>
  <c r="I167" i="1"/>
  <c r="M167" i="1" s="1"/>
  <c r="S166" i="1"/>
  <c r="O166" i="1"/>
  <c r="P166" i="1" s="1"/>
  <c r="R166" i="1" s="1"/>
  <c r="L166" i="1"/>
  <c r="J166" i="1"/>
  <c r="I166" i="1"/>
  <c r="M166" i="1" s="1"/>
  <c r="S165" i="1"/>
  <c r="L165" i="1"/>
  <c r="O165" i="1" s="1"/>
  <c r="P165" i="1" s="1"/>
  <c r="R165" i="1" s="1"/>
  <c r="J165" i="1"/>
  <c r="I165" i="1"/>
  <c r="M165" i="1" s="1"/>
  <c r="S164" i="1"/>
  <c r="L164" i="1"/>
  <c r="O164" i="1" s="1"/>
  <c r="P164" i="1" s="1"/>
  <c r="R164" i="1" s="1"/>
  <c r="J164" i="1"/>
  <c r="I164" i="1"/>
  <c r="K164" i="1" s="1"/>
  <c r="S163" i="1"/>
  <c r="L163" i="1"/>
  <c r="J163" i="1"/>
  <c r="I163" i="1"/>
  <c r="M163" i="1" s="1"/>
  <c r="S162" i="1"/>
  <c r="L162" i="1"/>
  <c r="O162" i="1" s="1"/>
  <c r="P162" i="1" s="1"/>
  <c r="R162" i="1" s="1"/>
  <c r="J162" i="1"/>
  <c r="I162" i="1"/>
  <c r="S161" i="1"/>
  <c r="L161" i="1"/>
  <c r="O161" i="1" s="1"/>
  <c r="P161" i="1" s="1"/>
  <c r="R161" i="1" s="1"/>
  <c r="J161" i="1"/>
  <c r="I161" i="1"/>
  <c r="M161" i="1" s="1"/>
  <c r="S160" i="1"/>
  <c r="L160" i="1"/>
  <c r="O160" i="1" s="1"/>
  <c r="P160" i="1" s="1"/>
  <c r="R160" i="1" s="1"/>
  <c r="J160" i="1"/>
  <c r="I160" i="1"/>
  <c r="K160" i="1" s="1"/>
  <c r="S159" i="1"/>
  <c r="L159" i="1"/>
  <c r="J159" i="1"/>
  <c r="I159" i="1"/>
  <c r="M159" i="1" s="1"/>
  <c r="S158" i="1"/>
  <c r="L158" i="1"/>
  <c r="O158" i="1" s="1"/>
  <c r="P158" i="1" s="1"/>
  <c r="R158" i="1" s="1"/>
  <c r="K158" i="1"/>
  <c r="N158" i="1" s="1"/>
  <c r="Q158" i="1" s="1"/>
  <c r="J158" i="1"/>
  <c r="I158" i="1"/>
  <c r="M158" i="1" s="1"/>
  <c r="S157" i="1"/>
  <c r="L157" i="1"/>
  <c r="O157" i="1" s="1"/>
  <c r="P157" i="1" s="1"/>
  <c r="R157" i="1" s="1"/>
  <c r="J157" i="1"/>
  <c r="I157" i="1"/>
  <c r="M157" i="1" s="1"/>
  <c r="S156" i="1"/>
  <c r="L156" i="1"/>
  <c r="O156" i="1" s="1"/>
  <c r="P156" i="1" s="1"/>
  <c r="R156" i="1" s="1"/>
  <c r="J156" i="1"/>
  <c r="I156" i="1"/>
  <c r="K156" i="1" s="1"/>
  <c r="S155" i="1"/>
  <c r="L155" i="1"/>
  <c r="O155" i="1" s="1"/>
  <c r="P155" i="1" s="1"/>
  <c r="R155" i="1" s="1"/>
  <c r="J155" i="1"/>
  <c r="I155" i="1"/>
  <c r="S154" i="1"/>
  <c r="L154" i="1"/>
  <c r="O154" i="1" s="1"/>
  <c r="P154" i="1" s="1"/>
  <c r="R154" i="1" s="1"/>
  <c r="J154" i="1"/>
  <c r="I154" i="1"/>
  <c r="M154" i="1" s="1"/>
  <c r="S153" i="1"/>
  <c r="L153" i="1"/>
  <c r="O153" i="1" s="1"/>
  <c r="P153" i="1" s="1"/>
  <c r="R153" i="1" s="1"/>
  <c r="J153" i="1"/>
  <c r="I153" i="1"/>
  <c r="M153" i="1" s="1"/>
  <c r="S152" i="1"/>
  <c r="M152" i="1"/>
  <c r="L152" i="1"/>
  <c r="O152" i="1" s="1"/>
  <c r="P152" i="1" s="1"/>
  <c r="R152" i="1" s="1"/>
  <c r="J152" i="1"/>
  <c r="I152" i="1"/>
  <c r="K152" i="1" s="1"/>
  <c r="N152" i="1" s="1"/>
  <c r="Q152" i="1" s="1"/>
  <c r="S151" i="1"/>
  <c r="L151" i="1"/>
  <c r="O151" i="1" s="1"/>
  <c r="P151" i="1" s="1"/>
  <c r="R151" i="1" s="1"/>
  <c r="J151" i="1"/>
  <c r="I151" i="1"/>
  <c r="M151" i="1" s="1"/>
  <c r="S150" i="1"/>
  <c r="L150" i="1"/>
  <c r="O150" i="1" s="1"/>
  <c r="P150" i="1" s="1"/>
  <c r="R150" i="1" s="1"/>
  <c r="J150" i="1"/>
  <c r="I150" i="1"/>
  <c r="S149" i="1"/>
  <c r="L149" i="1"/>
  <c r="O149" i="1" s="1"/>
  <c r="P149" i="1" s="1"/>
  <c r="R149" i="1" s="1"/>
  <c r="J149" i="1"/>
  <c r="I149" i="1"/>
  <c r="M149" i="1" s="1"/>
  <c r="S148" i="1"/>
  <c r="L148" i="1"/>
  <c r="O148" i="1" s="1"/>
  <c r="P148" i="1" s="1"/>
  <c r="R148" i="1" s="1"/>
  <c r="J148" i="1"/>
  <c r="I148" i="1"/>
  <c r="K148" i="1" s="1"/>
  <c r="N148" i="1" s="1"/>
  <c r="Q148" i="1" s="1"/>
  <c r="S147" i="1"/>
  <c r="L147" i="1"/>
  <c r="O147" i="1" s="1"/>
  <c r="P147" i="1" s="1"/>
  <c r="R147" i="1" s="1"/>
  <c r="J147" i="1"/>
  <c r="I147" i="1"/>
  <c r="S146" i="1"/>
  <c r="L146" i="1"/>
  <c r="O146" i="1" s="1"/>
  <c r="P146" i="1" s="1"/>
  <c r="R146" i="1" s="1"/>
  <c r="J146" i="1"/>
  <c r="I146" i="1"/>
  <c r="M146" i="1" s="1"/>
  <c r="S145" i="1"/>
  <c r="L145" i="1"/>
  <c r="O145" i="1" s="1"/>
  <c r="P145" i="1" s="1"/>
  <c r="R145" i="1" s="1"/>
  <c r="J145" i="1"/>
  <c r="I145" i="1"/>
  <c r="M145" i="1" s="1"/>
  <c r="S144" i="1"/>
  <c r="L144" i="1"/>
  <c r="O144" i="1" s="1"/>
  <c r="P144" i="1" s="1"/>
  <c r="R144" i="1" s="1"/>
  <c r="J144" i="1"/>
  <c r="I144" i="1"/>
  <c r="K144" i="1" s="1"/>
  <c r="N144" i="1" s="1"/>
  <c r="Q144" i="1" s="1"/>
  <c r="S143" i="1"/>
  <c r="L143" i="1"/>
  <c r="O143" i="1" s="1"/>
  <c r="P143" i="1" s="1"/>
  <c r="R143" i="1" s="1"/>
  <c r="K143" i="1"/>
  <c r="N143" i="1" s="1"/>
  <c r="Q143" i="1" s="1"/>
  <c r="J143" i="1"/>
  <c r="I143" i="1"/>
  <c r="M143" i="1" s="1"/>
  <c r="S142" i="1"/>
  <c r="O142" i="1"/>
  <c r="P142" i="1" s="1"/>
  <c r="R142" i="1" s="1"/>
  <c r="L142" i="1"/>
  <c r="J142" i="1"/>
  <c r="I142" i="1"/>
  <c r="M142" i="1" s="1"/>
  <c r="S141" i="1"/>
  <c r="L141" i="1"/>
  <c r="O141" i="1" s="1"/>
  <c r="P141" i="1" s="1"/>
  <c r="R141" i="1" s="1"/>
  <c r="J141" i="1"/>
  <c r="I141" i="1"/>
  <c r="M141" i="1" s="1"/>
  <c r="S140" i="1"/>
  <c r="L140" i="1"/>
  <c r="O140" i="1" s="1"/>
  <c r="P140" i="1" s="1"/>
  <c r="R140" i="1" s="1"/>
  <c r="J140" i="1"/>
  <c r="I140" i="1"/>
  <c r="S139" i="1"/>
  <c r="L139" i="1"/>
  <c r="O139" i="1" s="1"/>
  <c r="P139" i="1" s="1"/>
  <c r="R139" i="1" s="1"/>
  <c r="J139" i="1"/>
  <c r="I139" i="1"/>
  <c r="M139" i="1" s="1"/>
  <c r="S138" i="1"/>
  <c r="L138" i="1"/>
  <c r="O138" i="1" s="1"/>
  <c r="P138" i="1" s="1"/>
  <c r="R138" i="1" s="1"/>
  <c r="J138" i="1"/>
  <c r="I138" i="1"/>
  <c r="M138" i="1" s="1"/>
  <c r="S137" i="1"/>
  <c r="L137" i="1"/>
  <c r="O137" i="1" s="1"/>
  <c r="P137" i="1" s="1"/>
  <c r="R137" i="1" s="1"/>
  <c r="J137" i="1"/>
  <c r="I137" i="1"/>
  <c r="M137" i="1" s="1"/>
  <c r="S136" i="1"/>
  <c r="L136" i="1"/>
  <c r="O136" i="1" s="1"/>
  <c r="P136" i="1" s="1"/>
  <c r="R136" i="1" s="1"/>
  <c r="J136" i="1"/>
  <c r="I136" i="1"/>
  <c r="K136" i="1" s="1"/>
  <c r="N136" i="1" s="1"/>
  <c r="Q136" i="1" s="1"/>
  <c r="S135" i="1"/>
  <c r="L135" i="1"/>
  <c r="O135" i="1" s="1"/>
  <c r="P135" i="1" s="1"/>
  <c r="R135" i="1" s="1"/>
  <c r="K135" i="1"/>
  <c r="N135" i="1" s="1"/>
  <c r="Q135" i="1" s="1"/>
  <c r="J135" i="1"/>
  <c r="I135" i="1"/>
  <c r="M135" i="1" s="1"/>
  <c r="S134" i="1"/>
  <c r="L134" i="1"/>
  <c r="O134" i="1" s="1"/>
  <c r="P134" i="1" s="1"/>
  <c r="R134" i="1" s="1"/>
  <c r="J134" i="1"/>
  <c r="I134" i="1"/>
  <c r="M134" i="1" s="1"/>
  <c r="S133" i="1"/>
  <c r="O133" i="1"/>
  <c r="P133" i="1" s="1"/>
  <c r="R133" i="1" s="1"/>
  <c r="L133" i="1"/>
  <c r="J133" i="1"/>
  <c r="I133" i="1"/>
  <c r="M133" i="1" s="1"/>
  <c r="S132" i="1"/>
  <c r="L132" i="1"/>
  <c r="O132" i="1" s="1"/>
  <c r="P132" i="1" s="1"/>
  <c r="R132" i="1" s="1"/>
  <c r="J132" i="1"/>
  <c r="I132" i="1"/>
  <c r="K132" i="1" s="1"/>
  <c r="N132" i="1" s="1"/>
  <c r="Q132" i="1" s="1"/>
  <c r="S131" i="1"/>
  <c r="L131" i="1"/>
  <c r="O131" i="1" s="1"/>
  <c r="P131" i="1" s="1"/>
  <c r="R131" i="1" s="1"/>
  <c r="J131" i="1"/>
  <c r="I131" i="1"/>
  <c r="M131" i="1" s="1"/>
  <c r="S130" i="1"/>
  <c r="L130" i="1"/>
  <c r="O130" i="1" s="1"/>
  <c r="P130" i="1" s="1"/>
  <c r="R130" i="1" s="1"/>
  <c r="J130" i="1"/>
  <c r="I130" i="1"/>
  <c r="M130" i="1" s="1"/>
  <c r="S129" i="1"/>
  <c r="O129" i="1"/>
  <c r="P129" i="1" s="1"/>
  <c r="R129" i="1" s="1"/>
  <c r="L129" i="1"/>
  <c r="J129" i="1"/>
  <c r="I129" i="1"/>
  <c r="M129" i="1" s="1"/>
  <c r="S128" i="1"/>
  <c r="L128" i="1"/>
  <c r="O128" i="1" s="1"/>
  <c r="P128" i="1" s="1"/>
  <c r="R128" i="1" s="1"/>
  <c r="J128" i="1"/>
  <c r="I128" i="1"/>
  <c r="K128" i="1" s="1"/>
  <c r="N128" i="1" s="1"/>
  <c r="Q128" i="1" s="1"/>
  <c r="S127" i="1"/>
  <c r="L127" i="1"/>
  <c r="J127" i="1"/>
  <c r="I127" i="1"/>
  <c r="M127" i="1" s="1"/>
  <c r="S126" i="1"/>
  <c r="L126" i="1"/>
  <c r="O126" i="1" s="1"/>
  <c r="P126" i="1" s="1"/>
  <c r="R126" i="1" s="1"/>
  <c r="K126" i="1"/>
  <c r="N126" i="1" s="1"/>
  <c r="Q126" i="1" s="1"/>
  <c r="J126" i="1"/>
  <c r="I126" i="1"/>
  <c r="M126" i="1" s="1"/>
  <c r="S125" i="1"/>
  <c r="O125" i="1"/>
  <c r="P125" i="1" s="1"/>
  <c r="R125" i="1" s="1"/>
  <c r="L125" i="1"/>
  <c r="J125" i="1"/>
  <c r="I125" i="1"/>
  <c r="M125" i="1" s="1"/>
  <c r="S124" i="1"/>
  <c r="L124" i="1"/>
  <c r="O124" i="1" s="1"/>
  <c r="P124" i="1" s="1"/>
  <c r="R124" i="1" s="1"/>
  <c r="J124" i="1"/>
  <c r="I124" i="1"/>
  <c r="K124" i="1" s="1"/>
  <c r="S123" i="1"/>
  <c r="L123" i="1"/>
  <c r="J123" i="1"/>
  <c r="I123" i="1"/>
  <c r="M123" i="1" s="1"/>
  <c r="S122" i="1"/>
  <c r="L122" i="1"/>
  <c r="O122" i="1" s="1"/>
  <c r="P122" i="1" s="1"/>
  <c r="R122" i="1" s="1"/>
  <c r="J122" i="1"/>
  <c r="I122" i="1"/>
  <c r="M122" i="1" s="1"/>
  <c r="S121" i="1"/>
  <c r="L121" i="1"/>
  <c r="O121" i="1" s="1"/>
  <c r="P121" i="1" s="1"/>
  <c r="R121" i="1" s="1"/>
  <c r="J121" i="1"/>
  <c r="I121" i="1"/>
  <c r="M121" i="1" s="1"/>
  <c r="S120" i="1"/>
  <c r="M120" i="1"/>
  <c r="L120" i="1"/>
  <c r="O120" i="1" s="1"/>
  <c r="P120" i="1" s="1"/>
  <c r="R120" i="1" s="1"/>
  <c r="J120" i="1"/>
  <c r="I120" i="1"/>
  <c r="K120" i="1" s="1"/>
  <c r="S119" i="1"/>
  <c r="L119" i="1"/>
  <c r="K119" i="1"/>
  <c r="J119" i="1"/>
  <c r="I119" i="1"/>
  <c r="M119" i="1" s="1"/>
  <c r="S118" i="1"/>
  <c r="O118" i="1"/>
  <c r="P118" i="1" s="1"/>
  <c r="R118" i="1" s="1"/>
  <c r="L118" i="1"/>
  <c r="J118" i="1"/>
  <c r="I118" i="1"/>
  <c r="M118" i="1" s="1"/>
  <c r="S117" i="1"/>
  <c r="L117" i="1"/>
  <c r="O117" i="1" s="1"/>
  <c r="P117" i="1" s="1"/>
  <c r="R117" i="1" s="1"/>
  <c r="J117" i="1"/>
  <c r="I117" i="1"/>
  <c r="M117" i="1" s="1"/>
  <c r="S116" i="1"/>
  <c r="L116" i="1"/>
  <c r="O116" i="1" s="1"/>
  <c r="P116" i="1" s="1"/>
  <c r="R116" i="1" s="1"/>
  <c r="J116" i="1"/>
  <c r="I116" i="1"/>
  <c r="K116" i="1" s="1"/>
  <c r="N116" i="1" s="1"/>
  <c r="Q116" i="1" s="1"/>
  <c r="S115" i="1"/>
  <c r="L115" i="1"/>
  <c r="O115" i="1" s="1"/>
  <c r="P115" i="1" s="1"/>
  <c r="R115" i="1" s="1"/>
  <c r="J115" i="1"/>
  <c r="I115" i="1"/>
  <c r="M115" i="1" s="1"/>
  <c r="S114" i="1"/>
  <c r="L114" i="1"/>
  <c r="O114" i="1" s="1"/>
  <c r="P114" i="1" s="1"/>
  <c r="R114" i="1" s="1"/>
  <c r="K114" i="1"/>
  <c r="N114" i="1" s="1"/>
  <c r="Q114" i="1" s="1"/>
  <c r="J114" i="1"/>
  <c r="I114" i="1"/>
  <c r="M114" i="1" s="1"/>
  <c r="S113" i="1"/>
  <c r="O113" i="1"/>
  <c r="P113" i="1" s="1"/>
  <c r="R113" i="1" s="1"/>
  <c r="L113" i="1"/>
  <c r="J113" i="1"/>
  <c r="I113" i="1"/>
  <c r="M113" i="1" s="1"/>
  <c r="S112" i="1"/>
  <c r="L112" i="1"/>
  <c r="O112" i="1" s="1"/>
  <c r="P112" i="1" s="1"/>
  <c r="R112" i="1" s="1"/>
  <c r="J112" i="1"/>
  <c r="I112" i="1"/>
  <c r="K112" i="1" s="1"/>
  <c r="N112" i="1" s="1"/>
  <c r="Q112" i="1" s="1"/>
  <c r="S111" i="1"/>
  <c r="L111" i="1"/>
  <c r="O111" i="1" s="1"/>
  <c r="P111" i="1" s="1"/>
  <c r="R111" i="1" s="1"/>
  <c r="J111" i="1"/>
  <c r="I111" i="1"/>
  <c r="M111" i="1" s="1"/>
  <c r="S110" i="1"/>
  <c r="L110" i="1"/>
  <c r="O110" i="1" s="1"/>
  <c r="P110" i="1" s="1"/>
  <c r="R110" i="1" s="1"/>
  <c r="K110" i="1"/>
  <c r="N110" i="1" s="1"/>
  <c r="Q110" i="1" s="1"/>
  <c r="J110" i="1"/>
  <c r="I110" i="1"/>
  <c r="M110" i="1" s="1"/>
  <c r="S109" i="1"/>
  <c r="O109" i="1"/>
  <c r="P109" i="1" s="1"/>
  <c r="R109" i="1" s="1"/>
  <c r="L109" i="1"/>
  <c r="J109" i="1"/>
  <c r="I109" i="1"/>
  <c r="K109" i="1" s="1"/>
  <c r="N109" i="1" s="1"/>
  <c r="Q109" i="1" s="1"/>
  <c r="S108" i="1"/>
  <c r="L108" i="1"/>
  <c r="O108" i="1" s="1"/>
  <c r="P108" i="1" s="1"/>
  <c r="R108" i="1" s="1"/>
  <c r="J108" i="1"/>
  <c r="I108" i="1"/>
  <c r="K108" i="1" s="1"/>
  <c r="N108" i="1" s="1"/>
  <c r="Q108" i="1" s="1"/>
  <c r="S107" i="1"/>
  <c r="L107" i="1"/>
  <c r="O107" i="1" s="1"/>
  <c r="P107" i="1" s="1"/>
  <c r="R107" i="1" s="1"/>
  <c r="J107" i="1"/>
  <c r="I107" i="1"/>
  <c r="M107" i="1" s="1"/>
  <c r="S106" i="1"/>
  <c r="O106" i="1"/>
  <c r="P106" i="1" s="1"/>
  <c r="R106" i="1" s="1"/>
  <c r="L106" i="1"/>
  <c r="J106" i="1"/>
  <c r="I106" i="1"/>
  <c r="M106" i="1" s="1"/>
  <c r="S105" i="1"/>
  <c r="L105" i="1"/>
  <c r="O105" i="1" s="1"/>
  <c r="P105" i="1" s="1"/>
  <c r="R105" i="1" s="1"/>
  <c r="J105" i="1"/>
  <c r="I105" i="1"/>
  <c r="K105" i="1" s="1"/>
  <c r="N105" i="1" s="1"/>
  <c r="Q105" i="1" s="1"/>
  <c r="S104" i="1"/>
  <c r="L104" i="1"/>
  <c r="O104" i="1" s="1"/>
  <c r="P104" i="1" s="1"/>
  <c r="R104" i="1" s="1"/>
  <c r="J104" i="1"/>
  <c r="I104" i="1"/>
  <c r="K104" i="1" s="1"/>
  <c r="N104" i="1" s="1"/>
  <c r="Q104" i="1" s="1"/>
  <c r="S103" i="1"/>
  <c r="L103" i="1"/>
  <c r="O103" i="1" s="1"/>
  <c r="P103" i="1" s="1"/>
  <c r="R103" i="1" s="1"/>
  <c r="J103" i="1"/>
  <c r="I103" i="1"/>
  <c r="M103" i="1" s="1"/>
  <c r="S102" i="1"/>
  <c r="O102" i="1"/>
  <c r="P102" i="1" s="1"/>
  <c r="R102" i="1" s="1"/>
  <c r="L102" i="1"/>
  <c r="J102" i="1"/>
  <c r="I102" i="1"/>
  <c r="M102" i="1" s="1"/>
  <c r="S101" i="1"/>
  <c r="L101" i="1"/>
  <c r="O101" i="1" s="1"/>
  <c r="P101" i="1" s="1"/>
  <c r="R101" i="1" s="1"/>
  <c r="J101" i="1"/>
  <c r="I101" i="1"/>
  <c r="K101" i="1" s="1"/>
  <c r="N101" i="1" s="1"/>
  <c r="Q101" i="1" s="1"/>
  <c r="S100" i="1"/>
  <c r="L100" i="1"/>
  <c r="O100" i="1" s="1"/>
  <c r="P100" i="1" s="1"/>
  <c r="R100" i="1" s="1"/>
  <c r="J100" i="1"/>
  <c r="I100" i="1"/>
  <c r="K100" i="1" s="1"/>
  <c r="N100" i="1" s="1"/>
  <c r="Q100" i="1" s="1"/>
  <c r="S99" i="1"/>
  <c r="L99" i="1"/>
  <c r="O99" i="1" s="1"/>
  <c r="P99" i="1" s="1"/>
  <c r="R99" i="1" s="1"/>
  <c r="J99" i="1"/>
  <c r="I99" i="1"/>
  <c r="K99" i="1" s="1"/>
  <c r="N99" i="1" s="1"/>
  <c r="Q99" i="1" s="1"/>
  <c r="S98" i="1"/>
  <c r="L98" i="1"/>
  <c r="O98" i="1" s="1"/>
  <c r="P98" i="1" s="1"/>
  <c r="R98" i="1" s="1"/>
  <c r="J98" i="1"/>
  <c r="I98" i="1"/>
  <c r="M98" i="1" s="1"/>
  <c r="S97" i="1"/>
  <c r="L97" i="1"/>
  <c r="O97" i="1" s="1"/>
  <c r="P97" i="1" s="1"/>
  <c r="R97" i="1" s="1"/>
  <c r="K97" i="1"/>
  <c r="N97" i="1" s="1"/>
  <c r="Q97" i="1" s="1"/>
  <c r="J97" i="1"/>
  <c r="I97" i="1"/>
  <c r="M97" i="1" s="1"/>
  <c r="S96" i="1"/>
  <c r="L96" i="1"/>
  <c r="O96" i="1" s="1"/>
  <c r="P96" i="1" s="1"/>
  <c r="R96" i="1" s="1"/>
  <c r="J96" i="1"/>
  <c r="I96" i="1"/>
  <c r="K96" i="1" s="1"/>
  <c r="N96" i="1" s="1"/>
  <c r="Q96" i="1" s="1"/>
  <c r="S95" i="1"/>
  <c r="O95" i="1"/>
  <c r="P95" i="1" s="1"/>
  <c r="R95" i="1" s="1"/>
  <c r="L95" i="1"/>
  <c r="J95" i="1"/>
  <c r="I95" i="1"/>
  <c r="M95" i="1" s="1"/>
  <c r="S94" i="1"/>
  <c r="L94" i="1"/>
  <c r="O94" i="1" s="1"/>
  <c r="P94" i="1" s="1"/>
  <c r="R94" i="1" s="1"/>
  <c r="J94" i="1"/>
  <c r="I94" i="1"/>
  <c r="M94" i="1" s="1"/>
  <c r="S93" i="1"/>
  <c r="L93" i="1"/>
  <c r="O93" i="1" s="1"/>
  <c r="P93" i="1" s="1"/>
  <c r="R93" i="1" s="1"/>
  <c r="J93" i="1"/>
  <c r="I93" i="1"/>
  <c r="K93" i="1" s="1"/>
  <c r="N93" i="1" s="1"/>
  <c r="Q93" i="1" s="1"/>
  <c r="S92" i="1"/>
  <c r="L92" i="1"/>
  <c r="O92" i="1" s="1"/>
  <c r="P92" i="1" s="1"/>
  <c r="R92" i="1" s="1"/>
  <c r="J92" i="1"/>
  <c r="I92" i="1"/>
  <c r="K92" i="1" s="1"/>
  <c r="N92" i="1" s="1"/>
  <c r="Q92" i="1" s="1"/>
  <c r="S91" i="1"/>
  <c r="L91" i="1"/>
  <c r="O91" i="1" s="1"/>
  <c r="P91" i="1" s="1"/>
  <c r="R91" i="1" s="1"/>
  <c r="J91" i="1"/>
  <c r="I91" i="1"/>
  <c r="M91" i="1" s="1"/>
  <c r="S90" i="1"/>
  <c r="L90" i="1"/>
  <c r="O90" i="1" s="1"/>
  <c r="P90" i="1" s="1"/>
  <c r="R90" i="1" s="1"/>
  <c r="J90" i="1"/>
  <c r="I90" i="1"/>
  <c r="M90" i="1" s="1"/>
  <c r="S89" i="1"/>
  <c r="L89" i="1"/>
  <c r="O89" i="1" s="1"/>
  <c r="P89" i="1" s="1"/>
  <c r="R89" i="1" s="1"/>
  <c r="J89" i="1"/>
  <c r="I89" i="1"/>
  <c r="K89" i="1" s="1"/>
  <c r="S88" i="1"/>
  <c r="P88" i="1"/>
  <c r="R88" i="1" s="1"/>
  <c r="L88" i="1"/>
  <c r="O88" i="1" s="1"/>
  <c r="J88" i="1"/>
  <c r="I88" i="1"/>
  <c r="M88" i="1" s="1"/>
  <c r="S87" i="1"/>
  <c r="L87" i="1"/>
  <c r="J87" i="1"/>
  <c r="I87" i="1"/>
  <c r="M87" i="1" s="1"/>
  <c r="S86" i="1"/>
  <c r="L86" i="1"/>
  <c r="O86" i="1" s="1"/>
  <c r="P86" i="1" s="1"/>
  <c r="R86" i="1" s="1"/>
  <c r="K86" i="1"/>
  <c r="J86" i="1"/>
  <c r="I86" i="1"/>
  <c r="M86" i="1" s="1"/>
  <c r="S85" i="1"/>
  <c r="O85" i="1"/>
  <c r="P85" i="1" s="1"/>
  <c r="R85" i="1" s="1"/>
  <c r="L85" i="1"/>
  <c r="J85" i="1"/>
  <c r="I85" i="1"/>
  <c r="M85" i="1" s="1"/>
  <c r="S84" i="1"/>
  <c r="L84" i="1"/>
  <c r="O84" i="1" s="1"/>
  <c r="P84" i="1" s="1"/>
  <c r="R84" i="1" s="1"/>
  <c r="J84" i="1"/>
  <c r="I84" i="1"/>
  <c r="K84" i="1" s="1"/>
  <c r="S83" i="1"/>
  <c r="L83" i="1"/>
  <c r="O83" i="1" s="1"/>
  <c r="P83" i="1" s="1"/>
  <c r="R83" i="1" s="1"/>
  <c r="J83" i="1"/>
  <c r="I83" i="1"/>
  <c r="K83" i="1" s="1"/>
  <c r="S82" i="1"/>
  <c r="O82" i="1"/>
  <c r="P82" i="1" s="1"/>
  <c r="R82" i="1" s="1"/>
  <c r="L82" i="1"/>
  <c r="J82" i="1"/>
  <c r="I82" i="1"/>
  <c r="M82" i="1" s="1"/>
  <c r="S81" i="1"/>
  <c r="L81" i="1"/>
  <c r="O81" i="1" s="1"/>
  <c r="P81" i="1" s="1"/>
  <c r="R81" i="1" s="1"/>
  <c r="K81" i="1"/>
  <c r="J81" i="1"/>
  <c r="I81" i="1"/>
  <c r="M81" i="1" s="1"/>
  <c r="S80" i="1"/>
  <c r="L80" i="1"/>
  <c r="O80" i="1" s="1"/>
  <c r="P80" i="1" s="1"/>
  <c r="R80" i="1" s="1"/>
  <c r="J80" i="1"/>
  <c r="I80" i="1"/>
  <c r="K80" i="1" s="1"/>
  <c r="N80" i="1" s="1"/>
  <c r="Q80" i="1" s="1"/>
  <c r="S79" i="1"/>
  <c r="L79" i="1"/>
  <c r="O79" i="1" s="1"/>
  <c r="P79" i="1" s="1"/>
  <c r="R79" i="1" s="1"/>
  <c r="J79" i="1"/>
  <c r="I79" i="1"/>
  <c r="K79" i="1" s="1"/>
  <c r="N79" i="1" s="1"/>
  <c r="Q79" i="1" s="1"/>
  <c r="S78" i="1"/>
  <c r="O78" i="1"/>
  <c r="P78" i="1" s="1"/>
  <c r="R78" i="1" s="1"/>
  <c r="L78" i="1"/>
  <c r="J78" i="1"/>
  <c r="I78" i="1"/>
  <c r="M78" i="1" s="1"/>
  <c r="S77" i="1"/>
  <c r="L77" i="1"/>
  <c r="O77" i="1" s="1"/>
  <c r="P77" i="1" s="1"/>
  <c r="R77" i="1" s="1"/>
  <c r="J77" i="1"/>
  <c r="I77" i="1"/>
  <c r="M77" i="1" s="1"/>
  <c r="S76" i="1"/>
  <c r="L76" i="1"/>
  <c r="O76" i="1" s="1"/>
  <c r="P76" i="1" s="1"/>
  <c r="R76" i="1" s="1"/>
  <c r="J76" i="1"/>
  <c r="I76" i="1"/>
  <c r="K76" i="1" s="1"/>
  <c r="N76" i="1" s="1"/>
  <c r="Q76" i="1" s="1"/>
  <c r="S75" i="1"/>
  <c r="L75" i="1"/>
  <c r="O75" i="1" s="1"/>
  <c r="P75" i="1" s="1"/>
  <c r="R75" i="1" s="1"/>
  <c r="J75" i="1"/>
  <c r="I75" i="1"/>
  <c r="K75" i="1" s="1"/>
  <c r="N75" i="1" s="1"/>
  <c r="Q75" i="1" s="1"/>
  <c r="S74" i="1"/>
  <c r="L74" i="1"/>
  <c r="O74" i="1" s="1"/>
  <c r="P74" i="1" s="1"/>
  <c r="R74" i="1" s="1"/>
  <c r="J74" i="1"/>
  <c r="I74" i="1"/>
  <c r="M74" i="1" s="1"/>
  <c r="S73" i="1"/>
  <c r="O73" i="1"/>
  <c r="P73" i="1" s="1"/>
  <c r="R73" i="1" s="1"/>
  <c r="L73" i="1"/>
  <c r="J73" i="1"/>
  <c r="I73" i="1"/>
  <c r="M73" i="1" s="1"/>
  <c r="S72" i="1"/>
  <c r="L72" i="1"/>
  <c r="O72" i="1" s="1"/>
  <c r="P72" i="1" s="1"/>
  <c r="R72" i="1" s="1"/>
  <c r="J72" i="1"/>
  <c r="I72" i="1"/>
  <c r="K72" i="1" s="1"/>
  <c r="N72" i="1" s="1"/>
  <c r="Q72" i="1" s="1"/>
  <c r="S71" i="1"/>
  <c r="L71" i="1"/>
  <c r="O71" i="1" s="1"/>
  <c r="P71" i="1" s="1"/>
  <c r="R71" i="1" s="1"/>
  <c r="J71" i="1"/>
  <c r="I71" i="1"/>
  <c r="K71" i="1" s="1"/>
  <c r="N71" i="1" s="1"/>
  <c r="Q71" i="1" s="1"/>
  <c r="S70" i="1"/>
  <c r="L70" i="1"/>
  <c r="O70" i="1" s="1"/>
  <c r="P70" i="1" s="1"/>
  <c r="R70" i="1" s="1"/>
  <c r="K70" i="1"/>
  <c r="N70" i="1" s="1"/>
  <c r="Q70" i="1" s="1"/>
  <c r="J70" i="1"/>
  <c r="I70" i="1"/>
  <c r="M70" i="1" s="1"/>
  <c r="S69" i="1"/>
  <c r="O69" i="1"/>
  <c r="P69" i="1" s="1"/>
  <c r="R69" i="1" s="1"/>
  <c r="L69" i="1"/>
  <c r="J69" i="1"/>
  <c r="I69" i="1"/>
  <c r="M69" i="1" s="1"/>
  <c r="S68" i="1"/>
  <c r="L68" i="1"/>
  <c r="O68" i="1" s="1"/>
  <c r="P68" i="1" s="1"/>
  <c r="R68" i="1" s="1"/>
  <c r="J68" i="1"/>
  <c r="I68" i="1"/>
  <c r="M68" i="1" s="1"/>
  <c r="S67" i="1"/>
  <c r="L67" i="1"/>
  <c r="O67" i="1" s="1"/>
  <c r="P67" i="1" s="1"/>
  <c r="R67" i="1" s="1"/>
  <c r="J67" i="1"/>
  <c r="I67" i="1"/>
  <c r="K67" i="1" s="1"/>
  <c r="N67" i="1" s="1"/>
  <c r="Q67" i="1" s="1"/>
  <c r="S66" i="1"/>
  <c r="O66" i="1"/>
  <c r="P66" i="1" s="1"/>
  <c r="R66" i="1" s="1"/>
  <c r="L66" i="1"/>
  <c r="J66" i="1"/>
  <c r="I66" i="1"/>
  <c r="M66" i="1" s="1"/>
  <c r="S65" i="1"/>
  <c r="L65" i="1"/>
  <c r="O65" i="1" s="1"/>
  <c r="P65" i="1" s="1"/>
  <c r="R65" i="1" s="1"/>
  <c r="K65" i="1"/>
  <c r="N65" i="1" s="1"/>
  <c r="Q65" i="1" s="1"/>
  <c r="J65" i="1"/>
  <c r="I65" i="1"/>
  <c r="M65" i="1" s="1"/>
  <c r="S64" i="1"/>
  <c r="L64" i="1"/>
  <c r="O64" i="1" s="1"/>
  <c r="P64" i="1" s="1"/>
  <c r="R64" i="1" s="1"/>
  <c r="J64" i="1"/>
  <c r="I64" i="1"/>
  <c r="K64" i="1" s="1"/>
  <c r="N64" i="1" s="1"/>
  <c r="Q64" i="1" s="1"/>
  <c r="S63" i="1"/>
  <c r="L63" i="1"/>
  <c r="O63" i="1" s="1"/>
  <c r="P63" i="1" s="1"/>
  <c r="R63" i="1" s="1"/>
  <c r="J63" i="1"/>
  <c r="I63" i="1"/>
  <c r="K63" i="1" s="1"/>
  <c r="N63" i="1" s="1"/>
  <c r="Q63" i="1" s="1"/>
  <c r="S62" i="1"/>
  <c r="O62" i="1"/>
  <c r="P62" i="1" s="1"/>
  <c r="R62" i="1" s="1"/>
  <c r="L62" i="1"/>
  <c r="J62" i="1"/>
  <c r="I62" i="1"/>
  <c r="M62" i="1" s="1"/>
  <c r="S61" i="1"/>
  <c r="L61" i="1"/>
  <c r="O61" i="1" s="1"/>
  <c r="P61" i="1" s="1"/>
  <c r="R61" i="1" s="1"/>
  <c r="J61" i="1"/>
  <c r="I61" i="1"/>
  <c r="M61" i="1" s="1"/>
  <c r="S60" i="1"/>
  <c r="L60" i="1"/>
  <c r="O60" i="1" s="1"/>
  <c r="P60" i="1" s="1"/>
  <c r="R60" i="1" s="1"/>
  <c r="J60" i="1"/>
  <c r="I60" i="1"/>
  <c r="K60" i="1" s="1"/>
  <c r="N60" i="1" s="1"/>
  <c r="Q60" i="1" s="1"/>
  <c r="S59" i="1"/>
  <c r="L59" i="1"/>
  <c r="O59" i="1" s="1"/>
  <c r="P59" i="1" s="1"/>
  <c r="R59" i="1" s="1"/>
  <c r="J59" i="1"/>
  <c r="I59" i="1"/>
  <c r="K59" i="1" s="1"/>
  <c r="N59" i="1" s="1"/>
  <c r="Q59" i="1" s="1"/>
  <c r="S58" i="1"/>
  <c r="L58" i="1"/>
  <c r="O58" i="1" s="1"/>
  <c r="P58" i="1" s="1"/>
  <c r="R58" i="1" s="1"/>
  <c r="J58" i="1"/>
  <c r="I58" i="1"/>
  <c r="M58" i="1" s="1"/>
  <c r="S57" i="1"/>
  <c r="O57" i="1"/>
  <c r="P57" i="1" s="1"/>
  <c r="R57" i="1" s="1"/>
  <c r="L57" i="1"/>
  <c r="J57" i="1"/>
  <c r="I57" i="1"/>
  <c r="M57" i="1" s="1"/>
  <c r="S56" i="1"/>
  <c r="L56" i="1"/>
  <c r="O56" i="1" s="1"/>
  <c r="P56" i="1" s="1"/>
  <c r="R56" i="1" s="1"/>
  <c r="J56" i="1"/>
  <c r="I56" i="1"/>
  <c r="K56" i="1" s="1"/>
  <c r="N56" i="1" s="1"/>
  <c r="Q56" i="1" s="1"/>
  <c r="S55" i="1"/>
  <c r="L55" i="1"/>
  <c r="O55" i="1" s="1"/>
  <c r="P55" i="1" s="1"/>
  <c r="R55" i="1" s="1"/>
  <c r="J55" i="1"/>
  <c r="I55" i="1"/>
  <c r="K55" i="1" s="1"/>
  <c r="N55" i="1" s="1"/>
  <c r="Q55" i="1" s="1"/>
  <c r="S54" i="1"/>
  <c r="L54" i="1"/>
  <c r="O54" i="1" s="1"/>
  <c r="P54" i="1" s="1"/>
  <c r="R54" i="1" s="1"/>
  <c r="K54" i="1"/>
  <c r="N54" i="1" s="1"/>
  <c r="Q54" i="1" s="1"/>
  <c r="J54" i="1"/>
  <c r="I54" i="1"/>
  <c r="M54" i="1" s="1"/>
  <c r="S53" i="1"/>
  <c r="O53" i="1"/>
  <c r="P53" i="1" s="1"/>
  <c r="R53" i="1" s="1"/>
  <c r="L53" i="1"/>
  <c r="J53" i="1"/>
  <c r="I53" i="1"/>
  <c r="M53" i="1" s="1"/>
  <c r="S52" i="1"/>
  <c r="L52" i="1"/>
  <c r="O52" i="1" s="1"/>
  <c r="P52" i="1" s="1"/>
  <c r="R52" i="1" s="1"/>
  <c r="J52" i="1"/>
  <c r="I52" i="1"/>
  <c r="K52" i="1" s="1"/>
  <c r="N52" i="1" s="1"/>
  <c r="Q52" i="1" s="1"/>
  <c r="S51" i="1"/>
  <c r="L51" i="1"/>
  <c r="O51" i="1" s="1"/>
  <c r="P51" i="1" s="1"/>
  <c r="R51" i="1" s="1"/>
  <c r="J51" i="1"/>
  <c r="I51" i="1"/>
  <c r="K51" i="1" s="1"/>
  <c r="S50" i="1"/>
  <c r="L50" i="1"/>
  <c r="J50" i="1"/>
  <c r="I50" i="1"/>
  <c r="M50" i="1" s="1"/>
  <c r="S49" i="1"/>
  <c r="L49" i="1"/>
  <c r="O49" i="1" s="1"/>
  <c r="P49" i="1" s="1"/>
  <c r="R49" i="1" s="1"/>
  <c r="K49" i="1"/>
  <c r="J49" i="1"/>
  <c r="I49" i="1"/>
  <c r="M49" i="1" s="1"/>
  <c r="S48" i="1"/>
  <c r="L48" i="1"/>
  <c r="O48" i="1" s="1"/>
  <c r="P48" i="1" s="1"/>
  <c r="R48" i="1" s="1"/>
  <c r="J48" i="1"/>
  <c r="I48" i="1"/>
  <c r="K48" i="1" s="1"/>
  <c r="S47" i="1"/>
  <c r="L47" i="1"/>
  <c r="O47" i="1" s="1"/>
  <c r="P47" i="1" s="1"/>
  <c r="R47" i="1" s="1"/>
  <c r="J47" i="1"/>
  <c r="I47" i="1"/>
  <c r="K47" i="1" s="1"/>
  <c r="S46" i="1"/>
  <c r="L46" i="1"/>
  <c r="O46" i="1" s="1"/>
  <c r="P46" i="1" s="1"/>
  <c r="R46" i="1" s="1"/>
  <c r="J46" i="1"/>
  <c r="I46" i="1"/>
  <c r="M46" i="1" s="1"/>
  <c r="S45" i="1"/>
  <c r="L45" i="1"/>
  <c r="O45" i="1" s="1"/>
  <c r="P45" i="1" s="1"/>
  <c r="R45" i="1" s="1"/>
  <c r="J45" i="1"/>
  <c r="I45" i="1"/>
  <c r="M45" i="1" s="1"/>
  <c r="S44" i="1"/>
  <c r="L44" i="1"/>
  <c r="O44" i="1" s="1"/>
  <c r="P44" i="1" s="1"/>
  <c r="R44" i="1" s="1"/>
  <c r="J44" i="1"/>
  <c r="I44" i="1"/>
  <c r="K44" i="1" s="1"/>
  <c r="S43" i="1"/>
  <c r="L43" i="1"/>
  <c r="O43" i="1" s="1"/>
  <c r="P43" i="1" s="1"/>
  <c r="R43" i="1" s="1"/>
  <c r="J43" i="1"/>
  <c r="I43" i="1"/>
  <c r="K43" i="1" s="1"/>
  <c r="S42" i="1"/>
  <c r="L42" i="1"/>
  <c r="J42" i="1"/>
  <c r="I42" i="1"/>
  <c r="M42" i="1" s="1"/>
  <c r="S41" i="1"/>
  <c r="L41" i="1"/>
  <c r="O41" i="1" s="1"/>
  <c r="P41" i="1" s="1"/>
  <c r="R41" i="1" s="1"/>
  <c r="J41" i="1"/>
  <c r="I41" i="1"/>
  <c r="M41" i="1" s="1"/>
  <c r="S40" i="1"/>
  <c r="L40" i="1"/>
  <c r="O40" i="1" s="1"/>
  <c r="P40" i="1" s="1"/>
  <c r="R40" i="1" s="1"/>
  <c r="J40" i="1"/>
  <c r="I40" i="1"/>
  <c r="K40" i="1" s="1"/>
  <c r="N40" i="1" s="1"/>
  <c r="Q40" i="1" s="1"/>
  <c r="S39" i="1"/>
  <c r="L39" i="1"/>
  <c r="O39" i="1" s="1"/>
  <c r="P39" i="1" s="1"/>
  <c r="R39" i="1" s="1"/>
  <c r="J39" i="1"/>
  <c r="I39" i="1"/>
  <c r="K39" i="1" s="1"/>
  <c r="N39" i="1" s="1"/>
  <c r="Q39" i="1" s="1"/>
  <c r="S38" i="1"/>
  <c r="L38" i="1"/>
  <c r="O38" i="1" s="1"/>
  <c r="P38" i="1" s="1"/>
  <c r="R38" i="1" s="1"/>
  <c r="J38" i="1"/>
  <c r="I38" i="1"/>
  <c r="M38" i="1" s="1"/>
  <c r="S37" i="1"/>
  <c r="L37" i="1"/>
  <c r="O37" i="1" s="1"/>
  <c r="P37" i="1" s="1"/>
  <c r="R37" i="1" s="1"/>
  <c r="J37" i="1"/>
  <c r="I37" i="1"/>
  <c r="M37" i="1" s="1"/>
  <c r="S36" i="1"/>
  <c r="L36" i="1"/>
  <c r="O36" i="1" s="1"/>
  <c r="P36" i="1" s="1"/>
  <c r="R36" i="1" s="1"/>
  <c r="J36" i="1"/>
  <c r="I36" i="1"/>
  <c r="M36" i="1" s="1"/>
  <c r="S35" i="1"/>
  <c r="L35" i="1"/>
  <c r="O35" i="1" s="1"/>
  <c r="P35" i="1" s="1"/>
  <c r="R35" i="1" s="1"/>
  <c r="J35" i="1"/>
  <c r="I35" i="1"/>
  <c r="K35" i="1" s="1"/>
  <c r="N35" i="1" s="1"/>
  <c r="Q35" i="1" s="1"/>
  <c r="S34" i="1"/>
  <c r="L34" i="1"/>
  <c r="O34" i="1" s="1"/>
  <c r="P34" i="1" s="1"/>
  <c r="R34" i="1" s="1"/>
  <c r="J34" i="1"/>
  <c r="I34" i="1"/>
  <c r="M34" i="1" s="1"/>
  <c r="S33" i="1"/>
  <c r="L33" i="1"/>
  <c r="O33" i="1" s="1"/>
  <c r="P33" i="1" s="1"/>
  <c r="R33" i="1" s="1"/>
  <c r="J33" i="1"/>
  <c r="I33" i="1"/>
  <c r="M33" i="1" s="1"/>
  <c r="S32" i="1"/>
  <c r="L32" i="1"/>
  <c r="O32" i="1" s="1"/>
  <c r="P32" i="1" s="1"/>
  <c r="R32" i="1" s="1"/>
  <c r="J32" i="1"/>
  <c r="I32" i="1"/>
  <c r="K32" i="1" s="1"/>
  <c r="N32" i="1" s="1"/>
  <c r="Q32" i="1" s="1"/>
  <c r="S31" i="1"/>
  <c r="L31" i="1"/>
  <c r="O31" i="1" s="1"/>
  <c r="P31" i="1" s="1"/>
  <c r="R31" i="1" s="1"/>
  <c r="J31" i="1"/>
  <c r="I31" i="1"/>
  <c r="K31" i="1" s="1"/>
  <c r="N31" i="1" s="1"/>
  <c r="Q31" i="1" s="1"/>
  <c r="S30" i="1"/>
  <c r="L30" i="1"/>
  <c r="O30" i="1" s="1"/>
  <c r="P30" i="1" s="1"/>
  <c r="R30" i="1" s="1"/>
  <c r="K30" i="1"/>
  <c r="N30" i="1" s="1"/>
  <c r="Q30" i="1" s="1"/>
  <c r="J30" i="1"/>
  <c r="I30" i="1"/>
  <c r="M30" i="1" s="1"/>
  <c r="S29" i="1"/>
  <c r="L29" i="1"/>
  <c r="O29" i="1" s="1"/>
  <c r="P29" i="1" s="1"/>
  <c r="R29" i="1" s="1"/>
  <c r="J29" i="1"/>
  <c r="I29" i="1"/>
  <c r="M29" i="1" s="1"/>
  <c r="S28" i="1"/>
  <c r="L28" i="1"/>
  <c r="O28" i="1" s="1"/>
  <c r="P28" i="1" s="1"/>
  <c r="R28" i="1" s="1"/>
  <c r="J28" i="1"/>
  <c r="I28" i="1"/>
  <c r="K28" i="1" s="1"/>
  <c r="N28" i="1" s="1"/>
  <c r="Q28" i="1" s="1"/>
  <c r="S27" i="1"/>
  <c r="L27" i="1"/>
  <c r="O27" i="1" s="1"/>
  <c r="P27" i="1" s="1"/>
  <c r="R27" i="1" s="1"/>
  <c r="J27" i="1"/>
  <c r="I27" i="1"/>
  <c r="M27" i="1" s="1"/>
  <c r="S26" i="1"/>
  <c r="L26" i="1"/>
  <c r="O26" i="1" s="1"/>
  <c r="P26" i="1" s="1"/>
  <c r="R26" i="1" s="1"/>
  <c r="J26" i="1"/>
  <c r="I26" i="1"/>
  <c r="M26" i="1" s="1"/>
  <c r="S25" i="1"/>
  <c r="L25" i="1"/>
  <c r="O25" i="1" s="1"/>
  <c r="P25" i="1" s="1"/>
  <c r="R25" i="1" s="1"/>
  <c r="J25" i="1"/>
  <c r="I25" i="1"/>
  <c r="M25" i="1" s="1"/>
  <c r="S24" i="1"/>
  <c r="L24" i="1"/>
  <c r="O24" i="1" s="1"/>
  <c r="P24" i="1" s="1"/>
  <c r="R24" i="1" s="1"/>
  <c r="J24" i="1"/>
  <c r="I24" i="1"/>
  <c r="K24" i="1" s="1"/>
  <c r="N24" i="1" s="1"/>
  <c r="Q24" i="1" s="1"/>
  <c r="S23" i="1"/>
  <c r="L23" i="1"/>
  <c r="O23" i="1" s="1"/>
  <c r="P23" i="1" s="1"/>
  <c r="R23" i="1" s="1"/>
  <c r="J23" i="1"/>
  <c r="I23" i="1"/>
  <c r="K23" i="1" s="1"/>
  <c r="N23" i="1" s="1"/>
  <c r="Q23" i="1" s="1"/>
  <c r="S22" i="1"/>
  <c r="L22" i="1"/>
  <c r="O22" i="1" s="1"/>
  <c r="P22" i="1" s="1"/>
  <c r="R22" i="1" s="1"/>
  <c r="K22" i="1"/>
  <c r="N22" i="1" s="1"/>
  <c r="Q22" i="1" s="1"/>
  <c r="J22" i="1"/>
  <c r="I22" i="1"/>
  <c r="M22" i="1" s="1"/>
  <c r="S21" i="1"/>
  <c r="L21" i="1"/>
  <c r="O21" i="1" s="1"/>
  <c r="P21" i="1" s="1"/>
  <c r="R21" i="1" s="1"/>
  <c r="J21" i="1"/>
  <c r="I21" i="1"/>
  <c r="M21" i="1" s="1"/>
  <c r="S20" i="1"/>
  <c r="L20" i="1"/>
  <c r="O20" i="1" s="1"/>
  <c r="P20" i="1" s="1"/>
  <c r="R20" i="1" s="1"/>
  <c r="J20" i="1"/>
  <c r="I20" i="1"/>
  <c r="M20" i="1" s="1"/>
  <c r="S19" i="1"/>
  <c r="L19" i="1"/>
  <c r="O19" i="1" s="1"/>
  <c r="P19" i="1" s="1"/>
  <c r="R19" i="1" s="1"/>
  <c r="J19" i="1"/>
  <c r="I19" i="1"/>
  <c r="K19" i="1" s="1"/>
  <c r="N19" i="1" s="1"/>
  <c r="Q19" i="1" s="1"/>
  <c r="S18" i="1"/>
  <c r="L18" i="1"/>
  <c r="O18" i="1" s="1"/>
  <c r="P18" i="1" s="1"/>
  <c r="R18" i="1" s="1"/>
  <c r="J18" i="1"/>
  <c r="I18" i="1"/>
  <c r="M18" i="1" s="1"/>
  <c r="S17" i="1"/>
  <c r="L17" i="1"/>
  <c r="O17" i="1" s="1"/>
  <c r="P17" i="1" s="1"/>
  <c r="R17" i="1" s="1"/>
  <c r="J17" i="1"/>
  <c r="I17" i="1"/>
  <c r="M17" i="1" s="1"/>
  <c r="S16" i="1"/>
  <c r="L16" i="1"/>
  <c r="O16" i="1" s="1"/>
  <c r="P16" i="1" s="1"/>
  <c r="R16" i="1" s="1"/>
  <c r="J16" i="1"/>
  <c r="I16" i="1"/>
  <c r="M16" i="1" s="1"/>
  <c r="S15" i="1"/>
  <c r="L15" i="1"/>
  <c r="O15" i="1" s="1"/>
  <c r="P15" i="1" s="1"/>
  <c r="R15" i="1" s="1"/>
  <c r="J15" i="1"/>
  <c r="I15" i="1"/>
  <c r="K15" i="1" s="1"/>
  <c r="N15" i="1" s="1"/>
  <c r="Q15" i="1" s="1"/>
  <c r="S14" i="1"/>
  <c r="L14" i="1"/>
  <c r="O14" i="1" s="1"/>
  <c r="P14" i="1" s="1"/>
  <c r="R14" i="1" s="1"/>
  <c r="J14" i="1"/>
  <c r="I14" i="1"/>
  <c r="M14" i="1" s="1"/>
  <c r="S13" i="1"/>
  <c r="L13" i="1"/>
  <c r="O13" i="1" s="1"/>
  <c r="P13" i="1" s="1"/>
  <c r="R13" i="1" s="1"/>
  <c r="J13" i="1"/>
  <c r="I13" i="1"/>
  <c r="M13" i="1" s="1"/>
  <c r="S12" i="1"/>
  <c r="L12" i="1"/>
  <c r="O12" i="1" s="1"/>
  <c r="P12" i="1" s="1"/>
  <c r="R12" i="1" s="1"/>
  <c r="J12" i="1"/>
  <c r="I12" i="1"/>
  <c r="M12" i="1" s="1"/>
  <c r="S11" i="1"/>
  <c r="L11" i="1"/>
  <c r="O11" i="1" s="1"/>
  <c r="P11" i="1" s="1"/>
  <c r="R11" i="1" s="1"/>
  <c r="J11" i="1"/>
  <c r="I11" i="1"/>
  <c r="K11" i="1" s="1"/>
  <c r="S10" i="1"/>
  <c r="L10" i="1"/>
  <c r="J10" i="1"/>
  <c r="I10" i="1"/>
  <c r="M10" i="1" s="1"/>
  <c r="S9" i="1"/>
  <c r="L9" i="1"/>
  <c r="K9" i="1"/>
  <c r="J9" i="1"/>
  <c r="I9" i="1"/>
  <c r="M9" i="1" s="1"/>
  <c r="S8" i="1"/>
  <c r="L8" i="1"/>
  <c r="O8" i="1" s="1"/>
  <c r="P8" i="1" s="1"/>
  <c r="R8" i="1" s="1"/>
  <c r="J8" i="1"/>
  <c r="I8" i="1"/>
  <c r="M8" i="1" s="1"/>
  <c r="S7" i="1"/>
  <c r="L7" i="1"/>
  <c r="O7" i="1" s="1"/>
  <c r="P7" i="1" s="1"/>
  <c r="R7" i="1" s="1"/>
  <c r="J7" i="1"/>
  <c r="I7" i="1"/>
  <c r="K7" i="1" s="1"/>
  <c r="S6" i="1"/>
  <c r="L6" i="1"/>
  <c r="J6" i="1"/>
  <c r="I6" i="1"/>
  <c r="M6" i="1" s="1"/>
  <c r="S5" i="1"/>
  <c r="L5" i="1"/>
  <c r="O5" i="1" s="1"/>
  <c r="P5" i="1" s="1"/>
  <c r="R5" i="1" s="1"/>
  <c r="J5" i="1"/>
  <c r="I5" i="1"/>
  <c r="M5" i="1" s="1"/>
  <c r="S4" i="1"/>
  <c r="L4" i="1"/>
  <c r="O4" i="1" s="1"/>
  <c r="P4" i="1" s="1"/>
  <c r="R4" i="1" s="1"/>
  <c r="J4" i="1"/>
  <c r="I4" i="1"/>
  <c r="K4" i="1" s="1"/>
  <c r="S3" i="1"/>
  <c r="L3" i="1"/>
  <c r="O3" i="1" s="1"/>
  <c r="P3" i="1" s="1"/>
  <c r="R3" i="1" s="1"/>
  <c r="K3" i="1"/>
  <c r="J3" i="1"/>
  <c r="I3" i="1"/>
  <c r="M3" i="1" s="1"/>
  <c r="S2" i="1"/>
  <c r="L2" i="1"/>
  <c r="O2" i="1" s="1"/>
  <c r="P2" i="1" s="1"/>
  <c r="R2" i="1" s="1"/>
  <c r="J2" i="1"/>
  <c r="I2" i="1"/>
  <c r="M2" i="1" s="1"/>
  <c r="M96" i="1" l="1"/>
  <c r="M172" i="1"/>
  <c r="M179" i="1"/>
  <c r="K179" i="1"/>
  <c r="N179" i="1" s="1"/>
  <c r="Q179" i="1" s="1"/>
  <c r="M198" i="1"/>
  <c r="K198" i="1"/>
  <c r="M199" i="1"/>
  <c r="K199" i="1"/>
  <c r="M209" i="1"/>
  <c r="K209" i="1"/>
  <c r="N209" i="1" s="1"/>
  <c r="Q209" i="1" s="1"/>
  <c r="M221" i="1"/>
  <c r="K221" i="1"/>
  <c r="N221" i="1" s="1"/>
  <c r="Q221" i="1" s="1"/>
  <c r="M241" i="1"/>
  <c r="K241" i="1"/>
  <c r="N241" i="1" s="1"/>
  <c r="Q241" i="1" s="1"/>
  <c r="K288" i="1"/>
  <c r="N288" i="1" s="1"/>
  <c r="Q288" i="1" s="1"/>
  <c r="M288" i="1"/>
  <c r="N9" i="1"/>
  <c r="Q9" i="1" s="1"/>
  <c r="N44" i="1"/>
  <c r="Q44" i="1" s="1"/>
  <c r="K53" i="1"/>
  <c r="N53" i="1" s="1"/>
  <c r="Q53" i="1" s="1"/>
  <c r="K58" i="1"/>
  <c r="N58" i="1" s="1"/>
  <c r="Q58" i="1" s="1"/>
  <c r="K69" i="1"/>
  <c r="N69" i="1" s="1"/>
  <c r="Q69" i="1" s="1"/>
  <c r="K74" i="1"/>
  <c r="N74" i="1" s="1"/>
  <c r="Q74" i="1" s="1"/>
  <c r="K94" i="1"/>
  <c r="N94" i="1" s="1"/>
  <c r="Q94" i="1" s="1"/>
  <c r="K122" i="1"/>
  <c r="K130" i="1"/>
  <c r="N130" i="1" s="1"/>
  <c r="Q130" i="1" s="1"/>
  <c r="K140" i="1"/>
  <c r="N140" i="1" s="1"/>
  <c r="Q140" i="1" s="1"/>
  <c r="M140" i="1"/>
  <c r="M155" i="1"/>
  <c r="K155" i="1"/>
  <c r="N155" i="1" s="1"/>
  <c r="Q155" i="1" s="1"/>
  <c r="M170" i="1"/>
  <c r="K170" i="1"/>
  <c r="N170" i="1" s="1"/>
  <c r="Q170" i="1" s="1"/>
  <c r="M189" i="1"/>
  <c r="K189" i="1"/>
  <c r="N189" i="1" s="1"/>
  <c r="Q189" i="1" s="1"/>
  <c r="M254" i="1"/>
  <c r="K254" i="1"/>
  <c r="N254" i="1" s="1"/>
  <c r="Q254" i="1" s="1"/>
  <c r="M272" i="1"/>
  <c r="K272" i="1"/>
  <c r="N272" i="1" s="1"/>
  <c r="Q272" i="1" s="1"/>
  <c r="O9" i="1"/>
  <c r="P9" i="1" s="1"/>
  <c r="R9" i="1" s="1"/>
  <c r="K10" i="1"/>
  <c r="K26" i="1"/>
  <c r="N26" i="1" s="1"/>
  <c r="Q26" i="1" s="1"/>
  <c r="K42" i="1"/>
  <c r="M84" i="1"/>
  <c r="M89" i="1"/>
  <c r="K91" i="1"/>
  <c r="N91" i="1" s="1"/>
  <c r="Q91" i="1" s="1"/>
  <c r="M101" i="1"/>
  <c r="K138" i="1"/>
  <c r="N138" i="1" s="1"/>
  <c r="Q138" i="1" s="1"/>
  <c r="M227" i="1"/>
  <c r="K227" i="1"/>
  <c r="N227" i="1" s="1"/>
  <c r="Q227" i="1" s="1"/>
  <c r="K264" i="1"/>
  <c r="N264" i="1" s="1"/>
  <c r="Q264" i="1" s="1"/>
  <c r="M264" i="1"/>
  <c r="M320" i="1"/>
  <c r="K320" i="1"/>
  <c r="M336" i="1"/>
  <c r="K336" i="1"/>
  <c r="N336" i="1" s="1"/>
  <c r="Q336" i="1" s="1"/>
  <c r="M147" i="1"/>
  <c r="K147" i="1"/>
  <c r="N147" i="1" s="1"/>
  <c r="Q147" i="1" s="1"/>
  <c r="M150" i="1"/>
  <c r="K150" i="1"/>
  <c r="N150" i="1" s="1"/>
  <c r="Q150" i="1" s="1"/>
  <c r="M162" i="1"/>
  <c r="K162" i="1"/>
  <c r="N162" i="1" s="1"/>
  <c r="Q162" i="1" s="1"/>
  <c r="M193" i="1"/>
  <c r="K193" i="1"/>
  <c r="N193" i="1" s="1"/>
  <c r="Q193" i="1" s="1"/>
  <c r="M195" i="1"/>
  <c r="K195" i="1"/>
  <c r="M237" i="1"/>
  <c r="K237" i="1"/>
  <c r="N237" i="1" s="1"/>
  <c r="Q237" i="1" s="1"/>
  <c r="M250" i="1"/>
  <c r="K250" i="1"/>
  <c r="N250" i="1" s="1"/>
  <c r="Q250" i="1" s="1"/>
  <c r="K266" i="1"/>
  <c r="N266" i="1" s="1"/>
  <c r="Q266" i="1" s="1"/>
  <c r="K275" i="1"/>
  <c r="N278" i="1"/>
  <c r="Q278" i="1" s="1"/>
  <c r="K279" i="1"/>
  <c r="N279" i="1" s="1"/>
  <c r="Q279" i="1" s="1"/>
  <c r="K283" i="1"/>
  <c r="N283" i="1" s="1"/>
  <c r="Q283" i="1" s="1"/>
  <c r="K287" i="1"/>
  <c r="N287" i="1" s="1"/>
  <c r="Q287" i="1" s="1"/>
  <c r="K323" i="1"/>
  <c r="N323" i="1" s="1"/>
  <c r="Q323" i="1" s="1"/>
  <c r="K339" i="1"/>
  <c r="N339" i="1" s="1"/>
  <c r="Q339" i="1" s="1"/>
  <c r="K360" i="1"/>
  <c r="N360" i="1" s="1"/>
  <c r="Q360" i="1" s="1"/>
  <c r="K390" i="1"/>
  <c r="K397" i="1"/>
  <c r="K441" i="1"/>
  <c r="N441" i="1" s="1"/>
  <c r="Q441" i="1" s="1"/>
  <c r="K456" i="1"/>
  <c r="N456" i="1" s="1"/>
  <c r="Q456" i="1" s="1"/>
  <c r="K465" i="1"/>
  <c r="N465" i="1" s="1"/>
  <c r="Q465" i="1" s="1"/>
  <c r="O473" i="1"/>
  <c r="P473" i="1" s="1"/>
  <c r="R473" i="1" s="1"/>
  <c r="K477" i="1"/>
  <c r="K488" i="1"/>
  <c r="N488" i="1" s="1"/>
  <c r="Q488" i="1" s="1"/>
  <c r="K497" i="1"/>
  <c r="N497" i="1" s="1"/>
  <c r="Q497" i="1" s="1"/>
  <c r="K509" i="1"/>
  <c r="N509" i="1" s="1"/>
  <c r="Q509" i="1" s="1"/>
  <c r="M512" i="1"/>
  <c r="N513" i="1"/>
  <c r="Q513" i="1" s="1"/>
  <c r="K515" i="1"/>
  <c r="K531" i="1"/>
  <c r="N531" i="1" s="1"/>
  <c r="Q531" i="1" s="1"/>
  <c r="K539" i="1"/>
  <c r="N539" i="1" s="1"/>
  <c r="Q539" i="1" s="1"/>
  <c r="N547" i="1"/>
  <c r="Q547" i="1" s="1"/>
  <c r="K548" i="1"/>
  <c r="M550" i="1"/>
  <c r="K552" i="1"/>
  <c r="N552" i="1" s="1"/>
  <c r="Q552" i="1" s="1"/>
  <c r="K556" i="1"/>
  <c r="M569" i="1"/>
  <c r="M585" i="1"/>
  <c r="K586" i="1"/>
  <c r="N586" i="1" s="1"/>
  <c r="Q586" i="1" s="1"/>
  <c r="N589" i="1"/>
  <c r="Q589" i="1" s="1"/>
  <c r="N593" i="1"/>
  <c r="Q593" i="1" s="1"/>
  <c r="K623" i="1"/>
  <c r="N623" i="1" s="1"/>
  <c r="Q623" i="1" s="1"/>
  <c r="N276" i="1"/>
  <c r="Q276" i="1" s="1"/>
  <c r="M367" i="1"/>
  <c r="K381" i="1"/>
  <c r="N381" i="1" s="1"/>
  <c r="Q381" i="1" s="1"/>
  <c r="K413" i="1"/>
  <c r="N413" i="1" s="1"/>
  <c r="Q413" i="1" s="1"/>
  <c r="K424" i="1"/>
  <c r="N424" i="1" s="1"/>
  <c r="Q424" i="1" s="1"/>
  <c r="K449" i="1"/>
  <c r="N449" i="1" s="1"/>
  <c r="Q449" i="1" s="1"/>
  <c r="N477" i="1"/>
  <c r="Q477" i="1" s="1"/>
  <c r="K484" i="1"/>
  <c r="N484" i="1" s="1"/>
  <c r="Q484" i="1" s="1"/>
  <c r="K527" i="1"/>
  <c r="N527" i="1" s="1"/>
  <c r="Q527" i="1" s="1"/>
  <c r="K567" i="1"/>
  <c r="N567" i="1" s="1"/>
  <c r="Q567" i="1" s="1"/>
  <c r="K572" i="1"/>
  <c r="N572" i="1" s="1"/>
  <c r="Q572" i="1" s="1"/>
  <c r="K583" i="1"/>
  <c r="N583" i="1" s="1"/>
  <c r="Q583" i="1" s="1"/>
  <c r="K591" i="1"/>
  <c r="K599" i="1"/>
  <c r="N599" i="1" s="1"/>
  <c r="Q599" i="1" s="1"/>
  <c r="K409" i="1"/>
  <c r="N409" i="1" s="1"/>
  <c r="Q409" i="1" s="1"/>
  <c r="N437" i="1"/>
  <c r="Q437" i="1" s="1"/>
  <c r="N472" i="1"/>
  <c r="Q472" i="1" s="1"/>
  <c r="N555" i="1"/>
  <c r="Q555" i="1" s="1"/>
  <c r="N590" i="1"/>
  <c r="Q590" i="1" s="1"/>
  <c r="K606" i="1"/>
  <c r="N606" i="1" s="1"/>
  <c r="Q606" i="1" s="1"/>
  <c r="K614" i="1"/>
  <c r="N614" i="1" s="1"/>
  <c r="Q614" i="1" s="1"/>
  <c r="M104" i="1"/>
  <c r="N122" i="1"/>
  <c r="Q122" i="1" s="1"/>
  <c r="M124" i="1"/>
  <c r="M156" i="1"/>
  <c r="K196" i="1"/>
  <c r="M196" i="1"/>
  <c r="K223" i="1"/>
  <c r="N223" i="1" s="1"/>
  <c r="Q223" i="1" s="1"/>
  <c r="M223" i="1"/>
  <c r="M226" i="1"/>
  <c r="K226" i="1"/>
  <c r="N226" i="1" s="1"/>
  <c r="Q226" i="1" s="1"/>
  <c r="M230" i="1"/>
  <c r="K230" i="1"/>
  <c r="N230" i="1" s="1"/>
  <c r="Q230" i="1" s="1"/>
  <c r="M231" i="1"/>
  <c r="K231" i="1"/>
  <c r="N231" i="1" s="1"/>
  <c r="Q231" i="1" s="1"/>
  <c r="M234" i="1"/>
  <c r="K234" i="1"/>
  <c r="N234" i="1" s="1"/>
  <c r="Q234" i="1" s="1"/>
  <c r="K244" i="1"/>
  <c r="M244" i="1"/>
  <c r="M246" i="1"/>
  <c r="K246" i="1"/>
  <c r="M261" i="1"/>
  <c r="K261" i="1"/>
  <c r="N261" i="1" s="1"/>
  <c r="Q261" i="1" s="1"/>
  <c r="M238" i="1"/>
  <c r="K238" i="1"/>
  <c r="N238" i="1" s="1"/>
  <c r="Q238" i="1" s="1"/>
  <c r="K249" i="1"/>
  <c r="N249" i="1" s="1"/>
  <c r="Q249" i="1" s="1"/>
  <c r="M249" i="1"/>
  <c r="M291" i="1"/>
  <c r="K291" i="1"/>
  <c r="N291" i="1" s="1"/>
  <c r="Q291" i="1" s="1"/>
  <c r="O6" i="1"/>
  <c r="P6" i="1" s="1"/>
  <c r="R6" i="1" s="1"/>
  <c r="N10" i="1"/>
  <c r="Q10" i="1" s="1"/>
  <c r="O10" i="1"/>
  <c r="P10" i="1" s="1"/>
  <c r="R10" i="1" s="1"/>
  <c r="N42" i="1"/>
  <c r="Q42" i="1" s="1"/>
  <c r="K57" i="1"/>
  <c r="N57" i="1" s="1"/>
  <c r="Q57" i="1" s="1"/>
  <c r="K73" i="1"/>
  <c r="N73" i="1" s="1"/>
  <c r="Q73" i="1" s="1"/>
  <c r="K78" i="1"/>
  <c r="N78" i="1" s="1"/>
  <c r="Q78" i="1" s="1"/>
  <c r="N81" i="1"/>
  <c r="Q81" i="1" s="1"/>
  <c r="K85" i="1"/>
  <c r="N85" i="1" s="1"/>
  <c r="Q85" i="1" s="1"/>
  <c r="K87" i="1"/>
  <c r="N87" i="1" s="1"/>
  <c r="Q87" i="1" s="1"/>
  <c r="N89" i="1"/>
  <c r="Q89" i="1" s="1"/>
  <c r="K103" i="1"/>
  <c r="N103" i="1" s="1"/>
  <c r="Q103" i="1" s="1"/>
  <c r="K106" i="1"/>
  <c r="N106" i="1" s="1"/>
  <c r="Q106" i="1" s="1"/>
  <c r="K107" i="1"/>
  <c r="N107" i="1" s="1"/>
  <c r="Q107" i="1" s="1"/>
  <c r="K118" i="1"/>
  <c r="N118" i="1" s="1"/>
  <c r="Q118" i="1" s="1"/>
  <c r="K123" i="1"/>
  <c r="N123" i="1" s="1"/>
  <c r="Q123" i="1" s="1"/>
  <c r="K134" i="1"/>
  <c r="N134" i="1" s="1"/>
  <c r="Q134" i="1" s="1"/>
  <c r="K151" i="1"/>
  <c r="N151" i="1" s="1"/>
  <c r="Q151" i="1" s="1"/>
  <c r="K166" i="1"/>
  <c r="N166" i="1" s="1"/>
  <c r="Q166" i="1" s="1"/>
  <c r="K174" i="1"/>
  <c r="N174" i="1" s="1"/>
  <c r="Q174" i="1" s="1"/>
  <c r="K178" i="1"/>
  <c r="N178" i="1" s="1"/>
  <c r="Q178" i="1" s="1"/>
  <c r="K186" i="1"/>
  <c r="N186" i="1" s="1"/>
  <c r="Q186" i="1" s="1"/>
  <c r="K190" i="1"/>
  <c r="N190" i="1" s="1"/>
  <c r="Q190" i="1" s="1"/>
  <c r="M194" i="1"/>
  <c r="K194" i="1"/>
  <c r="N194" i="1" s="1"/>
  <c r="Q194" i="1" s="1"/>
  <c r="K202" i="1"/>
  <c r="O206" i="1"/>
  <c r="P206" i="1" s="1"/>
  <c r="R206" i="1" s="1"/>
  <c r="N206" i="1"/>
  <c r="Q206" i="1" s="1"/>
  <c r="M218" i="1"/>
  <c r="K218" i="1"/>
  <c r="N218" i="1" s="1"/>
  <c r="Q218" i="1" s="1"/>
  <c r="K239" i="1"/>
  <c r="M239" i="1"/>
  <c r="M242" i="1"/>
  <c r="K242" i="1"/>
  <c r="N242" i="1" s="1"/>
  <c r="Q242" i="1" s="1"/>
  <c r="O245" i="1"/>
  <c r="P245" i="1" s="1"/>
  <c r="R245" i="1" s="1"/>
  <c r="M262" i="1"/>
  <c r="K262" i="1"/>
  <c r="N262" i="1" s="1"/>
  <c r="Q262" i="1" s="1"/>
  <c r="M271" i="1"/>
  <c r="K271" i="1"/>
  <c r="N271" i="1" s="1"/>
  <c r="Q271" i="1" s="1"/>
  <c r="O50" i="1"/>
  <c r="P50" i="1" s="1"/>
  <c r="R50" i="1" s="1"/>
  <c r="K18" i="1"/>
  <c r="N18" i="1" s="1"/>
  <c r="Q18" i="1" s="1"/>
  <c r="K27" i="1"/>
  <c r="N27" i="1" s="1"/>
  <c r="Q27" i="1" s="1"/>
  <c r="K38" i="1"/>
  <c r="N38" i="1" s="1"/>
  <c r="Q38" i="1" s="1"/>
  <c r="K46" i="1"/>
  <c r="N48" i="1"/>
  <c r="Q48" i="1" s="1"/>
  <c r="N49" i="1"/>
  <c r="Q49" i="1" s="1"/>
  <c r="K62" i="1"/>
  <c r="N62" i="1" s="1"/>
  <c r="Q62" i="1" s="1"/>
  <c r="K2" i="1"/>
  <c r="N2" i="1" s="1"/>
  <c r="Q2" i="1" s="1"/>
  <c r="K6" i="1"/>
  <c r="N6" i="1" s="1"/>
  <c r="Q6" i="1" s="1"/>
  <c r="K14" i="1"/>
  <c r="N14" i="1" s="1"/>
  <c r="Q14" i="1" s="1"/>
  <c r="K34" i="1"/>
  <c r="N34" i="1" s="1"/>
  <c r="Q34" i="1" s="1"/>
  <c r="O42" i="1"/>
  <c r="P42" i="1" s="1"/>
  <c r="R42" i="1" s="1"/>
  <c r="K45" i="1"/>
  <c r="N45" i="1" s="1"/>
  <c r="Q45" i="1" s="1"/>
  <c r="N46" i="1"/>
  <c r="Q46" i="1" s="1"/>
  <c r="K50" i="1"/>
  <c r="N50" i="1" s="1"/>
  <c r="Q50" i="1" s="1"/>
  <c r="K61" i="1"/>
  <c r="N61" i="1" s="1"/>
  <c r="Q61" i="1" s="1"/>
  <c r="K66" i="1"/>
  <c r="N66" i="1" s="1"/>
  <c r="Q66" i="1" s="1"/>
  <c r="K77" i="1"/>
  <c r="N77" i="1" s="1"/>
  <c r="Q77" i="1" s="1"/>
  <c r="K82" i="1"/>
  <c r="N82" i="1" s="1"/>
  <c r="Q82" i="1" s="1"/>
  <c r="K90" i="1"/>
  <c r="N90" i="1" s="1"/>
  <c r="Q90" i="1" s="1"/>
  <c r="K98" i="1"/>
  <c r="N98" i="1" s="1"/>
  <c r="Q98" i="1" s="1"/>
  <c r="M100" i="1"/>
  <c r="K102" i="1"/>
  <c r="N102" i="1" s="1"/>
  <c r="Q102" i="1" s="1"/>
  <c r="K111" i="1"/>
  <c r="N111" i="1" s="1"/>
  <c r="Q111" i="1" s="1"/>
  <c r="K115" i="1"/>
  <c r="N115" i="1" s="1"/>
  <c r="Q115" i="1" s="1"/>
  <c r="K127" i="1"/>
  <c r="N127" i="1" s="1"/>
  <c r="Q127" i="1" s="1"/>
  <c r="K131" i="1"/>
  <c r="N131" i="1" s="1"/>
  <c r="Q131" i="1" s="1"/>
  <c r="M136" i="1"/>
  <c r="K139" i="1"/>
  <c r="N139" i="1" s="1"/>
  <c r="Q139" i="1" s="1"/>
  <c r="K142" i="1"/>
  <c r="N142" i="1" s="1"/>
  <c r="Q142" i="1" s="1"/>
  <c r="K146" i="1"/>
  <c r="N146" i="1" s="1"/>
  <c r="Q146" i="1" s="1"/>
  <c r="K154" i="1"/>
  <c r="N154" i="1" s="1"/>
  <c r="Q154" i="1" s="1"/>
  <c r="K159" i="1"/>
  <c r="K163" i="1"/>
  <c r="N163" i="1" s="1"/>
  <c r="Q163" i="1" s="1"/>
  <c r="M168" i="1"/>
  <c r="K171" i="1"/>
  <c r="K182" i="1"/>
  <c r="N182" i="1" s="1"/>
  <c r="Q182" i="1" s="1"/>
  <c r="N201" i="1"/>
  <c r="Q201" i="1" s="1"/>
  <c r="K205" i="1"/>
  <c r="N205" i="1" s="1"/>
  <c r="Q205" i="1" s="1"/>
  <c r="M208" i="1"/>
  <c r="M210" i="1"/>
  <c r="K210" i="1"/>
  <c r="N210" i="1" s="1"/>
  <c r="Q210" i="1" s="1"/>
  <c r="M214" i="1"/>
  <c r="K214" i="1"/>
  <c r="N214" i="1" s="1"/>
  <c r="Q214" i="1" s="1"/>
  <c r="M215" i="1"/>
  <c r="K215" i="1"/>
  <c r="N215" i="1" s="1"/>
  <c r="Q215" i="1" s="1"/>
  <c r="M217" i="1"/>
  <c r="M222" i="1"/>
  <c r="K222" i="1"/>
  <c r="N222" i="1" s="1"/>
  <c r="Q222" i="1" s="1"/>
  <c r="M224" i="1"/>
  <c r="K256" i="1"/>
  <c r="N256" i="1" s="1"/>
  <c r="Q256" i="1" s="1"/>
  <c r="M256" i="1"/>
  <c r="M258" i="1"/>
  <c r="K258" i="1"/>
  <c r="N258" i="1" s="1"/>
  <c r="Q258" i="1" s="1"/>
  <c r="M377" i="1"/>
  <c r="K377" i="1"/>
  <c r="N377" i="1" s="1"/>
  <c r="Q377" i="1" s="1"/>
  <c r="M398" i="1"/>
  <c r="K398" i="1"/>
  <c r="N398" i="1" s="1"/>
  <c r="Q398" i="1" s="1"/>
  <c r="M420" i="1"/>
  <c r="K420" i="1"/>
  <c r="N420" i="1" s="1"/>
  <c r="Q420" i="1" s="1"/>
  <c r="M433" i="1"/>
  <c r="K433" i="1"/>
  <c r="N433" i="1" s="1"/>
  <c r="Q433" i="1" s="1"/>
  <c r="N316" i="1"/>
  <c r="Q316" i="1" s="1"/>
  <c r="M382" i="1"/>
  <c r="K382" i="1"/>
  <c r="N382" i="1" s="1"/>
  <c r="Q382" i="1" s="1"/>
  <c r="M253" i="1"/>
  <c r="M260" i="1"/>
  <c r="O276" i="1"/>
  <c r="P276" i="1" s="1"/>
  <c r="R276" i="1" s="1"/>
  <c r="K295" i="1"/>
  <c r="N295" i="1" s="1"/>
  <c r="Q295" i="1" s="1"/>
  <c r="K299" i="1"/>
  <c r="N299" i="1" s="1"/>
  <c r="Q299" i="1" s="1"/>
  <c r="K303" i="1"/>
  <c r="N303" i="1" s="1"/>
  <c r="Q303" i="1" s="1"/>
  <c r="K307" i="1"/>
  <c r="N307" i="1" s="1"/>
  <c r="Q307" i="1" s="1"/>
  <c r="K311" i="1"/>
  <c r="N311" i="1" s="1"/>
  <c r="Q311" i="1" s="1"/>
  <c r="K315" i="1"/>
  <c r="N315" i="1" s="1"/>
  <c r="Q315" i="1" s="1"/>
  <c r="O316" i="1"/>
  <c r="P316" i="1" s="1"/>
  <c r="R316" i="1" s="1"/>
  <c r="N320" i="1"/>
  <c r="Q320" i="1" s="1"/>
  <c r="K324" i="1"/>
  <c r="N324" i="1" s="1"/>
  <c r="Q324" i="1" s="1"/>
  <c r="K331" i="1"/>
  <c r="N331" i="1" s="1"/>
  <c r="Q331" i="1" s="1"/>
  <c r="K340" i="1"/>
  <c r="N340" i="1" s="1"/>
  <c r="Q340" i="1" s="1"/>
  <c r="K347" i="1"/>
  <c r="N347" i="1" s="1"/>
  <c r="Q347" i="1" s="1"/>
  <c r="O356" i="1"/>
  <c r="P356" i="1" s="1"/>
  <c r="R356" i="1" s="1"/>
  <c r="K358" i="1"/>
  <c r="N358" i="1" s="1"/>
  <c r="Q358" i="1" s="1"/>
  <c r="K361" i="1"/>
  <c r="N361" i="1" s="1"/>
  <c r="Q361" i="1" s="1"/>
  <c r="M363" i="1"/>
  <c r="K364" i="1"/>
  <c r="N364" i="1" s="1"/>
  <c r="Q364" i="1" s="1"/>
  <c r="K366" i="1"/>
  <c r="N366" i="1" s="1"/>
  <c r="Q366" i="1" s="1"/>
  <c r="K369" i="1"/>
  <c r="N369" i="1" s="1"/>
  <c r="Q369" i="1" s="1"/>
  <c r="K373" i="1"/>
  <c r="N373" i="1" s="1"/>
  <c r="Q373" i="1" s="1"/>
  <c r="M374" i="1"/>
  <c r="K374" i="1"/>
  <c r="N374" i="1" s="1"/>
  <c r="Q374" i="1" s="1"/>
  <c r="N393" i="1"/>
  <c r="Q393" i="1" s="1"/>
  <c r="K394" i="1"/>
  <c r="N394" i="1" s="1"/>
  <c r="Q394" i="1" s="1"/>
  <c r="N396" i="1"/>
  <c r="Q396" i="1" s="1"/>
  <c r="O397" i="1"/>
  <c r="P397" i="1" s="1"/>
  <c r="R397" i="1" s="1"/>
  <c r="N397" i="1"/>
  <c r="Q397" i="1" s="1"/>
  <c r="K416" i="1"/>
  <c r="N416" i="1" s="1"/>
  <c r="Q416" i="1" s="1"/>
  <c r="K425" i="1"/>
  <c r="N425" i="1" s="1"/>
  <c r="Q425" i="1" s="1"/>
  <c r="K429" i="1"/>
  <c r="N429" i="1" s="1"/>
  <c r="Q429" i="1" s="1"/>
  <c r="N200" i="1"/>
  <c r="Q200" i="1" s="1"/>
  <c r="K245" i="1"/>
  <c r="N245" i="1" s="1"/>
  <c r="Q245" i="1" s="1"/>
  <c r="K247" i="1"/>
  <c r="N247" i="1" s="1"/>
  <c r="Q247" i="1" s="1"/>
  <c r="K251" i="1"/>
  <c r="N251" i="1" s="1"/>
  <c r="Q251" i="1" s="1"/>
  <c r="K257" i="1"/>
  <c r="N257" i="1" s="1"/>
  <c r="Q257" i="1" s="1"/>
  <c r="K282" i="1"/>
  <c r="N282" i="1" s="1"/>
  <c r="Q282" i="1" s="1"/>
  <c r="K286" i="1"/>
  <c r="N286" i="1" s="1"/>
  <c r="Q286" i="1" s="1"/>
  <c r="K319" i="1"/>
  <c r="N319" i="1" s="1"/>
  <c r="Q319" i="1" s="1"/>
  <c r="K328" i="1"/>
  <c r="N328" i="1" s="1"/>
  <c r="Q328" i="1" s="1"/>
  <c r="K335" i="1"/>
  <c r="N335" i="1" s="1"/>
  <c r="Q335" i="1" s="1"/>
  <c r="K344" i="1"/>
  <c r="N344" i="1" s="1"/>
  <c r="Q344" i="1" s="1"/>
  <c r="K386" i="1"/>
  <c r="N386" i="1" s="1"/>
  <c r="Q386" i="1" s="1"/>
  <c r="M389" i="1"/>
  <c r="K389" i="1"/>
  <c r="N389" i="1" s="1"/>
  <c r="Q389" i="1" s="1"/>
  <c r="N390" i="1"/>
  <c r="Q390" i="1" s="1"/>
  <c r="O390" i="1"/>
  <c r="P390" i="1" s="1"/>
  <c r="R390" i="1" s="1"/>
  <c r="M404" i="1"/>
  <c r="K404" i="1"/>
  <c r="N404" i="1" s="1"/>
  <c r="Q404" i="1" s="1"/>
  <c r="K408" i="1"/>
  <c r="N408" i="1" s="1"/>
  <c r="Q408" i="1" s="1"/>
  <c r="M438" i="1"/>
  <c r="K438" i="1"/>
  <c r="N438" i="1" s="1"/>
  <c r="Q438" i="1" s="1"/>
  <c r="N436" i="1"/>
  <c r="Q436" i="1" s="1"/>
  <c r="K445" i="1"/>
  <c r="N445" i="1" s="1"/>
  <c r="Q445" i="1" s="1"/>
  <c r="K452" i="1"/>
  <c r="N452" i="1" s="1"/>
  <c r="Q452" i="1" s="1"/>
  <c r="K455" i="1"/>
  <c r="N455" i="1" s="1"/>
  <c r="Q455" i="1" s="1"/>
  <c r="K460" i="1"/>
  <c r="N460" i="1" s="1"/>
  <c r="Q460" i="1" s="1"/>
  <c r="K473" i="1"/>
  <c r="N473" i="1" s="1"/>
  <c r="Q473" i="1" s="1"/>
  <c r="K480" i="1"/>
  <c r="N480" i="1" s="1"/>
  <c r="Q480" i="1" s="1"/>
  <c r="K489" i="1"/>
  <c r="N489" i="1" s="1"/>
  <c r="Q489" i="1" s="1"/>
  <c r="K496" i="1"/>
  <c r="N496" i="1" s="1"/>
  <c r="Q496" i="1" s="1"/>
  <c r="K505" i="1"/>
  <c r="N505" i="1" s="1"/>
  <c r="Q505" i="1" s="1"/>
  <c r="K519" i="1"/>
  <c r="N519" i="1" s="1"/>
  <c r="Q519" i="1" s="1"/>
  <c r="K522" i="1"/>
  <c r="N522" i="1" s="1"/>
  <c r="Q522" i="1" s="1"/>
  <c r="K526" i="1"/>
  <c r="N526" i="1" s="1"/>
  <c r="Q526" i="1" s="1"/>
  <c r="K535" i="1"/>
  <c r="N535" i="1" s="1"/>
  <c r="Q535" i="1" s="1"/>
  <c r="K545" i="1"/>
  <c r="N545" i="1" s="1"/>
  <c r="Q545" i="1" s="1"/>
  <c r="K551" i="1"/>
  <c r="N551" i="1" s="1"/>
  <c r="Q551" i="1" s="1"/>
  <c r="M562" i="1"/>
  <c r="K563" i="1"/>
  <c r="N563" i="1" s="1"/>
  <c r="Q563" i="1" s="1"/>
  <c r="K568" i="1"/>
  <c r="N568" i="1" s="1"/>
  <c r="Q568" i="1" s="1"/>
  <c r="K576" i="1"/>
  <c r="N576" i="1" s="1"/>
  <c r="Q576" i="1" s="1"/>
  <c r="K587" i="1"/>
  <c r="M593" i="1"/>
  <c r="K600" i="1"/>
  <c r="N600" i="1" s="1"/>
  <c r="Q600" i="1" s="1"/>
  <c r="N515" i="1"/>
  <c r="Q515" i="1" s="1"/>
  <c r="N548" i="1"/>
  <c r="Q548" i="1" s="1"/>
  <c r="K579" i="1"/>
  <c r="N579" i="1" s="1"/>
  <c r="Q579" i="1" s="1"/>
  <c r="N587" i="1"/>
  <c r="Q587" i="1" s="1"/>
  <c r="N594" i="1"/>
  <c r="Q594" i="1" s="1"/>
  <c r="K611" i="1"/>
  <c r="N611" i="1" s="1"/>
  <c r="Q611" i="1" s="1"/>
  <c r="K619" i="1"/>
  <c r="N619" i="1" s="1"/>
  <c r="Q619" i="1" s="1"/>
  <c r="N400" i="1"/>
  <c r="Q400" i="1" s="1"/>
  <c r="K442" i="1"/>
  <c r="N442" i="1" s="1"/>
  <c r="Q442" i="1" s="1"/>
  <c r="K461" i="1"/>
  <c r="N461" i="1" s="1"/>
  <c r="Q461" i="1" s="1"/>
  <c r="K464" i="1"/>
  <c r="N464" i="1" s="1"/>
  <c r="Q464" i="1" s="1"/>
  <c r="N468" i="1"/>
  <c r="Q468" i="1" s="1"/>
  <c r="K469" i="1"/>
  <c r="N469" i="1" s="1"/>
  <c r="Q469" i="1" s="1"/>
  <c r="K476" i="1"/>
  <c r="N476" i="1" s="1"/>
  <c r="Q476" i="1" s="1"/>
  <c r="O477" i="1"/>
  <c r="P477" i="1" s="1"/>
  <c r="R477" i="1" s="1"/>
  <c r="K485" i="1"/>
  <c r="N485" i="1" s="1"/>
  <c r="Q485" i="1" s="1"/>
  <c r="K492" i="1"/>
  <c r="N492" i="1" s="1"/>
  <c r="Q492" i="1" s="1"/>
  <c r="K501" i="1"/>
  <c r="N501" i="1" s="1"/>
  <c r="Q501" i="1" s="1"/>
  <c r="K508" i="1"/>
  <c r="N508" i="1" s="1"/>
  <c r="Q508" i="1" s="1"/>
  <c r="O509" i="1"/>
  <c r="P509" i="1" s="1"/>
  <c r="R509" i="1" s="1"/>
  <c r="O513" i="1"/>
  <c r="P513" i="1" s="1"/>
  <c r="R513" i="1" s="1"/>
  <c r="K514" i="1"/>
  <c r="N514" i="1" s="1"/>
  <c r="Q514" i="1" s="1"/>
  <c r="O515" i="1"/>
  <c r="P515" i="1" s="1"/>
  <c r="R515" i="1" s="1"/>
  <c r="K523" i="1"/>
  <c r="N523" i="1" s="1"/>
  <c r="Q523" i="1" s="1"/>
  <c r="M525" i="1"/>
  <c r="K530" i="1"/>
  <c r="N530" i="1" s="1"/>
  <c r="Q530" i="1" s="1"/>
  <c r="K538" i="1"/>
  <c r="N538" i="1" s="1"/>
  <c r="Q538" i="1" s="1"/>
  <c r="M542" i="1"/>
  <c r="K544" i="1"/>
  <c r="N544" i="1" s="1"/>
  <c r="Q544" i="1" s="1"/>
  <c r="O548" i="1"/>
  <c r="P548" i="1" s="1"/>
  <c r="R548" i="1" s="1"/>
  <c r="N550" i="1"/>
  <c r="Q550" i="1" s="1"/>
  <c r="M558" i="1"/>
  <c r="K559" i="1"/>
  <c r="N559" i="1" s="1"/>
  <c r="Q559" i="1" s="1"/>
  <c r="K564" i="1"/>
  <c r="N564" i="1" s="1"/>
  <c r="Q564" i="1" s="1"/>
  <c r="K571" i="1"/>
  <c r="N571" i="1" s="1"/>
  <c r="Q571" i="1" s="1"/>
  <c r="M573" i="1"/>
  <c r="K575" i="1"/>
  <c r="N575" i="1" s="1"/>
  <c r="Q575" i="1" s="1"/>
  <c r="K595" i="1"/>
  <c r="N595" i="1" s="1"/>
  <c r="Q595" i="1" s="1"/>
  <c r="K610" i="1"/>
  <c r="N610" i="1" s="1"/>
  <c r="Q610" i="1" s="1"/>
  <c r="K618" i="1"/>
  <c r="N618" i="1" s="1"/>
  <c r="Q618" i="1" s="1"/>
  <c r="M4" i="1"/>
  <c r="M40" i="1"/>
  <c r="M44" i="1"/>
  <c r="M48" i="1"/>
  <c r="M52" i="1"/>
  <c r="M56" i="1"/>
  <c r="M72" i="1"/>
  <c r="M80" i="1"/>
  <c r="M32" i="1"/>
  <c r="M76" i="1"/>
  <c r="O198" i="1"/>
  <c r="P198" i="1" s="1"/>
  <c r="R198" i="1" s="1"/>
  <c r="N198" i="1"/>
  <c r="Q198" i="1" s="1"/>
  <c r="K268" i="1"/>
  <c r="N268" i="1" s="1"/>
  <c r="Q268" i="1" s="1"/>
  <c r="M268" i="1"/>
  <c r="N4" i="1"/>
  <c r="Q4" i="1" s="1"/>
  <c r="K5" i="1"/>
  <c r="N5" i="1" s="1"/>
  <c r="Q5" i="1" s="1"/>
  <c r="K13" i="1"/>
  <c r="N13" i="1" s="1"/>
  <c r="Q13" i="1" s="1"/>
  <c r="M15" i="1"/>
  <c r="K17" i="1"/>
  <c r="N17" i="1" s="1"/>
  <c r="Q17" i="1" s="1"/>
  <c r="M19" i="1"/>
  <c r="K21" i="1"/>
  <c r="N21" i="1" s="1"/>
  <c r="Q21" i="1" s="1"/>
  <c r="M23" i="1"/>
  <c r="K25" i="1"/>
  <c r="N25" i="1" s="1"/>
  <c r="Q25" i="1" s="1"/>
  <c r="K29" i="1"/>
  <c r="N29" i="1" s="1"/>
  <c r="Q29" i="1" s="1"/>
  <c r="M31" i="1"/>
  <c r="K33" i="1"/>
  <c r="N33" i="1" s="1"/>
  <c r="Q33" i="1" s="1"/>
  <c r="M35" i="1"/>
  <c r="K37" i="1"/>
  <c r="N37" i="1" s="1"/>
  <c r="Q37" i="1" s="1"/>
  <c r="M39" i="1"/>
  <c r="K41" i="1"/>
  <c r="N41" i="1" s="1"/>
  <c r="Q41" i="1" s="1"/>
  <c r="M43" i="1"/>
  <c r="M47" i="1"/>
  <c r="M51" i="1"/>
  <c r="M55" i="1"/>
  <c r="M59" i="1"/>
  <c r="M63" i="1"/>
  <c r="M67" i="1"/>
  <c r="M71" i="1"/>
  <c r="M75" i="1"/>
  <c r="M79" i="1"/>
  <c r="M83" i="1"/>
  <c r="N86" i="1"/>
  <c r="Q86" i="1" s="1"/>
  <c r="M93" i="1"/>
  <c r="M99" i="1"/>
  <c r="O163" i="1"/>
  <c r="P163" i="1" s="1"/>
  <c r="R163" i="1" s="1"/>
  <c r="N195" i="1"/>
  <c r="Q195" i="1" s="1"/>
  <c r="O195" i="1"/>
  <c r="P195" i="1" s="1"/>
  <c r="R195" i="1" s="1"/>
  <c r="N202" i="1"/>
  <c r="Q202" i="1" s="1"/>
  <c r="N243" i="1"/>
  <c r="Q243" i="1" s="1"/>
  <c r="O243" i="1"/>
  <c r="P243" i="1" s="1"/>
  <c r="R243" i="1" s="1"/>
  <c r="M24" i="1"/>
  <c r="M28" i="1"/>
  <c r="M60" i="1"/>
  <c r="M64" i="1"/>
  <c r="O159" i="1"/>
  <c r="P159" i="1" s="1"/>
  <c r="R159" i="1" s="1"/>
  <c r="N159" i="1"/>
  <c r="Q159" i="1" s="1"/>
  <c r="M7" i="1"/>
  <c r="M11" i="1"/>
  <c r="N3" i="1"/>
  <c r="Q3" i="1" s="1"/>
  <c r="N7" i="1"/>
  <c r="Q7" i="1" s="1"/>
  <c r="K8" i="1"/>
  <c r="N8" i="1" s="1"/>
  <c r="Q8" i="1" s="1"/>
  <c r="N11" i="1"/>
  <c r="Q11" i="1" s="1"/>
  <c r="K12" i="1"/>
  <c r="N12" i="1" s="1"/>
  <c r="Q12" i="1" s="1"/>
  <c r="K16" i="1"/>
  <c r="N16" i="1" s="1"/>
  <c r="Q16" i="1" s="1"/>
  <c r="K20" i="1"/>
  <c r="N20" i="1" s="1"/>
  <c r="Q20" i="1" s="1"/>
  <c r="K36" i="1"/>
  <c r="N36" i="1" s="1"/>
  <c r="Q36" i="1" s="1"/>
  <c r="N43" i="1"/>
  <c r="Q43" i="1" s="1"/>
  <c r="N47" i="1"/>
  <c r="Q47" i="1" s="1"/>
  <c r="N51" i="1"/>
  <c r="Q51" i="1" s="1"/>
  <c r="K68" i="1"/>
  <c r="N68" i="1" s="1"/>
  <c r="Q68" i="1" s="1"/>
  <c r="N84" i="1"/>
  <c r="Q84" i="1" s="1"/>
  <c r="K95" i="1"/>
  <c r="N95" i="1" s="1"/>
  <c r="Q95" i="1" s="1"/>
  <c r="M109" i="1"/>
  <c r="M112" i="1"/>
  <c r="O119" i="1"/>
  <c r="P119" i="1" s="1"/>
  <c r="R119" i="1" s="1"/>
  <c r="N119" i="1"/>
  <c r="Q119" i="1" s="1"/>
  <c r="M128" i="1"/>
  <c r="M144" i="1"/>
  <c r="M160" i="1"/>
  <c r="M176" i="1"/>
  <c r="M185" i="1"/>
  <c r="K188" i="1"/>
  <c r="N188" i="1" s="1"/>
  <c r="Q188" i="1" s="1"/>
  <c r="M188" i="1"/>
  <c r="M191" i="1"/>
  <c r="O196" i="1"/>
  <c r="P196" i="1" s="1"/>
  <c r="R196" i="1" s="1"/>
  <c r="N196" i="1"/>
  <c r="Q196" i="1" s="1"/>
  <c r="M201" i="1"/>
  <c r="K204" i="1"/>
  <c r="N204" i="1" s="1"/>
  <c r="Q204" i="1" s="1"/>
  <c r="M204" i="1"/>
  <c r="M207" i="1"/>
  <c r="O212" i="1"/>
  <c r="P212" i="1" s="1"/>
  <c r="R212" i="1" s="1"/>
  <c r="N212" i="1"/>
  <c r="Q212" i="1" s="1"/>
  <c r="K220" i="1"/>
  <c r="N220" i="1" s="1"/>
  <c r="Q220" i="1" s="1"/>
  <c r="M220" i="1"/>
  <c r="K236" i="1"/>
  <c r="N236" i="1" s="1"/>
  <c r="Q236" i="1" s="1"/>
  <c r="M236" i="1"/>
  <c r="O244" i="1"/>
  <c r="P244" i="1" s="1"/>
  <c r="R244" i="1" s="1"/>
  <c r="N244" i="1"/>
  <c r="Q244" i="1" s="1"/>
  <c r="O275" i="1"/>
  <c r="P275" i="1" s="1"/>
  <c r="R275" i="1" s="1"/>
  <c r="N275" i="1"/>
  <c r="Q275" i="1" s="1"/>
  <c r="N83" i="1"/>
  <c r="Q83" i="1" s="1"/>
  <c r="O127" i="1"/>
  <c r="P127" i="1" s="1"/>
  <c r="R127" i="1" s="1"/>
  <c r="O246" i="1"/>
  <c r="P246" i="1" s="1"/>
  <c r="R246" i="1" s="1"/>
  <c r="N246" i="1"/>
  <c r="Q246" i="1" s="1"/>
  <c r="O87" i="1"/>
  <c r="P87" i="1" s="1"/>
  <c r="R87" i="1" s="1"/>
  <c r="K88" i="1"/>
  <c r="N88" i="1" s="1"/>
  <c r="Q88" i="1" s="1"/>
  <c r="M92" i="1"/>
  <c r="M105" i="1"/>
  <c r="M108" i="1"/>
  <c r="M116" i="1"/>
  <c r="O123" i="1"/>
  <c r="P123" i="1" s="1"/>
  <c r="R123" i="1" s="1"/>
  <c r="M132" i="1"/>
  <c r="M148" i="1"/>
  <c r="M164" i="1"/>
  <c r="O171" i="1"/>
  <c r="P171" i="1" s="1"/>
  <c r="R171" i="1" s="1"/>
  <c r="N171" i="1"/>
  <c r="Q171" i="1" s="1"/>
  <c r="M180" i="1"/>
  <c r="K113" i="1"/>
  <c r="N113" i="1" s="1"/>
  <c r="Q113" i="1" s="1"/>
  <c r="K117" i="1"/>
  <c r="N117" i="1" s="1"/>
  <c r="Q117" i="1" s="1"/>
  <c r="N120" i="1"/>
  <c r="Q120" i="1" s="1"/>
  <c r="K121" i="1"/>
  <c r="N121" i="1" s="1"/>
  <c r="Q121" i="1" s="1"/>
  <c r="N124" i="1"/>
  <c r="Q124" i="1" s="1"/>
  <c r="K125" i="1"/>
  <c r="N125" i="1" s="1"/>
  <c r="Q125" i="1" s="1"/>
  <c r="K129" i="1"/>
  <c r="N129" i="1" s="1"/>
  <c r="Q129" i="1" s="1"/>
  <c r="K133" i="1"/>
  <c r="N133" i="1" s="1"/>
  <c r="Q133" i="1" s="1"/>
  <c r="K137" i="1"/>
  <c r="N137" i="1" s="1"/>
  <c r="Q137" i="1" s="1"/>
  <c r="K141" i="1"/>
  <c r="N141" i="1" s="1"/>
  <c r="Q141" i="1" s="1"/>
  <c r="K145" i="1"/>
  <c r="N145" i="1" s="1"/>
  <c r="Q145" i="1" s="1"/>
  <c r="K149" i="1"/>
  <c r="N149" i="1" s="1"/>
  <c r="Q149" i="1" s="1"/>
  <c r="K153" i="1"/>
  <c r="N153" i="1" s="1"/>
  <c r="Q153" i="1" s="1"/>
  <c r="N156" i="1"/>
  <c r="Q156" i="1" s="1"/>
  <c r="K157" i="1"/>
  <c r="N157" i="1" s="1"/>
  <c r="Q157" i="1" s="1"/>
  <c r="N160" i="1"/>
  <c r="Q160" i="1" s="1"/>
  <c r="K161" i="1"/>
  <c r="N161" i="1" s="1"/>
  <c r="Q161" i="1" s="1"/>
  <c r="N164" i="1"/>
  <c r="Q164" i="1" s="1"/>
  <c r="K165" i="1"/>
  <c r="N165" i="1" s="1"/>
  <c r="Q165" i="1" s="1"/>
  <c r="K169" i="1"/>
  <c r="N169" i="1" s="1"/>
  <c r="Q169" i="1" s="1"/>
  <c r="K173" i="1"/>
  <c r="N173" i="1" s="1"/>
  <c r="Q173" i="1" s="1"/>
  <c r="K177" i="1"/>
  <c r="N177" i="1" s="1"/>
  <c r="Q177" i="1" s="1"/>
  <c r="K181" i="1"/>
  <c r="N181" i="1" s="1"/>
  <c r="Q181" i="1" s="1"/>
  <c r="K187" i="1"/>
  <c r="N187" i="1" s="1"/>
  <c r="Q187" i="1" s="1"/>
  <c r="K197" i="1"/>
  <c r="N197" i="1" s="1"/>
  <c r="Q197" i="1" s="1"/>
  <c r="N199" i="1"/>
  <c r="Q199" i="1" s="1"/>
  <c r="K203" i="1"/>
  <c r="K213" i="1"/>
  <c r="N213" i="1" s="1"/>
  <c r="Q213" i="1" s="1"/>
  <c r="K219" i="1"/>
  <c r="N219" i="1" s="1"/>
  <c r="Q219" i="1" s="1"/>
  <c r="K229" i="1"/>
  <c r="N229" i="1" s="1"/>
  <c r="Q229" i="1" s="1"/>
  <c r="K235" i="1"/>
  <c r="N235" i="1" s="1"/>
  <c r="Q235" i="1" s="1"/>
  <c r="N240" i="1"/>
  <c r="Q240" i="1" s="1"/>
  <c r="M184" i="1"/>
  <c r="M200" i="1"/>
  <c r="N203" i="1"/>
  <c r="Q203" i="1" s="1"/>
  <c r="M216" i="1"/>
  <c r="M232" i="1"/>
  <c r="K273" i="1"/>
  <c r="N273" i="1" s="1"/>
  <c r="Q273" i="1" s="1"/>
  <c r="M273" i="1"/>
  <c r="N239" i="1"/>
  <c r="Q239" i="1" s="1"/>
  <c r="O251" i="1"/>
  <c r="P251" i="1" s="1"/>
  <c r="R251" i="1" s="1"/>
  <c r="M255" i="1"/>
  <c r="M259" i="1"/>
  <c r="M263" i="1"/>
  <c r="M267" i="1"/>
  <c r="M274" i="1"/>
  <c r="M276" i="1"/>
  <c r="M269" i="1"/>
  <c r="N280" i="1"/>
  <c r="Q280" i="1" s="1"/>
  <c r="N352" i="1"/>
  <c r="Q352" i="1" s="1"/>
  <c r="N289" i="1"/>
  <c r="Q289" i="1" s="1"/>
  <c r="K290" i="1"/>
  <c r="N290" i="1" s="1"/>
  <c r="Q290" i="1" s="1"/>
  <c r="M292" i="1"/>
  <c r="K294" i="1"/>
  <c r="N294" i="1" s="1"/>
  <c r="Q294" i="1" s="1"/>
  <c r="M296" i="1"/>
  <c r="K298" i="1"/>
  <c r="N298" i="1" s="1"/>
  <c r="Q298" i="1" s="1"/>
  <c r="M300" i="1"/>
  <c r="K302" i="1"/>
  <c r="N302" i="1" s="1"/>
  <c r="Q302" i="1" s="1"/>
  <c r="M304" i="1"/>
  <c r="K306" i="1"/>
  <c r="N306" i="1" s="1"/>
  <c r="Q306" i="1" s="1"/>
  <c r="M308" i="1"/>
  <c r="K310" i="1"/>
  <c r="N310" i="1" s="1"/>
  <c r="Q310" i="1" s="1"/>
  <c r="M312" i="1"/>
  <c r="K314" i="1"/>
  <c r="N314" i="1" s="1"/>
  <c r="Q314" i="1" s="1"/>
  <c r="K318" i="1"/>
  <c r="N318" i="1" s="1"/>
  <c r="Q318" i="1" s="1"/>
  <c r="K322" i="1"/>
  <c r="N322" i="1" s="1"/>
  <c r="Q322" i="1" s="1"/>
  <c r="K326" i="1"/>
  <c r="N326" i="1" s="1"/>
  <c r="Q326" i="1" s="1"/>
  <c r="K330" i="1"/>
  <c r="N330" i="1" s="1"/>
  <c r="Q330" i="1" s="1"/>
  <c r="K334" i="1"/>
  <c r="N334" i="1" s="1"/>
  <c r="Q334" i="1" s="1"/>
  <c r="K338" i="1"/>
  <c r="N338" i="1" s="1"/>
  <c r="Q338" i="1" s="1"/>
  <c r="K342" i="1"/>
  <c r="N342" i="1" s="1"/>
  <c r="Q342" i="1" s="1"/>
  <c r="K346" i="1"/>
  <c r="N346" i="1" s="1"/>
  <c r="Q346" i="1" s="1"/>
  <c r="K350" i="1"/>
  <c r="N350" i="1" s="1"/>
  <c r="Q350" i="1" s="1"/>
  <c r="M352" i="1"/>
  <c r="N353" i="1"/>
  <c r="Q353" i="1" s="1"/>
  <c r="K354" i="1"/>
  <c r="N354" i="1" s="1"/>
  <c r="Q354" i="1" s="1"/>
  <c r="M356" i="1"/>
  <c r="K362" i="1"/>
  <c r="N362" i="1" s="1"/>
  <c r="Q362" i="1" s="1"/>
  <c r="K277" i="1"/>
  <c r="N277" i="1" s="1"/>
  <c r="Q277" i="1" s="1"/>
  <c r="K281" i="1"/>
  <c r="N281" i="1" s="1"/>
  <c r="Q281" i="1" s="1"/>
  <c r="K285" i="1"/>
  <c r="N285" i="1" s="1"/>
  <c r="Q285" i="1" s="1"/>
  <c r="K289" i="1"/>
  <c r="K293" i="1"/>
  <c r="N293" i="1" s="1"/>
  <c r="Q293" i="1" s="1"/>
  <c r="K297" i="1"/>
  <c r="N297" i="1" s="1"/>
  <c r="Q297" i="1" s="1"/>
  <c r="K301" i="1"/>
  <c r="N301" i="1" s="1"/>
  <c r="Q301" i="1" s="1"/>
  <c r="K305" i="1"/>
  <c r="N305" i="1" s="1"/>
  <c r="Q305" i="1" s="1"/>
  <c r="K309" i="1"/>
  <c r="N309" i="1" s="1"/>
  <c r="Q309" i="1" s="1"/>
  <c r="K313" i="1"/>
  <c r="N313" i="1" s="1"/>
  <c r="Q313" i="1" s="1"/>
  <c r="K317" i="1"/>
  <c r="N317" i="1" s="1"/>
  <c r="Q317" i="1" s="1"/>
  <c r="K321" i="1"/>
  <c r="N321" i="1" s="1"/>
  <c r="Q321" i="1" s="1"/>
  <c r="K325" i="1"/>
  <c r="N325" i="1" s="1"/>
  <c r="Q325" i="1" s="1"/>
  <c r="K329" i="1"/>
  <c r="N329" i="1" s="1"/>
  <c r="Q329" i="1" s="1"/>
  <c r="K333" i="1"/>
  <c r="N333" i="1" s="1"/>
  <c r="Q333" i="1" s="1"/>
  <c r="K337" i="1"/>
  <c r="N337" i="1" s="1"/>
  <c r="Q337" i="1" s="1"/>
  <c r="K341" i="1"/>
  <c r="N341" i="1" s="1"/>
  <c r="Q341" i="1" s="1"/>
  <c r="K345" i="1"/>
  <c r="N345" i="1" s="1"/>
  <c r="Q345" i="1" s="1"/>
  <c r="K349" i="1"/>
  <c r="N349" i="1" s="1"/>
  <c r="Q349" i="1" s="1"/>
  <c r="K353" i="1"/>
  <c r="K357" i="1"/>
  <c r="N357" i="1" s="1"/>
  <c r="Q357" i="1" s="1"/>
  <c r="M359" i="1"/>
  <c r="M368" i="1"/>
  <c r="M370" i="1"/>
  <c r="M372" i="1"/>
  <c r="N351" i="1"/>
  <c r="Q351" i="1" s="1"/>
  <c r="N355" i="1"/>
  <c r="Q355" i="1" s="1"/>
  <c r="N359" i="1"/>
  <c r="Q359" i="1" s="1"/>
  <c r="M376" i="1"/>
  <c r="M380" i="1"/>
  <c r="N391" i="1"/>
  <c r="Q391" i="1" s="1"/>
  <c r="K371" i="1"/>
  <c r="N371" i="1" s="1"/>
  <c r="Q371" i="1" s="1"/>
  <c r="K375" i="1"/>
  <c r="N375" i="1" s="1"/>
  <c r="Q375" i="1" s="1"/>
  <c r="K379" i="1"/>
  <c r="N379" i="1" s="1"/>
  <c r="Q379" i="1" s="1"/>
  <c r="K383" i="1"/>
  <c r="N383" i="1" s="1"/>
  <c r="Q383" i="1" s="1"/>
  <c r="K387" i="1"/>
  <c r="N387" i="1" s="1"/>
  <c r="Q387" i="1" s="1"/>
  <c r="K391" i="1"/>
  <c r="O391" i="1"/>
  <c r="P391" i="1" s="1"/>
  <c r="R391" i="1" s="1"/>
  <c r="K395" i="1"/>
  <c r="N395" i="1" s="1"/>
  <c r="Q395" i="1" s="1"/>
  <c r="O395" i="1"/>
  <c r="P395" i="1" s="1"/>
  <c r="R395" i="1" s="1"/>
  <c r="K399" i="1"/>
  <c r="N399" i="1" s="1"/>
  <c r="Q399" i="1" s="1"/>
  <c r="O399" i="1"/>
  <c r="P399" i="1" s="1"/>
  <c r="R399" i="1" s="1"/>
  <c r="K403" i="1"/>
  <c r="N403" i="1" s="1"/>
  <c r="Q403" i="1" s="1"/>
  <c r="K407" i="1"/>
  <c r="N407" i="1" s="1"/>
  <c r="Q407" i="1" s="1"/>
  <c r="K411" i="1"/>
  <c r="N411" i="1" s="1"/>
  <c r="Q411" i="1" s="1"/>
  <c r="K415" i="1"/>
  <c r="N415" i="1" s="1"/>
  <c r="Q415" i="1" s="1"/>
  <c r="K419" i="1"/>
  <c r="N419" i="1" s="1"/>
  <c r="Q419" i="1" s="1"/>
  <c r="K423" i="1"/>
  <c r="N423" i="1" s="1"/>
  <c r="Q423" i="1" s="1"/>
  <c r="K427" i="1"/>
  <c r="N427" i="1" s="1"/>
  <c r="Q427" i="1" s="1"/>
  <c r="K431" i="1"/>
  <c r="N431" i="1" s="1"/>
  <c r="Q431" i="1" s="1"/>
  <c r="K435" i="1"/>
  <c r="N435" i="1" s="1"/>
  <c r="Q435" i="1" s="1"/>
  <c r="K439" i="1"/>
  <c r="N439" i="1" s="1"/>
  <c r="Q439" i="1" s="1"/>
  <c r="K443" i="1"/>
  <c r="N443" i="1" s="1"/>
  <c r="Q443" i="1" s="1"/>
  <c r="O443" i="1"/>
  <c r="P443" i="1" s="1"/>
  <c r="R443" i="1" s="1"/>
  <c r="K447" i="1"/>
  <c r="N447" i="1" s="1"/>
  <c r="Q447" i="1" s="1"/>
  <c r="M450" i="1"/>
  <c r="K451" i="1"/>
  <c r="N451" i="1" s="1"/>
  <c r="Q451" i="1" s="1"/>
  <c r="K457" i="1"/>
  <c r="N457" i="1" s="1"/>
  <c r="Q457" i="1" s="1"/>
  <c r="M384" i="1"/>
  <c r="M388" i="1"/>
  <c r="M392" i="1"/>
  <c r="M396" i="1"/>
  <c r="M400" i="1"/>
  <c r="N401" i="1"/>
  <c r="Q401" i="1" s="1"/>
  <c r="K402" i="1"/>
  <c r="N402" i="1" s="1"/>
  <c r="Q402" i="1" s="1"/>
  <c r="K406" i="1"/>
  <c r="N406" i="1" s="1"/>
  <c r="Q406" i="1" s="1"/>
  <c r="K410" i="1"/>
  <c r="N410" i="1" s="1"/>
  <c r="Q410" i="1" s="1"/>
  <c r="K414" i="1"/>
  <c r="N414" i="1" s="1"/>
  <c r="Q414" i="1" s="1"/>
  <c r="K418" i="1"/>
  <c r="N418" i="1" s="1"/>
  <c r="Q418" i="1" s="1"/>
  <c r="K422" i="1"/>
  <c r="N422" i="1" s="1"/>
  <c r="Q422" i="1" s="1"/>
  <c r="K426" i="1"/>
  <c r="N426" i="1" s="1"/>
  <c r="Q426" i="1" s="1"/>
  <c r="K430" i="1"/>
  <c r="N430" i="1" s="1"/>
  <c r="Q430" i="1" s="1"/>
  <c r="K434" i="1"/>
  <c r="N434" i="1" s="1"/>
  <c r="Q434" i="1" s="1"/>
  <c r="M436" i="1"/>
  <c r="M440" i="1"/>
  <c r="M444" i="1"/>
  <c r="K446" i="1"/>
  <c r="N446" i="1" s="1"/>
  <c r="Q446" i="1" s="1"/>
  <c r="M448" i="1"/>
  <c r="M453" i="1"/>
  <c r="M454" i="1"/>
  <c r="M463" i="1"/>
  <c r="K467" i="1"/>
  <c r="N467" i="1" s="1"/>
  <c r="Q467" i="1" s="1"/>
  <c r="K471" i="1"/>
  <c r="N471" i="1" s="1"/>
  <c r="Q471" i="1" s="1"/>
  <c r="K475" i="1"/>
  <c r="N475" i="1" s="1"/>
  <c r="Q475" i="1" s="1"/>
  <c r="K479" i="1"/>
  <c r="N479" i="1" s="1"/>
  <c r="Q479" i="1" s="1"/>
  <c r="K483" i="1"/>
  <c r="N483" i="1" s="1"/>
  <c r="Q483" i="1" s="1"/>
  <c r="K487" i="1"/>
  <c r="N487" i="1" s="1"/>
  <c r="Q487" i="1" s="1"/>
  <c r="K491" i="1"/>
  <c r="N491" i="1" s="1"/>
  <c r="Q491" i="1" s="1"/>
  <c r="K495" i="1"/>
  <c r="N495" i="1" s="1"/>
  <c r="Q495" i="1" s="1"/>
  <c r="K499" i="1"/>
  <c r="N499" i="1" s="1"/>
  <c r="Q499" i="1" s="1"/>
  <c r="K503" i="1"/>
  <c r="N503" i="1" s="1"/>
  <c r="Q503" i="1" s="1"/>
  <c r="K507" i="1"/>
  <c r="N507" i="1" s="1"/>
  <c r="Q507" i="1" s="1"/>
  <c r="K511" i="1"/>
  <c r="N511" i="1" s="1"/>
  <c r="Q511" i="1" s="1"/>
  <c r="O516" i="1"/>
  <c r="P516" i="1" s="1"/>
  <c r="R516" i="1" s="1"/>
  <c r="N516" i="1"/>
  <c r="Q516" i="1" s="1"/>
  <c r="K578" i="1"/>
  <c r="N578" i="1" s="1"/>
  <c r="Q578" i="1" s="1"/>
  <c r="M578" i="1"/>
  <c r="K462" i="1"/>
  <c r="N462" i="1" s="1"/>
  <c r="Q462" i="1" s="1"/>
  <c r="K466" i="1"/>
  <c r="N466" i="1" s="1"/>
  <c r="Q466" i="1" s="1"/>
  <c r="K470" i="1"/>
  <c r="N470" i="1" s="1"/>
  <c r="Q470" i="1" s="1"/>
  <c r="K474" i="1"/>
  <c r="N474" i="1" s="1"/>
  <c r="Q474" i="1" s="1"/>
  <c r="K478" i="1"/>
  <c r="N478" i="1" s="1"/>
  <c r="Q478" i="1" s="1"/>
  <c r="K482" i="1"/>
  <c r="N482" i="1" s="1"/>
  <c r="Q482" i="1" s="1"/>
  <c r="K486" i="1"/>
  <c r="N486" i="1" s="1"/>
  <c r="Q486" i="1" s="1"/>
  <c r="K490" i="1"/>
  <c r="N490" i="1" s="1"/>
  <c r="Q490" i="1" s="1"/>
  <c r="K494" i="1"/>
  <c r="N494" i="1" s="1"/>
  <c r="Q494" i="1" s="1"/>
  <c r="K498" i="1"/>
  <c r="N498" i="1" s="1"/>
  <c r="Q498" i="1" s="1"/>
  <c r="K502" i="1"/>
  <c r="N502" i="1" s="1"/>
  <c r="Q502" i="1" s="1"/>
  <c r="K506" i="1"/>
  <c r="N506" i="1" s="1"/>
  <c r="Q506" i="1" s="1"/>
  <c r="K510" i="1"/>
  <c r="N510" i="1" s="1"/>
  <c r="Q510" i="1" s="1"/>
  <c r="O512" i="1"/>
  <c r="P512" i="1" s="1"/>
  <c r="R512" i="1" s="1"/>
  <c r="N512" i="1"/>
  <c r="Q512" i="1" s="1"/>
  <c r="M513" i="1"/>
  <c r="M529" i="1"/>
  <c r="K546" i="1"/>
  <c r="N546" i="1" s="1"/>
  <c r="Q546" i="1" s="1"/>
  <c r="M546" i="1"/>
  <c r="N553" i="1"/>
  <c r="Q553" i="1" s="1"/>
  <c r="O553" i="1"/>
  <c r="P553" i="1" s="1"/>
  <c r="R553" i="1" s="1"/>
  <c r="K557" i="1"/>
  <c r="M557" i="1"/>
  <c r="K565" i="1"/>
  <c r="N565" i="1" s="1"/>
  <c r="Q565" i="1" s="1"/>
  <c r="M565" i="1"/>
  <c r="N588" i="1"/>
  <c r="Q588" i="1" s="1"/>
  <c r="O588" i="1"/>
  <c r="P588" i="1" s="1"/>
  <c r="R588" i="1" s="1"/>
  <c r="M517" i="1"/>
  <c r="M533" i="1"/>
  <c r="M549" i="1"/>
  <c r="O554" i="1"/>
  <c r="P554" i="1" s="1"/>
  <c r="R554" i="1" s="1"/>
  <c r="N554" i="1"/>
  <c r="Q554" i="1" s="1"/>
  <c r="M521" i="1"/>
  <c r="M537" i="1"/>
  <c r="N556" i="1"/>
  <c r="Q556" i="1" s="1"/>
  <c r="O556" i="1"/>
  <c r="P556" i="1" s="1"/>
  <c r="R556" i="1" s="1"/>
  <c r="M516" i="1"/>
  <c r="M520" i="1"/>
  <c r="M524" i="1"/>
  <c r="M528" i="1"/>
  <c r="M532" i="1"/>
  <c r="M536" i="1"/>
  <c r="M547" i="1"/>
  <c r="M553" i="1"/>
  <c r="M554" i="1"/>
  <c r="M561" i="1"/>
  <c r="K605" i="1"/>
  <c r="N605" i="1" s="1"/>
  <c r="Q605" i="1" s="1"/>
  <c r="M605" i="1"/>
  <c r="O557" i="1"/>
  <c r="P557" i="1" s="1"/>
  <c r="R557" i="1" s="1"/>
  <c r="N557" i="1"/>
  <c r="Q557" i="1" s="1"/>
  <c r="K540" i="1"/>
  <c r="N540" i="1" s="1"/>
  <c r="Q540" i="1" s="1"/>
  <c r="N549" i="1"/>
  <c r="Q549" i="1" s="1"/>
  <c r="K581" i="1"/>
  <c r="N581" i="1" s="1"/>
  <c r="Q581" i="1" s="1"/>
  <c r="M581" i="1"/>
  <c r="K570" i="1"/>
  <c r="N570" i="1" s="1"/>
  <c r="Q570" i="1" s="1"/>
  <c r="K574" i="1"/>
  <c r="N574" i="1" s="1"/>
  <c r="Q574" i="1" s="1"/>
  <c r="K580" i="1"/>
  <c r="N580" i="1" s="1"/>
  <c r="Q580" i="1" s="1"/>
  <c r="M589" i="1"/>
  <c r="N591" i="1"/>
  <c r="Q591" i="1" s="1"/>
  <c r="M597" i="1"/>
  <c r="M577" i="1"/>
  <c r="O592" i="1"/>
  <c r="P592" i="1" s="1"/>
  <c r="R592" i="1" s="1"/>
  <c r="N592" i="1"/>
  <c r="Q592" i="1" s="1"/>
  <c r="M601" i="1"/>
  <c r="O596" i="1"/>
  <c r="P596" i="1" s="1"/>
  <c r="R596" i="1" s="1"/>
  <c r="N596" i="1"/>
  <c r="Q596" i="1" s="1"/>
  <c r="M609" i="1"/>
  <c r="M613" i="1"/>
  <c r="M617" i="1"/>
  <c r="M621" i="1"/>
  <c r="M592" i="1"/>
  <c r="M596" i="1"/>
  <c r="K598" i="1"/>
  <c r="N598" i="1" s="1"/>
  <c r="Q598" i="1" s="1"/>
  <c r="N601" i="1"/>
  <c r="Q601" i="1" s="1"/>
  <c r="M604" i="1"/>
  <c r="M608" i="1"/>
  <c r="M612" i="1"/>
  <c r="M616" i="1"/>
  <c r="M620" i="1"/>
  <c r="M624" i="1"/>
</calcChain>
</file>

<file path=xl/sharedStrings.xml><?xml version="1.0" encoding="utf-8"?>
<sst xmlns="http://schemas.openxmlformats.org/spreadsheetml/2006/main" count="6575" uniqueCount="1828">
  <si>
    <t>Кадастровый номер</t>
  </si>
  <si>
    <t>Количество этажей</t>
  </si>
  <si>
    <t>В том числе подземных этажей</t>
  </si>
  <si>
    <t>Этажность</t>
  </si>
  <si>
    <t>Этажность источник</t>
  </si>
  <si>
    <t>1</t>
  </si>
  <si>
    <t xml:space="preserve">Значение определено ГБУ СО ЦГКО(среднее значение по кад кварталу, назначению, материалу) </t>
  </si>
  <si>
    <t>2</t>
  </si>
  <si>
    <t>3</t>
  </si>
  <si>
    <t>1-3</t>
  </si>
  <si>
    <t>0-1</t>
  </si>
  <si>
    <t>6</t>
  </si>
  <si>
    <t>4</t>
  </si>
  <si>
    <t>1 с заглублением</t>
  </si>
  <si>
    <t>17</t>
  </si>
  <si>
    <t>10</t>
  </si>
  <si>
    <t>5</t>
  </si>
  <si>
    <t>подвал</t>
  </si>
  <si>
    <t>9</t>
  </si>
  <si>
    <t>2-5</t>
  </si>
  <si>
    <t>4-2</t>
  </si>
  <si>
    <t>1-2</t>
  </si>
  <si>
    <t>1 - 3</t>
  </si>
  <si>
    <t>0 - 1</t>
  </si>
  <si>
    <t>0</t>
  </si>
  <si>
    <t>23</t>
  </si>
  <si>
    <t>1-4</t>
  </si>
  <si>
    <t>1 - 2</t>
  </si>
  <si>
    <t>7</t>
  </si>
  <si>
    <t>2-3</t>
  </si>
  <si>
    <t>1,2</t>
  </si>
  <si>
    <t>12</t>
  </si>
  <si>
    <t>22</t>
  </si>
  <si>
    <t>8</t>
  </si>
  <si>
    <t>1-2-3</t>
  </si>
  <si>
    <t>цокольный этаж</t>
  </si>
  <si>
    <t>3-1</t>
  </si>
  <si>
    <t>1-4-6</t>
  </si>
  <si>
    <t>1 - 5</t>
  </si>
  <si>
    <t>11</t>
  </si>
  <si>
    <t>2-1</t>
  </si>
  <si>
    <t>цокольный</t>
  </si>
  <si>
    <t>2-7</t>
  </si>
  <si>
    <t>1-6</t>
  </si>
  <si>
    <t>2-6</t>
  </si>
  <si>
    <t>1-5</t>
  </si>
  <si>
    <t>0-2</t>
  </si>
  <si>
    <t>2 - 3</t>
  </si>
  <si>
    <t>Цок.эт.</t>
  </si>
  <si>
    <t>4-1</t>
  </si>
  <si>
    <t>1-0</t>
  </si>
  <si>
    <t>1 - 10</t>
  </si>
  <si>
    <t>0/1</t>
  </si>
  <si>
    <t>цокальный этаж</t>
  </si>
  <si>
    <t>1-8</t>
  </si>
  <si>
    <t>1-7</t>
  </si>
  <si>
    <t>9-6</t>
  </si>
  <si>
    <t>2-4</t>
  </si>
  <si>
    <t>1-3-1</t>
  </si>
  <si>
    <t>1 этажное с 21 этажной лестничной клеткой</t>
  </si>
  <si>
    <t>заглублено (-11,0 м:-7,0 м;-6,0м:-5,8м)</t>
  </si>
  <si>
    <t>3-6</t>
  </si>
  <si>
    <t>2-3-4</t>
  </si>
  <si>
    <t>1 - 4</t>
  </si>
  <si>
    <t>1 + цокольный</t>
  </si>
  <si>
    <t>1,3</t>
  </si>
  <si>
    <t>5-7</t>
  </si>
  <si>
    <t>2,3</t>
  </si>
  <si>
    <t>1,2,3</t>
  </si>
  <si>
    <t>-</t>
  </si>
  <si>
    <t>16</t>
  </si>
  <si>
    <t>4-3</t>
  </si>
  <si>
    <t>мансарда</t>
  </si>
  <si>
    <t>1-1</t>
  </si>
  <si>
    <t>4 - 6</t>
  </si>
  <si>
    <t>5-4-2</t>
  </si>
  <si>
    <t>2-4-1</t>
  </si>
  <si>
    <t>6-1-2</t>
  </si>
  <si>
    <t>цоколь</t>
  </si>
  <si>
    <t>3-4</t>
  </si>
  <si>
    <t>3-2</t>
  </si>
  <si>
    <t>6-1</t>
  </si>
  <si>
    <t>18</t>
  </si>
  <si>
    <t>+цокольный этаж</t>
  </si>
  <si>
    <t>20</t>
  </si>
  <si>
    <t>26</t>
  </si>
  <si>
    <t>13</t>
  </si>
  <si>
    <t>24</t>
  </si>
  <si>
    <t>3-5</t>
  </si>
  <si>
    <t>2, 3</t>
  </si>
  <si>
    <t>Погреб</t>
  </si>
  <si>
    <t>15</t>
  </si>
  <si>
    <t>2-3-2</t>
  </si>
  <si>
    <t>2 - 5</t>
  </si>
  <si>
    <t>2 - 4</t>
  </si>
  <si>
    <t>6-5</t>
  </si>
  <si>
    <t>1 - 11</t>
  </si>
  <si>
    <t>25</t>
  </si>
  <si>
    <t>10-13</t>
  </si>
  <si>
    <t>1 с цокольным этажом и мансардой</t>
  </si>
  <si>
    <t>14</t>
  </si>
  <si>
    <t>1,2,6</t>
  </si>
  <si>
    <t>19</t>
  </si>
  <si>
    <t>1-2-3-4</t>
  </si>
  <si>
    <t>1 - 6</t>
  </si>
  <si>
    <t>2-4-6</t>
  </si>
  <si>
    <t>2-4-5</t>
  </si>
  <si>
    <t>6-7</t>
  </si>
  <si>
    <t>1 - 7</t>
  </si>
  <si>
    <t>заглублено - 32.0 м</t>
  </si>
  <si>
    <t>1-3, 4-5</t>
  </si>
  <si>
    <t>цокольный эт.</t>
  </si>
  <si>
    <t>21</t>
  </si>
  <si>
    <t>5-9</t>
  </si>
  <si>
    <t>4-1-3-2</t>
  </si>
  <si>
    <t>29</t>
  </si>
  <si>
    <t>19-20</t>
  </si>
  <si>
    <t>19-23</t>
  </si>
  <si>
    <t>2-16</t>
  </si>
  <si>
    <t>22-17-11</t>
  </si>
  <si>
    <t>6-17</t>
  </si>
  <si>
    <t>10-17</t>
  </si>
  <si>
    <t>17-21</t>
  </si>
  <si>
    <t>2-14</t>
  </si>
  <si>
    <t>33</t>
  </si>
  <si>
    <t>7-11</t>
  </si>
  <si>
    <t>28</t>
  </si>
  <si>
    <t>1, мансарда</t>
  </si>
  <si>
    <t>5-27</t>
  </si>
  <si>
    <t>34</t>
  </si>
  <si>
    <t>5-6</t>
  </si>
  <si>
    <t>18-20</t>
  </si>
  <si>
    <t>2-10</t>
  </si>
  <si>
    <t>6-15-25</t>
  </si>
  <si>
    <t>15-17</t>
  </si>
  <si>
    <t>15-27</t>
  </si>
  <si>
    <t>27</t>
  </si>
  <si>
    <t>16-23</t>
  </si>
  <si>
    <t>3; 4</t>
  </si>
  <si>
    <t>1 и мансарда</t>
  </si>
  <si>
    <t>14-26</t>
  </si>
  <si>
    <t>17-22</t>
  </si>
  <si>
    <t>2 этажа и тех.этаж</t>
  </si>
  <si>
    <t>8-10</t>
  </si>
  <si>
    <t>10-12</t>
  </si>
  <si>
    <t>19-24</t>
  </si>
  <si>
    <t>4-5</t>
  </si>
  <si>
    <t>2-8</t>
  </si>
  <si>
    <t>3-19</t>
  </si>
  <si>
    <t>16-21</t>
  </si>
  <si>
    <t>15-34</t>
  </si>
  <si>
    <t>4-13</t>
  </si>
  <si>
    <t>11-18</t>
  </si>
  <si>
    <t>1, 2</t>
  </si>
  <si>
    <t>10-11</t>
  </si>
  <si>
    <t>10-27</t>
  </si>
  <si>
    <t>19-21</t>
  </si>
  <si>
    <t>locFloor</t>
  </si>
  <si>
    <t>30</t>
  </si>
  <si>
    <t>31</t>
  </si>
  <si>
    <t>32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</si>
  <si>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</si>
  <si>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</si>
  <si>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</si>
  <si>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</si>
  <si>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</si>
  <si>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</si>
  <si>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</si>
  <si>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</si>
  <si>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</si>
  <si>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</si>
  <si>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</si>
  <si>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</si>
  <si>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</si>
  <si>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</si>
  <si>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</si>
  <si>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</si>
  <si>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</si>
  <si>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</si>
  <si>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</si>
  <si>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</si>
  <si>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</si>
  <si>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</si>
  <si>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</si>
  <si>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</si>
  <si>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</si>
  <si>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</si>
  <si>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</si>
  <si>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</si>
  <si>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</si>
  <si>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</si>
  <si>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</si>
  <si>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</si>
  <si>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</si>
  <si>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</si>
  <si>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</si>
  <si>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</si>
  <si>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2-мансарда</t>
  </si>
  <si>
    <t>1-2,5</t>
  </si>
  <si>
    <t>1-2,4,6</t>
  </si>
  <si>
    <t>1-4,6</t>
  </si>
  <si>
    <t>3-2-1</t>
  </si>
  <si>
    <t>1-2-4</t>
  </si>
  <si>
    <t>1 с 2-мя антрисолями</t>
  </si>
  <si>
    <t>8-3</t>
  </si>
  <si>
    <t>11-15</t>
  </si>
  <si>
    <t>5-3</t>
  </si>
  <si>
    <t>17-28</t>
  </si>
  <si>
    <t>1 с встройкой - 2</t>
  </si>
  <si>
    <t>9-11</t>
  </si>
  <si>
    <t>13-17</t>
  </si>
  <si>
    <t>20-24</t>
  </si>
  <si>
    <t>11-14</t>
  </si>
  <si>
    <t>2+антресоль 1-2 эт.</t>
  </si>
  <si>
    <t>23-25</t>
  </si>
  <si>
    <t>4-32</t>
  </si>
  <si>
    <t>15-33</t>
  </si>
  <si>
    <t>1+мансарда+мезонин-чердак</t>
  </si>
  <si>
    <t>2-13</t>
  </si>
  <si>
    <t>9-15</t>
  </si>
  <si>
    <t>15-18</t>
  </si>
  <si>
    <t>10-15</t>
  </si>
  <si>
    <t>9-16</t>
  </si>
  <si>
    <t>19-26</t>
  </si>
  <si>
    <t>12-15-16-21-26</t>
  </si>
  <si>
    <t>19-28</t>
  </si>
  <si>
    <t>18-19</t>
  </si>
  <si>
    <t>12-16</t>
  </si>
  <si>
    <t>27-28</t>
  </si>
  <si>
    <t>21-23</t>
  </si>
  <si>
    <t>2-8-1</t>
  </si>
  <si>
    <t>4-15</t>
  </si>
  <si>
    <t>11-21</t>
  </si>
  <si>
    <t>3-10</t>
  </si>
  <si>
    <t>16-20</t>
  </si>
  <si>
    <t>4-6</t>
  </si>
  <si>
    <t>9-14</t>
  </si>
  <si>
    <t>8 - 12</t>
  </si>
  <si>
    <t>9-19</t>
  </si>
  <si>
    <t>3-7</t>
  </si>
  <si>
    <t>29-30</t>
  </si>
  <si>
    <t>13-24</t>
  </si>
  <si>
    <t>12-18</t>
  </si>
  <si>
    <t>11-34</t>
  </si>
  <si>
    <t>12-22</t>
  </si>
  <si>
    <t>14-18</t>
  </si>
  <si>
    <t>1-5-11</t>
  </si>
  <si>
    <t>9-27</t>
  </si>
  <si>
    <t>8-15</t>
  </si>
  <si>
    <t>9-18</t>
  </si>
  <si>
    <t>6-16</t>
  </si>
  <si>
    <t>3-28</t>
  </si>
  <si>
    <t>5-1</t>
  </si>
  <si>
    <t>3-8</t>
  </si>
  <si>
    <t>2-26</t>
  </si>
  <si>
    <t>17-20</t>
  </si>
  <si>
    <t>1 с 2-х этажной вставкой</t>
  </si>
  <si>
    <t>9-26</t>
  </si>
  <si>
    <t>9-12</t>
  </si>
  <si>
    <t>12-20</t>
  </si>
  <si>
    <t>16-18</t>
  </si>
  <si>
    <t>4-8</t>
  </si>
  <si>
    <t>24-28</t>
  </si>
  <si>
    <t>19-29</t>
  </si>
  <si>
    <t>11-16</t>
  </si>
  <si>
    <t>18-21</t>
  </si>
  <si>
    <t>5-19</t>
  </si>
  <si>
    <t>7-18</t>
  </si>
  <si>
    <t>20 - 24</t>
  </si>
  <si>
    <t>8-11</t>
  </si>
  <si>
    <t>14-28</t>
  </si>
  <si>
    <t>17-19</t>
  </si>
  <si>
    <t>22 - 24</t>
  </si>
  <si>
    <t>3 - 4</t>
  </si>
  <si>
    <t>18-26</t>
  </si>
  <si>
    <t>4-25</t>
  </si>
  <si>
    <t>10-14</t>
  </si>
  <si>
    <t>26-27</t>
  </si>
  <si>
    <t>6-12</t>
  </si>
  <si>
    <t>6-4</t>
  </si>
  <si>
    <t>10-16</t>
  </si>
  <si>
    <t>21-28</t>
  </si>
  <si>
    <t>13-19</t>
  </si>
  <si>
    <t>13-18</t>
  </si>
  <si>
    <t>8-12</t>
  </si>
  <si>
    <t>2-21</t>
  </si>
  <si>
    <t>1-2-5-6</t>
  </si>
  <si>
    <t>11-22</t>
  </si>
  <si>
    <t>1-мансарда</t>
  </si>
  <si>
    <t>7-10</t>
  </si>
  <si>
    <t>12-24</t>
  </si>
  <si>
    <t>6-10</t>
  </si>
  <si>
    <t>14-20</t>
  </si>
  <si>
    <t>10-18</t>
  </si>
  <si>
    <t>2-12</t>
  </si>
  <si>
    <t>10-19</t>
  </si>
  <si>
    <t>23-27</t>
  </si>
  <si>
    <t>20-22</t>
  </si>
  <si>
    <t>4-1-4</t>
  </si>
  <si>
    <t>8-18</t>
  </si>
  <si>
    <t>11-17</t>
  </si>
  <si>
    <t>13-17-21</t>
  </si>
  <si>
    <t>1-2-3-5</t>
  </si>
  <si>
    <t>3-11</t>
  </si>
  <si>
    <t>22-26</t>
  </si>
  <si>
    <t>2-2</t>
  </si>
  <si>
    <t>1-2,4</t>
  </si>
  <si>
    <t>2-1-1</t>
  </si>
  <si>
    <t>10-22</t>
  </si>
  <si>
    <t>9-13</t>
  </si>
  <si>
    <t>13-15</t>
  </si>
  <si>
    <t>10-2-1</t>
  </si>
  <si>
    <t>11-13-17</t>
  </si>
  <si>
    <t>1-10</t>
  </si>
  <si>
    <t>4-2-1</t>
  </si>
  <si>
    <t>4-1-0</t>
  </si>
  <si>
    <t>9-10</t>
  </si>
  <si>
    <t>27-18-10</t>
  </si>
  <si>
    <t>7-9</t>
  </si>
  <si>
    <t>09-10</t>
  </si>
  <si>
    <t>5-2</t>
  </si>
  <si>
    <t>3, надстройка, 2-х этажная встройка</t>
  </si>
  <si>
    <t>1-9</t>
  </si>
  <si>
    <t>2, мансарда, 2-й уровень мансарды</t>
  </si>
  <si>
    <t>27-20-17</t>
  </si>
  <si>
    <t>25-26</t>
  </si>
  <si>
    <t>6-56</t>
  </si>
  <si>
    <t>17-20-32</t>
  </si>
  <si>
    <t>8-20</t>
  </si>
  <si>
    <t>14-12-9</t>
  </si>
  <si>
    <t>20-27</t>
  </si>
  <si>
    <t>20-26</t>
  </si>
  <si>
    <t>21-24</t>
  </si>
  <si>
    <t>01-мансарда</t>
  </si>
  <si>
    <t>2-35</t>
  </si>
  <si>
    <t>2/1</t>
  </si>
  <si>
    <t>3/2</t>
  </si>
  <si>
    <t>1/2</t>
  </si>
  <si>
    <t>1/3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</si>
  <si>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</si>
  <si>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</si>
  <si>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</si>
  <si>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</si>
  <si>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</si>
  <si>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</si>
  <si>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</si>
  <si>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</si>
  <si>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</si>
  <si>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</si>
  <si>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</si>
  <si>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</si>
  <si>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</si>
  <si>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</si>
  <si>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</si>
  <si>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</si>
  <si>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</si>
  <si>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</si>
  <si>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</si>
  <si>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</si>
  <si>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</si>
  <si>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</si>
  <si>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</si>
  <si>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</si>
  <si>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</si>
  <si>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</si>
  <si>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</si>
  <si>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</si>
  <si>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</si>
  <si>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</si>
  <si>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</si>
  <si>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</si>
  <si>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</si>
  <si>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</si>
  <si>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</si>
  <si>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</si>
  <si>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</si>
  <si>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</si>
  <si>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</si>
  <si>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</si>
  <si>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</si>
  <si>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1,антресоль</t>
  </si>
  <si>
    <t>2,4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</si>
  <si>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</si>
  <si>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</si>
  <si>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</si>
  <si>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</si>
  <si>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</si>
  <si>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</si>
  <si>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</si>
  <si>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</si>
  <si>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</si>
  <si>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</si>
  <si>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</si>
  <si>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</si>
  <si>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</si>
  <si>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</si>
  <si>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</si>
  <si>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</si>
  <si>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</si>
  <si>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</si>
  <si>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</si>
  <si>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</si>
  <si>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</si>
  <si>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</si>
  <si>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</si>
  <si>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</si>
  <si>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</si>
  <si>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</si>
  <si>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</si>
  <si>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</si>
  <si>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</si>
  <si>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</si>
  <si>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</si>
  <si>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</si>
  <si>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</si>
  <si>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</si>
  <si>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</si>
  <si>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</si>
  <si>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</si>
  <si>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</si>
  <si>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</si>
  <si>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</si>
  <si>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</si>
  <si>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</si>
  <si>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</si>
  <si>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</si>
  <si>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</si>
  <si>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</si>
  <si>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</si>
  <si>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</si>
  <si>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</si>
  <si>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</si>
  <si>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</si>
  <si>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</si>
  <si>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</si>
  <si>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</si>
  <si>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</si>
  <si>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</si>
  <si>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</si>
  <si>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</si>
  <si>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</si>
  <si>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</si>
  <si>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</si>
  <si>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</si>
  <si>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</si>
  <si>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</si>
  <si>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</si>
  <si>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</si>
  <si>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</si>
  <si>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</si>
  <si>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</si>
  <si>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</si>
  <si>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</si>
  <si>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</si>
  <si>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</si>
  <si>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</si>
  <si>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</si>
  <si>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</si>
  <si>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</si>
  <si>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</si>
  <si>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</si>
  <si>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</si>
  <si>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</si>
  <si>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</si>
  <si>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4, мезонин</t>
  </si>
  <si>
    <t>2,1</t>
  </si>
  <si>
    <t>1,чердак</t>
  </si>
  <si>
    <t>4,5</t>
  </si>
  <si>
    <t>10, цокольный, мансарда</t>
  </si>
  <si>
    <t>3, технический</t>
  </si>
  <si>
    <t>2, мансарда, цокольный этаж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</si>
  <si>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</si>
  <si>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</si>
  <si>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</si>
  <si>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</si>
  <si>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</si>
  <si>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</si>
  <si>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</si>
  <si>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</si>
  <si>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</si>
  <si>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</si>
  <si>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</si>
  <si>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</si>
  <si>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</si>
  <si>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</si>
  <si>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</si>
  <si>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</si>
  <si>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</si>
  <si>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</si>
  <si>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</si>
  <si>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</si>
  <si>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</si>
  <si>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</si>
  <si>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</si>
  <si>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</si>
  <si>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</si>
  <si>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</si>
  <si>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</si>
  <si>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</si>
  <si>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</si>
  <si>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</si>
  <si>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</si>
  <si>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</si>
  <si>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</si>
  <si>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</si>
  <si>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</si>
  <si>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</si>
  <si>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</si>
  <si>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</si>
  <si>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</si>
  <si>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</si>
  <si>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</si>
  <si>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</si>
  <si>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</si>
  <si>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</si>
  <si>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</si>
  <si>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</si>
  <si>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</si>
  <si>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</si>
  <si>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</si>
  <si>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</si>
  <si>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</si>
  <si>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</si>
  <si>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</si>
  <si>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</si>
  <si>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</si>
  <si>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</si>
  <si>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</si>
  <si>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</si>
  <si>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</si>
  <si>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</si>
  <si>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</si>
  <si>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</si>
  <si>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</si>
  <si>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</si>
  <si>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</si>
  <si>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</si>
  <si>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</si>
  <si>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</si>
  <si>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</si>
  <si>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</si>
  <si>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</si>
  <si>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</si>
  <si>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</si>
  <si>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</si>
  <si>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</si>
  <si>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</si>
  <si>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</si>
  <si>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</si>
  <si>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</si>
  <si>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</si>
  <si>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</si>
  <si>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</si>
  <si>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</si>
  <si>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</si>
  <si>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</si>
  <si>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</si>
  <si>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</si>
  <si>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</si>
  <si>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</si>
  <si>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</si>
  <si>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</si>
  <si>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</si>
  <si>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</si>
  <si>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</si>
  <si>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</si>
  <si>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</si>
  <si>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</si>
  <si>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</si>
  <si>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</si>
  <si>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</si>
  <si>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</si>
  <si>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</si>
  <si>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</si>
  <si>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</si>
  <si>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</si>
  <si>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</si>
  <si>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</si>
  <si>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</si>
  <si>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</si>
  <si>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</si>
  <si>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</si>
  <si>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</si>
  <si>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</si>
  <si>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</si>
  <si>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</si>
  <si>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</si>
  <si>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</si>
  <si>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</si>
  <si>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</si>
  <si>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</si>
  <si>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</si>
  <si>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</si>
  <si>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</si>
  <si>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</si>
  <si>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</si>
  <si>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</si>
  <si>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</si>
  <si>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</si>
  <si>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</si>
  <si>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</si>
  <si>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</si>
  <si>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</si>
  <si>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</si>
  <si>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</si>
  <si>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</si>
  <si>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</si>
  <si>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</si>
  <si>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</si>
  <si>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</si>
  <si>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</si>
  <si>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</si>
  <si>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</si>
  <si>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</si>
  <si>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</si>
  <si>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</si>
  <si>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</si>
  <si>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</si>
  <si>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</si>
  <si>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</si>
  <si>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</si>
  <si>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</si>
  <si>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</si>
  <si>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</si>
  <si>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</si>
  <si>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</si>
  <si>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</si>
  <si>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</si>
  <si>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</si>
  <si>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</si>
  <si>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</si>
  <si>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</si>
  <si>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</si>
  <si>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</si>
  <si>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</si>
  <si>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</si>
  <si>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</si>
  <si>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</si>
  <si>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</si>
  <si>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</si>
  <si>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</si>
  <si>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</si>
  <si>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</si>
  <si>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</si>
  <si>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</si>
  <si>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</si>
  <si>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</si>
  <si>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</si>
  <si>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</si>
  <si>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</si>
  <si>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</si>
  <si>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</si>
  <si>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</si>
  <si>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</si>
  <si>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</si>
  <si>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</si>
  <si>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</si>
  <si>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</si>
  <si>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</si>
  <si>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</si>
  <si>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</si>
  <si>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</si>
  <si>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</si>
  <si>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</si>
  <si>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</si>
  <si>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</si>
  <si>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</si>
  <si>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</si>
  <si>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</si>
  <si>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</si>
  <si>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</si>
  <si>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</si>
  <si>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</si>
  <si>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</si>
  <si>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</si>
  <si>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</si>
  <si>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</si>
  <si>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</si>
  <si>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</si>
  <si>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</si>
  <si>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</si>
  <si>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</si>
  <si>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</si>
  <si>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</si>
  <si>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</si>
  <si>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</si>
  <si>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</si>
  <si>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</si>
  <si>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</si>
  <si>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</si>
  <si>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</si>
  <si>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</si>
  <si>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</si>
  <si>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</si>
  <si>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</si>
  <si>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</si>
  <si>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</si>
  <si>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</si>
  <si>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</si>
  <si>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</si>
  <si>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</si>
  <si>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</si>
  <si>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</si>
  <si>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</si>
  <si>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</si>
  <si>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</si>
  <si>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</si>
  <si>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</si>
  <si>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</si>
  <si>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</si>
  <si>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</si>
  <si>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</si>
  <si>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</si>
  <si>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</si>
  <si>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</si>
  <si>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</si>
  <si>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</si>
  <si>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</si>
  <si>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</si>
  <si>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</si>
  <si>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</si>
  <si>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</si>
  <si>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</si>
  <si>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</si>
  <si>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</si>
  <si>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</si>
  <si>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</si>
  <si>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</si>
  <si>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</si>
  <si>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</si>
  <si>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</si>
  <si>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</si>
  <si>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</si>
  <si>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</si>
  <si>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</si>
  <si>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</si>
  <si>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</si>
  <si>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</si>
  <si>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</si>
  <si>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</si>
  <si>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</si>
  <si>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</si>
  <si>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</si>
  <si>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</si>
  <si>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</si>
  <si>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</si>
  <si>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</si>
  <si>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</si>
  <si>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</si>
  <si>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</si>
  <si>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</si>
  <si>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</si>
  <si>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</si>
  <si>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</si>
  <si>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</si>
  <si>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</si>
  <si>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</si>
  <si>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</si>
  <si>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</si>
  <si>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</si>
  <si>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</si>
  <si>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</si>
  <si>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</si>
  <si>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</si>
  <si>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</si>
  <si>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</si>
  <si>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</si>
  <si>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</si>
  <si>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</si>
  <si>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</si>
  <si>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</si>
  <si>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</si>
  <si>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</si>
  <si>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</si>
  <si>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</si>
  <si>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</si>
  <si>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</si>
  <si>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</si>
  <si>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</si>
  <si>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</si>
  <si>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</si>
  <si>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</si>
  <si>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</si>
  <si>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</si>
  <si>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</si>
  <si>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</si>
  <si>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</si>
  <si>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</si>
  <si>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</si>
  <si>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</si>
  <si>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</si>
  <si>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</si>
  <si>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</si>
  <si>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</si>
  <si>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</si>
  <si>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</si>
  <si>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</si>
  <si>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</si>
  <si>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</si>
  <si>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</si>
  <si>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</si>
  <si>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</si>
  <si>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</si>
  <si>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</si>
  <si>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</si>
  <si>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</si>
  <si>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</si>
  <si>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</si>
  <si>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</si>
  <si>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</si>
  <si>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</si>
  <si>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</si>
  <si>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</si>
  <si>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</si>
  <si>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</si>
  <si>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</si>
  <si>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</si>
  <si>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</si>
  <si>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</si>
  <si>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</si>
  <si>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</si>
  <si>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</si>
  <si>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</si>
  <si>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</si>
  <si>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</si>
  <si>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</si>
  <si>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</si>
  <si>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</si>
  <si>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</si>
  <si>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</si>
  <si>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</si>
  <si>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</si>
  <si>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</si>
  <si>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</si>
  <si>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</si>
  <si>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</si>
  <si>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</si>
  <si>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</si>
  <si>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</si>
  <si>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</si>
  <si>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</si>
  <si>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</si>
  <si>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</si>
  <si>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</si>
  <si>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</si>
  <si>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</si>
  <si>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</si>
  <si>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</si>
  <si>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</si>
  <si>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</si>
  <si>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</si>
  <si>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</si>
  <si>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</si>
  <si>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</si>
  <si>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</si>
  <si>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</si>
  <si>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</si>
  <si>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</si>
  <si>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</si>
  <si>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</si>
  <si>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</si>
  <si>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</si>
  <si>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</si>
  <si>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</si>
  <si>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</si>
  <si>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</si>
  <si>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</si>
  <si>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</si>
  <si>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</si>
  <si>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</si>
  <si>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</si>
  <si>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</si>
  <si>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</si>
  <si>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</si>
  <si>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</si>
  <si>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</si>
  <si>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</si>
  <si>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</si>
  <si>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</si>
  <si>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</si>
  <si>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</si>
  <si>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</si>
  <si>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</si>
  <si>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</si>
  <si>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</si>
  <si>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</si>
  <si>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</si>
  <si>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</si>
  <si>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</si>
  <si>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</si>
  <si>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</si>
  <si>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</si>
  <si>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</si>
  <si>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</si>
  <si>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</si>
  <si>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</si>
  <si>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</si>
  <si>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</si>
  <si>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</si>
  <si>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</si>
  <si>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</si>
  <si>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</si>
  <si>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</si>
  <si>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</si>
  <si>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</si>
  <si>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</si>
  <si>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</si>
  <si>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</si>
  <si>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</si>
  <si>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</si>
  <si>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</si>
  <si>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</si>
  <si>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</si>
  <si>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</si>
  <si>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</si>
  <si>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</si>
  <si>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</si>
  <si>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</si>
  <si>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</si>
  <si>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</si>
  <si>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</si>
  <si>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</si>
  <si>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</si>
  <si>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</si>
  <si>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</si>
  <si>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</si>
  <si>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</si>
  <si>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</si>
  <si>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</si>
  <si>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</si>
  <si>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</si>
  <si>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</si>
  <si>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</si>
  <si>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</si>
  <si>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</si>
  <si>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+Подвал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</si>
  <si>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</si>
  <si>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</si>
  <si>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</si>
  <si>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</si>
  <si>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</si>
  <si>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</si>
  <si>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</si>
  <si>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</si>
  <si>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</si>
  <si>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</si>
  <si>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</si>
  <si>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</si>
  <si>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</si>
  <si>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</si>
  <si>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</si>
  <si>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</si>
  <si>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</si>
  <si>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</si>
  <si>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</si>
  <si>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</si>
  <si>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</si>
  <si>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</si>
  <si>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</si>
  <si>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</si>
  <si>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</si>
  <si>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</si>
  <si>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</si>
  <si>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</si>
  <si>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</si>
  <si>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</si>
  <si>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</si>
  <si>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</si>
  <si>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</si>
  <si>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</si>
  <si>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</si>
  <si>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</si>
  <si>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</si>
  <si>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</si>
  <si>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</si>
  <si>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</si>
  <si>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</si>
  <si>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</si>
  <si>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</si>
  <si>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</si>
  <si>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</si>
  <si>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</si>
  <si>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</si>
  <si>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</si>
  <si>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</si>
  <si>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</si>
  <si>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</si>
  <si>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</si>
  <si>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</si>
  <si>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</si>
  <si>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</si>
  <si>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</si>
  <si>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</si>
  <si>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</si>
  <si>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</si>
  <si>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</si>
  <si>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</si>
  <si>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</si>
  <si>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</si>
  <si>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</si>
  <si>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</si>
  <si>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</si>
  <si>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07</t>
  </si>
  <si>
    <t>09</t>
  </si>
  <si>
    <t>05</t>
  </si>
  <si>
    <t>02</t>
  </si>
  <si>
    <t>01</t>
  </si>
  <si>
    <t>04</t>
  </si>
  <si>
    <t>03</t>
  </si>
  <si>
    <t>06</t>
  </si>
  <si>
    <t>ЭТАЖ НЕ ОПРЕДЕЛЕН. ПРИНЯТ ПО ДОПУЩЕНИЮ 1</t>
  </si>
  <si>
    <t>ЭТАЖ ЗАДАН ЧИСЛОМ</t>
  </si>
  <si>
    <t>МЕТОД</t>
  </si>
  <si>
    <t>СПРАВОЧНИК ЭТАЖНОСТИ</t>
  </si>
  <si>
    <t>Метод</t>
  </si>
  <si>
    <t>Равенство с пред значением</t>
  </si>
  <si>
    <t>LocFloor1</t>
  </si>
  <si>
    <t>UndegraundLF1</t>
  </si>
  <si>
    <t>СПРАВОЧНИК ПОДЗЕМНОЙ ЭТАЖНОСТИ</t>
  </si>
  <si>
    <t>Назначение</t>
  </si>
  <si>
    <t>LocFloorP</t>
  </si>
  <si>
    <t>LocFloorP1</t>
  </si>
  <si>
    <t>FlagLocFloors</t>
  </si>
  <si>
    <t>Sourcelocfloors</t>
  </si>
  <si>
    <t>Sourcelocfloors2</t>
  </si>
  <si>
    <t>МКД_ЭТАЖ ЗАДАН ЧИСЛОМ</t>
  </si>
  <si>
    <t>МКД_СПРАВОЧНИК ЭТАЖНОСТИ</t>
  </si>
  <si>
    <t>17-26</t>
  </si>
  <si>
    <t>14-22</t>
  </si>
  <si>
    <t>21-27-37</t>
  </si>
  <si>
    <t>5-16</t>
  </si>
  <si>
    <t>Многоквартирный дом</t>
  </si>
  <si>
    <t>23-30</t>
  </si>
  <si>
    <t>14-25</t>
  </si>
  <si>
    <t>2-5-6</t>
  </si>
  <si>
    <t>7-13-26</t>
  </si>
  <si>
    <t>19-22</t>
  </si>
  <si>
    <t>2-15</t>
  </si>
  <si>
    <t>Сведения ЕГРН по состоянию на 01.01.2019</t>
  </si>
  <si>
    <t>OldLocfloors</t>
  </si>
  <si>
    <t>МКД_ЭТАЖ НЕ ОПРЕДЕЛЕН. ПРИНЯТ ПО ДОПУЩЕНИЮ 1</t>
  </si>
  <si>
    <t>10-11-18-17</t>
  </si>
  <si>
    <t>7-28</t>
  </si>
  <si>
    <t>13-12</t>
  </si>
  <si>
    <t>0-1-2</t>
  </si>
  <si>
    <t>Значение определено ГБУ СО ЦГКО (допущение по среднему значению для года постройки по кад. Кварталу, материалу, назначению по данным на 01.02.2018)</t>
  </si>
  <si>
    <t>LocFloors</t>
  </si>
  <si>
    <t>1 с вставкой, с антресолью</t>
  </si>
  <si>
    <t>1 с встройкой</t>
  </si>
  <si>
    <t>3 (литер А), 2 (литер А1, А2), 1 (литер А1,а,а1)</t>
  </si>
  <si>
    <t>3 с антресолью</t>
  </si>
  <si>
    <t xml:space="preserve"> 3</t>
  </si>
  <si>
    <t>2 с цоколем</t>
  </si>
  <si>
    <t>18-27</t>
  </si>
  <si>
    <t>1 со вставкой</t>
  </si>
  <si>
    <t>3 с техническим этажом, 1</t>
  </si>
  <si>
    <t>1 (с 3 этажной вставкой)</t>
  </si>
  <si>
    <t>1 со встройкой-1-встройка-1</t>
  </si>
  <si>
    <t>1,вставка,2</t>
  </si>
  <si>
    <t>нет</t>
  </si>
  <si>
    <t>3; 1</t>
  </si>
  <si>
    <t>1-6, подземные этажи: 0-1</t>
  </si>
  <si>
    <t>1 с цокольным этажом</t>
  </si>
  <si>
    <t>4, антресоль 2 этажа</t>
  </si>
  <si>
    <t>4-10</t>
  </si>
  <si>
    <t>21-27</t>
  </si>
  <si>
    <t>1 с антресолью</t>
  </si>
  <si>
    <t>6-11</t>
  </si>
  <si>
    <t>2 с подвалом</t>
  </si>
  <si>
    <t>2, подвал, 1 этаж</t>
  </si>
  <si>
    <t>цокольный этаж, 1-5, чердак</t>
  </si>
  <si>
    <t>1, 1</t>
  </si>
  <si>
    <t>6-27; 7</t>
  </si>
  <si>
    <t>11-20</t>
  </si>
  <si>
    <t>1 с мансардой</t>
  </si>
  <si>
    <t>5 - 2</t>
  </si>
  <si>
    <t>13-31</t>
  </si>
  <si>
    <t>4,</t>
  </si>
  <si>
    <t>4-11</t>
  </si>
  <si>
    <t>22-14-6</t>
  </si>
  <si>
    <t>5, технический этаж -  техподполье</t>
  </si>
  <si>
    <t>1 надземно-подземное</t>
  </si>
  <si>
    <t>А</t>
  </si>
  <si>
    <t>1 с заглублениями</t>
  </si>
  <si>
    <t>основное строение-1</t>
  </si>
  <si>
    <t>1;3</t>
  </si>
  <si>
    <t>1; подвал</t>
  </si>
  <si>
    <t>156.4</t>
  </si>
  <si>
    <t>подземная</t>
  </si>
  <si>
    <t>18-31</t>
  </si>
  <si>
    <t>1 этажное с 6 этажной лестничной клеткой</t>
  </si>
  <si>
    <t>225А: 2-3</t>
  </si>
  <si>
    <t>_</t>
  </si>
  <si>
    <t>2, 1 , 1</t>
  </si>
  <si>
    <t>612А - 1; 612Б - 2</t>
  </si>
  <si>
    <t>лит.20-1 эт., лит.21-1 эт., лит.21Г-1эт.</t>
  </si>
  <si>
    <t>1 с 4-х этажной лестничной клеткой</t>
  </si>
  <si>
    <t>11-32</t>
  </si>
  <si>
    <t>1 с 2-этажной вставкой</t>
  </si>
  <si>
    <t>19,23</t>
  </si>
  <si>
    <t>1,2,антресоль</t>
  </si>
  <si>
    <t>1. 1, 2. 1</t>
  </si>
  <si>
    <t>1,2,3,4-1</t>
  </si>
  <si>
    <t>1-литера В,В1</t>
  </si>
  <si>
    <t>лит.9А-1эт, лит.9В-4 эт.</t>
  </si>
  <si>
    <t>1, 1, 1</t>
  </si>
  <si>
    <t>15-24</t>
  </si>
  <si>
    <t>II</t>
  </si>
  <si>
    <t>13-16</t>
  </si>
  <si>
    <t>лит. 210А-1(с заглублением -39,3), лит. 210Б-4</t>
  </si>
  <si>
    <t>3, 3, 1</t>
  </si>
  <si>
    <t>да</t>
  </si>
  <si>
    <t>1.2, 2.1, 3.1</t>
  </si>
  <si>
    <t>1,1</t>
  </si>
  <si>
    <t>1, антресоль, 3</t>
  </si>
  <si>
    <t>1, 2, 1, 1, 1, 1</t>
  </si>
  <si>
    <t>1. 1; 2. 1</t>
  </si>
  <si>
    <t>1,3,1,1</t>
  </si>
  <si>
    <t>1, площадка</t>
  </si>
  <si>
    <t>2 со вставками и антресолями</t>
  </si>
  <si>
    <t>1 с вставкой 2 этажа</t>
  </si>
  <si>
    <t>2, 1</t>
  </si>
  <si>
    <t>1,1,1</t>
  </si>
  <si>
    <t>1-2,антресоль,площадки,встройка,наземная,подземная</t>
  </si>
  <si>
    <t>2,1,1,1</t>
  </si>
  <si>
    <t>3, 1</t>
  </si>
  <si>
    <t>1,1,1,1,1,1</t>
  </si>
  <si>
    <t>1 с двухэтажной вставкой</t>
  </si>
  <si>
    <t>4,2,1,1,1</t>
  </si>
  <si>
    <t>4 с надстройкой</t>
  </si>
  <si>
    <t>3/1</t>
  </si>
  <si>
    <t>1,1,2,1,1,1,2,1,1,1</t>
  </si>
  <si>
    <t>Здание узла погрузки концентрата - 1 эт., сооружен</t>
  </si>
  <si>
    <t>1 с заглублением - 8,5</t>
  </si>
  <si>
    <t>наземный</t>
  </si>
  <si>
    <t>данные отсутствуют</t>
  </si>
  <si>
    <t>основного строения-1</t>
  </si>
  <si>
    <t>основное строение-3, теплый пристрой (переход)-1</t>
  </si>
  <si>
    <t>1, с антресолью</t>
  </si>
  <si>
    <t>1, с заглублением</t>
  </si>
  <si>
    <t>1, 1, 1, 1, 1</t>
  </si>
  <si>
    <t>1, 2, 3, 4, 5</t>
  </si>
  <si>
    <t>А- 1, Б - 3, технический этаж, В - 1</t>
  </si>
  <si>
    <t>1, светелка</t>
  </si>
  <si>
    <t>основное строение-2, теплые пристрои (переходы)-1</t>
  </si>
  <si>
    <t>1, с вставкой</t>
  </si>
  <si>
    <t>основное строение-3, теплый пристрой-1</t>
  </si>
  <si>
    <t>1, 1 со вставкой</t>
  </si>
  <si>
    <t>1 (с 2-х этажной встройкой)</t>
  </si>
  <si>
    <t>3 с надстройкой</t>
  </si>
  <si>
    <t>1 с надстройками</t>
  </si>
  <si>
    <t>литер А-4. литер А1- 1</t>
  </si>
  <si>
    <t>1,3 с заглублением</t>
  </si>
  <si>
    <t>2,1 со вставкой</t>
  </si>
  <si>
    <t>1 со встройкой</t>
  </si>
  <si>
    <t>2, 6, 10 со вставками</t>
  </si>
  <si>
    <t>16-24</t>
  </si>
  <si>
    <t>2 с цокольным</t>
  </si>
  <si>
    <t>1, 1, 2, 1</t>
  </si>
  <si>
    <t>А, А1</t>
  </si>
  <si>
    <t>подвал, 2</t>
  </si>
  <si>
    <t>14-17</t>
  </si>
  <si>
    <t>1-2 со вставками</t>
  </si>
  <si>
    <t>7-8</t>
  </si>
  <si>
    <t xml:space="preserve"> 2</t>
  </si>
  <si>
    <t xml:space="preserve"> 1</t>
  </si>
  <si>
    <t xml:space="preserve">    1</t>
  </si>
  <si>
    <t>14-27</t>
  </si>
  <si>
    <t>12-27</t>
  </si>
  <si>
    <t>2 с антресолью</t>
  </si>
  <si>
    <t>22-31</t>
  </si>
  <si>
    <t xml:space="preserve">1 </t>
  </si>
  <si>
    <t>10-30</t>
  </si>
  <si>
    <t xml:space="preserve">   1</t>
  </si>
  <si>
    <t>1,3-4</t>
  </si>
  <si>
    <t>1, мансардами</t>
  </si>
  <si>
    <t>1 (мансарда)</t>
  </si>
  <si>
    <t>1 с цокольным</t>
  </si>
  <si>
    <t>1-вставка-3</t>
  </si>
  <si>
    <t>1-встройка</t>
  </si>
  <si>
    <t>3 с мансардой</t>
  </si>
  <si>
    <t>66:34:0503009:2328</t>
  </si>
  <si>
    <t>Нежилое здание</t>
  </si>
  <si>
    <t>28.09.2021</t>
  </si>
  <si>
    <t>не готов</t>
  </si>
  <si>
    <t>66:34:0503002:1009</t>
  </si>
  <si>
    <t>Письмо № 44-04-2701/8 от 31.05.2018 Глава Асбестовского городского округа</t>
  </si>
  <si>
    <t>24.09.2021</t>
  </si>
  <si>
    <t>66:45:0100135:679</t>
  </si>
  <si>
    <t>66:46:0104004:791</t>
  </si>
  <si>
    <t>Жилой дом</t>
  </si>
  <si>
    <t>27.09.2021</t>
  </si>
  <si>
    <t>66:34:0503003:365</t>
  </si>
  <si>
    <t>литера 1А-1; литера 1Б-2 с надстройкой</t>
  </si>
  <si>
    <t>66:34:0503002:1051</t>
  </si>
  <si>
    <t>66:27:1102050:372</t>
  </si>
  <si>
    <t>66:15:1501029:1184</t>
  </si>
  <si>
    <t>66:25:0501022:514</t>
  </si>
  <si>
    <t>29.09.2021</t>
  </si>
  <si>
    <t>66:67:0000000:174</t>
  </si>
  <si>
    <t>-1</t>
  </si>
  <si>
    <t>66:59:0216001:4403</t>
  </si>
  <si>
    <t>66:06:4501018:9054</t>
  </si>
  <si>
    <t>66:16:2601072:415</t>
  </si>
  <si>
    <t>66:44:0101018:472</t>
  </si>
  <si>
    <t>66:30:1201108:199</t>
  </si>
  <si>
    <t>66:58:0116001:10129</t>
  </si>
  <si>
    <t>66:32:0701002:817</t>
  </si>
  <si>
    <t>66:06:0401004:1484</t>
  </si>
  <si>
    <t>66:06:4501018:9067</t>
  </si>
  <si>
    <t>66:56:0204001:576</t>
  </si>
  <si>
    <t>66:41:0614015:3644</t>
  </si>
  <si>
    <t>66:58:2401001:319</t>
  </si>
  <si>
    <t>66:41:0513037:3518</t>
  </si>
  <si>
    <t>66:45:0200153:234</t>
  </si>
  <si>
    <t>66:07:1001001:442</t>
  </si>
  <si>
    <t>66:63:0000000:7271</t>
  </si>
  <si>
    <t>66:25:2901001:1183</t>
  </si>
  <si>
    <t>66:41:0510018:140</t>
  </si>
  <si>
    <t>66:22:1912023:198</t>
  </si>
  <si>
    <t>66:65:0301004:313</t>
  </si>
  <si>
    <t>66:35:0221001:7210</t>
  </si>
  <si>
    <t>66:32:0402006:618</t>
  </si>
  <si>
    <t>66:28:6901001:698</t>
  </si>
  <si>
    <t>30.09.2021</t>
  </si>
  <si>
    <t>66:36:0102045:172</t>
  </si>
  <si>
    <t>66:41:0614066:3935</t>
  </si>
  <si>
    <t>66:58:0103001:705</t>
  </si>
  <si>
    <t>66:07:1403002:957</t>
  </si>
  <si>
    <t>66:01:1601001:899</t>
  </si>
  <si>
    <t>66:63:0101046:1143</t>
  </si>
  <si>
    <t>66:34:0503002:1004</t>
  </si>
  <si>
    <t>66:55:0303040:365</t>
  </si>
  <si>
    <t xml:space="preserve"> </t>
  </si>
  <si>
    <t>66:25:0306002:90</t>
  </si>
  <si>
    <t>66:34:0503002:1046</t>
  </si>
  <si>
    <t>66:35:0104010:1361</t>
  </si>
  <si>
    <t>66:72:0101003:381</t>
  </si>
  <si>
    <t>66:34:0601001:1827</t>
  </si>
  <si>
    <t>66:06:4501031:160</t>
  </si>
  <si>
    <t>66:33:0101003:2032</t>
  </si>
  <si>
    <t>66:35:0105017:749</t>
  </si>
  <si>
    <t>66:33:0101002:2114</t>
  </si>
  <si>
    <t>66:58:1301004:1273</t>
  </si>
  <si>
    <t>66:06:0801003:847</t>
  </si>
  <si>
    <t>66:12:8701001:207</t>
  </si>
  <si>
    <t>66:41:0106062:149</t>
  </si>
  <si>
    <t>66:25:1307001:2359</t>
  </si>
  <si>
    <t>66:06:0000000:5000</t>
  </si>
  <si>
    <t>66:31:1201001:198</t>
  </si>
  <si>
    <t>66:03:0401002:528</t>
  </si>
  <si>
    <t>66:06:4501018:9063</t>
  </si>
  <si>
    <t>66:56:0000000:30930</t>
  </si>
  <si>
    <t>66:41:0313025:309</t>
  </si>
  <si>
    <t>66:06:2501012:776</t>
  </si>
  <si>
    <t>66:41:0307017:393</t>
  </si>
  <si>
    <t>66:45:0000000:24383</t>
  </si>
  <si>
    <t>66:36:2101008:221</t>
  </si>
  <si>
    <t>66:17:0000000:5574</t>
  </si>
  <si>
    <t>66:25:1325013:288</t>
  </si>
  <si>
    <t>66:06:4501018:9076</t>
  </si>
  <si>
    <t>66:58:2902064:297</t>
  </si>
  <si>
    <t>66:14:0301001:1737</t>
  </si>
  <si>
    <t>66:35:0109008:1197</t>
  </si>
  <si>
    <t>66:41:0206030:3733</t>
  </si>
  <si>
    <t>66:25:2901023:1403</t>
  </si>
  <si>
    <t>66:35:0221001:7216</t>
  </si>
  <si>
    <t>66:41:0507043:282</t>
  </si>
  <si>
    <t>66:49:0501001:550</t>
  </si>
  <si>
    <t>66:06:4501035:317</t>
  </si>
  <si>
    <t>66:13:2201001:1784</t>
  </si>
  <si>
    <t>66:59:0211001:351</t>
  </si>
  <si>
    <t>66:34:0503002:1006</t>
  </si>
  <si>
    <t>66:34:0503002:995</t>
  </si>
  <si>
    <t>66:25:0000000:3283</t>
  </si>
  <si>
    <t>66:52:0107005:719</t>
  </si>
  <si>
    <t>66:34:0503002:1049</t>
  </si>
  <si>
    <t>66:59:0215002:2213</t>
  </si>
  <si>
    <t>66:25:0000000:3415</t>
  </si>
  <si>
    <t>66:46:0103001:1845</t>
  </si>
  <si>
    <t>66:33:0101001:825</t>
  </si>
  <si>
    <t>66:59:0101005:1673</t>
  </si>
  <si>
    <t>66:06:4501001:4186</t>
  </si>
  <si>
    <t>66:15:2701001:748</t>
  </si>
  <si>
    <t>66:41:0609014:424</t>
  </si>
  <si>
    <t>66:25:2101002:1494</t>
  </si>
  <si>
    <t>66:59:0101006:833</t>
  </si>
  <si>
    <t>66:32:0401016:356</t>
  </si>
  <si>
    <t>66:03:1601034:568</t>
  </si>
  <si>
    <t>66:06:4501018:9065</t>
  </si>
  <si>
    <t>66:56:0112013:789</t>
  </si>
  <si>
    <t>66:41:0513032:4313</t>
  </si>
  <si>
    <t>66:06:4501021:10795</t>
  </si>
  <si>
    <t>66:41:0403026:149</t>
  </si>
  <si>
    <t>66:45:0100144:361</t>
  </si>
  <si>
    <t>66:36:3002004:382</t>
  </si>
  <si>
    <t>66:19:5701001:423</t>
  </si>
  <si>
    <t>66:25:1801001:462</t>
  </si>
  <si>
    <t>66:06:4501021:10797</t>
  </si>
  <si>
    <t>66:58:2903001:1288</t>
  </si>
  <si>
    <t>66:15:0102003:642</t>
  </si>
  <si>
    <t>66:35:0221001:7208</t>
  </si>
  <si>
    <t>66:27:1102050:509</t>
  </si>
  <si>
    <t>66:27:1102058:632</t>
  </si>
  <si>
    <t>66:35:0222003:783</t>
  </si>
  <si>
    <t>66:41:0509042:120</t>
  </si>
  <si>
    <t>66:56:0000000:30965</t>
  </si>
  <si>
    <t>66:06:4505005:391</t>
  </si>
  <si>
    <t>66:15:1501019:1119</t>
  </si>
  <si>
    <t>66:62:0301001:2066</t>
  </si>
  <si>
    <t>66:34:0503009:2342</t>
  </si>
  <si>
    <t>66:34:0503002:998</t>
  </si>
  <si>
    <t>66:34:0503002:1014</t>
  </si>
  <si>
    <t>66:08:0804009:287</t>
  </si>
  <si>
    <t>Министерство энергетики</t>
  </si>
  <si>
    <t>66:34:0503002:1021</t>
  </si>
  <si>
    <t>66:34:0503002:1083</t>
  </si>
  <si>
    <t>66:61:0207003:303</t>
  </si>
  <si>
    <t>66:34:0503003:354</t>
  </si>
  <si>
    <t>66:67:0000000:470</t>
  </si>
  <si>
    <t>66:67:0101003:348</t>
  </si>
  <si>
    <t>66:06:4501018:9059</t>
  </si>
  <si>
    <t>66:35:0203003:294</t>
  </si>
  <si>
    <t>66:50:0000000:6729</t>
  </si>
  <si>
    <t>66:56:0111002:364</t>
  </si>
  <si>
    <t>66:25:2721002:3489</t>
  </si>
  <si>
    <t>66:25:0801003:209</t>
  </si>
  <si>
    <t>66:06:1701028:538</t>
  </si>
  <si>
    <t>66:54:0000000:4098</t>
  </si>
  <si>
    <t>66:61:0205001:3137</t>
  </si>
  <si>
    <t>66:11:0106002:785</t>
  </si>
  <si>
    <t>66:59:0215002:2525</t>
  </si>
  <si>
    <t>66:41:0614015:3646</t>
  </si>
  <si>
    <t>66:58:0104003:428</t>
  </si>
  <si>
    <t>66:30:2301001:258</t>
  </si>
  <si>
    <t>66:24:2101001:269</t>
  </si>
  <si>
    <t>66:06:4501018:9069</t>
  </si>
  <si>
    <t>66:41:0614066:3934</t>
  </si>
  <si>
    <t>66:03:1801012:438</t>
  </si>
  <si>
    <t>66:25:2401002:415</t>
  </si>
  <si>
    <t>66:36:2201001:555</t>
  </si>
  <si>
    <t>66:19:0801001:736</t>
  </si>
  <si>
    <t>66:33:0101003:2471</t>
  </si>
  <si>
    <t>66:41:0307017:394</t>
  </si>
  <si>
    <t>66:43:0101005:8305</t>
  </si>
  <si>
    <t>66:06:4501017:640</t>
  </si>
  <si>
    <t>66:25:1307004:773</t>
  </si>
  <si>
    <t>66:03:1901001:531</t>
  </si>
  <si>
    <t>66:34:0503002:1003</t>
  </si>
  <si>
    <t>66:33:0101002:2115</t>
  </si>
  <si>
    <t>66:34:0503008:61</t>
  </si>
  <si>
    <t>66:34:0503002:1041</t>
  </si>
  <si>
    <t>66:15:1501029:1252</t>
  </si>
  <si>
    <t>66:15:1501028:750</t>
  </si>
  <si>
    <t>66:34:0601001:1826</t>
  </si>
  <si>
    <t>66:15:1501025:349</t>
  </si>
  <si>
    <t>66:58:0601002:211</t>
  </si>
  <si>
    <t>66:67:0000000:460</t>
  </si>
  <si>
    <t>66:58:1301002:1587</t>
  </si>
  <si>
    <t>66:06:0801003:846</t>
  </si>
  <si>
    <t>66:07:0000000:4582</t>
  </si>
  <si>
    <t>66:41:0106047:264</t>
  </si>
  <si>
    <t>66:25:1201004:1301</t>
  </si>
  <si>
    <t>66:15:1501029:1185</t>
  </si>
  <si>
    <t>66:31:0601001:212</t>
  </si>
  <si>
    <t>66:02:2501002:202</t>
  </si>
  <si>
    <t>66:06:4501001:4189</t>
  </si>
  <si>
    <t>66:56:0000000:30928</t>
  </si>
  <si>
    <t>66:41:0203035:205</t>
  </si>
  <si>
    <t>66:16:2601030:371</t>
  </si>
  <si>
    <t>66:41:0303117:193</t>
  </si>
  <si>
    <t>66:44:0102007:4387</t>
  </si>
  <si>
    <t>66:36:0101001:2876</t>
  </si>
  <si>
    <t>66:16:2001051:566</t>
  </si>
  <si>
    <t>66:25:1307001:2361</t>
  </si>
  <si>
    <t>66:06:4501018:9075</t>
  </si>
  <si>
    <t>66:58:2301005:552</t>
  </si>
  <si>
    <t>66:13:0201002:1108</t>
  </si>
  <si>
    <t>66:35:0106012:384</t>
  </si>
  <si>
    <t>66:41:0204006:219</t>
  </si>
  <si>
    <t>66:25:2721002:3490</t>
  </si>
  <si>
    <t>66:35:0221001:7215</t>
  </si>
  <si>
    <t>66:41:0507043:281</t>
  </si>
  <si>
    <t>66:46:0108003:2069</t>
  </si>
  <si>
    <t>66:06:4501020:7804</t>
  </si>
  <si>
    <t>66:12:3601005:372</t>
  </si>
  <si>
    <t>66:58:2903001:1289</t>
  </si>
  <si>
    <t>66:34:0503002:1086</t>
  </si>
  <si>
    <t>1 с вставкой</t>
  </si>
  <si>
    <t>66:57:0102062:1425</t>
  </si>
  <si>
    <t>66:21:0101076:1609</t>
  </si>
  <si>
    <t>Год завершения строительства</t>
  </si>
  <si>
    <t>66:59:0201001:547</t>
  </si>
  <si>
    <t>66:34:0502039:2074</t>
  </si>
  <si>
    <t>66:34:0502038:202</t>
  </si>
  <si>
    <t>66:34:0503002:1027</t>
  </si>
  <si>
    <t>66:03:1601031:542</t>
  </si>
  <si>
    <t>66:15:1501028:746</t>
  </si>
  <si>
    <t>66:34:0503009:2344</t>
  </si>
  <si>
    <t>66:46:0101005:585</t>
  </si>
  <si>
    <t>66:15:1501030:379</t>
  </si>
  <si>
    <t>66:58:0801001:385</t>
  </si>
  <si>
    <t>66:06:0401004:1483</t>
  </si>
  <si>
    <t>66:06:4501060:264</t>
  </si>
  <si>
    <t>66:37:0203004:235</t>
  </si>
  <si>
    <t>66:25:0106002:1315</t>
  </si>
  <si>
    <t>66:15:1501029:1222</t>
  </si>
  <si>
    <t>66:36:3003005:294</t>
  </si>
  <si>
    <t>66:02:1801001:557</t>
  </si>
  <si>
    <t>66:06:4501001:4188</t>
  </si>
  <si>
    <t>66:54:0116002:1437</t>
  </si>
  <si>
    <t>66:70:0101002:1290</t>
  </si>
  <si>
    <t>66:16:0801003:912</t>
  </si>
  <si>
    <t>66:40:0101022:605</t>
  </si>
  <si>
    <t>66:67:0101002:1169</t>
  </si>
  <si>
    <t>66:35:0221001:7206</t>
  </si>
  <si>
    <t>66:33:0101003:2470</t>
  </si>
  <si>
    <t>66:25:0501022:1073</t>
  </si>
  <si>
    <t>66:06:4501018:9074</t>
  </si>
  <si>
    <t>66:58:0104004:745</t>
  </si>
  <si>
    <t>66:13:0000000:4106</t>
  </si>
  <si>
    <t>66:72:0101007:827</t>
  </si>
  <si>
    <t>66:41:0109071:423</t>
  </si>
  <si>
    <t>66:25:2101002:1499</t>
  </si>
  <si>
    <t>66:35:0221001:7214</t>
  </si>
  <si>
    <t>66:41:0507026:418</t>
  </si>
  <si>
    <t>66:45:0000000:24385</t>
  </si>
  <si>
    <t>66:06:4501020:7803</t>
  </si>
  <si>
    <t>66:12:3601005:371</t>
  </si>
  <si>
    <t>66:58:2902082:229</t>
  </si>
  <si>
    <t>66:63:0101016:304</t>
  </si>
  <si>
    <t>66:52:0108004:480</t>
  </si>
  <si>
    <t>66:34:0503002:1001</t>
  </si>
  <si>
    <t>66:34:0503002:1084</t>
  </si>
  <si>
    <t>66:33:0101002:2118</t>
  </si>
  <si>
    <t>66:34:0503002:1024</t>
  </si>
  <si>
    <t>66:34:0503002:1093</t>
  </si>
  <si>
    <t>66:33:0101002:2102</t>
  </si>
  <si>
    <t>66:25:0501021:926</t>
  </si>
  <si>
    <t>66:33:0101001:890</t>
  </si>
  <si>
    <t>66:56:0206006:868</t>
  </si>
  <si>
    <t>Письмо № 19-01/2386 от 10.10.2018 Администрация города Нижний Тагил Управление Муниципального имущества (МКУ УМИ)</t>
  </si>
  <si>
    <t>66:05:1201001:550</t>
  </si>
  <si>
    <t>66:06:4501020:7800</t>
  </si>
  <si>
    <t>66:36:1301005:538</t>
  </si>
  <si>
    <t>66:22:0000000:7175</t>
  </si>
  <si>
    <t>66:41:0507021:143</t>
  </si>
  <si>
    <t>66:35:0223001:1335</t>
  </si>
  <si>
    <t>66:25:2101002:1495</t>
  </si>
  <si>
    <t>66:06:1701052:409</t>
  </si>
  <si>
    <t>66:54:0103001:488</t>
  </si>
  <si>
    <t>66:63:0000000:7270</t>
  </si>
  <si>
    <t>66:13:1701002:856</t>
  </si>
  <si>
    <t>66:03:1601012:566</t>
  </si>
  <si>
    <t>66:41:0614015:3649</t>
  </si>
  <si>
    <t>66:58:1301001:1548</t>
  </si>
  <si>
    <t>66:32:0000000:6549</t>
  </si>
  <si>
    <t>66:06:4501001:4191</t>
  </si>
  <si>
    <t>66:06:4501018:9072</t>
  </si>
  <si>
    <t>66:48:0304005:515</t>
  </si>
  <si>
    <t>66:12:0000000:5875</t>
  </si>
  <si>
    <t>66:25:2901024:1698</t>
  </si>
  <si>
    <t>66:37:0000000:2573</t>
  </si>
  <si>
    <t>66:21:1205001:889</t>
  </si>
  <si>
    <t>66:35:0215005:432</t>
  </si>
  <si>
    <t>66:41:0310076:300</t>
  </si>
  <si>
    <t>66:44:0102027:1288</t>
  </si>
  <si>
    <t>66:06:4501018:9081</t>
  </si>
  <si>
    <t>66:12:0000000:5876</t>
  </si>
  <si>
    <t>66:06:0501003:878</t>
  </si>
  <si>
    <t>66:34:0502039:2073</t>
  </si>
  <si>
    <t>66:34:0503002:1008</t>
  </si>
  <si>
    <t>66:46:0103003:724</t>
  </si>
  <si>
    <t>66:46:0107001:594</t>
  </si>
  <si>
    <t>66:34:0503002:1050</t>
  </si>
  <si>
    <t>66:25:0501019:58</t>
  </si>
  <si>
    <t>66:46:0103002:885</t>
  </si>
  <si>
    <t>66:25:0501022:519</t>
  </si>
  <si>
    <t>66:33:0101001:889</t>
  </si>
  <si>
    <t>66:59:0101005:1674</t>
  </si>
  <si>
    <t>66:06:4501001:4187</t>
  </si>
  <si>
    <t>66:15:2701001:749</t>
  </si>
  <si>
    <t>66:42:0201003:2524</t>
  </si>
  <si>
    <t>66:25:2501004:701</t>
  </si>
  <si>
    <t>66:67:0000000:136</t>
  </si>
  <si>
    <t>66:32:0406002:282</t>
  </si>
  <si>
    <t>66:06:0301001:435</t>
  </si>
  <si>
    <t>66:06:4501018:9066</t>
  </si>
  <si>
    <t>66:56:0204001:575</t>
  </si>
  <si>
    <t>66:41:0514005:327</t>
  </si>
  <si>
    <t>66:06:4501021:10796</t>
  </si>
  <si>
    <t>66:41:0508076:126</t>
  </si>
  <si>
    <t>66:45:0200127:146</t>
  </si>
  <si>
    <t>66:15:1501015:557</t>
  </si>
  <si>
    <t>66:21:0101079:2831</t>
  </si>
  <si>
    <t>66:25:1801001:463</t>
  </si>
  <si>
    <t>66:41:0508076:127</t>
  </si>
  <si>
    <t>66:19:2701001:360</t>
  </si>
  <si>
    <t>66:15:0106002:423</t>
  </si>
  <si>
    <t>66:35:0221001:7209</t>
  </si>
  <si>
    <t>66:32:0402003:749</t>
  </si>
  <si>
    <t>66:28:6901001:697</t>
  </si>
  <si>
    <t>66:35:0224002:1113</t>
  </si>
  <si>
    <t>66:41:0515051:135</t>
  </si>
  <si>
    <t>66:56:0401006:662</t>
  </si>
  <si>
    <t>66:07:1001003:375</t>
  </si>
  <si>
    <t>66:15:1601001:1042</t>
  </si>
  <si>
    <t>66:62:0504001:1220</t>
  </si>
  <si>
    <t>66:34:0503009:2343</t>
  </si>
  <si>
    <t>66:34:0503002:999</t>
  </si>
  <si>
    <t>66:46:0103001:995</t>
  </si>
  <si>
    <t>66:34:0503002:1042</t>
  </si>
  <si>
    <t>66:34:0503002:1022</t>
  </si>
  <si>
    <t>66:34:0503002:1091</t>
  </si>
  <si>
    <t>66:33:0101002:2099</t>
  </si>
  <si>
    <t>66:37:0204001:696</t>
  </si>
  <si>
    <t>66:56:0111001:281</t>
  </si>
  <si>
    <t>66:01:2301011:6492</t>
  </si>
  <si>
    <t>66:06:4501018:9060</t>
  </si>
  <si>
    <t>66:36:0104001:388</t>
  </si>
  <si>
    <t>66:21:0101030:568</t>
  </si>
  <si>
    <t>66:34:0502035:7101</t>
  </si>
  <si>
    <t>66:27:1102045:453</t>
  </si>
  <si>
    <t>66:25:1307004:772</t>
  </si>
  <si>
    <t>66:06:1701044:146</t>
  </si>
  <si>
    <t>66:54:0000000:4099</t>
  </si>
  <si>
    <t>66:61:0205001:3138</t>
  </si>
  <si>
    <t>66:11:4301003:1959</t>
  </si>
  <si>
    <t>66:03:0401002:529</t>
  </si>
  <si>
    <t>66:41:0614015:3647</t>
  </si>
  <si>
    <t>66:58:0111007:847</t>
  </si>
  <si>
    <t>66:31:1001001:334</t>
  </si>
  <si>
    <t>66:12:8001001:238</t>
  </si>
  <si>
    <t>66:06:4501018:9070</t>
  </si>
  <si>
    <t>66:42:0101030:6493</t>
  </si>
  <si>
    <t>66:03:1801012:440</t>
  </si>
  <si>
    <t>66:25:2401002:416</t>
  </si>
  <si>
    <t>66:36:3101004:223</t>
  </si>
  <si>
    <t>66:19:1905003:394</t>
  </si>
  <si>
    <t>66:35:0105013:190</t>
  </si>
  <si>
    <t>66:41:0310038:286</t>
  </si>
  <si>
    <t>66:43:0101016:593</t>
  </si>
  <si>
    <t>66:06:4501018:9077</t>
  </si>
  <si>
    <t>66:25:1405001:2494</t>
  </si>
  <si>
    <t>66:03:3301001:369</t>
  </si>
  <si>
    <t>66:34:0503009:2341</t>
  </si>
  <si>
    <t>литер 9А-2,литер 9Б-1, литер 9В-надземная</t>
  </si>
  <si>
    <t>66:34:0503002:1013</t>
  </si>
  <si>
    <t>66:67:0000000:455</t>
  </si>
  <si>
    <t>66:22:1904014:53</t>
  </si>
  <si>
    <t>66:15:1601001:683</t>
  </si>
  <si>
    <t>66:34:0503002:1019</t>
  </si>
  <si>
    <t>66:34:0503002:1082</t>
  </si>
  <si>
    <t>1 с площадками</t>
  </si>
  <si>
    <t>66:33:0101001:893</t>
  </si>
  <si>
    <t>66:72:0101003:486</t>
  </si>
  <si>
    <t>66:34:0503003:353</t>
  </si>
  <si>
    <t>1, с площадками</t>
  </si>
  <si>
    <t>66:25:4501002:363</t>
  </si>
  <si>
    <t>66:66:0101025:1173</t>
  </si>
  <si>
    <t>66:06:4501018:9058</t>
  </si>
  <si>
    <t>66:19:0101031:829</t>
  </si>
  <si>
    <t>66:46:0105003:309</t>
  </si>
  <si>
    <t>66:53:0501001:405</t>
  </si>
  <si>
    <t>66:25:2710001:423</t>
  </si>
  <si>
    <t>66:25:0501006:480</t>
  </si>
  <si>
    <t>66:06:1701022:446</t>
  </si>
  <si>
    <t>66:53:0307009:3942</t>
  </si>
  <si>
    <t>66:59:0216001:4407</t>
  </si>
  <si>
    <t>66:08:0805043:193</t>
  </si>
  <si>
    <t>66:59:0210003:777</t>
  </si>
  <si>
    <t>66:41:0614015:3645</t>
  </si>
  <si>
    <t>66:56:0204009:317</t>
  </si>
  <si>
    <t>66:28:2501004:692</t>
  </si>
  <si>
    <t>66:24:1201002:793</t>
  </si>
  <si>
    <t>66:06:4501018:9068</t>
  </si>
  <si>
    <t>66:41:0614066:3933</t>
  </si>
  <si>
    <t>66:02:1701010:640</t>
  </si>
  <si>
    <t>66:25:2401002:414</t>
  </si>
  <si>
    <t>66:36:1301011:369</t>
  </si>
  <si>
    <t>66:16:2601027:440</t>
  </si>
  <si>
    <t>66:32:0401026:476</t>
  </si>
  <si>
    <t>66:36:3101004:225</t>
  </si>
  <si>
    <t>66:43:0101004:1040</t>
  </si>
  <si>
    <t>66:06:4301002:267</t>
  </si>
  <si>
    <t>66:25:1307001:2363</t>
  </si>
  <si>
    <t>66:03:1801012:445</t>
  </si>
  <si>
    <t>66:68:0201001:1311</t>
  </si>
  <si>
    <t>66:34:0503003:332</t>
  </si>
  <si>
    <t>66:67:0000000:464</t>
  </si>
  <si>
    <t>66:34:0503002:1002</t>
  </si>
  <si>
    <t>66:34:0503002:1085</t>
  </si>
  <si>
    <t>66:34:0502038:196</t>
  </si>
  <si>
    <t>66:34:0503002:1026</t>
  </si>
  <si>
    <t>66:66:0101032:90</t>
  </si>
  <si>
    <t>66:49:0000000:2791</t>
  </si>
  <si>
    <t>66:25:2901012:362</t>
  </si>
  <si>
    <t>66:44:0101034:60</t>
  </si>
  <si>
    <t>66:33:0101002:2108</t>
  </si>
  <si>
    <t>66:34:0502039:2064</t>
  </si>
  <si>
    <t>подз</t>
  </si>
  <si>
    <t>66:06:0401004:1482</t>
  </si>
  <si>
    <t>66:06:4501022:448</t>
  </si>
  <si>
    <t>66:36:2301004:330</t>
  </si>
  <si>
    <t>66:25:0104001:403</t>
  </si>
  <si>
    <t>66:67:0000000:173</t>
  </si>
  <si>
    <t>66:36:0701002:889</t>
  </si>
  <si>
    <t>66:02:0000000:8759</t>
  </si>
  <si>
    <t>66:06:2001002:296</t>
  </si>
  <si>
    <t>66:54:0107002:296</t>
  </si>
  <si>
    <t>66:63:1501002:702</t>
  </si>
  <si>
    <t>66:14:2901001:432</t>
  </si>
  <si>
    <t>66:36:3201006:479</t>
  </si>
  <si>
    <t>66:41:0614054:562</t>
  </si>
  <si>
    <t>66:35:0108002:251</t>
  </si>
  <si>
    <t>66:32:0402013:1298</t>
  </si>
  <si>
    <t>66:25:0501018:201</t>
  </si>
  <si>
    <t>66:06:4501018:9073</t>
  </si>
  <si>
    <t>66:50:0000000:6730</t>
  </si>
  <si>
    <t>66:12:0501001:223</t>
  </si>
  <si>
    <t>66:06:4505005:389</t>
  </si>
  <si>
    <t>66:37:0000000:2574</t>
  </si>
  <si>
    <t>66:23:2001002:2495</t>
  </si>
  <si>
    <t>66:35:0221001:7213</t>
  </si>
  <si>
    <t>66:41:0313032:386</t>
  </si>
  <si>
    <t>66:44:0103001:3860</t>
  </si>
  <si>
    <t>66:06:4501020:7802</t>
  </si>
  <si>
    <t>66:12:3601004:1487</t>
  </si>
  <si>
    <t>66:06:1001002:1069</t>
  </si>
  <si>
    <t>66:34:0503002:1005</t>
  </si>
  <si>
    <t>66:34:0503002:994</t>
  </si>
  <si>
    <t>66:15:1501027:102</t>
  </si>
  <si>
    <t>66:34:0503002:1048</t>
  </si>
  <si>
    <t>66:24:2001005:424</t>
  </si>
  <si>
    <t>66:25:0000000:3411</t>
  </si>
  <si>
    <t>66:41:0106050:108</t>
  </si>
  <si>
    <t>66:59:0102021:760</t>
  </si>
  <si>
    <t>66:58:1301004:1274</t>
  </si>
  <si>
    <t>66:06:3201007:213</t>
  </si>
  <si>
    <t>66:15:0401001:549</t>
  </si>
  <si>
    <t>66:41:0503015:811</t>
  </si>
  <si>
    <t>66:25:1307001:2360</t>
  </si>
  <si>
    <t>66:67:0000000:146</t>
  </si>
  <si>
    <t>66:31:2201003:886</t>
  </si>
  <si>
    <t>66:03:1001001:471</t>
  </si>
  <si>
    <t>66:06:4501018:9064</t>
  </si>
  <si>
    <t>66:56:0106017:245</t>
  </si>
  <si>
    <t>66:41:0512001:1609</t>
  </si>
  <si>
    <t>66:06:4501021:10794</t>
  </si>
  <si>
    <t>66:41:0309013:405</t>
  </si>
  <si>
    <t>66:45:0100090:299</t>
  </si>
  <si>
    <t>66:36:3002004:381</t>
  </si>
  <si>
    <t>66:19:3101005:1031</t>
  </si>
  <si>
    <t>66:25:1409001:700</t>
  </si>
  <si>
    <t>66:06:4501020:7801</t>
  </si>
  <si>
    <t>66:58:2902082:228</t>
  </si>
  <si>
    <t>66:14:2701001:1042</t>
  </si>
  <si>
    <t>66:35:0221001:7207</t>
  </si>
  <si>
    <t>66:27:1102036:842</t>
  </si>
  <si>
    <t>66:27:1102043:424</t>
  </si>
  <si>
    <t>66:35:0221014:203</t>
  </si>
  <si>
    <t>66:41:0508028:235</t>
  </si>
  <si>
    <t>66:54:0000000:4102</t>
  </si>
  <si>
    <t>66:06:4505005:390</t>
  </si>
  <si>
    <t>66:15:1501015:558</t>
  </si>
  <si>
    <t>66:59:0217014:1652</t>
  </si>
  <si>
    <t>66:34:0503009:2339</t>
  </si>
  <si>
    <t>66:34:0503002:1011</t>
  </si>
  <si>
    <t>66:06:1701005:333</t>
  </si>
  <si>
    <t>66:34:0502036:4908</t>
  </si>
  <si>
    <t>66:25:0401001:346</t>
  </si>
  <si>
    <t>66:34:0503003:367</t>
  </si>
  <si>
    <t>66:34:0503002:1079</t>
  </si>
  <si>
    <t>1 с техническим этажом</t>
  </si>
  <si>
    <t>66:33:0101001:877</t>
  </si>
  <si>
    <t>66:15:1501029:1234</t>
  </si>
  <si>
    <t>66:72:0301009:117</t>
  </si>
  <si>
    <t>66:33:0101002:2120</t>
  </si>
  <si>
    <t>66:63:0000000:7269</t>
  </si>
  <si>
    <t>66:06:4501018:9056</t>
  </si>
  <si>
    <t>66:18:1101006:136</t>
  </si>
  <si>
    <t>66:44:0103001:3857</t>
  </si>
  <si>
    <t>66:32:0409002:472</t>
  </si>
  <si>
    <t>66:58:0116001:10131</t>
  </si>
  <si>
    <t>66:19:3101003:825</t>
  </si>
  <si>
    <t>66:06:1701019:395</t>
  </si>
  <si>
    <t>66:06:4501022:449</t>
  </si>
  <si>
    <t>66:59:0101027:389</t>
  </si>
  <si>
    <t>66:07:1801001:1704</t>
  </si>
  <si>
    <t>66:59:0201003:1585</t>
  </si>
  <si>
    <t>66:41:0521023:354</t>
  </si>
  <si>
    <t>66:54:0305002:168</t>
  </si>
  <si>
    <t>66:08:0805020:281</t>
  </si>
  <si>
    <t>66:63:0101054:2329</t>
  </si>
  <si>
    <t>66:12:5301005:954</t>
  </si>
  <si>
    <t>66:41:0614015:3650</t>
  </si>
  <si>
    <t>66:01:0302006:620</t>
  </si>
  <si>
    <t>66:25:1401002:1014</t>
  </si>
  <si>
    <t>66:35:0221001:7212</t>
  </si>
  <si>
    <t>66:67:0000000:739</t>
  </si>
  <si>
    <t>66:28:6901001:700</t>
  </si>
  <si>
    <t>66:36:3001011:506</t>
  </si>
  <si>
    <t>66:41:0614066:3937</t>
  </si>
  <si>
    <t>66:58:2401001:320</t>
  </si>
  <si>
    <t>66:25:1201021:594</t>
  </si>
  <si>
    <t>66:03:1801012:443</t>
  </si>
  <si>
    <t>66:67:0101002:1170</t>
  </si>
  <si>
    <t>66:34:0503002:1010</t>
  </si>
  <si>
    <t>66:34:0503009:2331</t>
  </si>
  <si>
    <t>66:45:0200073:76</t>
  </si>
  <si>
    <t>66:36:3002005:215</t>
  </si>
  <si>
    <t>66:25:4001001:468</t>
  </si>
  <si>
    <t>66:34:0503003:366</t>
  </si>
  <si>
    <t>66:34:0503002:1078</t>
  </si>
  <si>
    <t>1 с вставками</t>
  </si>
  <si>
    <t>66:41:0403026:24</t>
  </si>
  <si>
    <t>66:15:1501029:1249</t>
  </si>
  <si>
    <t>66:25:0501022:510</t>
  </si>
  <si>
    <t>66:62:0301003:466</t>
  </si>
  <si>
    <t>66:06:4501018:9055</t>
  </si>
  <si>
    <t>66:18:0703001:1768</t>
  </si>
  <si>
    <t>66:44:0101020:496</t>
  </si>
  <si>
    <t>66:31:2401004:582</t>
  </si>
  <si>
    <t>66:58:0116001:10130</t>
  </si>
  <si>
    <t>66:18:0906003:542</t>
  </si>
  <si>
    <t>66:06:1701014:575</t>
  </si>
  <si>
    <t>66:06:4501021:10793</t>
  </si>
  <si>
    <t>66:58:0110005:623</t>
  </si>
  <si>
    <t>66:45:0200017:374</t>
  </si>
  <si>
    <t>66:59:0201003:1584</t>
  </si>
  <si>
    <t>66:41:0521011:361</t>
  </si>
  <si>
    <t>66:48:0000000:3866</t>
  </si>
  <si>
    <t>66:07:1002012:1192</t>
  </si>
  <si>
    <t>66:63:0000000:7272</t>
  </si>
  <si>
    <t>66:12:5101003:1102</t>
  </si>
  <si>
    <t>66:41:0607041:176</t>
  </si>
  <si>
    <t>66:23:1501001:1525</t>
  </si>
  <si>
    <t>66:25:0801004:360</t>
  </si>
  <si>
    <t>66:35:0221001:7211</t>
  </si>
  <si>
    <t>66:32:0406016:512</t>
  </si>
  <si>
    <t>66:28:6901001:699</t>
  </si>
  <si>
    <t>66:36:2001019:371</t>
  </si>
  <si>
    <t>66:41:0614066:3936</t>
  </si>
  <si>
    <t>66:58:1001001:604</t>
  </si>
  <si>
    <t>66:25:0601001:1356</t>
  </si>
  <si>
    <t>66:03:0801002:1092</t>
  </si>
  <si>
    <t>66:63:0801001:993</t>
  </si>
  <si>
    <t>66:34:0503009:2340</t>
  </si>
  <si>
    <t>66:34:0503002:1012</t>
  </si>
  <si>
    <t>66:25:0310008:53</t>
  </si>
  <si>
    <t>66:58:1101001:406</t>
  </si>
  <si>
    <t>66:15:1501028:726</t>
  </si>
  <si>
    <t>66:15:0901004:243</t>
  </si>
  <si>
    <t>66:34:0503002:1018</t>
  </si>
  <si>
    <t>66:34:0503002:1080</t>
  </si>
  <si>
    <t>66:33:0101001:882</t>
  </si>
  <si>
    <t>66:15:1501032:675</t>
  </si>
  <si>
    <t>66:21:0101034:126</t>
  </si>
  <si>
    <t>66:25:0000000:4131</t>
  </si>
  <si>
    <t>66:66:0101025:1172</t>
  </si>
  <si>
    <t>66:06:4501018:9057</t>
  </si>
  <si>
    <t>66:19:0101019:1835</t>
  </si>
  <si>
    <t>66:45:0200322:139</t>
  </si>
  <si>
    <t>66:53:0102004:307</t>
  </si>
  <si>
    <t>66:58:0116001:10132</t>
  </si>
  <si>
    <t>66:20:0000000:3057</t>
  </si>
  <si>
    <t>66:06:1701020:433</t>
  </si>
  <si>
    <t>66:50:0517002:1136</t>
  </si>
  <si>
    <t>66:59:0102006:1331</t>
  </si>
  <si>
    <t>66:07:1801004:855</t>
  </si>
  <si>
    <t>66:59:0203002:1923</t>
  </si>
  <si>
    <t>66:41:0521040:305</t>
  </si>
  <si>
    <t>66:56:0202005:696</t>
  </si>
  <si>
    <t>66:11:6301002:713</t>
  </si>
  <si>
    <t>66:63:0901001:358</t>
  </si>
  <si>
    <t>66:06:4501001:4192</t>
  </si>
  <si>
    <t>66:41:0614057:529</t>
  </si>
  <si>
    <t>66:02:1601002:982</t>
  </si>
  <si>
    <t>66:25:1405001:2493</t>
  </si>
  <si>
    <t>66:35:0222007:877</t>
  </si>
  <si>
    <t>66:67:0101017:799</t>
  </si>
  <si>
    <t>66:31:1401003:419</t>
  </si>
  <si>
    <t>66:36:3001021:783</t>
  </si>
  <si>
    <t>66:42:0102005:225</t>
  </si>
  <si>
    <t>66:06:2601013:337</t>
  </si>
  <si>
    <t>66:25:1307001:2362</t>
  </si>
  <si>
    <t>66:03:1801012:444</t>
  </si>
  <si>
    <t>66:67:0101002:1171</t>
  </si>
  <si>
    <t>66:59:0202001:668</t>
  </si>
  <si>
    <t>66:51:0109001:91</t>
  </si>
  <si>
    <t>66:34:0503002:1154</t>
  </si>
  <si>
    <t>литера 1А-3;литера 1Б-1;литера 1а-1</t>
  </si>
  <si>
    <t>66:34:0503002:1000</t>
  </si>
  <si>
    <t>66:33:0101002:2116</t>
  </si>
  <si>
    <t>66:34:0503002:1023</t>
  </si>
  <si>
    <t>66:34:0503002:1092</t>
  </si>
  <si>
    <t>66:33:0101002:2100</t>
  </si>
  <si>
    <t>66:46:0103001:874</t>
  </si>
  <si>
    <t>66:34:0503002:1063</t>
  </si>
  <si>
    <t>66:02:0000000:8758</t>
  </si>
  <si>
    <t>66:06:4501020:7799</t>
  </si>
  <si>
    <t>66:36:0111038:311</t>
  </si>
  <si>
    <t>66:21:0901001:788</t>
  </si>
  <si>
    <t>66:67:0000000:447</t>
  </si>
  <si>
    <t>2-2-2-1</t>
  </si>
  <si>
    <t>66:35:0102004:268</t>
  </si>
  <si>
    <t>66:25:1405001:2492</t>
  </si>
  <si>
    <t>66:06:1701051:384</t>
  </si>
  <si>
    <t>66:54:0000000:4100</t>
  </si>
  <si>
    <t>66:62:0107005:224</t>
  </si>
  <si>
    <t>66:12:5101001:468</t>
  </si>
  <si>
    <t>66:03:1301002:474</t>
  </si>
  <si>
    <t>66:41:0614015:3648</t>
  </si>
  <si>
    <t>66:58:1301001:1547</t>
  </si>
  <si>
    <t>66:31:1401002:724</t>
  </si>
  <si>
    <t>66:06:4501001:4190</t>
  </si>
  <si>
    <t>66:06:4501018:9071</t>
  </si>
  <si>
    <t>66:45:0100358:1240</t>
  </si>
  <si>
    <t>66:06:0401004:1485</t>
  </si>
  <si>
    <t>66:25:2601031:196</t>
  </si>
  <si>
    <t>66:36:3101004:224</t>
  </si>
  <si>
    <t>66:19:4401010:601</t>
  </si>
  <si>
    <t>66:35:0108001:2194</t>
  </si>
  <si>
    <t>66:41:0310076:299</t>
  </si>
  <si>
    <t>66:44:0102007:4388</t>
  </si>
  <si>
    <t>66:06:4501018:9078</t>
  </si>
  <si>
    <t>66:11:6909008:273</t>
  </si>
  <si>
    <t>66:03:3501001:347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</si>
</sst>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0" fillId="0" borderId="0" xfId="0" applyNumberFormat="1"/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0" fontId="0" fillId="0" borderId="0" xfId="0"/>
    <xf numFmtId="0" fontId="3" fillId="0" borderId="0" xfId="0" quotePrefix="1" applyFont="1" applyAlignment="1">
      <alignment vertical="top" wrapText="1"/>
    </xf>
    <xf numFmtId="0" fontId="0" fillId="2" borderId="0" xfId="0" applyFill="1"/>
    <xf numFmtId="0" fontId="0" fillId="0" borderId="0" xfId="0"/>
    <xf numFmtId="0" fontId="3" fillId="0" borderId="0" xfId="0" quotePrefix="1" applyFont="1" applyAlignment="1">
      <alignment vertical="top" wrapText="1"/>
    </xf>
    <xf numFmtId="0" fontId="0" fillId="0" borderId="0" xfId="0"/>
    <xf numFmtId="0" fontId="0" fillId="0" borderId="0" xfId="0"/>
    <xf numFmtId="0" fontId="3" fillId="0" borderId="0" xfId="0" quotePrefix="1" applyFont="1" applyAlignment="1">
      <alignment vertical="top" wrapText="1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4"/>
  <sheetViews>
    <sheetView tabSelected="1" workbookViewId="0">
      <pane ySplit="1" topLeftCell="A2" activePane="bottomLeft" state="frozen"/>
      <selection activeCell="C1" sqref="C1"/>
      <selection pane="bottomLeft" activeCell="I3" sqref="I3:S625"/>
    </sheetView>
  </sheetViews>
  <sheetFormatPr defaultRowHeight="15" x14ac:dyDescent="0.25"/>
  <cols>
    <col min="1" max="1" width="20.7109375" customWidth="1"/>
    <col min="2" max="2" width="20.7109375" style="4" customWidth="1"/>
    <col min="3" max="3" width="26.5703125" style="3" customWidth="1"/>
    <col min="4" max="5" width="34.42578125" style="3" customWidth="1"/>
    <col min="6" max="6" width="34.42578125" customWidth="1"/>
    <col min="7" max="7" width="23.140625" style="3" customWidth="1"/>
    <col min="8" max="8" width="13.28515625" style="7" customWidth="1"/>
    <col min="9" max="11" width="26.7109375" style="3" customWidth="1"/>
    <col min="12" max="12" width="30.28515625" customWidth="1"/>
    <col min="13" max="13" width="31.140625" customWidth="1"/>
    <col min="14" max="14" width="32.42578125" customWidth="1"/>
    <col min="15" max="15" width="50.42578125" customWidth="1"/>
    <col min="16" max="16" width="26.28515625" customWidth="1"/>
    <col min="17" max="17" width="28.5703125" customWidth="1"/>
    <col min="18" max="18" width="22.7109375" customWidth="1"/>
    <col min="19" max="19" width="18.85546875" customWidth="1"/>
  </cols>
  <sheetData>
    <row r="1" spans="1:19" x14ac:dyDescent="0.25">
      <c r="A1" s="1" t="s">
        <v>0</v>
      </c>
      <c r="B1" s="1" t="s">
        <v>1019</v>
      </c>
      <c r="C1" s="15" t="s">
        <v>1</v>
      </c>
      <c r="D1" s="15" t="s">
        <v>2</v>
      </c>
      <c r="E1" s="16" t="s">
        <v>3</v>
      </c>
      <c r="F1" s="2" t="s">
        <v>4</v>
      </c>
      <c r="G1" s="16"/>
      <c r="H1" s="2"/>
      <c r="I1" s="15" t="s">
        <v>1016</v>
      </c>
      <c r="J1" s="15" t="s">
        <v>1017</v>
      </c>
      <c r="K1" s="15" t="s">
        <v>1020</v>
      </c>
      <c r="L1" s="1" t="s">
        <v>1014</v>
      </c>
      <c r="M1" s="1" t="s">
        <v>1015</v>
      </c>
      <c r="N1" s="1" t="s">
        <v>1046</v>
      </c>
      <c r="O1" s="1" t="s">
        <v>1021</v>
      </c>
      <c r="P1" s="1" t="s">
        <v>1024</v>
      </c>
      <c r="Q1" t="s">
        <v>1022</v>
      </c>
      <c r="R1" t="s">
        <v>1023</v>
      </c>
      <c r="S1" t="s">
        <v>1039</v>
      </c>
    </row>
    <row r="2" spans="1:19" x14ac:dyDescent="0.25">
      <c r="A2" t="s">
        <v>1181</v>
      </c>
      <c r="B2" s="4" t="s">
        <v>1182</v>
      </c>
      <c r="C2" s="3" t="s">
        <v>8</v>
      </c>
      <c r="D2" s="3" t="s">
        <v>5</v>
      </c>
      <c r="E2" s="3" t="s">
        <v>5</v>
      </c>
      <c r="F2" t="s">
        <v>1045</v>
      </c>
      <c r="G2" s="3" t="s">
        <v>1183</v>
      </c>
      <c r="H2" s="7" t="s">
        <v>1184</v>
      </c>
      <c r="I2" s="3" t="str">
        <f>IFERROR(VLOOKUP(C2,'Справочник соответствий'!A$2:D$2996,2,FALSE),IF(VALUE(C2)=0,1,VLOOKUP(C2,'Справочник соответствий'!A$2:D$2996,2,FALSE)))</f>
        <v>3</v>
      </c>
      <c r="J2" s="3" t="str">
        <f>IFERROR(VLOOKUP(D2,'Справочник соответствий'!A$2:D$2996,2,FALSE),IF(VALUE(D2)=0,0,VLOOKUP(D2,'Справочник соответствий'!A$2:D$2996,2,FALSE)))</f>
        <v>1</v>
      </c>
      <c r="K2" s="3" t="str">
        <f t="shared" ref="K2:K65" si="0">IF(B2="Многоквартирный дом",IF(I2-J2&gt;0,I2-J2,1),I2)</f>
        <v>3</v>
      </c>
      <c r="L2" s="13" t="str">
        <f>IFERROR(VLOOKUP(C2,'Справочник соответствий'!A$2:D$2996,3,FALSE),IF(VALUE(C2)=0,"ЭТАЖ НЕ ОПРЕДЕЛЕН. ПРИНЯТ ПО ДОПУЩЕНИЮ 1",VLOOKUP(C2,'Справочник соответствий'!A$2:D$2996,3,FALSE)))</f>
        <v>ЭТАЖ ЗАДАН ЧИСЛОМ</v>
      </c>
      <c r="M2" s="13" t="b">
        <f t="shared" ref="M2:M65" si="1">I2=E2</f>
        <v>0</v>
      </c>
      <c r="N2" s="13">
        <f t="shared" ref="N2:N65" si="2">IF(VALUE(E2)=0,VALUE(K2),IF(L2="ЭТАЖ НЕ ОПРЕДЕЛЕН. ПРИНЯТ ПО ДОПУЩЕНИЮ 1",VALUE(E2),VALUE(K2)))</f>
        <v>3</v>
      </c>
      <c r="O2" s="13" t="str">
        <f t="shared" ref="O2:O65" si="3">IF(VALUE(E2)=0,L2,IF(L2="ЭТАЖ НЕ ОПРЕДЕЛЕН. ПРИНЯТ ПО ДОПУЩЕНИЮ 1",F2,L2))</f>
        <v>ЭТАЖ ЗАДАН ЧИСЛОМ</v>
      </c>
      <c r="P2" s="13" t="str">
        <f t="shared" ref="P2:P65" si="4">IF(B2="Многоквартирный дом",CONCATENATE("МКД_",O2),O2)</f>
        <v>ЭТАЖ ЗАДАН ЧИСЛОМ</v>
      </c>
      <c r="Q2" s="13" t="str">
        <f t="shared" ref="Q2:Q65" si="5">IFERROR(IF(N2&gt;0,IF(N2=VALUE(E2),"ГОТОВ","ГОТОВ_ИЗМЕНЕН"),"НЕ ГОТОВ"),"НЕ ГОТОВ")</f>
        <v>ГОТОВ_ИЗМЕНЕН</v>
      </c>
      <c r="R2" s="13">
        <f>IFERROR(VLOOKUP(P2,Лист1!A$1:B$20,2,FALSE),0)</f>
        <v>784</v>
      </c>
      <c r="S2" s="13">
        <f t="shared" ref="S2:S65" si="6">VALUE(E2)</f>
        <v>1</v>
      </c>
    </row>
    <row r="3" spans="1:19" x14ac:dyDescent="0.25">
      <c r="A3" t="s">
        <v>1185</v>
      </c>
      <c r="B3" s="4" t="s">
        <v>1182</v>
      </c>
      <c r="C3" s="3" t="s">
        <v>5</v>
      </c>
      <c r="E3" s="3" t="s">
        <v>5</v>
      </c>
      <c r="F3" t="s">
        <v>1186</v>
      </c>
      <c r="G3" s="3" t="s">
        <v>1187</v>
      </c>
      <c r="H3" s="7" t="s">
        <v>1184</v>
      </c>
      <c r="I3" s="3" t="str">
        <f>IFERROR(VLOOKUP(C3,'Справочник соответствий'!A$2:D$2996,2,FALSE),IF(VALUE(C3)=0,1,VLOOKUP(C3,'Справочник соответствий'!A$2:D$2996,2,FALSE)))</f>
        <v>1</v>
      </c>
      <c r="J3" s="3">
        <f>IFERROR(VLOOKUP(D3,'Справочник соответствий'!A$2:D$2996,2,FALSE),IF(VALUE(D3)=0,0,VLOOKUP(D3,'Справочник соответствий'!A$2:D$2996,2,FALSE)))</f>
        <v>0</v>
      </c>
      <c r="K3" s="3" t="str">
        <f t="shared" si="0"/>
        <v>1</v>
      </c>
      <c r="L3" s="13" t="str">
        <f>IFERROR(VLOOKUP(C3,'Справочник соответствий'!A$2:D$2996,3,FALSE),IF(VALUE(C3)=0,"ЭТАЖ НЕ ОПРЕДЕЛЕН. ПРИНЯТ ПО ДОПУЩЕНИЮ 1",VLOOKUP(C3,'Справочник соответствий'!A$2:D$2996,3,FALSE)))</f>
        <v>ЭТАЖ ЗАДАН ЧИСЛОМ</v>
      </c>
      <c r="M3" s="13" t="b">
        <f t="shared" si="1"/>
        <v>1</v>
      </c>
      <c r="N3" s="13">
        <f t="shared" si="2"/>
        <v>1</v>
      </c>
      <c r="O3" s="13" t="str">
        <f t="shared" si="3"/>
        <v>ЭТАЖ ЗАДАН ЧИСЛОМ</v>
      </c>
      <c r="P3" s="13" t="str">
        <f t="shared" si="4"/>
        <v>ЭТАЖ ЗАДАН ЧИСЛОМ</v>
      </c>
      <c r="Q3" s="13" t="str">
        <f t="shared" si="5"/>
        <v>ГОТОВ</v>
      </c>
      <c r="R3" s="13">
        <f>IFERROR(VLOOKUP(P3,Лист1!A$1:B$20,2,FALSE),0)</f>
        <v>784</v>
      </c>
      <c r="S3" s="13">
        <f t="shared" si="6"/>
        <v>1</v>
      </c>
    </row>
    <row r="4" spans="1:19" x14ac:dyDescent="0.25">
      <c r="A4" t="s">
        <v>1188</v>
      </c>
      <c r="B4" s="4" t="s">
        <v>1182</v>
      </c>
      <c r="C4" s="3" t="s">
        <v>8</v>
      </c>
      <c r="D4" s="3" t="s">
        <v>5</v>
      </c>
      <c r="E4" s="3" t="s">
        <v>7</v>
      </c>
      <c r="F4" t="s">
        <v>1038</v>
      </c>
      <c r="G4" s="3" t="s">
        <v>1183</v>
      </c>
      <c r="H4" s="7" t="s">
        <v>1184</v>
      </c>
      <c r="I4" s="3" t="str">
        <f>IFERROR(VLOOKUP(C4,'Справочник соответствий'!A$2:D$2996,2,FALSE),IF(VALUE(C4)=0,1,VLOOKUP(C4,'Справочник соответствий'!A$2:D$2996,2,FALSE)))</f>
        <v>3</v>
      </c>
      <c r="J4" s="3" t="str">
        <f>IFERROR(VLOOKUP(D4,'Справочник соответствий'!A$2:D$2996,2,FALSE),IF(VALUE(D4)=0,0,VLOOKUP(D4,'Справочник соответствий'!A$2:D$2996,2,FALSE)))</f>
        <v>1</v>
      </c>
      <c r="K4" s="3" t="str">
        <f t="shared" si="0"/>
        <v>3</v>
      </c>
      <c r="L4" s="13" t="str">
        <f>IFERROR(VLOOKUP(C4,'Справочник соответствий'!A$2:D$2996,3,FALSE),IF(VALUE(C4)=0,"ЭТАЖ НЕ ОПРЕДЕЛЕН. ПРИНЯТ ПО ДОПУЩЕНИЮ 1",VLOOKUP(C4,'Справочник соответствий'!A$2:D$2996,3,FALSE)))</f>
        <v>ЭТАЖ ЗАДАН ЧИСЛОМ</v>
      </c>
      <c r="M4" s="13" t="b">
        <f t="shared" si="1"/>
        <v>0</v>
      </c>
      <c r="N4" s="13">
        <f t="shared" si="2"/>
        <v>3</v>
      </c>
      <c r="O4" s="13" t="str">
        <f t="shared" si="3"/>
        <v>ЭТАЖ ЗАДАН ЧИСЛОМ</v>
      </c>
      <c r="P4" s="13" t="str">
        <f t="shared" si="4"/>
        <v>ЭТАЖ ЗАДАН ЧИСЛОМ</v>
      </c>
      <c r="Q4" s="13" t="str">
        <f t="shared" si="5"/>
        <v>ГОТОВ_ИЗМЕНЕН</v>
      </c>
      <c r="R4" s="13">
        <f>IFERROR(VLOOKUP(P4,Лист1!A$1:B$20,2,FALSE),0)</f>
        <v>784</v>
      </c>
      <c r="S4" s="13">
        <f t="shared" si="6"/>
        <v>2</v>
      </c>
    </row>
    <row r="5" spans="1:19" x14ac:dyDescent="0.25">
      <c r="A5" t="s">
        <v>1189</v>
      </c>
      <c r="B5" s="4" t="s">
        <v>1190</v>
      </c>
      <c r="C5" s="3" t="s">
        <v>5</v>
      </c>
      <c r="E5" s="3" t="s">
        <v>5</v>
      </c>
      <c r="F5" t="s">
        <v>1038</v>
      </c>
      <c r="G5" s="3" t="s">
        <v>1191</v>
      </c>
      <c r="H5" s="7" t="s">
        <v>1184</v>
      </c>
      <c r="I5" s="3" t="str">
        <f>IFERROR(VLOOKUP(C5,'Справочник соответствий'!A$2:D$2996,2,FALSE),IF(VALUE(C5)=0,1,VLOOKUP(C5,'Справочник соответствий'!A$2:D$2996,2,FALSE)))</f>
        <v>1</v>
      </c>
      <c r="J5" s="3">
        <f>IFERROR(VLOOKUP(D5,'Справочник соответствий'!A$2:D$2996,2,FALSE),IF(VALUE(D5)=0,0,VLOOKUP(D5,'Справочник соответствий'!A$2:D$2996,2,FALSE)))</f>
        <v>0</v>
      </c>
      <c r="K5" s="3" t="str">
        <f t="shared" si="0"/>
        <v>1</v>
      </c>
      <c r="L5" s="13" t="str">
        <f>IFERROR(VLOOKUP(C5,'Справочник соответствий'!A$2:D$2996,3,FALSE),IF(VALUE(C5)=0,"ЭТАЖ НЕ ОПРЕДЕЛЕН. ПРИНЯТ ПО ДОПУЩЕНИЮ 1",VLOOKUP(C5,'Справочник соответствий'!A$2:D$2996,3,FALSE)))</f>
        <v>ЭТАЖ ЗАДАН ЧИСЛОМ</v>
      </c>
      <c r="M5" s="13" t="b">
        <f t="shared" si="1"/>
        <v>1</v>
      </c>
      <c r="N5" s="13">
        <f t="shared" si="2"/>
        <v>1</v>
      </c>
      <c r="O5" s="13" t="str">
        <f t="shared" si="3"/>
        <v>ЭТАЖ ЗАДАН ЧИСЛОМ</v>
      </c>
      <c r="P5" s="13" t="str">
        <f t="shared" si="4"/>
        <v>ЭТАЖ ЗАДАН ЧИСЛОМ</v>
      </c>
      <c r="Q5" s="13" t="str">
        <f t="shared" si="5"/>
        <v>ГОТОВ</v>
      </c>
      <c r="R5" s="13">
        <f>IFERROR(VLOOKUP(P5,Лист1!A$1:B$20,2,FALSE),0)</f>
        <v>784</v>
      </c>
      <c r="S5" s="13">
        <f t="shared" si="6"/>
        <v>1</v>
      </c>
    </row>
    <row r="6" spans="1:19" x14ac:dyDescent="0.25">
      <c r="A6" t="s">
        <v>1192</v>
      </c>
      <c r="B6" s="4" t="s">
        <v>1182</v>
      </c>
      <c r="C6" s="3" t="s">
        <v>1193</v>
      </c>
      <c r="E6" s="3" t="s">
        <v>7</v>
      </c>
      <c r="F6" t="s">
        <v>1186</v>
      </c>
      <c r="G6" s="3" t="s">
        <v>1191</v>
      </c>
      <c r="H6" s="7" t="s">
        <v>1184</v>
      </c>
      <c r="I6" s="3" t="str">
        <f>IFERROR(VLOOKUP(C6,'Справочник соответствий'!A$2:D$2996,2,FALSE),IF(VALUE(C6)=0,1,VLOOKUP(C6,'Справочник соответствий'!A$2:D$2996,2,FALSE)))</f>
        <v>1</v>
      </c>
      <c r="J6" s="3">
        <f>IFERROR(VLOOKUP(D6,'Справочник соответствий'!A$2:D$2996,2,FALSE),IF(VALUE(D6)=0,0,VLOOKUP(D6,'Справочник соответствий'!A$2:D$2996,2,FALSE)))</f>
        <v>0</v>
      </c>
      <c r="K6" s="3" t="str">
        <f t="shared" si="0"/>
        <v>1</v>
      </c>
      <c r="L6" s="13" t="str">
        <f>IFERROR(VLOOKUP(C6,'Справочник соответствий'!A$2:D$2996,3,FALSE),IF(VALUE(C6)=0,"ЭТАЖ НЕ ОПРЕДЕЛЕН. ПРИНЯТ ПО ДОПУЩЕНИЮ 1",VLOOKUP(C6,'Справочник соответствий'!A$2:D$2996,3,FALSE)))</f>
        <v>СПРАВОЧНИК ЭТАЖНОСТИ</v>
      </c>
      <c r="M6" s="13" t="b">
        <f t="shared" si="1"/>
        <v>0</v>
      </c>
      <c r="N6" s="13">
        <f t="shared" si="2"/>
        <v>1</v>
      </c>
      <c r="O6" s="13" t="str">
        <f t="shared" si="3"/>
        <v>СПРАВОЧНИК ЭТАЖНОСТИ</v>
      </c>
      <c r="P6" s="13" t="str">
        <f t="shared" si="4"/>
        <v>СПРАВОЧНИК ЭТАЖНОСТИ</v>
      </c>
      <c r="Q6" s="13" t="str">
        <f t="shared" si="5"/>
        <v>ГОТОВ_ИЗМЕНЕН</v>
      </c>
      <c r="R6" s="13">
        <f>IFERROR(VLOOKUP(P6,Лист1!A$1:B$20,2,FALSE),0)</f>
        <v>785</v>
      </c>
      <c r="S6" s="13">
        <f t="shared" si="6"/>
        <v>2</v>
      </c>
    </row>
    <row r="7" spans="1:19" x14ac:dyDescent="0.25">
      <c r="A7" t="s">
        <v>1194</v>
      </c>
      <c r="B7" s="4" t="s">
        <v>1182</v>
      </c>
      <c r="C7" s="3" t="s">
        <v>5</v>
      </c>
      <c r="E7" s="3" t="s">
        <v>7</v>
      </c>
      <c r="F7" t="s">
        <v>1186</v>
      </c>
      <c r="G7" s="3" t="s">
        <v>1191</v>
      </c>
      <c r="H7" s="7" t="s">
        <v>1184</v>
      </c>
      <c r="I7" s="3" t="str">
        <f>IFERROR(VLOOKUP(C7,'Справочник соответствий'!A$2:D$2996,2,FALSE),IF(VALUE(C7)=0,1,VLOOKUP(C7,'Справочник соответствий'!A$2:D$2996,2,FALSE)))</f>
        <v>1</v>
      </c>
      <c r="J7" s="3">
        <f>IFERROR(VLOOKUP(D7,'Справочник соответствий'!A$2:D$2996,2,FALSE),IF(VALUE(D7)=0,0,VLOOKUP(D7,'Справочник соответствий'!A$2:D$2996,2,FALSE)))</f>
        <v>0</v>
      </c>
      <c r="K7" s="3" t="str">
        <f t="shared" si="0"/>
        <v>1</v>
      </c>
      <c r="L7" s="13" t="str">
        <f>IFERROR(VLOOKUP(C7,'Справочник соответствий'!A$2:D$2996,3,FALSE),IF(VALUE(C7)=0,"ЭТАЖ НЕ ОПРЕДЕЛЕН. ПРИНЯТ ПО ДОПУЩЕНИЮ 1",VLOOKUP(C7,'Справочник соответствий'!A$2:D$2996,3,FALSE)))</f>
        <v>ЭТАЖ ЗАДАН ЧИСЛОМ</v>
      </c>
      <c r="M7" s="13" t="b">
        <f t="shared" si="1"/>
        <v>0</v>
      </c>
      <c r="N7" s="13">
        <f t="shared" si="2"/>
        <v>1</v>
      </c>
      <c r="O7" s="13" t="str">
        <f t="shared" si="3"/>
        <v>ЭТАЖ ЗАДАН ЧИСЛОМ</v>
      </c>
      <c r="P7" s="13" t="str">
        <f t="shared" si="4"/>
        <v>ЭТАЖ ЗАДАН ЧИСЛОМ</v>
      </c>
      <c r="Q7" s="13" t="str">
        <f t="shared" si="5"/>
        <v>ГОТОВ_ИЗМЕНЕН</v>
      </c>
      <c r="R7" s="13">
        <f>IFERROR(VLOOKUP(P7,Лист1!A$1:B$20,2,FALSE),0)</f>
        <v>784</v>
      </c>
      <c r="S7" s="13">
        <f t="shared" si="6"/>
        <v>2</v>
      </c>
    </row>
    <row r="8" spans="1:19" x14ac:dyDescent="0.25">
      <c r="A8" t="s">
        <v>1195</v>
      </c>
      <c r="B8" s="4" t="s">
        <v>1190</v>
      </c>
      <c r="C8" s="3" t="s">
        <v>5</v>
      </c>
      <c r="D8" s="3" t="s">
        <v>5</v>
      </c>
      <c r="E8" s="3" t="s">
        <v>5</v>
      </c>
      <c r="F8" t="s">
        <v>1045</v>
      </c>
      <c r="G8" s="3" t="s">
        <v>1191</v>
      </c>
      <c r="H8" s="7" t="s">
        <v>1184</v>
      </c>
      <c r="I8" s="3" t="str">
        <f>IFERROR(VLOOKUP(C8,'Справочник соответствий'!A$2:D$2996,2,FALSE),IF(VALUE(C8)=0,1,VLOOKUP(C8,'Справочник соответствий'!A$2:D$2996,2,FALSE)))</f>
        <v>1</v>
      </c>
      <c r="J8" s="3" t="str">
        <f>IFERROR(VLOOKUP(D8,'Справочник соответствий'!A$2:D$2996,2,FALSE),IF(VALUE(D8)=0,0,VLOOKUP(D8,'Справочник соответствий'!A$2:D$2996,2,FALSE)))</f>
        <v>1</v>
      </c>
      <c r="K8" s="3" t="str">
        <f t="shared" si="0"/>
        <v>1</v>
      </c>
      <c r="L8" s="13" t="str">
        <f>IFERROR(VLOOKUP(C8,'Справочник соответствий'!A$2:D$2996,3,FALSE),IF(VALUE(C8)=0,"ЭТАЖ НЕ ОПРЕДЕЛЕН. ПРИНЯТ ПО ДОПУЩЕНИЮ 1",VLOOKUP(C8,'Справочник соответствий'!A$2:D$2996,3,FALSE)))</f>
        <v>ЭТАЖ ЗАДАН ЧИСЛОМ</v>
      </c>
      <c r="M8" s="13" t="b">
        <f t="shared" si="1"/>
        <v>1</v>
      </c>
      <c r="N8" s="13">
        <f t="shared" si="2"/>
        <v>1</v>
      </c>
      <c r="O8" s="13" t="str">
        <f t="shared" si="3"/>
        <v>ЭТАЖ ЗАДАН ЧИСЛОМ</v>
      </c>
      <c r="P8" s="13" t="str">
        <f t="shared" si="4"/>
        <v>ЭТАЖ ЗАДАН ЧИСЛОМ</v>
      </c>
      <c r="Q8" s="13" t="str">
        <f t="shared" si="5"/>
        <v>ГОТОВ</v>
      </c>
      <c r="R8" s="13">
        <f>IFERROR(VLOOKUP(P8,Лист1!A$1:B$20,2,FALSE),0)</f>
        <v>784</v>
      </c>
      <c r="S8" s="13">
        <f t="shared" si="6"/>
        <v>1</v>
      </c>
    </row>
    <row r="9" spans="1:19" x14ac:dyDescent="0.25">
      <c r="A9" t="s">
        <v>1196</v>
      </c>
      <c r="B9" s="4" t="s">
        <v>1190</v>
      </c>
      <c r="C9" s="3" t="s">
        <v>7</v>
      </c>
      <c r="D9" s="3" t="s">
        <v>5</v>
      </c>
      <c r="E9" s="3" t="s">
        <v>7</v>
      </c>
      <c r="F9" t="s">
        <v>1045</v>
      </c>
      <c r="G9" s="3" t="s">
        <v>1183</v>
      </c>
      <c r="H9" s="7" t="s">
        <v>1184</v>
      </c>
      <c r="I9" s="3" t="str">
        <f>IFERROR(VLOOKUP(C9,'Справочник соответствий'!A$2:D$2996,2,FALSE),IF(VALUE(C9)=0,1,VLOOKUP(C9,'Справочник соответствий'!A$2:D$2996,2,FALSE)))</f>
        <v>2</v>
      </c>
      <c r="J9" s="3" t="str">
        <f>IFERROR(VLOOKUP(D9,'Справочник соответствий'!A$2:D$2996,2,FALSE),IF(VALUE(D9)=0,0,VLOOKUP(D9,'Справочник соответствий'!A$2:D$2996,2,FALSE)))</f>
        <v>1</v>
      </c>
      <c r="K9" s="3" t="str">
        <f t="shared" si="0"/>
        <v>2</v>
      </c>
      <c r="L9" s="13" t="str">
        <f>IFERROR(VLOOKUP(C9,'Справочник соответствий'!A$2:D$2996,3,FALSE),IF(VALUE(C9)=0,"ЭТАЖ НЕ ОПРЕДЕЛЕН. ПРИНЯТ ПО ДОПУЩЕНИЮ 1",VLOOKUP(C9,'Справочник соответствий'!A$2:D$2996,3,FALSE)))</f>
        <v>ЭТАЖ ЗАДАН ЧИСЛОМ</v>
      </c>
      <c r="M9" s="13" t="b">
        <f t="shared" si="1"/>
        <v>1</v>
      </c>
      <c r="N9" s="13">
        <f t="shared" si="2"/>
        <v>2</v>
      </c>
      <c r="O9" s="13" t="str">
        <f t="shared" si="3"/>
        <v>ЭТАЖ ЗАДАН ЧИСЛОМ</v>
      </c>
      <c r="P9" s="13" t="str">
        <f t="shared" si="4"/>
        <v>ЭТАЖ ЗАДАН ЧИСЛОМ</v>
      </c>
      <c r="Q9" s="13" t="str">
        <f t="shared" si="5"/>
        <v>ГОТОВ</v>
      </c>
      <c r="R9" s="13">
        <f>IFERROR(VLOOKUP(P9,Лист1!A$1:B$20,2,FALSE),0)</f>
        <v>784</v>
      </c>
      <c r="S9" s="13">
        <f t="shared" si="6"/>
        <v>2</v>
      </c>
    </row>
    <row r="10" spans="1:19" x14ac:dyDescent="0.25">
      <c r="A10" t="s">
        <v>1197</v>
      </c>
      <c r="B10" s="4" t="s">
        <v>1190</v>
      </c>
      <c r="C10" s="3" t="s">
        <v>7</v>
      </c>
      <c r="D10" s="3" t="s">
        <v>5</v>
      </c>
      <c r="E10" s="3" t="s">
        <v>7</v>
      </c>
      <c r="F10" t="s">
        <v>1045</v>
      </c>
      <c r="G10" s="3" t="s">
        <v>1198</v>
      </c>
      <c r="H10" s="7" t="s">
        <v>1184</v>
      </c>
      <c r="I10" s="3" t="str">
        <f>IFERROR(VLOOKUP(C10,'Справочник соответствий'!A$2:D$2996,2,FALSE),IF(VALUE(C10)=0,1,VLOOKUP(C10,'Справочник соответствий'!A$2:D$2996,2,FALSE)))</f>
        <v>2</v>
      </c>
      <c r="J10" s="3" t="str">
        <f>IFERROR(VLOOKUP(D10,'Справочник соответствий'!A$2:D$2996,2,FALSE),IF(VALUE(D10)=0,0,VLOOKUP(D10,'Справочник соответствий'!A$2:D$2996,2,FALSE)))</f>
        <v>1</v>
      </c>
      <c r="K10" s="3" t="str">
        <f t="shared" si="0"/>
        <v>2</v>
      </c>
      <c r="L10" s="13" t="str">
        <f>IFERROR(VLOOKUP(C10,'Справочник соответствий'!A$2:D$2996,3,FALSE),IF(VALUE(C10)=0,"ЭТАЖ НЕ ОПРЕДЕЛЕН. ПРИНЯТ ПО ДОПУЩЕНИЮ 1",VLOOKUP(C10,'Справочник соответствий'!A$2:D$2996,3,FALSE)))</f>
        <v>ЭТАЖ ЗАДАН ЧИСЛОМ</v>
      </c>
      <c r="M10" s="13" t="b">
        <f t="shared" si="1"/>
        <v>1</v>
      </c>
      <c r="N10" s="13">
        <f t="shared" si="2"/>
        <v>2</v>
      </c>
      <c r="O10" s="13" t="str">
        <f t="shared" si="3"/>
        <v>ЭТАЖ ЗАДАН ЧИСЛОМ</v>
      </c>
      <c r="P10" s="13" t="str">
        <f t="shared" si="4"/>
        <v>ЭТАЖ ЗАДАН ЧИСЛОМ</v>
      </c>
      <c r="Q10" s="13" t="str">
        <f t="shared" si="5"/>
        <v>ГОТОВ</v>
      </c>
      <c r="R10" s="13">
        <f>IFERROR(VLOOKUP(P10,Лист1!A$1:B$20,2,FALSE),0)</f>
        <v>784</v>
      </c>
      <c r="S10" s="13">
        <f t="shared" si="6"/>
        <v>2</v>
      </c>
    </row>
    <row r="11" spans="1:19" x14ac:dyDescent="0.25">
      <c r="A11" t="s">
        <v>1199</v>
      </c>
      <c r="B11" s="4" t="s">
        <v>1182</v>
      </c>
      <c r="C11" s="3" t="s">
        <v>7</v>
      </c>
      <c r="D11" s="3" t="s">
        <v>1200</v>
      </c>
      <c r="E11" s="3" t="s">
        <v>5</v>
      </c>
      <c r="F11" t="s">
        <v>1045</v>
      </c>
      <c r="G11" s="3" t="s">
        <v>1198</v>
      </c>
      <c r="H11" s="7" t="s">
        <v>1184</v>
      </c>
      <c r="I11" s="3" t="str">
        <f>IFERROR(VLOOKUP(C11,'Справочник соответствий'!A$2:D$2996,2,FALSE),IF(VALUE(C11)=0,1,VLOOKUP(C11,'Справочник соответствий'!A$2:D$2996,2,FALSE)))</f>
        <v>2</v>
      </c>
      <c r="J11" s="3" t="e">
        <f>IFERROR(VLOOKUP(D11,'Справочник соответствий'!A$2:D$2996,2,FALSE),IF(VALUE(D11)=0,0,VLOOKUP(D11,'Справочник соответствий'!A$2:D$2996,2,FALSE)))</f>
        <v>#N/A</v>
      </c>
      <c r="K11" s="3" t="str">
        <f t="shared" si="0"/>
        <v>2</v>
      </c>
      <c r="L11" s="13" t="str">
        <f>IFERROR(VLOOKUP(C11,'Справочник соответствий'!A$2:D$2996,3,FALSE),IF(VALUE(C11)=0,"ЭТАЖ НЕ ОПРЕДЕЛЕН. ПРИНЯТ ПО ДОПУЩЕНИЮ 1",VLOOKUP(C11,'Справочник соответствий'!A$2:D$2996,3,FALSE)))</f>
        <v>ЭТАЖ ЗАДАН ЧИСЛОМ</v>
      </c>
      <c r="M11" s="13" t="b">
        <f t="shared" si="1"/>
        <v>0</v>
      </c>
      <c r="N11" s="13">
        <f t="shared" si="2"/>
        <v>2</v>
      </c>
      <c r="O11" s="13" t="str">
        <f t="shared" si="3"/>
        <v>ЭТАЖ ЗАДАН ЧИСЛОМ</v>
      </c>
      <c r="P11" s="13" t="str">
        <f t="shared" si="4"/>
        <v>ЭТАЖ ЗАДАН ЧИСЛОМ</v>
      </c>
      <c r="Q11" s="13" t="str">
        <f t="shared" si="5"/>
        <v>ГОТОВ_ИЗМЕНЕН</v>
      </c>
      <c r="R11" s="13">
        <f>IFERROR(VLOOKUP(P11,Лист1!A$1:B$20,2,FALSE),0)</f>
        <v>784</v>
      </c>
      <c r="S11" s="13">
        <f t="shared" si="6"/>
        <v>1</v>
      </c>
    </row>
    <row r="12" spans="1:19" x14ac:dyDescent="0.25">
      <c r="A12" t="s">
        <v>1201</v>
      </c>
      <c r="B12" s="4" t="s">
        <v>1190</v>
      </c>
      <c r="C12" s="3" t="s">
        <v>7</v>
      </c>
      <c r="G12" s="3" t="s">
        <v>1187</v>
      </c>
      <c r="I12" s="3" t="str">
        <f>IFERROR(VLOOKUP(C12,'Справочник соответствий'!A$2:D$2996,2,FALSE),IF(VALUE(C12)=0,1,VLOOKUP(C12,'Справочник соответствий'!A$2:D$2996,2,FALSE)))</f>
        <v>2</v>
      </c>
      <c r="J12" s="3">
        <f>IFERROR(VLOOKUP(D12,'Справочник соответствий'!A$2:D$2996,2,FALSE),IF(VALUE(D12)=0,0,VLOOKUP(D12,'Справочник соответствий'!A$2:D$2996,2,FALSE)))</f>
        <v>0</v>
      </c>
      <c r="K12" s="3" t="str">
        <f t="shared" si="0"/>
        <v>2</v>
      </c>
      <c r="L12" s="13" t="str">
        <f>IFERROR(VLOOKUP(C12,'Справочник соответствий'!A$2:D$2996,3,FALSE),IF(VALUE(C12)=0,"ЭТАЖ НЕ ОПРЕДЕЛЕН. ПРИНЯТ ПО ДОПУЩЕНИЮ 1",VLOOKUP(C12,'Справочник соответствий'!A$2:D$2996,3,FALSE)))</f>
        <v>ЭТАЖ ЗАДАН ЧИСЛОМ</v>
      </c>
      <c r="M12" s="13" t="b">
        <f t="shared" si="1"/>
        <v>0</v>
      </c>
      <c r="N12" s="13">
        <f t="shared" si="2"/>
        <v>2</v>
      </c>
      <c r="O12" s="13" t="str">
        <f t="shared" si="3"/>
        <v>ЭТАЖ ЗАДАН ЧИСЛОМ</v>
      </c>
      <c r="P12" s="13" t="str">
        <f t="shared" si="4"/>
        <v>ЭТАЖ ЗАДАН ЧИСЛОМ</v>
      </c>
      <c r="Q12" s="13" t="str">
        <f t="shared" si="5"/>
        <v>ГОТОВ_ИЗМЕНЕН</v>
      </c>
      <c r="R12" s="13">
        <f>IFERROR(VLOOKUP(P12,Лист1!A$1:B$20,2,FALSE),0)</f>
        <v>784</v>
      </c>
      <c r="S12" s="13">
        <f t="shared" si="6"/>
        <v>0</v>
      </c>
    </row>
    <row r="13" spans="1:19" x14ac:dyDescent="0.25">
      <c r="A13" t="s">
        <v>1202</v>
      </c>
      <c r="B13" s="4" t="s">
        <v>1190</v>
      </c>
      <c r="C13" s="3" t="s">
        <v>5</v>
      </c>
      <c r="G13" s="3" t="s">
        <v>1187</v>
      </c>
      <c r="I13" s="3" t="str">
        <f>IFERROR(VLOOKUP(C13,'Справочник соответствий'!A$2:D$2996,2,FALSE),IF(VALUE(C13)=0,1,VLOOKUP(C13,'Справочник соответствий'!A$2:D$2996,2,FALSE)))</f>
        <v>1</v>
      </c>
      <c r="J13" s="3">
        <f>IFERROR(VLOOKUP(D13,'Справочник соответствий'!A$2:D$2996,2,FALSE),IF(VALUE(D13)=0,0,VLOOKUP(D13,'Справочник соответствий'!A$2:D$2996,2,FALSE)))</f>
        <v>0</v>
      </c>
      <c r="K13" s="3" t="str">
        <f t="shared" si="0"/>
        <v>1</v>
      </c>
      <c r="L13" s="13" t="str">
        <f>IFERROR(VLOOKUP(C13,'Справочник соответствий'!A$2:D$2996,3,FALSE),IF(VALUE(C13)=0,"ЭТАЖ НЕ ОПРЕДЕЛЕН. ПРИНЯТ ПО ДОПУЩЕНИЮ 1",VLOOKUP(C13,'Справочник соответствий'!A$2:D$2996,3,FALSE)))</f>
        <v>ЭТАЖ ЗАДАН ЧИСЛОМ</v>
      </c>
      <c r="M13" s="13" t="b">
        <f t="shared" si="1"/>
        <v>0</v>
      </c>
      <c r="N13" s="13">
        <f t="shared" si="2"/>
        <v>1</v>
      </c>
      <c r="O13" s="13" t="str">
        <f t="shared" si="3"/>
        <v>ЭТАЖ ЗАДАН ЧИСЛОМ</v>
      </c>
      <c r="P13" s="13" t="str">
        <f t="shared" si="4"/>
        <v>ЭТАЖ ЗАДАН ЧИСЛОМ</v>
      </c>
      <c r="Q13" s="13" t="str">
        <f t="shared" si="5"/>
        <v>ГОТОВ_ИЗМЕНЕН</v>
      </c>
      <c r="R13" s="13">
        <f>IFERROR(VLOOKUP(P13,Лист1!A$1:B$20,2,FALSE),0)</f>
        <v>784</v>
      </c>
      <c r="S13" s="13">
        <f t="shared" si="6"/>
        <v>0</v>
      </c>
    </row>
    <row r="14" spans="1:19" x14ac:dyDescent="0.25">
      <c r="A14" t="s">
        <v>1203</v>
      </c>
      <c r="B14" s="4" t="s">
        <v>1190</v>
      </c>
      <c r="C14" s="3" t="s">
        <v>5</v>
      </c>
      <c r="G14" s="3" t="s">
        <v>1187</v>
      </c>
      <c r="I14" s="3" t="str">
        <f>IFERROR(VLOOKUP(C14,'Справочник соответствий'!A$2:D$2996,2,FALSE),IF(VALUE(C14)=0,1,VLOOKUP(C14,'Справочник соответствий'!A$2:D$2996,2,FALSE)))</f>
        <v>1</v>
      </c>
      <c r="J14" s="3">
        <f>IFERROR(VLOOKUP(D14,'Справочник соответствий'!A$2:D$2996,2,FALSE),IF(VALUE(D14)=0,0,VLOOKUP(D14,'Справочник соответствий'!A$2:D$2996,2,FALSE)))</f>
        <v>0</v>
      </c>
      <c r="K14" s="3" t="str">
        <f t="shared" si="0"/>
        <v>1</v>
      </c>
      <c r="L14" s="13" t="str">
        <f>IFERROR(VLOOKUP(C14,'Справочник соответствий'!A$2:D$2996,3,FALSE),IF(VALUE(C14)=0,"ЭТАЖ НЕ ОПРЕДЕЛЕН. ПРИНЯТ ПО ДОПУЩЕНИЮ 1",VLOOKUP(C14,'Справочник соответствий'!A$2:D$2996,3,FALSE)))</f>
        <v>ЭТАЖ ЗАДАН ЧИСЛОМ</v>
      </c>
      <c r="M14" s="13" t="b">
        <f t="shared" si="1"/>
        <v>0</v>
      </c>
      <c r="N14" s="13">
        <f t="shared" si="2"/>
        <v>1</v>
      </c>
      <c r="O14" s="13" t="str">
        <f t="shared" si="3"/>
        <v>ЭТАЖ ЗАДАН ЧИСЛОМ</v>
      </c>
      <c r="P14" s="13" t="str">
        <f t="shared" si="4"/>
        <v>ЭТАЖ ЗАДАН ЧИСЛОМ</v>
      </c>
      <c r="Q14" s="13" t="str">
        <f t="shared" si="5"/>
        <v>ГОТОВ_ИЗМЕНЕН</v>
      </c>
      <c r="R14" s="13">
        <f>IFERROR(VLOOKUP(P14,Лист1!A$1:B$20,2,FALSE),0)</f>
        <v>784</v>
      </c>
      <c r="S14" s="13">
        <f t="shared" si="6"/>
        <v>0</v>
      </c>
    </row>
    <row r="15" spans="1:19" x14ac:dyDescent="0.25">
      <c r="A15" t="s">
        <v>1204</v>
      </c>
      <c r="B15" s="4" t="s">
        <v>1190</v>
      </c>
      <c r="C15" s="3" t="s">
        <v>5</v>
      </c>
      <c r="G15" s="3" t="s">
        <v>1187</v>
      </c>
      <c r="I15" s="3" t="str">
        <f>IFERROR(VLOOKUP(C15,'Справочник соответствий'!A$2:D$2996,2,FALSE),IF(VALUE(C15)=0,1,VLOOKUP(C15,'Справочник соответствий'!A$2:D$2996,2,FALSE)))</f>
        <v>1</v>
      </c>
      <c r="J15" s="3">
        <f>IFERROR(VLOOKUP(D15,'Справочник соответствий'!A$2:D$2996,2,FALSE),IF(VALUE(D15)=0,0,VLOOKUP(D15,'Справочник соответствий'!A$2:D$2996,2,FALSE)))</f>
        <v>0</v>
      </c>
      <c r="K15" s="3" t="str">
        <f t="shared" si="0"/>
        <v>1</v>
      </c>
      <c r="L15" s="13" t="str">
        <f>IFERROR(VLOOKUP(C15,'Справочник соответствий'!A$2:D$2996,3,FALSE),IF(VALUE(C15)=0,"ЭТАЖ НЕ ОПРЕДЕЛЕН. ПРИНЯТ ПО ДОПУЩЕНИЮ 1",VLOOKUP(C15,'Справочник соответствий'!A$2:D$2996,3,FALSE)))</f>
        <v>ЭТАЖ ЗАДАН ЧИСЛОМ</v>
      </c>
      <c r="M15" s="13" t="b">
        <f t="shared" si="1"/>
        <v>0</v>
      </c>
      <c r="N15" s="13">
        <f t="shared" si="2"/>
        <v>1</v>
      </c>
      <c r="O15" s="13" t="str">
        <f t="shared" si="3"/>
        <v>ЭТАЖ ЗАДАН ЧИСЛОМ</v>
      </c>
      <c r="P15" s="13" t="str">
        <f t="shared" si="4"/>
        <v>ЭТАЖ ЗАДАН ЧИСЛОМ</v>
      </c>
      <c r="Q15" s="13" t="str">
        <f t="shared" si="5"/>
        <v>ГОТОВ_ИЗМЕНЕН</v>
      </c>
      <c r="R15" s="13">
        <f>IFERROR(VLOOKUP(P15,Лист1!A$1:B$20,2,FALSE),0)</f>
        <v>784</v>
      </c>
      <c r="S15" s="13">
        <f t="shared" si="6"/>
        <v>0</v>
      </c>
    </row>
    <row r="16" spans="1:19" x14ac:dyDescent="0.25">
      <c r="A16" t="s">
        <v>1205</v>
      </c>
      <c r="B16" s="4" t="s">
        <v>1182</v>
      </c>
      <c r="C16" s="3" t="s">
        <v>5</v>
      </c>
      <c r="G16" s="3" t="s">
        <v>1187</v>
      </c>
      <c r="I16" s="3" t="str">
        <f>IFERROR(VLOOKUP(C16,'Справочник соответствий'!A$2:D$2996,2,FALSE),IF(VALUE(C16)=0,1,VLOOKUP(C16,'Справочник соответствий'!A$2:D$2996,2,FALSE)))</f>
        <v>1</v>
      </c>
      <c r="J16" s="3">
        <f>IFERROR(VLOOKUP(D16,'Справочник соответствий'!A$2:D$2996,2,FALSE),IF(VALUE(D16)=0,0,VLOOKUP(D16,'Справочник соответствий'!A$2:D$2996,2,FALSE)))</f>
        <v>0</v>
      </c>
      <c r="K16" s="3" t="str">
        <f t="shared" si="0"/>
        <v>1</v>
      </c>
      <c r="L16" s="13" t="str">
        <f>IFERROR(VLOOKUP(C16,'Справочник соответствий'!A$2:D$2996,3,FALSE),IF(VALUE(C16)=0,"ЭТАЖ НЕ ОПРЕДЕЛЕН. ПРИНЯТ ПО ДОПУЩЕНИЮ 1",VLOOKUP(C16,'Справочник соответствий'!A$2:D$2996,3,FALSE)))</f>
        <v>ЭТАЖ ЗАДАН ЧИСЛОМ</v>
      </c>
      <c r="M16" s="13" t="b">
        <f t="shared" si="1"/>
        <v>0</v>
      </c>
      <c r="N16" s="13">
        <f t="shared" si="2"/>
        <v>1</v>
      </c>
      <c r="O16" s="13" t="str">
        <f t="shared" si="3"/>
        <v>ЭТАЖ ЗАДАН ЧИСЛОМ</v>
      </c>
      <c r="P16" s="13" t="str">
        <f t="shared" si="4"/>
        <v>ЭТАЖ ЗАДАН ЧИСЛОМ</v>
      </c>
      <c r="Q16" s="13" t="str">
        <f t="shared" si="5"/>
        <v>ГОТОВ_ИЗМЕНЕН</v>
      </c>
      <c r="R16" s="13">
        <f>IFERROR(VLOOKUP(P16,Лист1!A$1:B$20,2,FALSE),0)</f>
        <v>784</v>
      </c>
      <c r="S16" s="13">
        <f t="shared" si="6"/>
        <v>0</v>
      </c>
    </row>
    <row r="17" spans="1:19" x14ac:dyDescent="0.25">
      <c r="A17" t="s">
        <v>1206</v>
      </c>
      <c r="B17" s="4" t="s">
        <v>1182</v>
      </c>
      <c r="C17" s="3" t="s">
        <v>11</v>
      </c>
      <c r="D17" s="3" t="s">
        <v>5</v>
      </c>
      <c r="G17" s="3" t="s">
        <v>1187</v>
      </c>
      <c r="I17" s="3" t="str">
        <f>IFERROR(VLOOKUP(C17,'Справочник соответствий'!A$2:D$2996,2,FALSE),IF(VALUE(C17)=0,1,VLOOKUP(C17,'Справочник соответствий'!A$2:D$2996,2,FALSE)))</f>
        <v>6</v>
      </c>
      <c r="J17" s="3" t="str">
        <f>IFERROR(VLOOKUP(D17,'Справочник соответствий'!A$2:D$2996,2,FALSE),IF(VALUE(D17)=0,0,VLOOKUP(D17,'Справочник соответствий'!A$2:D$2996,2,FALSE)))</f>
        <v>1</v>
      </c>
      <c r="K17" s="3" t="str">
        <f t="shared" si="0"/>
        <v>6</v>
      </c>
      <c r="L17" s="13" t="str">
        <f>IFERROR(VLOOKUP(C17,'Справочник соответствий'!A$2:D$2996,3,FALSE),IF(VALUE(C17)=0,"ЭТАЖ НЕ ОПРЕДЕЛЕН. ПРИНЯТ ПО ДОПУЩЕНИЮ 1",VLOOKUP(C17,'Справочник соответствий'!A$2:D$2996,3,FALSE)))</f>
        <v>ЭТАЖ ЗАДАН ЧИСЛОМ</v>
      </c>
      <c r="M17" s="13" t="b">
        <f t="shared" si="1"/>
        <v>0</v>
      </c>
      <c r="N17" s="13">
        <f t="shared" si="2"/>
        <v>6</v>
      </c>
      <c r="O17" s="13" t="str">
        <f t="shared" si="3"/>
        <v>ЭТАЖ ЗАДАН ЧИСЛОМ</v>
      </c>
      <c r="P17" s="13" t="str">
        <f t="shared" si="4"/>
        <v>ЭТАЖ ЗАДАН ЧИСЛОМ</v>
      </c>
      <c r="Q17" s="13" t="str">
        <f t="shared" si="5"/>
        <v>ГОТОВ_ИЗМЕНЕН</v>
      </c>
      <c r="R17" s="13">
        <f>IFERROR(VLOOKUP(P17,Лист1!A$1:B$20,2,FALSE),0)</f>
        <v>784</v>
      </c>
      <c r="S17" s="13">
        <f t="shared" si="6"/>
        <v>0</v>
      </c>
    </row>
    <row r="18" spans="1:19" x14ac:dyDescent="0.25">
      <c r="A18" t="s">
        <v>1207</v>
      </c>
      <c r="B18" s="4" t="s">
        <v>1190</v>
      </c>
      <c r="C18" s="3" t="s">
        <v>5</v>
      </c>
      <c r="G18" s="3" t="s">
        <v>1191</v>
      </c>
      <c r="I18" s="3" t="str">
        <f>IFERROR(VLOOKUP(C18,'Справочник соответствий'!A$2:D$2996,2,FALSE),IF(VALUE(C18)=0,1,VLOOKUP(C18,'Справочник соответствий'!A$2:D$2996,2,FALSE)))</f>
        <v>1</v>
      </c>
      <c r="J18" s="3">
        <f>IFERROR(VLOOKUP(D18,'Справочник соответствий'!A$2:D$2996,2,FALSE),IF(VALUE(D18)=0,0,VLOOKUP(D18,'Справочник соответствий'!A$2:D$2996,2,FALSE)))</f>
        <v>0</v>
      </c>
      <c r="K18" s="3" t="str">
        <f t="shared" si="0"/>
        <v>1</v>
      </c>
      <c r="L18" s="13" t="str">
        <f>IFERROR(VLOOKUP(C18,'Справочник соответствий'!A$2:D$2996,3,FALSE),IF(VALUE(C18)=0,"ЭТАЖ НЕ ОПРЕДЕЛЕН. ПРИНЯТ ПО ДОПУЩЕНИЮ 1",VLOOKUP(C18,'Справочник соответствий'!A$2:D$2996,3,FALSE)))</f>
        <v>ЭТАЖ ЗАДАН ЧИСЛОМ</v>
      </c>
      <c r="M18" s="13" t="b">
        <f t="shared" si="1"/>
        <v>0</v>
      </c>
      <c r="N18" s="13">
        <f t="shared" si="2"/>
        <v>1</v>
      </c>
      <c r="O18" s="13" t="str">
        <f t="shared" si="3"/>
        <v>ЭТАЖ ЗАДАН ЧИСЛОМ</v>
      </c>
      <c r="P18" s="13" t="str">
        <f t="shared" si="4"/>
        <v>ЭТАЖ ЗАДАН ЧИСЛОМ</v>
      </c>
      <c r="Q18" s="13" t="str">
        <f t="shared" si="5"/>
        <v>ГОТОВ_ИЗМЕНЕН</v>
      </c>
      <c r="R18" s="13">
        <f>IFERROR(VLOOKUP(P18,Лист1!A$1:B$20,2,FALSE),0)</f>
        <v>784</v>
      </c>
      <c r="S18" s="13">
        <f t="shared" si="6"/>
        <v>0</v>
      </c>
    </row>
    <row r="19" spans="1:19" x14ac:dyDescent="0.25">
      <c r="A19" t="s">
        <v>1208</v>
      </c>
      <c r="B19" s="4" t="s">
        <v>1182</v>
      </c>
      <c r="C19" s="3" t="s">
        <v>5</v>
      </c>
      <c r="G19" s="3" t="s">
        <v>1191</v>
      </c>
      <c r="I19" s="3" t="str">
        <f>IFERROR(VLOOKUP(C19,'Справочник соответствий'!A$2:D$2996,2,FALSE),IF(VALUE(C19)=0,1,VLOOKUP(C19,'Справочник соответствий'!A$2:D$2996,2,FALSE)))</f>
        <v>1</v>
      </c>
      <c r="J19" s="3">
        <f>IFERROR(VLOOKUP(D19,'Справочник соответствий'!A$2:D$2996,2,FALSE),IF(VALUE(D19)=0,0,VLOOKUP(D19,'Справочник соответствий'!A$2:D$2996,2,FALSE)))</f>
        <v>0</v>
      </c>
      <c r="K19" s="3" t="str">
        <f t="shared" si="0"/>
        <v>1</v>
      </c>
      <c r="L19" s="13" t="str">
        <f>IFERROR(VLOOKUP(C19,'Справочник соответствий'!A$2:D$2996,3,FALSE),IF(VALUE(C19)=0,"ЭТАЖ НЕ ОПРЕДЕЛЕН. ПРИНЯТ ПО ДОПУЩЕНИЮ 1",VLOOKUP(C19,'Справочник соответствий'!A$2:D$2996,3,FALSE)))</f>
        <v>ЭТАЖ ЗАДАН ЧИСЛОМ</v>
      </c>
      <c r="M19" s="13" t="b">
        <f t="shared" si="1"/>
        <v>0</v>
      </c>
      <c r="N19" s="13">
        <f t="shared" si="2"/>
        <v>1</v>
      </c>
      <c r="O19" s="13" t="str">
        <f t="shared" si="3"/>
        <v>ЭТАЖ ЗАДАН ЧИСЛОМ</v>
      </c>
      <c r="P19" s="13" t="str">
        <f t="shared" si="4"/>
        <v>ЭТАЖ ЗАДАН ЧИСЛОМ</v>
      </c>
      <c r="Q19" s="13" t="str">
        <f t="shared" si="5"/>
        <v>ГОТОВ_ИЗМЕНЕН</v>
      </c>
      <c r="R19" s="13">
        <f>IFERROR(VLOOKUP(P19,Лист1!A$1:B$20,2,FALSE),0)</f>
        <v>784</v>
      </c>
      <c r="S19" s="13">
        <f t="shared" si="6"/>
        <v>0</v>
      </c>
    </row>
    <row r="20" spans="1:19" x14ac:dyDescent="0.25">
      <c r="A20" t="s">
        <v>1209</v>
      </c>
      <c r="B20" s="4" t="s">
        <v>1190</v>
      </c>
      <c r="C20" s="3" t="s">
        <v>5</v>
      </c>
      <c r="G20" s="3" t="s">
        <v>1191</v>
      </c>
      <c r="I20" s="3" t="str">
        <f>IFERROR(VLOOKUP(C20,'Справочник соответствий'!A$2:D$2996,2,FALSE),IF(VALUE(C20)=0,1,VLOOKUP(C20,'Справочник соответствий'!A$2:D$2996,2,FALSE)))</f>
        <v>1</v>
      </c>
      <c r="J20" s="3">
        <f>IFERROR(VLOOKUP(D20,'Справочник соответствий'!A$2:D$2996,2,FALSE),IF(VALUE(D20)=0,0,VLOOKUP(D20,'Справочник соответствий'!A$2:D$2996,2,FALSE)))</f>
        <v>0</v>
      </c>
      <c r="K20" s="3" t="str">
        <f t="shared" si="0"/>
        <v>1</v>
      </c>
      <c r="L20" s="13" t="str">
        <f>IFERROR(VLOOKUP(C20,'Справочник соответствий'!A$2:D$2996,3,FALSE),IF(VALUE(C20)=0,"ЭТАЖ НЕ ОПРЕДЕЛЕН. ПРИНЯТ ПО ДОПУЩЕНИЮ 1",VLOOKUP(C20,'Справочник соответствий'!A$2:D$2996,3,FALSE)))</f>
        <v>ЭТАЖ ЗАДАН ЧИСЛОМ</v>
      </c>
      <c r="M20" s="13" t="b">
        <f t="shared" si="1"/>
        <v>0</v>
      </c>
      <c r="N20" s="13">
        <f t="shared" si="2"/>
        <v>1</v>
      </c>
      <c r="O20" s="13" t="str">
        <f t="shared" si="3"/>
        <v>ЭТАЖ ЗАДАН ЧИСЛОМ</v>
      </c>
      <c r="P20" s="13" t="str">
        <f t="shared" si="4"/>
        <v>ЭТАЖ ЗАДАН ЧИСЛОМ</v>
      </c>
      <c r="Q20" s="13" t="str">
        <f t="shared" si="5"/>
        <v>ГОТОВ_ИЗМЕНЕН</v>
      </c>
      <c r="R20" s="13">
        <f>IFERROR(VLOOKUP(P20,Лист1!A$1:B$20,2,FALSE),0)</f>
        <v>784</v>
      </c>
      <c r="S20" s="13">
        <f t="shared" si="6"/>
        <v>0</v>
      </c>
    </row>
    <row r="21" spans="1:19" x14ac:dyDescent="0.25">
      <c r="A21" t="s">
        <v>1210</v>
      </c>
      <c r="B21" s="4" t="s">
        <v>1182</v>
      </c>
      <c r="C21" s="3" t="s">
        <v>7</v>
      </c>
      <c r="G21" s="3" t="s">
        <v>1191</v>
      </c>
      <c r="I21" s="3" t="str">
        <f>IFERROR(VLOOKUP(C21,'Справочник соответствий'!A$2:D$2996,2,FALSE),IF(VALUE(C21)=0,1,VLOOKUP(C21,'Справочник соответствий'!A$2:D$2996,2,FALSE)))</f>
        <v>2</v>
      </c>
      <c r="J21" s="3">
        <f>IFERROR(VLOOKUP(D21,'Справочник соответствий'!A$2:D$2996,2,FALSE),IF(VALUE(D21)=0,0,VLOOKUP(D21,'Справочник соответствий'!A$2:D$2996,2,FALSE)))</f>
        <v>0</v>
      </c>
      <c r="K21" s="3" t="str">
        <f t="shared" si="0"/>
        <v>2</v>
      </c>
      <c r="L21" s="13" t="str">
        <f>IFERROR(VLOOKUP(C21,'Справочник соответствий'!A$2:D$2996,3,FALSE),IF(VALUE(C21)=0,"ЭТАЖ НЕ ОПРЕДЕЛЕН. ПРИНЯТ ПО ДОПУЩЕНИЮ 1",VLOOKUP(C21,'Справочник соответствий'!A$2:D$2996,3,FALSE)))</f>
        <v>ЭТАЖ ЗАДАН ЧИСЛОМ</v>
      </c>
      <c r="M21" s="13" t="b">
        <f t="shared" si="1"/>
        <v>0</v>
      </c>
      <c r="N21" s="13">
        <f t="shared" si="2"/>
        <v>2</v>
      </c>
      <c r="O21" s="13" t="str">
        <f t="shared" si="3"/>
        <v>ЭТАЖ ЗАДАН ЧИСЛОМ</v>
      </c>
      <c r="P21" s="13" t="str">
        <f t="shared" si="4"/>
        <v>ЭТАЖ ЗАДАН ЧИСЛОМ</v>
      </c>
      <c r="Q21" s="13" t="str">
        <f t="shared" si="5"/>
        <v>ГОТОВ_ИЗМЕНЕН</v>
      </c>
      <c r="R21" s="13">
        <f>IFERROR(VLOOKUP(P21,Лист1!A$1:B$20,2,FALSE),0)</f>
        <v>784</v>
      </c>
      <c r="S21" s="13">
        <f t="shared" si="6"/>
        <v>0</v>
      </c>
    </row>
    <row r="22" spans="1:19" x14ac:dyDescent="0.25">
      <c r="A22" t="s">
        <v>1211</v>
      </c>
      <c r="B22" s="4" t="s">
        <v>1190</v>
      </c>
      <c r="C22" s="3" t="s">
        <v>8</v>
      </c>
      <c r="G22" s="3" t="s">
        <v>1191</v>
      </c>
      <c r="I22" s="3" t="str">
        <f>IFERROR(VLOOKUP(C22,'Справочник соответствий'!A$2:D$2996,2,FALSE),IF(VALUE(C22)=0,1,VLOOKUP(C22,'Справочник соответствий'!A$2:D$2996,2,FALSE)))</f>
        <v>3</v>
      </c>
      <c r="J22" s="3">
        <f>IFERROR(VLOOKUP(D22,'Справочник соответствий'!A$2:D$2996,2,FALSE),IF(VALUE(D22)=0,0,VLOOKUP(D22,'Справочник соответствий'!A$2:D$2996,2,FALSE)))</f>
        <v>0</v>
      </c>
      <c r="K22" s="3" t="str">
        <f t="shared" si="0"/>
        <v>3</v>
      </c>
      <c r="L22" s="13" t="str">
        <f>IFERROR(VLOOKUP(C22,'Справочник соответствий'!A$2:D$2996,3,FALSE),IF(VALUE(C22)=0,"ЭТАЖ НЕ ОПРЕДЕЛЕН. ПРИНЯТ ПО ДОПУЩЕНИЮ 1",VLOOKUP(C22,'Справочник соответствий'!A$2:D$2996,3,FALSE)))</f>
        <v>ЭТАЖ ЗАДАН ЧИСЛОМ</v>
      </c>
      <c r="M22" s="13" t="b">
        <f t="shared" si="1"/>
        <v>0</v>
      </c>
      <c r="N22" s="13">
        <f t="shared" si="2"/>
        <v>3</v>
      </c>
      <c r="O22" s="13" t="str">
        <f t="shared" si="3"/>
        <v>ЭТАЖ ЗАДАН ЧИСЛОМ</v>
      </c>
      <c r="P22" s="13" t="str">
        <f t="shared" si="4"/>
        <v>ЭТАЖ ЗАДАН ЧИСЛОМ</v>
      </c>
      <c r="Q22" s="13" t="str">
        <f t="shared" si="5"/>
        <v>ГОТОВ_ИЗМЕНЕН</v>
      </c>
      <c r="R22" s="13">
        <f>IFERROR(VLOOKUP(P22,Лист1!A$1:B$20,2,FALSE),0)</f>
        <v>784</v>
      </c>
      <c r="S22" s="13">
        <f t="shared" si="6"/>
        <v>0</v>
      </c>
    </row>
    <row r="23" spans="1:19" x14ac:dyDescent="0.25">
      <c r="A23" t="s">
        <v>1212</v>
      </c>
      <c r="B23" s="4" t="s">
        <v>1190</v>
      </c>
      <c r="C23" s="3" t="s">
        <v>5</v>
      </c>
      <c r="G23" s="3" t="s">
        <v>1183</v>
      </c>
      <c r="I23" s="3" t="str">
        <f>IFERROR(VLOOKUP(C23,'Справочник соответствий'!A$2:D$2996,2,FALSE),IF(VALUE(C23)=0,1,VLOOKUP(C23,'Справочник соответствий'!A$2:D$2996,2,FALSE)))</f>
        <v>1</v>
      </c>
      <c r="J23" s="3">
        <f>IFERROR(VLOOKUP(D23,'Справочник соответствий'!A$2:D$2996,2,FALSE),IF(VALUE(D23)=0,0,VLOOKUP(D23,'Справочник соответствий'!A$2:D$2996,2,FALSE)))</f>
        <v>0</v>
      </c>
      <c r="K23" s="3" t="str">
        <f t="shared" si="0"/>
        <v>1</v>
      </c>
      <c r="L23" s="13" t="str">
        <f>IFERROR(VLOOKUP(C23,'Справочник соответствий'!A$2:D$2996,3,FALSE),IF(VALUE(C23)=0,"ЭТАЖ НЕ ОПРЕДЕЛЕН. ПРИНЯТ ПО ДОПУЩЕНИЮ 1",VLOOKUP(C23,'Справочник соответствий'!A$2:D$2996,3,FALSE)))</f>
        <v>ЭТАЖ ЗАДАН ЧИСЛОМ</v>
      </c>
      <c r="M23" s="13" t="b">
        <f t="shared" si="1"/>
        <v>0</v>
      </c>
      <c r="N23" s="13">
        <f t="shared" si="2"/>
        <v>1</v>
      </c>
      <c r="O23" s="13" t="str">
        <f t="shared" si="3"/>
        <v>ЭТАЖ ЗАДАН ЧИСЛОМ</v>
      </c>
      <c r="P23" s="13" t="str">
        <f t="shared" si="4"/>
        <v>ЭТАЖ ЗАДАН ЧИСЛОМ</v>
      </c>
      <c r="Q23" s="13" t="str">
        <f t="shared" si="5"/>
        <v>ГОТОВ_ИЗМЕНЕН</v>
      </c>
      <c r="R23" s="13">
        <f>IFERROR(VLOOKUP(P23,Лист1!A$1:B$20,2,FALSE),0)</f>
        <v>784</v>
      </c>
      <c r="S23" s="13">
        <f t="shared" si="6"/>
        <v>0</v>
      </c>
    </row>
    <row r="24" spans="1:19" x14ac:dyDescent="0.25">
      <c r="A24" t="s">
        <v>1213</v>
      </c>
      <c r="B24" s="4" t="s">
        <v>1190</v>
      </c>
      <c r="C24" s="3" t="s">
        <v>7</v>
      </c>
      <c r="G24" s="3" t="s">
        <v>1183</v>
      </c>
      <c r="I24" s="3" t="str">
        <f>IFERROR(VLOOKUP(C24,'Справочник соответствий'!A$2:D$2996,2,FALSE),IF(VALUE(C24)=0,1,VLOOKUP(C24,'Справочник соответствий'!A$2:D$2996,2,FALSE)))</f>
        <v>2</v>
      </c>
      <c r="J24" s="3">
        <f>IFERROR(VLOOKUP(D24,'Справочник соответствий'!A$2:D$2996,2,FALSE),IF(VALUE(D24)=0,0,VLOOKUP(D24,'Справочник соответствий'!A$2:D$2996,2,FALSE)))</f>
        <v>0</v>
      </c>
      <c r="K24" s="3" t="str">
        <f t="shared" si="0"/>
        <v>2</v>
      </c>
      <c r="L24" s="13" t="str">
        <f>IFERROR(VLOOKUP(C24,'Справочник соответствий'!A$2:D$2996,3,FALSE),IF(VALUE(C24)=0,"ЭТАЖ НЕ ОПРЕДЕЛЕН. ПРИНЯТ ПО ДОПУЩЕНИЮ 1",VLOOKUP(C24,'Справочник соответствий'!A$2:D$2996,3,FALSE)))</f>
        <v>ЭТАЖ ЗАДАН ЧИСЛОМ</v>
      </c>
      <c r="M24" s="13" t="b">
        <f t="shared" si="1"/>
        <v>0</v>
      </c>
      <c r="N24" s="13">
        <f t="shared" si="2"/>
        <v>2</v>
      </c>
      <c r="O24" s="13" t="str">
        <f t="shared" si="3"/>
        <v>ЭТАЖ ЗАДАН ЧИСЛОМ</v>
      </c>
      <c r="P24" s="13" t="str">
        <f t="shared" si="4"/>
        <v>ЭТАЖ ЗАДАН ЧИСЛОМ</v>
      </c>
      <c r="Q24" s="13" t="str">
        <f t="shared" si="5"/>
        <v>ГОТОВ_ИЗМЕНЕН</v>
      </c>
      <c r="R24" s="13">
        <f>IFERROR(VLOOKUP(P24,Лист1!A$1:B$20,2,FALSE),0)</f>
        <v>784</v>
      </c>
      <c r="S24" s="13">
        <f t="shared" si="6"/>
        <v>0</v>
      </c>
    </row>
    <row r="25" spans="1:19" x14ac:dyDescent="0.25">
      <c r="A25" t="s">
        <v>1214</v>
      </c>
      <c r="B25" s="4" t="s">
        <v>1190</v>
      </c>
      <c r="C25" s="3" t="s">
        <v>7</v>
      </c>
      <c r="G25" s="3" t="s">
        <v>1183</v>
      </c>
      <c r="I25" s="3" t="str">
        <f>IFERROR(VLOOKUP(C25,'Справочник соответствий'!A$2:D$2996,2,FALSE),IF(VALUE(C25)=0,1,VLOOKUP(C25,'Справочник соответствий'!A$2:D$2996,2,FALSE)))</f>
        <v>2</v>
      </c>
      <c r="J25" s="3">
        <f>IFERROR(VLOOKUP(D25,'Справочник соответствий'!A$2:D$2996,2,FALSE),IF(VALUE(D25)=0,0,VLOOKUP(D25,'Справочник соответствий'!A$2:D$2996,2,FALSE)))</f>
        <v>0</v>
      </c>
      <c r="K25" s="3" t="str">
        <f t="shared" si="0"/>
        <v>2</v>
      </c>
      <c r="L25" s="13" t="str">
        <f>IFERROR(VLOOKUP(C25,'Справочник соответствий'!A$2:D$2996,3,FALSE),IF(VALUE(C25)=0,"ЭТАЖ НЕ ОПРЕДЕЛЕН. ПРИНЯТ ПО ДОПУЩЕНИЮ 1",VLOOKUP(C25,'Справочник соответствий'!A$2:D$2996,3,FALSE)))</f>
        <v>ЭТАЖ ЗАДАН ЧИСЛОМ</v>
      </c>
      <c r="M25" s="13" t="b">
        <f t="shared" si="1"/>
        <v>0</v>
      </c>
      <c r="N25" s="13">
        <f t="shared" si="2"/>
        <v>2</v>
      </c>
      <c r="O25" s="13" t="str">
        <f t="shared" si="3"/>
        <v>ЭТАЖ ЗАДАН ЧИСЛОМ</v>
      </c>
      <c r="P25" s="13" t="str">
        <f t="shared" si="4"/>
        <v>ЭТАЖ ЗАДАН ЧИСЛОМ</v>
      </c>
      <c r="Q25" s="13" t="str">
        <f t="shared" si="5"/>
        <v>ГОТОВ_ИЗМЕНЕН</v>
      </c>
      <c r="R25" s="13">
        <f>IFERROR(VLOOKUP(P25,Лист1!A$1:B$20,2,FALSE),0)</f>
        <v>784</v>
      </c>
      <c r="S25" s="13">
        <f t="shared" si="6"/>
        <v>0</v>
      </c>
    </row>
    <row r="26" spans="1:19" x14ac:dyDescent="0.25">
      <c r="A26" t="s">
        <v>1215</v>
      </c>
      <c r="B26" s="4" t="s">
        <v>1190</v>
      </c>
      <c r="C26" s="3" t="s">
        <v>7</v>
      </c>
      <c r="D26" s="3" t="s">
        <v>5</v>
      </c>
      <c r="G26" s="3" t="s">
        <v>1183</v>
      </c>
      <c r="I26" s="3" t="str">
        <f>IFERROR(VLOOKUP(C26,'Справочник соответствий'!A$2:D$2996,2,FALSE),IF(VALUE(C26)=0,1,VLOOKUP(C26,'Справочник соответствий'!A$2:D$2996,2,FALSE)))</f>
        <v>2</v>
      </c>
      <c r="J26" s="3" t="str">
        <f>IFERROR(VLOOKUP(D26,'Справочник соответствий'!A$2:D$2996,2,FALSE),IF(VALUE(D26)=0,0,VLOOKUP(D26,'Справочник соответствий'!A$2:D$2996,2,FALSE)))</f>
        <v>1</v>
      </c>
      <c r="K26" s="3" t="str">
        <f t="shared" si="0"/>
        <v>2</v>
      </c>
      <c r="L26" s="13" t="str">
        <f>IFERROR(VLOOKUP(C26,'Справочник соответствий'!A$2:D$2996,3,FALSE),IF(VALUE(C26)=0,"ЭТАЖ НЕ ОПРЕДЕЛЕН. ПРИНЯТ ПО ДОПУЩЕНИЮ 1",VLOOKUP(C26,'Справочник соответствий'!A$2:D$2996,3,FALSE)))</f>
        <v>ЭТАЖ ЗАДАН ЧИСЛОМ</v>
      </c>
      <c r="M26" s="13" t="b">
        <f t="shared" si="1"/>
        <v>0</v>
      </c>
      <c r="N26" s="13">
        <f t="shared" si="2"/>
        <v>2</v>
      </c>
      <c r="O26" s="13" t="str">
        <f t="shared" si="3"/>
        <v>ЭТАЖ ЗАДАН ЧИСЛОМ</v>
      </c>
      <c r="P26" s="13" t="str">
        <f t="shared" si="4"/>
        <v>ЭТАЖ ЗАДАН ЧИСЛОМ</v>
      </c>
      <c r="Q26" s="13" t="str">
        <f t="shared" si="5"/>
        <v>ГОТОВ_ИЗМЕНЕН</v>
      </c>
      <c r="R26" s="13">
        <f>IFERROR(VLOOKUP(P26,Лист1!A$1:B$20,2,FALSE),0)</f>
        <v>784</v>
      </c>
      <c r="S26" s="13">
        <f t="shared" si="6"/>
        <v>0</v>
      </c>
    </row>
    <row r="27" spans="1:19" x14ac:dyDescent="0.25">
      <c r="A27" t="s">
        <v>1216</v>
      </c>
      <c r="B27" s="4" t="s">
        <v>1182</v>
      </c>
      <c r="C27" s="3" t="s">
        <v>7</v>
      </c>
      <c r="G27" s="3" t="s">
        <v>1183</v>
      </c>
      <c r="I27" s="3" t="str">
        <f>IFERROR(VLOOKUP(C27,'Справочник соответствий'!A$2:D$2996,2,FALSE),IF(VALUE(C27)=0,1,VLOOKUP(C27,'Справочник соответствий'!A$2:D$2996,2,FALSE)))</f>
        <v>2</v>
      </c>
      <c r="J27" s="3">
        <f>IFERROR(VLOOKUP(D27,'Справочник соответствий'!A$2:D$2996,2,FALSE),IF(VALUE(D27)=0,0,VLOOKUP(D27,'Справочник соответствий'!A$2:D$2996,2,FALSE)))</f>
        <v>0</v>
      </c>
      <c r="K27" s="3" t="str">
        <f t="shared" si="0"/>
        <v>2</v>
      </c>
      <c r="L27" s="13" t="str">
        <f>IFERROR(VLOOKUP(C27,'Справочник соответствий'!A$2:D$2996,3,FALSE),IF(VALUE(C27)=0,"ЭТАЖ НЕ ОПРЕДЕЛЕН. ПРИНЯТ ПО ДОПУЩЕНИЮ 1",VLOOKUP(C27,'Справочник соответствий'!A$2:D$2996,3,FALSE)))</f>
        <v>ЭТАЖ ЗАДАН ЧИСЛОМ</v>
      </c>
      <c r="M27" s="13" t="b">
        <f t="shared" si="1"/>
        <v>0</v>
      </c>
      <c r="N27" s="13">
        <f t="shared" si="2"/>
        <v>2</v>
      </c>
      <c r="O27" s="13" t="str">
        <f t="shared" si="3"/>
        <v>ЭТАЖ ЗАДАН ЧИСЛОМ</v>
      </c>
      <c r="P27" s="13" t="str">
        <f t="shared" si="4"/>
        <v>ЭТАЖ ЗАДАН ЧИСЛОМ</v>
      </c>
      <c r="Q27" s="13" t="str">
        <f t="shared" si="5"/>
        <v>ГОТОВ_ИЗМЕНЕН</v>
      </c>
      <c r="R27" s="13">
        <f>IFERROR(VLOOKUP(P27,Лист1!A$1:B$20,2,FALSE),0)</f>
        <v>784</v>
      </c>
      <c r="S27" s="13">
        <f t="shared" si="6"/>
        <v>0</v>
      </c>
    </row>
    <row r="28" spans="1:19" x14ac:dyDescent="0.25">
      <c r="A28" t="s">
        <v>1217</v>
      </c>
      <c r="B28" s="4" t="s">
        <v>1190</v>
      </c>
      <c r="C28" s="3" t="s">
        <v>8</v>
      </c>
      <c r="D28" s="3" t="s">
        <v>5</v>
      </c>
      <c r="G28" s="3" t="s">
        <v>1183</v>
      </c>
      <c r="I28" s="3" t="str">
        <f>IFERROR(VLOOKUP(C28,'Справочник соответствий'!A$2:D$2996,2,FALSE),IF(VALUE(C28)=0,1,VLOOKUP(C28,'Справочник соответствий'!A$2:D$2996,2,FALSE)))</f>
        <v>3</v>
      </c>
      <c r="J28" s="3" t="str">
        <f>IFERROR(VLOOKUP(D28,'Справочник соответствий'!A$2:D$2996,2,FALSE),IF(VALUE(D28)=0,0,VLOOKUP(D28,'Справочник соответствий'!A$2:D$2996,2,FALSE)))</f>
        <v>1</v>
      </c>
      <c r="K28" s="3" t="str">
        <f t="shared" si="0"/>
        <v>3</v>
      </c>
      <c r="L28" s="13" t="str">
        <f>IFERROR(VLOOKUP(C28,'Справочник соответствий'!A$2:D$2996,3,FALSE),IF(VALUE(C28)=0,"ЭТАЖ НЕ ОПРЕДЕЛЕН. ПРИНЯТ ПО ДОПУЩЕНИЮ 1",VLOOKUP(C28,'Справочник соответствий'!A$2:D$2996,3,FALSE)))</f>
        <v>ЭТАЖ ЗАДАН ЧИСЛОМ</v>
      </c>
      <c r="M28" s="13" t="b">
        <f t="shared" si="1"/>
        <v>0</v>
      </c>
      <c r="N28" s="13">
        <f t="shared" si="2"/>
        <v>3</v>
      </c>
      <c r="O28" s="13" t="str">
        <f t="shared" si="3"/>
        <v>ЭТАЖ ЗАДАН ЧИСЛОМ</v>
      </c>
      <c r="P28" s="13" t="str">
        <f t="shared" si="4"/>
        <v>ЭТАЖ ЗАДАН ЧИСЛОМ</v>
      </c>
      <c r="Q28" s="13" t="str">
        <f t="shared" si="5"/>
        <v>ГОТОВ_ИЗМЕНЕН</v>
      </c>
      <c r="R28" s="13">
        <f>IFERROR(VLOOKUP(P28,Лист1!A$1:B$20,2,FALSE),0)</f>
        <v>784</v>
      </c>
      <c r="S28" s="13">
        <f t="shared" si="6"/>
        <v>0</v>
      </c>
    </row>
    <row r="29" spans="1:19" x14ac:dyDescent="0.25">
      <c r="A29" t="s">
        <v>1218</v>
      </c>
      <c r="B29" s="4" t="s">
        <v>1190</v>
      </c>
      <c r="C29" s="3" t="s">
        <v>5</v>
      </c>
      <c r="G29" s="3" t="s">
        <v>1198</v>
      </c>
      <c r="I29" s="3" t="str">
        <f>IFERROR(VLOOKUP(C29,'Справочник соответствий'!A$2:D$2996,2,FALSE),IF(VALUE(C29)=0,1,VLOOKUP(C29,'Справочник соответствий'!A$2:D$2996,2,FALSE)))</f>
        <v>1</v>
      </c>
      <c r="J29" s="3">
        <f>IFERROR(VLOOKUP(D29,'Справочник соответствий'!A$2:D$2996,2,FALSE),IF(VALUE(D29)=0,0,VLOOKUP(D29,'Справочник соответствий'!A$2:D$2996,2,FALSE)))</f>
        <v>0</v>
      </c>
      <c r="K29" s="3" t="str">
        <f t="shared" si="0"/>
        <v>1</v>
      </c>
      <c r="L29" s="13" t="str">
        <f>IFERROR(VLOOKUP(C29,'Справочник соответствий'!A$2:D$2996,3,FALSE),IF(VALUE(C29)=0,"ЭТАЖ НЕ ОПРЕДЕЛЕН. ПРИНЯТ ПО ДОПУЩЕНИЮ 1",VLOOKUP(C29,'Справочник соответствий'!A$2:D$2996,3,FALSE)))</f>
        <v>ЭТАЖ ЗАДАН ЧИСЛОМ</v>
      </c>
      <c r="M29" s="13" t="b">
        <f t="shared" si="1"/>
        <v>0</v>
      </c>
      <c r="N29" s="13">
        <f t="shared" si="2"/>
        <v>1</v>
      </c>
      <c r="O29" s="13" t="str">
        <f t="shared" si="3"/>
        <v>ЭТАЖ ЗАДАН ЧИСЛОМ</v>
      </c>
      <c r="P29" s="13" t="str">
        <f t="shared" si="4"/>
        <v>ЭТАЖ ЗАДАН ЧИСЛОМ</v>
      </c>
      <c r="Q29" s="13" t="str">
        <f t="shared" si="5"/>
        <v>ГОТОВ_ИЗМЕНЕН</v>
      </c>
      <c r="R29" s="13">
        <f>IFERROR(VLOOKUP(P29,Лист1!A$1:B$20,2,FALSE),0)</f>
        <v>784</v>
      </c>
      <c r="S29" s="13">
        <f t="shared" si="6"/>
        <v>0</v>
      </c>
    </row>
    <row r="30" spans="1:19" x14ac:dyDescent="0.25">
      <c r="A30" t="s">
        <v>1219</v>
      </c>
      <c r="B30" s="4" t="s">
        <v>1190</v>
      </c>
      <c r="C30" s="3" t="s">
        <v>5</v>
      </c>
      <c r="G30" s="3" t="s">
        <v>1198</v>
      </c>
      <c r="I30" s="3" t="str">
        <f>IFERROR(VLOOKUP(C30,'Справочник соответствий'!A$2:D$2996,2,FALSE),IF(VALUE(C30)=0,1,VLOOKUP(C30,'Справочник соответствий'!A$2:D$2996,2,FALSE)))</f>
        <v>1</v>
      </c>
      <c r="J30" s="3">
        <f>IFERROR(VLOOKUP(D30,'Справочник соответствий'!A$2:D$2996,2,FALSE),IF(VALUE(D30)=0,0,VLOOKUP(D30,'Справочник соответствий'!A$2:D$2996,2,FALSE)))</f>
        <v>0</v>
      </c>
      <c r="K30" s="3" t="str">
        <f t="shared" si="0"/>
        <v>1</v>
      </c>
      <c r="L30" s="13" t="str">
        <f>IFERROR(VLOOKUP(C30,'Справочник соответствий'!A$2:D$2996,3,FALSE),IF(VALUE(C30)=0,"ЭТАЖ НЕ ОПРЕДЕЛЕН. ПРИНЯТ ПО ДОПУЩЕНИЮ 1",VLOOKUP(C30,'Справочник соответствий'!A$2:D$2996,3,FALSE)))</f>
        <v>ЭТАЖ ЗАДАН ЧИСЛОМ</v>
      </c>
      <c r="M30" s="13" t="b">
        <f t="shared" si="1"/>
        <v>0</v>
      </c>
      <c r="N30" s="13">
        <f t="shared" si="2"/>
        <v>1</v>
      </c>
      <c r="O30" s="13" t="str">
        <f t="shared" si="3"/>
        <v>ЭТАЖ ЗАДАН ЧИСЛОМ</v>
      </c>
      <c r="P30" s="13" t="str">
        <f t="shared" si="4"/>
        <v>ЭТАЖ ЗАДАН ЧИСЛОМ</v>
      </c>
      <c r="Q30" s="13" t="str">
        <f t="shared" si="5"/>
        <v>ГОТОВ_ИЗМЕНЕН</v>
      </c>
      <c r="R30" s="13">
        <f>IFERROR(VLOOKUP(P30,Лист1!A$1:B$20,2,FALSE),0)</f>
        <v>784</v>
      </c>
      <c r="S30" s="13">
        <f t="shared" si="6"/>
        <v>0</v>
      </c>
    </row>
    <row r="31" spans="1:19" x14ac:dyDescent="0.25">
      <c r="A31" t="s">
        <v>1220</v>
      </c>
      <c r="B31" s="4" t="s">
        <v>1182</v>
      </c>
      <c r="C31" s="3" t="s">
        <v>5</v>
      </c>
      <c r="G31" s="3" t="s">
        <v>1198</v>
      </c>
      <c r="I31" s="3" t="str">
        <f>IFERROR(VLOOKUP(C31,'Справочник соответствий'!A$2:D$2996,2,FALSE),IF(VALUE(C31)=0,1,VLOOKUP(C31,'Справочник соответствий'!A$2:D$2996,2,FALSE)))</f>
        <v>1</v>
      </c>
      <c r="J31" s="3">
        <f>IFERROR(VLOOKUP(D31,'Справочник соответствий'!A$2:D$2996,2,FALSE),IF(VALUE(D31)=0,0,VLOOKUP(D31,'Справочник соответствий'!A$2:D$2996,2,FALSE)))</f>
        <v>0</v>
      </c>
      <c r="K31" s="3" t="str">
        <f t="shared" si="0"/>
        <v>1</v>
      </c>
      <c r="L31" s="13" t="str">
        <f>IFERROR(VLOOKUP(C31,'Справочник соответствий'!A$2:D$2996,3,FALSE),IF(VALUE(C31)=0,"ЭТАЖ НЕ ОПРЕДЕЛЕН. ПРИНЯТ ПО ДОПУЩЕНИЮ 1",VLOOKUP(C31,'Справочник соответствий'!A$2:D$2996,3,FALSE)))</f>
        <v>ЭТАЖ ЗАДАН ЧИСЛОМ</v>
      </c>
      <c r="M31" s="13" t="b">
        <f t="shared" si="1"/>
        <v>0</v>
      </c>
      <c r="N31" s="13">
        <f t="shared" si="2"/>
        <v>1</v>
      </c>
      <c r="O31" s="13" t="str">
        <f t="shared" si="3"/>
        <v>ЭТАЖ ЗАДАН ЧИСЛОМ</v>
      </c>
      <c r="P31" s="13" t="str">
        <f t="shared" si="4"/>
        <v>ЭТАЖ ЗАДАН ЧИСЛОМ</v>
      </c>
      <c r="Q31" s="13" t="str">
        <f t="shared" si="5"/>
        <v>ГОТОВ_ИЗМЕНЕН</v>
      </c>
      <c r="R31" s="13">
        <f>IFERROR(VLOOKUP(P31,Лист1!A$1:B$20,2,FALSE),0)</f>
        <v>784</v>
      </c>
      <c r="S31" s="13">
        <f t="shared" si="6"/>
        <v>0</v>
      </c>
    </row>
    <row r="32" spans="1:19" x14ac:dyDescent="0.25">
      <c r="A32" t="s">
        <v>1221</v>
      </c>
      <c r="B32" s="4" t="s">
        <v>1182</v>
      </c>
      <c r="C32" s="3" t="s">
        <v>5</v>
      </c>
      <c r="G32" s="3" t="s">
        <v>1198</v>
      </c>
      <c r="I32" s="3" t="str">
        <f>IFERROR(VLOOKUP(C32,'Справочник соответствий'!A$2:D$2996,2,FALSE),IF(VALUE(C32)=0,1,VLOOKUP(C32,'Справочник соответствий'!A$2:D$2996,2,FALSE)))</f>
        <v>1</v>
      </c>
      <c r="J32" s="3">
        <f>IFERROR(VLOOKUP(D32,'Справочник соответствий'!A$2:D$2996,2,FALSE),IF(VALUE(D32)=0,0,VLOOKUP(D32,'Справочник соответствий'!A$2:D$2996,2,FALSE)))</f>
        <v>0</v>
      </c>
      <c r="K32" s="3" t="str">
        <f t="shared" si="0"/>
        <v>1</v>
      </c>
      <c r="L32" s="13" t="str">
        <f>IFERROR(VLOOKUP(C32,'Справочник соответствий'!A$2:D$2996,3,FALSE),IF(VALUE(C32)=0,"ЭТАЖ НЕ ОПРЕДЕЛЕН. ПРИНЯТ ПО ДОПУЩЕНИЮ 1",VLOOKUP(C32,'Справочник соответствий'!A$2:D$2996,3,FALSE)))</f>
        <v>ЭТАЖ ЗАДАН ЧИСЛОМ</v>
      </c>
      <c r="M32" s="13" t="b">
        <f t="shared" si="1"/>
        <v>0</v>
      </c>
      <c r="N32" s="13">
        <f t="shared" si="2"/>
        <v>1</v>
      </c>
      <c r="O32" s="13" t="str">
        <f t="shared" si="3"/>
        <v>ЭТАЖ ЗАДАН ЧИСЛОМ</v>
      </c>
      <c r="P32" s="13" t="str">
        <f t="shared" si="4"/>
        <v>ЭТАЖ ЗАДАН ЧИСЛОМ</v>
      </c>
      <c r="Q32" s="13" t="str">
        <f t="shared" si="5"/>
        <v>ГОТОВ_ИЗМЕНЕН</v>
      </c>
      <c r="R32" s="13">
        <f>IFERROR(VLOOKUP(P32,Лист1!A$1:B$20,2,FALSE),0)</f>
        <v>784</v>
      </c>
      <c r="S32" s="13">
        <f t="shared" si="6"/>
        <v>0</v>
      </c>
    </row>
    <row r="33" spans="1:19" x14ac:dyDescent="0.25">
      <c r="A33" t="s">
        <v>1222</v>
      </c>
      <c r="B33" s="4" t="s">
        <v>1190</v>
      </c>
      <c r="C33" s="3" t="s">
        <v>7</v>
      </c>
      <c r="G33" s="3" t="s">
        <v>1198</v>
      </c>
      <c r="I33" s="3" t="str">
        <f>IFERROR(VLOOKUP(C33,'Справочник соответствий'!A$2:D$2996,2,FALSE),IF(VALUE(C33)=0,1,VLOOKUP(C33,'Справочник соответствий'!A$2:D$2996,2,FALSE)))</f>
        <v>2</v>
      </c>
      <c r="J33" s="3">
        <f>IFERROR(VLOOKUP(D33,'Справочник соответствий'!A$2:D$2996,2,FALSE),IF(VALUE(D33)=0,0,VLOOKUP(D33,'Справочник соответствий'!A$2:D$2996,2,FALSE)))</f>
        <v>0</v>
      </c>
      <c r="K33" s="3" t="str">
        <f t="shared" si="0"/>
        <v>2</v>
      </c>
      <c r="L33" s="13" t="str">
        <f>IFERROR(VLOOKUP(C33,'Справочник соответствий'!A$2:D$2996,3,FALSE),IF(VALUE(C33)=0,"ЭТАЖ НЕ ОПРЕДЕЛЕН. ПРИНЯТ ПО ДОПУЩЕНИЮ 1",VLOOKUP(C33,'Справочник соответствий'!A$2:D$2996,3,FALSE)))</f>
        <v>ЭТАЖ ЗАДАН ЧИСЛОМ</v>
      </c>
      <c r="M33" s="13" t="b">
        <f t="shared" si="1"/>
        <v>0</v>
      </c>
      <c r="N33" s="13">
        <f t="shared" si="2"/>
        <v>2</v>
      </c>
      <c r="O33" s="13" t="str">
        <f t="shared" si="3"/>
        <v>ЭТАЖ ЗАДАН ЧИСЛОМ</v>
      </c>
      <c r="P33" s="13" t="str">
        <f t="shared" si="4"/>
        <v>ЭТАЖ ЗАДАН ЧИСЛОМ</v>
      </c>
      <c r="Q33" s="13" t="str">
        <f t="shared" si="5"/>
        <v>ГОТОВ_ИЗМЕНЕН</v>
      </c>
      <c r="R33" s="13">
        <f>IFERROR(VLOOKUP(P33,Лист1!A$1:B$20,2,FALSE),0)</f>
        <v>784</v>
      </c>
      <c r="S33" s="13">
        <f t="shared" si="6"/>
        <v>0</v>
      </c>
    </row>
    <row r="34" spans="1:19" x14ac:dyDescent="0.25">
      <c r="A34" t="s">
        <v>1223</v>
      </c>
      <c r="B34" s="4" t="s">
        <v>1182</v>
      </c>
      <c r="C34" s="3" t="s">
        <v>5</v>
      </c>
      <c r="G34" s="3" t="s">
        <v>1224</v>
      </c>
      <c r="I34" s="3" t="str">
        <f>IFERROR(VLOOKUP(C34,'Справочник соответствий'!A$2:D$2996,2,FALSE),IF(VALUE(C34)=0,1,VLOOKUP(C34,'Справочник соответствий'!A$2:D$2996,2,FALSE)))</f>
        <v>1</v>
      </c>
      <c r="J34" s="3">
        <f>IFERROR(VLOOKUP(D34,'Справочник соответствий'!A$2:D$2996,2,FALSE),IF(VALUE(D34)=0,0,VLOOKUP(D34,'Справочник соответствий'!A$2:D$2996,2,FALSE)))</f>
        <v>0</v>
      </c>
      <c r="K34" s="3" t="str">
        <f t="shared" si="0"/>
        <v>1</v>
      </c>
      <c r="L34" s="13" t="str">
        <f>IFERROR(VLOOKUP(C34,'Справочник соответствий'!A$2:D$2996,3,FALSE),IF(VALUE(C34)=0,"ЭТАЖ НЕ ОПРЕДЕЛЕН. ПРИНЯТ ПО ДОПУЩЕНИЮ 1",VLOOKUP(C34,'Справочник соответствий'!A$2:D$2996,3,FALSE)))</f>
        <v>ЭТАЖ ЗАДАН ЧИСЛОМ</v>
      </c>
      <c r="M34" s="13" t="b">
        <f t="shared" si="1"/>
        <v>0</v>
      </c>
      <c r="N34" s="13">
        <f t="shared" si="2"/>
        <v>1</v>
      </c>
      <c r="O34" s="13" t="str">
        <f t="shared" si="3"/>
        <v>ЭТАЖ ЗАДАН ЧИСЛОМ</v>
      </c>
      <c r="P34" s="13" t="str">
        <f t="shared" si="4"/>
        <v>ЭТАЖ ЗАДАН ЧИСЛОМ</v>
      </c>
      <c r="Q34" s="13" t="str">
        <f t="shared" si="5"/>
        <v>ГОТОВ_ИЗМЕНЕН</v>
      </c>
      <c r="R34" s="13">
        <f>IFERROR(VLOOKUP(P34,Лист1!A$1:B$20,2,FALSE),0)</f>
        <v>784</v>
      </c>
      <c r="S34" s="13">
        <f t="shared" si="6"/>
        <v>0</v>
      </c>
    </row>
    <row r="35" spans="1:19" x14ac:dyDescent="0.25">
      <c r="A35" t="s">
        <v>1225</v>
      </c>
      <c r="B35" s="4" t="s">
        <v>1190</v>
      </c>
      <c r="C35" s="3" t="s">
        <v>7</v>
      </c>
      <c r="D35" s="3" t="s">
        <v>5</v>
      </c>
      <c r="G35" s="3" t="s">
        <v>1224</v>
      </c>
      <c r="I35" s="3" t="str">
        <f>IFERROR(VLOOKUP(C35,'Справочник соответствий'!A$2:D$2996,2,FALSE),IF(VALUE(C35)=0,1,VLOOKUP(C35,'Справочник соответствий'!A$2:D$2996,2,FALSE)))</f>
        <v>2</v>
      </c>
      <c r="J35" s="3" t="str">
        <f>IFERROR(VLOOKUP(D35,'Справочник соответствий'!A$2:D$2996,2,FALSE),IF(VALUE(D35)=0,0,VLOOKUP(D35,'Справочник соответствий'!A$2:D$2996,2,FALSE)))</f>
        <v>1</v>
      </c>
      <c r="K35" s="3" t="str">
        <f t="shared" si="0"/>
        <v>2</v>
      </c>
      <c r="L35" s="13" t="str">
        <f>IFERROR(VLOOKUP(C35,'Справочник соответствий'!A$2:D$2996,3,FALSE),IF(VALUE(C35)=0,"ЭТАЖ НЕ ОПРЕДЕЛЕН. ПРИНЯТ ПО ДОПУЩЕНИЮ 1",VLOOKUP(C35,'Справочник соответствий'!A$2:D$2996,3,FALSE)))</f>
        <v>ЭТАЖ ЗАДАН ЧИСЛОМ</v>
      </c>
      <c r="M35" s="13" t="b">
        <f t="shared" si="1"/>
        <v>0</v>
      </c>
      <c r="N35" s="13">
        <f t="shared" si="2"/>
        <v>2</v>
      </c>
      <c r="O35" s="13" t="str">
        <f t="shared" si="3"/>
        <v>ЭТАЖ ЗАДАН ЧИСЛОМ</v>
      </c>
      <c r="P35" s="13" t="str">
        <f t="shared" si="4"/>
        <v>ЭТАЖ ЗАДАН ЧИСЛОМ</v>
      </c>
      <c r="Q35" s="13" t="str">
        <f t="shared" si="5"/>
        <v>ГОТОВ_ИЗМЕНЕН</v>
      </c>
      <c r="R35" s="13">
        <f>IFERROR(VLOOKUP(P35,Лист1!A$1:B$20,2,FALSE),0)</f>
        <v>784</v>
      </c>
      <c r="S35" s="13">
        <f t="shared" si="6"/>
        <v>0</v>
      </c>
    </row>
    <row r="36" spans="1:19" x14ac:dyDescent="0.25">
      <c r="A36" t="s">
        <v>1226</v>
      </c>
      <c r="B36" s="4" t="s">
        <v>1190</v>
      </c>
      <c r="C36" s="3" t="s">
        <v>5</v>
      </c>
      <c r="G36" s="3" t="s">
        <v>1224</v>
      </c>
      <c r="I36" s="3" t="str">
        <f>IFERROR(VLOOKUP(C36,'Справочник соответствий'!A$2:D$2996,2,FALSE),IF(VALUE(C36)=0,1,VLOOKUP(C36,'Справочник соответствий'!A$2:D$2996,2,FALSE)))</f>
        <v>1</v>
      </c>
      <c r="J36" s="3">
        <f>IFERROR(VLOOKUP(D36,'Справочник соответствий'!A$2:D$2996,2,FALSE),IF(VALUE(D36)=0,0,VLOOKUP(D36,'Справочник соответствий'!A$2:D$2996,2,FALSE)))</f>
        <v>0</v>
      </c>
      <c r="K36" s="3" t="str">
        <f t="shared" si="0"/>
        <v>1</v>
      </c>
      <c r="L36" s="13" t="str">
        <f>IFERROR(VLOOKUP(C36,'Справочник соответствий'!A$2:D$2996,3,FALSE),IF(VALUE(C36)=0,"ЭТАЖ НЕ ОПРЕДЕЛЕН. ПРИНЯТ ПО ДОПУЩЕНИЮ 1",VLOOKUP(C36,'Справочник соответствий'!A$2:D$2996,3,FALSE)))</f>
        <v>ЭТАЖ ЗАДАН ЧИСЛОМ</v>
      </c>
      <c r="M36" s="13" t="b">
        <f t="shared" si="1"/>
        <v>0</v>
      </c>
      <c r="N36" s="13">
        <f t="shared" si="2"/>
        <v>1</v>
      </c>
      <c r="O36" s="13" t="str">
        <f t="shared" si="3"/>
        <v>ЭТАЖ ЗАДАН ЧИСЛОМ</v>
      </c>
      <c r="P36" s="13" t="str">
        <f t="shared" si="4"/>
        <v>ЭТАЖ ЗАДАН ЧИСЛОМ</v>
      </c>
      <c r="Q36" s="13" t="str">
        <f t="shared" si="5"/>
        <v>ГОТОВ_ИЗМЕНЕН</v>
      </c>
      <c r="R36" s="13">
        <f>IFERROR(VLOOKUP(P36,Лист1!A$1:B$20,2,FALSE),0)</f>
        <v>784</v>
      </c>
      <c r="S36" s="13">
        <f t="shared" si="6"/>
        <v>0</v>
      </c>
    </row>
    <row r="37" spans="1:19" x14ac:dyDescent="0.25">
      <c r="A37" t="s">
        <v>1227</v>
      </c>
      <c r="B37" s="4" t="s">
        <v>1190</v>
      </c>
      <c r="C37" s="3" t="s">
        <v>7</v>
      </c>
      <c r="G37" s="3" t="s">
        <v>1224</v>
      </c>
      <c r="I37" s="3" t="str">
        <f>IFERROR(VLOOKUP(C37,'Справочник соответствий'!A$2:D$2996,2,FALSE),IF(VALUE(C37)=0,1,VLOOKUP(C37,'Справочник соответствий'!A$2:D$2996,2,FALSE)))</f>
        <v>2</v>
      </c>
      <c r="J37" s="3">
        <f>IFERROR(VLOOKUP(D37,'Справочник соответствий'!A$2:D$2996,2,FALSE),IF(VALUE(D37)=0,0,VLOOKUP(D37,'Справочник соответствий'!A$2:D$2996,2,FALSE)))</f>
        <v>0</v>
      </c>
      <c r="K37" s="3" t="str">
        <f t="shared" si="0"/>
        <v>2</v>
      </c>
      <c r="L37" s="13" t="str">
        <f>IFERROR(VLOOKUP(C37,'Справочник соответствий'!A$2:D$2996,3,FALSE),IF(VALUE(C37)=0,"ЭТАЖ НЕ ОПРЕДЕЛЕН. ПРИНЯТ ПО ДОПУЩЕНИЮ 1",VLOOKUP(C37,'Справочник соответствий'!A$2:D$2996,3,FALSE)))</f>
        <v>ЭТАЖ ЗАДАН ЧИСЛОМ</v>
      </c>
      <c r="M37" s="13" t="b">
        <f t="shared" si="1"/>
        <v>0</v>
      </c>
      <c r="N37" s="13">
        <f t="shared" si="2"/>
        <v>2</v>
      </c>
      <c r="O37" s="13" t="str">
        <f t="shared" si="3"/>
        <v>ЭТАЖ ЗАДАН ЧИСЛОМ</v>
      </c>
      <c r="P37" s="13" t="str">
        <f t="shared" si="4"/>
        <v>ЭТАЖ ЗАДАН ЧИСЛОМ</v>
      </c>
      <c r="Q37" s="13" t="str">
        <f t="shared" si="5"/>
        <v>ГОТОВ_ИЗМЕНЕН</v>
      </c>
      <c r="R37" s="13">
        <f>IFERROR(VLOOKUP(P37,Лист1!A$1:B$20,2,FALSE),0)</f>
        <v>784</v>
      </c>
      <c r="S37" s="13">
        <f t="shared" si="6"/>
        <v>0</v>
      </c>
    </row>
    <row r="38" spans="1:19" x14ac:dyDescent="0.25">
      <c r="A38" t="s">
        <v>1228</v>
      </c>
      <c r="B38" s="4" t="s">
        <v>1190</v>
      </c>
      <c r="C38" s="3" t="s">
        <v>5</v>
      </c>
      <c r="G38" s="3" t="s">
        <v>1224</v>
      </c>
      <c r="I38" s="3" t="str">
        <f>IFERROR(VLOOKUP(C38,'Справочник соответствий'!A$2:D$2996,2,FALSE),IF(VALUE(C38)=0,1,VLOOKUP(C38,'Справочник соответствий'!A$2:D$2996,2,FALSE)))</f>
        <v>1</v>
      </c>
      <c r="J38" s="3">
        <f>IFERROR(VLOOKUP(D38,'Справочник соответствий'!A$2:D$2996,2,FALSE),IF(VALUE(D38)=0,0,VLOOKUP(D38,'Справочник соответствий'!A$2:D$2996,2,FALSE)))</f>
        <v>0</v>
      </c>
      <c r="K38" s="3" t="str">
        <f t="shared" si="0"/>
        <v>1</v>
      </c>
      <c r="L38" s="13" t="str">
        <f>IFERROR(VLOOKUP(C38,'Справочник соответствий'!A$2:D$2996,3,FALSE),IF(VALUE(C38)=0,"ЭТАЖ НЕ ОПРЕДЕЛЕН. ПРИНЯТ ПО ДОПУЩЕНИЮ 1",VLOOKUP(C38,'Справочник соответствий'!A$2:D$2996,3,FALSE)))</f>
        <v>ЭТАЖ ЗАДАН ЧИСЛОМ</v>
      </c>
      <c r="M38" s="13" t="b">
        <f t="shared" si="1"/>
        <v>0</v>
      </c>
      <c r="N38" s="13">
        <f t="shared" si="2"/>
        <v>1</v>
      </c>
      <c r="O38" s="13" t="str">
        <f t="shared" si="3"/>
        <v>ЭТАЖ ЗАДАН ЧИСЛОМ</v>
      </c>
      <c r="P38" s="13" t="str">
        <f t="shared" si="4"/>
        <v>ЭТАЖ ЗАДАН ЧИСЛОМ</v>
      </c>
      <c r="Q38" s="13" t="str">
        <f t="shared" si="5"/>
        <v>ГОТОВ_ИЗМЕНЕН</v>
      </c>
      <c r="R38" s="13">
        <f>IFERROR(VLOOKUP(P38,Лист1!A$1:B$20,2,FALSE),0)</f>
        <v>784</v>
      </c>
      <c r="S38" s="13">
        <f t="shared" si="6"/>
        <v>0</v>
      </c>
    </row>
    <row r="39" spans="1:19" x14ac:dyDescent="0.25">
      <c r="A39" t="s">
        <v>1229</v>
      </c>
      <c r="B39" s="4" t="s">
        <v>1190</v>
      </c>
      <c r="C39" s="3" t="s">
        <v>5</v>
      </c>
      <c r="G39" s="3" t="s">
        <v>1224</v>
      </c>
      <c r="I39" s="3" t="str">
        <f>IFERROR(VLOOKUP(C39,'Справочник соответствий'!A$2:D$2996,2,FALSE),IF(VALUE(C39)=0,1,VLOOKUP(C39,'Справочник соответствий'!A$2:D$2996,2,FALSE)))</f>
        <v>1</v>
      </c>
      <c r="J39" s="3">
        <f>IFERROR(VLOOKUP(D39,'Справочник соответствий'!A$2:D$2996,2,FALSE),IF(VALUE(D39)=0,0,VLOOKUP(D39,'Справочник соответствий'!A$2:D$2996,2,FALSE)))</f>
        <v>0</v>
      </c>
      <c r="K39" s="3" t="str">
        <f t="shared" si="0"/>
        <v>1</v>
      </c>
      <c r="L39" s="13" t="str">
        <f>IFERROR(VLOOKUP(C39,'Справочник соответствий'!A$2:D$2996,3,FALSE),IF(VALUE(C39)=0,"ЭТАЖ НЕ ОПРЕДЕЛЕН. ПРИНЯТ ПО ДОПУЩЕНИЮ 1",VLOOKUP(C39,'Справочник соответствий'!A$2:D$2996,3,FALSE)))</f>
        <v>ЭТАЖ ЗАДАН ЧИСЛОМ</v>
      </c>
      <c r="M39" s="13" t="b">
        <f t="shared" si="1"/>
        <v>0</v>
      </c>
      <c r="N39" s="13">
        <f t="shared" si="2"/>
        <v>1</v>
      </c>
      <c r="O39" s="13" t="str">
        <f t="shared" si="3"/>
        <v>ЭТАЖ ЗАДАН ЧИСЛОМ</v>
      </c>
      <c r="P39" s="13" t="str">
        <f t="shared" si="4"/>
        <v>ЭТАЖ ЗАДАН ЧИСЛОМ</v>
      </c>
      <c r="Q39" s="13" t="str">
        <f t="shared" si="5"/>
        <v>ГОТОВ_ИЗМЕНЕН</v>
      </c>
      <c r="R39" s="13">
        <f>IFERROR(VLOOKUP(P39,Лист1!A$1:B$20,2,FALSE),0)</f>
        <v>784</v>
      </c>
      <c r="S39" s="13">
        <f t="shared" si="6"/>
        <v>0</v>
      </c>
    </row>
    <row r="40" spans="1:19" x14ac:dyDescent="0.25">
      <c r="A40" t="s">
        <v>1230</v>
      </c>
      <c r="B40" s="4" t="s">
        <v>1182</v>
      </c>
      <c r="C40" s="3" t="s">
        <v>7</v>
      </c>
      <c r="G40" s="3" t="s">
        <v>1224</v>
      </c>
      <c r="I40" s="3" t="str">
        <f>IFERROR(VLOOKUP(C40,'Справочник соответствий'!A$2:D$2996,2,FALSE),IF(VALUE(C40)=0,1,VLOOKUP(C40,'Справочник соответствий'!A$2:D$2996,2,FALSE)))</f>
        <v>2</v>
      </c>
      <c r="J40" s="3">
        <f>IFERROR(VLOOKUP(D40,'Справочник соответствий'!A$2:D$2996,2,FALSE),IF(VALUE(D40)=0,0,VLOOKUP(D40,'Справочник соответствий'!A$2:D$2996,2,FALSE)))</f>
        <v>0</v>
      </c>
      <c r="K40" s="3" t="str">
        <f t="shared" si="0"/>
        <v>2</v>
      </c>
      <c r="L40" s="13" t="str">
        <f>IFERROR(VLOOKUP(C40,'Справочник соответствий'!A$2:D$2996,3,FALSE),IF(VALUE(C40)=0,"ЭТАЖ НЕ ОПРЕДЕЛЕН. ПРИНЯТ ПО ДОПУЩЕНИЮ 1",VLOOKUP(C40,'Справочник соответствий'!A$2:D$2996,3,FALSE)))</f>
        <v>ЭТАЖ ЗАДАН ЧИСЛОМ</v>
      </c>
      <c r="M40" s="13" t="b">
        <f t="shared" si="1"/>
        <v>0</v>
      </c>
      <c r="N40" s="13">
        <f t="shared" si="2"/>
        <v>2</v>
      </c>
      <c r="O40" s="13" t="str">
        <f t="shared" si="3"/>
        <v>ЭТАЖ ЗАДАН ЧИСЛОМ</v>
      </c>
      <c r="P40" s="13" t="str">
        <f t="shared" si="4"/>
        <v>ЭТАЖ ЗАДАН ЧИСЛОМ</v>
      </c>
      <c r="Q40" s="13" t="str">
        <f t="shared" si="5"/>
        <v>ГОТОВ_ИЗМЕНЕН</v>
      </c>
      <c r="R40" s="13">
        <f>IFERROR(VLOOKUP(P40,Лист1!A$1:B$20,2,FALSE),0)</f>
        <v>784</v>
      </c>
      <c r="S40" s="13">
        <f t="shared" si="6"/>
        <v>0</v>
      </c>
    </row>
    <row r="41" spans="1:19" x14ac:dyDescent="0.25">
      <c r="A41" t="s">
        <v>1231</v>
      </c>
      <c r="B41" s="4" t="s">
        <v>1182</v>
      </c>
      <c r="C41" s="3" t="s">
        <v>5</v>
      </c>
      <c r="E41" s="3" t="s">
        <v>5</v>
      </c>
      <c r="F41" t="s">
        <v>1186</v>
      </c>
      <c r="G41" s="3" t="s">
        <v>1187</v>
      </c>
      <c r="H41" s="7" t="s">
        <v>1184</v>
      </c>
      <c r="I41" s="3" t="str">
        <f>IFERROR(VLOOKUP(C41,'Справочник соответствий'!A$2:D$2996,2,FALSE),IF(VALUE(C41)=0,1,VLOOKUP(C41,'Справочник соответствий'!A$2:D$2996,2,FALSE)))</f>
        <v>1</v>
      </c>
      <c r="J41" s="3">
        <f>IFERROR(VLOOKUP(D41,'Справочник соответствий'!A$2:D$2996,2,FALSE),IF(VALUE(D41)=0,0,VLOOKUP(D41,'Справочник соответствий'!A$2:D$2996,2,FALSE)))</f>
        <v>0</v>
      </c>
      <c r="K41" s="3" t="str">
        <f t="shared" si="0"/>
        <v>1</v>
      </c>
      <c r="L41" s="13" t="str">
        <f>IFERROR(VLOOKUP(C41,'Справочник соответствий'!A$2:D$2996,3,FALSE),IF(VALUE(C41)=0,"ЭТАЖ НЕ ОПРЕДЕЛЕН. ПРИНЯТ ПО ДОПУЩЕНИЮ 1",VLOOKUP(C41,'Справочник соответствий'!A$2:D$2996,3,FALSE)))</f>
        <v>ЭТАЖ ЗАДАН ЧИСЛОМ</v>
      </c>
      <c r="M41" s="13" t="b">
        <f t="shared" si="1"/>
        <v>1</v>
      </c>
      <c r="N41" s="13">
        <f t="shared" si="2"/>
        <v>1</v>
      </c>
      <c r="O41" s="13" t="str">
        <f t="shared" si="3"/>
        <v>ЭТАЖ ЗАДАН ЧИСЛОМ</v>
      </c>
      <c r="P41" s="13" t="str">
        <f t="shared" si="4"/>
        <v>ЭТАЖ ЗАДАН ЧИСЛОМ</v>
      </c>
      <c r="Q41" s="13" t="str">
        <f t="shared" si="5"/>
        <v>ГОТОВ</v>
      </c>
      <c r="R41" s="13">
        <f>IFERROR(VLOOKUP(P41,Лист1!A$1:B$20,2,FALSE),0)</f>
        <v>784</v>
      </c>
      <c r="S41" s="13">
        <f t="shared" si="6"/>
        <v>1</v>
      </c>
    </row>
    <row r="42" spans="1:19" x14ac:dyDescent="0.25">
      <c r="A42" t="s">
        <v>1232</v>
      </c>
      <c r="B42" s="4" t="s">
        <v>1190</v>
      </c>
      <c r="C42" s="3" t="s">
        <v>5</v>
      </c>
      <c r="D42" s="3" t="s">
        <v>1233</v>
      </c>
      <c r="E42" s="3" t="s">
        <v>5</v>
      </c>
      <c r="F42" t="s">
        <v>1038</v>
      </c>
      <c r="G42" s="3" t="s">
        <v>1187</v>
      </c>
      <c r="H42" s="7" t="s">
        <v>1184</v>
      </c>
      <c r="I42" s="3" t="str">
        <f>IFERROR(VLOOKUP(C42,'Справочник соответствий'!A$2:D$2996,2,FALSE),IF(VALUE(C42)=0,1,VLOOKUP(C42,'Справочник соответствий'!A$2:D$2996,2,FALSE)))</f>
        <v>1</v>
      </c>
      <c r="J42" s="3" t="e">
        <f>IFERROR(VLOOKUP(D42,'Справочник соответствий'!A$2:D$2996,2,FALSE),IF(VALUE(D42)=0,0,VLOOKUP(D42,'Справочник соответствий'!A$2:D$2996,2,FALSE)))</f>
        <v>#VALUE!</v>
      </c>
      <c r="K42" s="3" t="str">
        <f t="shared" si="0"/>
        <v>1</v>
      </c>
      <c r="L42" s="13" t="str">
        <f>IFERROR(VLOOKUP(C42,'Справочник соответствий'!A$2:D$2996,3,FALSE),IF(VALUE(C42)=0,"ЭТАЖ НЕ ОПРЕДЕЛЕН. ПРИНЯТ ПО ДОПУЩЕНИЮ 1",VLOOKUP(C42,'Справочник соответствий'!A$2:D$2996,3,FALSE)))</f>
        <v>ЭТАЖ ЗАДАН ЧИСЛОМ</v>
      </c>
      <c r="M42" s="13" t="b">
        <f t="shared" si="1"/>
        <v>1</v>
      </c>
      <c r="N42" s="13">
        <f t="shared" si="2"/>
        <v>1</v>
      </c>
      <c r="O42" s="13" t="str">
        <f t="shared" si="3"/>
        <v>ЭТАЖ ЗАДАН ЧИСЛОМ</v>
      </c>
      <c r="P42" s="13" t="str">
        <f t="shared" si="4"/>
        <v>ЭТАЖ ЗАДАН ЧИСЛОМ</v>
      </c>
      <c r="Q42" s="13" t="str">
        <f t="shared" si="5"/>
        <v>ГОТОВ</v>
      </c>
      <c r="R42" s="13">
        <f>IFERROR(VLOOKUP(P42,Лист1!A$1:B$20,2,FALSE),0)</f>
        <v>784</v>
      </c>
      <c r="S42" s="13">
        <f t="shared" si="6"/>
        <v>1</v>
      </c>
    </row>
    <row r="43" spans="1:19" x14ac:dyDescent="0.25">
      <c r="A43" t="s">
        <v>1234</v>
      </c>
      <c r="B43" s="4" t="s">
        <v>1190</v>
      </c>
      <c r="C43" s="3" t="s">
        <v>7</v>
      </c>
      <c r="D43" s="3" t="s">
        <v>5</v>
      </c>
      <c r="E43" s="3" t="s">
        <v>7</v>
      </c>
      <c r="F43" t="s">
        <v>1045</v>
      </c>
      <c r="G43" s="3" t="s">
        <v>1198</v>
      </c>
      <c r="H43" s="7" t="s">
        <v>1184</v>
      </c>
      <c r="I43" s="3" t="str">
        <f>IFERROR(VLOOKUP(C43,'Справочник соответствий'!A$2:D$2996,2,FALSE),IF(VALUE(C43)=0,1,VLOOKUP(C43,'Справочник соответствий'!A$2:D$2996,2,FALSE)))</f>
        <v>2</v>
      </c>
      <c r="J43" s="3" t="str">
        <f>IFERROR(VLOOKUP(D43,'Справочник соответствий'!A$2:D$2996,2,FALSE),IF(VALUE(D43)=0,0,VLOOKUP(D43,'Справочник соответствий'!A$2:D$2996,2,FALSE)))</f>
        <v>1</v>
      </c>
      <c r="K43" s="3" t="str">
        <f t="shared" si="0"/>
        <v>2</v>
      </c>
      <c r="L43" s="13" t="str">
        <f>IFERROR(VLOOKUP(C43,'Справочник соответствий'!A$2:D$2996,3,FALSE),IF(VALUE(C43)=0,"ЭТАЖ НЕ ОПРЕДЕЛЕН. ПРИНЯТ ПО ДОПУЩЕНИЮ 1",VLOOKUP(C43,'Справочник соответствий'!A$2:D$2996,3,FALSE)))</f>
        <v>ЭТАЖ ЗАДАН ЧИСЛОМ</v>
      </c>
      <c r="M43" s="13" t="b">
        <f t="shared" si="1"/>
        <v>1</v>
      </c>
      <c r="N43" s="13">
        <f t="shared" si="2"/>
        <v>2</v>
      </c>
      <c r="O43" s="13" t="str">
        <f t="shared" si="3"/>
        <v>ЭТАЖ ЗАДАН ЧИСЛОМ</v>
      </c>
      <c r="P43" s="13" t="str">
        <f t="shared" si="4"/>
        <v>ЭТАЖ ЗАДАН ЧИСЛОМ</v>
      </c>
      <c r="Q43" s="13" t="str">
        <f t="shared" si="5"/>
        <v>ГОТОВ</v>
      </c>
      <c r="R43" s="13">
        <f>IFERROR(VLOOKUP(P43,Лист1!A$1:B$20,2,FALSE),0)</f>
        <v>784</v>
      </c>
      <c r="S43" s="13">
        <f t="shared" si="6"/>
        <v>2</v>
      </c>
    </row>
    <row r="44" spans="1:19" x14ac:dyDescent="0.25">
      <c r="A44" t="s">
        <v>1235</v>
      </c>
      <c r="B44" s="4" t="s">
        <v>1182</v>
      </c>
      <c r="C44" s="3" t="s">
        <v>5</v>
      </c>
      <c r="E44" s="3" t="s">
        <v>5</v>
      </c>
      <c r="F44" t="s">
        <v>1186</v>
      </c>
      <c r="G44" s="3" t="s">
        <v>1187</v>
      </c>
      <c r="H44" s="7" t="s">
        <v>1184</v>
      </c>
      <c r="I44" s="3" t="str">
        <f>IFERROR(VLOOKUP(C44,'Справочник соответствий'!A$2:D$2996,2,FALSE),IF(VALUE(C44)=0,1,VLOOKUP(C44,'Справочник соответствий'!A$2:D$2996,2,FALSE)))</f>
        <v>1</v>
      </c>
      <c r="J44" s="3">
        <f>IFERROR(VLOOKUP(D44,'Справочник соответствий'!A$2:D$2996,2,FALSE),IF(VALUE(D44)=0,0,VLOOKUP(D44,'Справочник соответствий'!A$2:D$2996,2,FALSE)))</f>
        <v>0</v>
      </c>
      <c r="K44" s="3" t="str">
        <f t="shared" si="0"/>
        <v>1</v>
      </c>
      <c r="L44" s="13" t="str">
        <f>IFERROR(VLOOKUP(C44,'Справочник соответствий'!A$2:D$2996,3,FALSE),IF(VALUE(C44)=0,"ЭТАЖ НЕ ОПРЕДЕЛЕН. ПРИНЯТ ПО ДОПУЩЕНИЮ 1",VLOOKUP(C44,'Справочник соответствий'!A$2:D$2996,3,FALSE)))</f>
        <v>ЭТАЖ ЗАДАН ЧИСЛОМ</v>
      </c>
      <c r="M44" s="13" t="b">
        <f t="shared" si="1"/>
        <v>1</v>
      </c>
      <c r="N44" s="13">
        <f t="shared" si="2"/>
        <v>1</v>
      </c>
      <c r="O44" s="13" t="str">
        <f t="shared" si="3"/>
        <v>ЭТАЖ ЗАДАН ЧИСЛОМ</v>
      </c>
      <c r="P44" s="13" t="str">
        <f t="shared" si="4"/>
        <v>ЭТАЖ ЗАДАН ЧИСЛОМ</v>
      </c>
      <c r="Q44" s="13" t="str">
        <f t="shared" si="5"/>
        <v>ГОТОВ</v>
      </c>
      <c r="R44" s="13">
        <f>IFERROR(VLOOKUP(P44,Лист1!A$1:B$20,2,FALSE),0)</f>
        <v>784</v>
      </c>
      <c r="S44" s="13">
        <f t="shared" si="6"/>
        <v>1</v>
      </c>
    </row>
    <row r="45" spans="1:19" x14ac:dyDescent="0.25">
      <c r="A45" t="s">
        <v>1236</v>
      </c>
      <c r="B45" s="4" t="s">
        <v>1182</v>
      </c>
      <c r="C45" s="3" t="s">
        <v>12</v>
      </c>
      <c r="D45" s="3" t="s">
        <v>5</v>
      </c>
      <c r="E45" s="3" t="s">
        <v>8</v>
      </c>
      <c r="F45" t="s">
        <v>1038</v>
      </c>
      <c r="G45" s="3" t="s">
        <v>1198</v>
      </c>
      <c r="H45" s="7" t="s">
        <v>1184</v>
      </c>
      <c r="I45" s="3" t="str">
        <f>IFERROR(VLOOKUP(C45,'Справочник соответствий'!A$2:D$2996,2,FALSE),IF(VALUE(C45)=0,1,VLOOKUP(C45,'Справочник соответствий'!A$2:D$2996,2,FALSE)))</f>
        <v>4</v>
      </c>
      <c r="J45" s="3" t="str">
        <f>IFERROR(VLOOKUP(D45,'Справочник соответствий'!A$2:D$2996,2,FALSE),IF(VALUE(D45)=0,0,VLOOKUP(D45,'Справочник соответствий'!A$2:D$2996,2,FALSE)))</f>
        <v>1</v>
      </c>
      <c r="K45" s="3" t="str">
        <f t="shared" si="0"/>
        <v>4</v>
      </c>
      <c r="L45" s="13" t="str">
        <f>IFERROR(VLOOKUP(C45,'Справочник соответствий'!A$2:D$2996,3,FALSE),IF(VALUE(C45)=0,"ЭТАЖ НЕ ОПРЕДЕЛЕН. ПРИНЯТ ПО ДОПУЩЕНИЮ 1",VLOOKUP(C45,'Справочник соответствий'!A$2:D$2996,3,FALSE)))</f>
        <v>ЭТАЖ ЗАДАН ЧИСЛОМ</v>
      </c>
      <c r="M45" s="13" t="b">
        <f t="shared" si="1"/>
        <v>0</v>
      </c>
      <c r="N45" s="13">
        <f t="shared" si="2"/>
        <v>4</v>
      </c>
      <c r="O45" s="13" t="str">
        <f t="shared" si="3"/>
        <v>ЭТАЖ ЗАДАН ЧИСЛОМ</v>
      </c>
      <c r="P45" s="13" t="str">
        <f t="shared" si="4"/>
        <v>ЭТАЖ ЗАДАН ЧИСЛОМ</v>
      </c>
      <c r="Q45" s="13" t="str">
        <f t="shared" si="5"/>
        <v>ГОТОВ_ИЗМЕНЕН</v>
      </c>
      <c r="R45" s="13">
        <f>IFERROR(VLOOKUP(P45,Лист1!A$1:B$20,2,FALSE),0)</f>
        <v>784</v>
      </c>
      <c r="S45" s="13">
        <f t="shared" si="6"/>
        <v>3</v>
      </c>
    </row>
    <row r="46" spans="1:19" x14ac:dyDescent="0.25">
      <c r="A46" t="s">
        <v>1237</v>
      </c>
      <c r="B46" s="4" t="s">
        <v>1190</v>
      </c>
      <c r="C46" s="3" t="s">
        <v>5</v>
      </c>
      <c r="E46" s="3" t="s">
        <v>5</v>
      </c>
      <c r="F46" t="s">
        <v>1045</v>
      </c>
      <c r="G46" s="3" t="s">
        <v>1198</v>
      </c>
      <c r="H46" s="7" t="s">
        <v>1184</v>
      </c>
      <c r="I46" s="3" t="str">
        <f>IFERROR(VLOOKUP(C46,'Справочник соответствий'!A$2:D$2996,2,FALSE),IF(VALUE(C46)=0,1,VLOOKUP(C46,'Справочник соответствий'!A$2:D$2996,2,FALSE)))</f>
        <v>1</v>
      </c>
      <c r="J46" s="3">
        <f>IFERROR(VLOOKUP(D46,'Справочник соответствий'!A$2:D$2996,2,FALSE),IF(VALUE(D46)=0,0,VLOOKUP(D46,'Справочник соответствий'!A$2:D$2996,2,FALSE)))</f>
        <v>0</v>
      </c>
      <c r="K46" s="3" t="str">
        <f t="shared" si="0"/>
        <v>1</v>
      </c>
      <c r="L46" s="13" t="str">
        <f>IFERROR(VLOOKUP(C46,'Справочник соответствий'!A$2:D$2996,3,FALSE),IF(VALUE(C46)=0,"ЭТАЖ НЕ ОПРЕДЕЛЕН. ПРИНЯТ ПО ДОПУЩЕНИЮ 1",VLOOKUP(C46,'Справочник соответствий'!A$2:D$2996,3,FALSE)))</f>
        <v>ЭТАЖ ЗАДАН ЧИСЛОМ</v>
      </c>
      <c r="M46" s="13" t="b">
        <f t="shared" si="1"/>
        <v>1</v>
      </c>
      <c r="N46" s="13">
        <f t="shared" si="2"/>
        <v>1</v>
      </c>
      <c r="O46" s="13" t="str">
        <f t="shared" si="3"/>
        <v>ЭТАЖ ЗАДАН ЧИСЛОМ</v>
      </c>
      <c r="P46" s="13" t="str">
        <f t="shared" si="4"/>
        <v>ЭТАЖ ЗАДАН ЧИСЛОМ</v>
      </c>
      <c r="Q46" s="13" t="str">
        <f t="shared" si="5"/>
        <v>ГОТОВ</v>
      </c>
      <c r="R46" s="13">
        <f>IFERROR(VLOOKUP(P46,Лист1!A$1:B$20,2,FALSE),0)</f>
        <v>784</v>
      </c>
      <c r="S46" s="13">
        <f t="shared" si="6"/>
        <v>1</v>
      </c>
    </row>
    <row r="47" spans="1:19" x14ac:dyDescent="0.25">
      <c r="A47" t="s">
        <v>1238</v>
      </c>
      <c r="B47" s="4" t="s">
        <v>1182</v>
      </c>
      <c r="C47" s="3" t="s">
        <v>5</v>
      </c>
      <c r="E47" s="3" t="s">
        <v>5</v>
      </c>
      <c r="F47" t="s">
        <v>1045</v>
      </c>
      <c r="G47" s="3" t="s">
        <v>1183</v>
      </c>
      <c r="H47" s="7" t="s">
        <v>1184</v>
      </c>
      <c r="I47" s="3" t="str">
        <f>IFERROR(VLOOKUP(C47,'Справочник соответствий'!A$2:D$2996,2,FALSE),IF(VALUE(C47)=0,1,VLOOKUP(C47,'Справочник соответствий'!A$2:D$2996,2,FALSE)))</f>
        <v>1</v>
      </c>
      <c r="J47" s="3">
        <f>IFERROR(VLOOKUP(D47,'Справочник соответствий'!A$2:D$2996,2,FALSE),IF(VALUE(D47)=0,0,VLOOKUP(D47,'Справочник соответствий'!A$2:D$2996,2,FALSE)))</f>
        <v>0</v>
      </c>
      <c r="K47" s="3" t="str">
        <f t="shared" si="0"/>
        <v>1</v>
      </c>
      <c r="L47" s="13" t="str">
        <f>IFERROR(VLOOKUP(C47,'Справочник соответствий'!A$2:D$2996,3,FALSE),IF(VALUE(C47)=0,"ЭТАЖ НЕ ОПРЕДЕЛЕН. ПРИНЯТ ПО ДОПУЩЕНИЮ 1",VLOOKUP(C47,'Справочник соответствий'!A$2:D$2996,3,FALSE)))</f>
        <v>ЭТАЖ ЗАДАН ЧИСЛОМ</v>
      </c>
      <c r="M47" s="13" t="b">
        <f t="shared" si="1"/>
        <v>1</v>
      </c>
      <c r="N47" s="13">
        <f t="shared" si="2"/>
        <v>1</v>
      </c>
      <c r="O47" s="13" t="str">
        <f t="shared" si="3"/>
        <v>ЭТАЖ ЗАДАН ЧИСЛОМ</v>
      </c>
      <c r="P47" s="13" t="str">
        <f t="shared" si="4"/>
        <v>ЭТАЖ ЗАДАН ЧИСЛОМ</v>
      </c>
      <c r="Q47" s="13" t="str">
        <f t="shared" si="5"/>
        <v>ГОТОВ</v>
      </c>
      <c r="R47" s="13">
        <f>IFERROR(VLOOKUP(P47,Лист1!A$1:B$20,2,FALSE),0)</f>
        <v>784</v>
      </c>
      <c r="S47" s="13">
        <f t="shared" si="6"/>
        <v>1</v>
      </c>
    </row>
    <row r="48" spans="1:19" x14ac:dyDescent="0.25">
      <c r="A48" t="s">
        <v>1239</v>
      </c>
      <c r="B48" s="4" t="s">
        <v>1182</v>
      </c>
      <c r="C48" s="3" t="s">
        <v>5</v>
      </c>
      <c r="E48" s="3" t="s">
        <v>5</v>
      </c>
      <c r="F48" t="s">
        <v>1038</v>
      </c>
      <c r="G48" s="3" t="s">
        <v>1224</v>
      </c>
      <c r="H48" s="7" t="s">
        <v>1184</v>
      </c>
      <c r="I48" s="3" t="str">
        <f>IFERROR(VLOOKUP(C48,'Справочник соответствий'!A$2:D$2996,2,FALSE),IF(VALUE(C48)=0,1,VLOOKUP(C48,'Справочник соответствий'!A$2:D$2996,2,FALSE)))</f>
        <v>1</v>
      </c>
      <c r="J48" s="3">
        <f>IFERROR(VLOOKUP(D48,'Справочник соответствий'!A$2:D$2996,2,FALSE),IF(VALUE(D48)=0,0,VLOOKUP(D48,'Справочник соответствий'!A$2:D$2996,2,FALSE)))</f>
        <v>0</v>
      </c>
      <c r="K48" s="3" t="str">
        <f t="shared" si="0"/>
        <v>1</v>
      </c>
      <c r="L48" s="13" t="str">
        <f>IFERROR(VLOOKUP(C48,'Справочник соответствий'!A$2:D$2996,3,FALSE),IF(VALUE(C48)=0,"ЭТАЖ НЕ ОПРЕДЕЛЕН. ПРИНЯТ ПО ДОПУЩЕНИЮ 1",VLOOKUP(C48,'Справочник соответствий'!A$2:D$2996,3,FALSE)))</f>
        <v>ЭТАЖ ЗАДАН ЧИСЛОМ</v>
      </c>
      <c r="M48" s="13" t="b">
        <f t="shared" si="1"/>
        <v>1</v>
      </c>
      <c r="N48" s="13">
        <f t="shared" si="2"/>
        <v>1</v>
      </c>
      <c r="O48" s="13" t="str">
        <f t="shared" si="3"/>
        <v>ЭТАЖ ЗАДАН ЧИСЛОМ</v>
      </c>
      <c r="P48" s="13" t="str">
        <f t="shared" si="4"/>
        <v>ЭТАЖ ЗАДАН ЧИСЛОМ</v>
      </c>
      <c r="Q48" s="13" t="str">
        <f t="shared" si="5"/>
        <v>ГОТОВ</v>
      </c>
      <c r="R48" s="13">
        <f>IFERROR(VLOOKUP(P48,Лист1!A$1:B$20,2,FALSE),0)</f>
        <v>784</v>
      </c>
      <c r="S48" s="13">
        <f t="shared" si="6"/>
        <v>1</v>
      </c>
    </row>
    <row r="49" spans="1:19" x14ac:dyDescent="0.25">
      <c r="A49" t="s">
        <v>1240</v>
      </c>
      <c r="B49" s="4" t="s">
        <v>1190</v>
      </c>
      <c r="C49" s="3" t="s">
        <v>7</v>
      </c>
      <c r="E49" s="3" t="s">
        <v>5</v>
      </c>
      <c r="F49" t="s">
        <v>1038</v>
      </c>
      <c r="G49" s="3" t="s">
        <v>1191</v>
      </c>
      <c r="H49" s="7" t="s">
        <v>1184</v>
      </c>
      <c r="I49" s="3" t="str">
        <f>IFERROR(VLOOKUP(C49,'Справочник соответствий'!A$2:D$2996,2,FALSE),IF(VALUE(C49)=0,1,VLOOKUP(C49,'Справочник соответствий'!A$2:D$2996,2,FALSE)))</f>
        <v>2</v>
      </c>
      <c r="J49" s="3">
        <f>IFERROR(VLOOKUP(D49,'Справочник соответствий'!A$2:D$2996,2,FALSE),IF(VALUE(D49)=0,0,VLOOKUP(D49,'Справочник соответствий'!A$2:D$2996,2,FALSE)))</f>
        <v>0</v>
      </c>
      <c r="K49" s="3" t="str">
        <f t="shared" si="0"/>
        <v>2</v>
      </c>
      <c r="L49" s="13" t="str">
        <f>IFERROR(VLOOKUP(C49,'Справочник соответствий'!A$2:D$2996,3,FALSE),IF(VALUE(C49)=0,"ЭТАЖ НЕ ОПРЕДЕЛЕН. ПРИНЯТ ПО ДОПУЩЕНИЮ 1",VLOOKUP(C49,'Справочник соответствий'!A$2:D$2996,3,FALSE)))</f>
        <v>ЭТАЖ ЗАДАН ЧИСЛОМ</v>
      </c>
      <c r="M49" s="13" t="b">
        <f t="shared" si="1"/>
        <v>0</v>
      </c>
      <c r="N49" s="13">
        <f t="shared" si="2"/>
        <v>2</v>
      </c>
      <c r="O49" s="13" t="str">
        <f t="shared" si="3"/>
        <v>ЭТАЖ ЗАДАН ЧИСЛОМ</v>
      </c>
      <c r="P49" s="13" t="str">
        <f t="shared" si="4"/>
        <v>ЭТАЖ ЗАДАН ЧИСЛОМ</v>
      </c>
      <c r="Q49" s="13" t="str">
        <f t="shared" si="5"/>
        <v>ГОТОВ_ИЗМЕНЕН</v>
      </c>
      <c r="R49" s="13">
        <f>IFERROR(VLOOKUP(P49,Лист1!A$1:B$20,2,FALSE),0)</f>
        <v>784</v>
      </c>
      <c r="S49" s="13">
        <f t="shared" si="6"/>
        <v>1</v>
      </c>
    </row>
    <row r="50" spans="1:19" x14ac:dyDescent="0.25">
      <c r="A50" t="s">
        <v>1241</v>
      </c>
      <c r="B50" s="4" t="s">
        <v>1190</v>
      </c>
      <c r="C50" s="3" t="s">
        <v>7</v>
      </c>
      <c r="E50" s="3" t="s">
        <v>5</v>
      </c>
      <c r="F50" t="s">
        <v>1045</v>
      </c>
      <c r="G50" s="3" t="s">
        <v>1224</v>
      </c>
      <c r="H50" s="7" t="s">
        <v>1184</v>
      </c>
      <c r="I50" s="3" t="str">
        <f>IFERROR(VLOOKUP(C50,'Справочник соответствий'!A$2:D$2996,2,FALSE),IF(VALUE(C50)=0,1,VLOOKUP(C50,'Справочник соответствий'!A$2:D$2996,2,FALSE)))</f>
        <v>2</v>
      </c>
      <c r="J50" s="3">
        <f>IFERROR(VLOOKUP(D50,'Справочник соответствий'!A$2:D$2996,2,FALSE),IF(VALUE(D50)=0,0,VLOOKUP(D50,'Справочник соответствий'!A$2:D$2996,2,FALSE)))</f>
        <v>0</v>
      </c>
      <c r="K50" s="3" t="str">
        <f t="shared" si="0"/>
        <v>2</v>
      </c>
      <c r="L50" s="13" t="str">
        <f>IFERROR(VLOOKUP(C50,'Справочник соответствий'!A$2:D$2996,3,FALSE),IF(VALUE(C50)=0,"ЭТАЖ НЕ ОПРЕДЕЛЕН. ПРИНЯТ ПО ДОПУЩЕНИЮ 1",VLOOKUP(C50,'Справочник соответствий'!A$2:D$2996,3,FALSE)))</f>
        <v>ЭТАЖ ЗАДАН ЧИСЛОМ</v>
      </c>
      <c r="M50" s="13" t="b">
        <f t="shared" si="1"/>
        <v>0</v>
      </c>
      <c r="N50" s="13">
        <f t="shared" si="2"/>
        <v>2</v>
      </c>
      <c r="O50" s="13" t="str">
        <f t="shared" si="3"/>
        <v>ЭТАЖ ЗАДАН ЧИСЛОМ</v>
      </c>
      <c r="P50" s="13" t="str">
        <f t="shared" si="4"/>
        <v>ЭТАЖ ЗАДАН ЧИСЛОМ</v>
      </c>
      <c r="Q50" s="13" t="str">
        <f t="shared" si="5"/>
        <v>ГОТОВ_ИЗМЕНЕН</v>
      </c>
      <c r="R50" s="13">
        <f>IFERROR(VLOOKUP(P50,Лист1!A$1:B$20,2,FALSE),0)</f>
        <v>784</v>
      </c>
      <c r="S50" s="13">
        <f t="shared" si="6"/>
        <v>1</v>
      </c>
    </row>
    <row r="51" spans="1:19" x14ac:dyDescent="0.25">
      <c r="A51" t="s">
        <v>1242</v>
      </c>
      <c r="B51" s="4" t="s">
        <v>1190</v>
      </c>
      <c r="C51" s="3" t="s">
        <v>7</v>
      </c>
      <c r="D51" s="3" t="s">
        <v>5</v>
      </c>
      <c r="E51" s="3" t="s">
        <v>7</v>
      </c>
      <c r="F51" t="s">
        <v>1045</v>
      </c>
      <c r="G51" s="3" t="s">
        <v>1198</v>
      </c>
      <c r="H51" s="7" t="s">
        <v>1184</v>
      </c>
      <c r="I51" s="3" t="str">
        <f>IFERROR(VLOOKUP(C51,'Справочник соответствий'!A$2:D$2996,2,FALSE),IF(VALUE(C51)=0,1,VLOOKUP(C51,'Справочник соответствий'!A$2:D$2996,2,FALSE)))</f>
        <v>2</v>
      </c>
      <c r="J51" s="3" t="str">
        <f>IFERROR(VLOOKUP(D51,'Справочник соответствий'!A$2:D$2996,2,FALSE),IF(VALUE(D51)=0,0,VLOOKUP(D51,'Справочник соответствий'!A$2:D$2996,2,FALSE)))</f>
        <v>1</v>
      </c>
      <c r="K51" s="3" t="str">
        <f t="shared" si="0"/>
        <v>2</v>
      </c>
      <c r="L51" s="13" t="str">
        <f>IFERROR(VLOOKUP(C51,'Справочник соответствий'!A$2:D$2996,3,FALSE),IF(VALUE(C51)=0,"ЭТАЖ НЕ ОПРЕДЕЛЕН. ПРИНЯТ ПО ДОПУЩЕНИЮ 1",VLOOKUP(C51,'Справочник соответствий'!A$2:D$2996,3,FALSE)))</f>
        <v>ЭТАЖ ЗАДАН ЧИСЛОМ</v>
      </c>
      <c r="M51" s="13" t="b">
        <f t="shared" si="1"/>
        <v>1</v>
      </c>
      <c r="N51" s="13">
        <f t="shared" si="2"/>
        <v>2</v>
      </c>
      <c r="O51" s="13" t="str">
        <f t="shared" si="3"/>
        <v>ЭТАЖ ЗАДАН ЧИСЛОМ</v>
      </c>
      <c r="P51" s="13" t="str">
        <f t="shared" si="4"/>
        <v>ЭТАЖ ЗАДАН ЧИСЛОМ</v>
      </c>
      <c r="Q51" s="13" t="str">
        <f t="shared" si="5"/>
        <v>ГОТОВ</v>
      </c>
      <c r="R51" s="13">
        <f>IFERROR(VLOOKUP(P51,Лист1!A$1:B$20,2,FALSE),0)</f>
        <v>784</v>
      </c>
      <c r="S51" s="13">
        <f t="shared" si="6"/>
        <v>2</v>
      </c>
    </row>
    <row r="52" spans="1:19" x14ac:dyDescent="0.25">
      <c r="A52" t="s">
        <v>1243</v>
      </c>
      <c r="B52" s="4" t="s">
        <v>1190</v>
      </c>
      <c r="C52" s="3" t="s">
        <v>5</v>
      </c>
      <c r="G52" s="3" t="s">
        <v>1187</v>
      </c>
      <c r="I52" s="3" t="str">
        <f>IFERROR(VLOOKUP(C52,'Справочник соответствий'!A$2:D$2996,2,FALSE),IF(VALUE(C52)=0,1,VLOOKUP(C52,'Справочник соответствий'!A$2:D$2996,2,FALSE)))</f>
        <v>1</v>
      </c>
      <c r="J52" s="3">
        <f>IFERROR(VLOOKUP(D52,'Справочник соответствий'!A$2:D$2996,2,FALSE),IF(VALUE(D52)=0,0,VLOOKUP(D52,'Справочник соответствий'!A$2:D$2996,2,FALSE)))</f>
        <v>0</v>
      </c>
      <c r="K52" s="3" t="str">
        <f t="shared" si="0"/>
        <v>1</v>
      </c>
      <c r="L52" s="13" t="str">
        <f>IFERROR(VLOOKUP(C52,'Справочник соответствий'!A$2:D$2996,3,FALSE),IF(VALUE(C52)=0,"ЭТАЖ НЕ ОПРЕДЕЛЕН. ПРИНЯТ ПО ДОПУЩЕНИЮ 1",VLOOKUP(C52,'Справочник соответствий'!A$2:D$2996,3,FALSE)))</f>
        <v>ЭТАЖ ЗАДАН ЧИСЛОМ</v>
      </c>
      <c r="M52" s="13" t="b">
        <f t="shared" si="1"/>
        <v>0</v>
      </c>
      <c r="N52" s="13">
        <f t="shared" si="2"/>
        <v>1</v>
      </c>
      <c r="O52" s="13" t="str">
        <f t="shared" si="3"/>
        <v>ЭТАЖ ЗАДАН ЧИСЛОМ</v>
      </c>
      <c r="P52" s="13" t="str">
        <f t="shared" si="4"/>
        <v>ЭТАЖ ЗАДАН ЧИСЛОМ</v>
      </c>
      <c r="Q52" s="13" t="str">
        <f t="shared" si="5"/>
        <v>ГОТОВ_ИЗМЕНЕН</v>
      </c>
      <c r="R52" s="13">
        <f>IFERROR(VLOOKUP(P52,Лист1!A$1:B$20,2,FALSE),0)</f>
        <v>784</v>
      </c>
      <c r="S52" s="13">
        <f t="shared" si="6"/>
        <v>0</v>
      </c>
    </row>
    <row r="53" spans="1:19" x14ac:dyDescent="0.25">
      <c r="A53" t="s">
        <v>1244</v>
      </c>
      <c r="B53" s="4" t="s">
        <v>1190</v>
      </c>
      <c r="C53" s="3" t="s">
        <v>7</v>
      </c>
      <c r="G53" s="3" t="s">
        <v>1187</v>
      </c>
      <c r="I53" s="3" t="str">
        <f>IFERROR(VLOOKUP(C53,'Справочник соответствий'!A$2:D$2996,2,FALSE),IF(VALUE(C53)=0,1,VLOOKUP(C53,'Справочник соответствий'!A$2:D$2996,2,FALSE)))</f>
        <v>2</v>
      </c>
      <c r="J53" s="3">
        <f>IFERROR(VLOOKUP(D53,'Справочник соответствий'!A$2:D$2996,2,FALSE),IF(VALUE(D53)=0,0,VLOOKUP(D53,'Справочник соответствий'!A$2:D$2996,2,FALSE)))</f>
        <v>0</v>
      </c>
      <c r="K53" s="3" t="str">
        <f t="shared" si="0"/>
        <v>2</v>
      </c>
      <c r="L53" s="13" t="str">
        <f>IFERROR(VLOOKUP(C53,'Справочник соответствий'!A$2:D$2996,3,FALSE),IF(VALUE(C53)=0,"ЭТАЖ НЕ ОПРЕДЕЛЕН. ПРИНЯТ ПО ДОПУЩЕНИЮ 1",VLOOKUP(C53,'Справочник соответствий'!A$2:D$2996,3,FALSE)))</f>
        <v>ЭТАЖ ЗАДАН ЧИСЛОМ</v>
      </c>
      <c r="M53" s="13" t="b">
        <f t="shared" si="1"/>
        <v>0</v>
      </c>
      <c r="N53" s="13">
        <f t="shared" si="2"/>
        <v>2</v>
      </c>
      <c r="O53" s="13" t="str">
        <f t="shared" si="3"/>
        <v>ЭТАЖ ЗАДАН ЧИСЛОМ</v>
      </c>
      <c r="P53" s="13" t="str">
        <f t="shared" si="4"/>
        <v>ЭТАЖ ЗАДАН ЧИСЛОМ</v>
      </c>
      <c r="Q53" s="13" t="str">
        <f t="shared" si="5"/>
        <v>ГОТОВ_ИЗМЕНЕН</v>
      </c>
      <c r="R53" s="13">
        <f>IFERROR(VLOOKUP(P53,Лист1!A$1:B$20,2,FALSE),0)</f>
        <v>784</v>
      </c>
      <c r="S53" s="13">
        <f t="shared" si="6"/>
        <v>0</v>
      </c>
    </row>
    <row r="54" spans="1:19" x14ac:dyDescent="0.25">
      <c r="A54" t="s">
        <v>1245</v>
      </c>
      <c r="B54" s="4" t="s">
        <v>1190</v>
      </c>
      <c r="C54" s="3" t="s">
        <v>7</v>
      </c>
      <c r="G54" s="3" t="s">
        <v>1187</v>
      </c>
      <c r="I54" s="3" t="str">
        <f>IFERROR(VLOOKUP(C54,'Справочник соответствий'!A$2:D$2996,2,FALSE),IF(VALUE(C54)=0,1,VLOOKUP(C54,'Справочник соответствий'!A$2:D$2996,2,FALSE)))</f>
        <v>2</v>
      </c>
      <c r="J54" s="3">
        <f>IFERROR(VLOOKUP(D54,'Справочник соответствий'!A$2:D$2996,2,FALSE),IF(VALUE(D54)=0,0,VLOOKUP(D54,'Справочник соответствий'!A$2:D$2996,2,FALSE)))</f>
        <v>0</v>
      </c>
      <c r="K54" s="3" t="str">
        <f t="shared" si="0"/>
        <v>2</v>
      </c>
      <c r="L54" s="13" t="str">
        <f>IFERROR(VLOOKUP(C54,'Справочник соответствий'!A$2:D$2996,3,FALSE),IF(VALUE(C54)=0,"ЭТАЖ НЕ ОПРЕДЕЛЕН. ПРИНЯТ ПО ДОПУЩЕНИЮ 1",VLOOKUP(C54,'Справочник соответствий'!A$2:D$2996,3,FALSE)))</f>
        <v>ЭТАЖ ЗАДАН ЧИСЛОМ</v>
      </c>
      <c r="M54" s="13" t="b">
        <f t="shared" si="1"/>
        <v>0</v>
      </c>
      <c r="N54" s="13">
        <f t="shared" si="2"/>
        <v>2</v>
      </c>
      <c r="O54" s="13" t="str">
        <f t="shared" si="3"/>
        <v>ЭТАЖ ЗАДАН ЧИСЛОМ</v>
      </c>
      <c r="P54" s="13" t="str">
        <f t="shared" si="4"/>
        <v>ЭТАЖ ЗАДАН ЧИСЛОМ</v>
      </c>
      <c r="Q54" s="13" t="str">
        <f t="shared" si="5"/>
        <v>ГОТОВ_ИЗМЕНЕН</v>
      </c>
      <c r="R54" s="13">
        <f>IFERROR(VLOOKUP(P54,Лист1!A$1:B$20,2,FALSE),0)</f>
        <v>784</v>
      </c>
      <c r="S54" s="13">
        <f t="shared" si="6"/>
        <v>0</v>
      </c>
    </row>
    <row r="55" spans="1:19" x14ac:dyDescent="0.25">
      <c r="A55" t="s">
        <v>1246</v>
      </c>
      <c r="B55" s="4" t="s">
        <v>1182</v>
      </c>
      <c r="C55" s="3" t="s">
        <v>7</v>
      </c>
      <c r="G55" s="3" t="s">
        <v>1187</v>
      </c>
      <c r="I55" s="3" t="str">
        <f>IFERROR(VLOOKUP(C55,'Справочник соответствий'!A$2:D$2996,2,FALSE),IF(VALUE(C55)=0,1,VLOOKUP(C55,'Справочник соответствий'!A$2:D$2996,2,FALSE)))</f>
        <v>2</v>
      </c>
      <c r="J55" s="3">
        <f>IFERROR(VLOOKUP(D55,'Справочник соответствий'!A$2:D$2996,2,FALSE),IF(VALUE(D55)=0,0,VLOOKUP(D55,'Справочник соответствий'!A$2:D$2996,2,FALSE)))</f>
        <v>0</v>
      </c>
      <c r="K55" s="3" t="str">
        <f t="shared" si="0"/>
        <v>2</v>
      </c>
      <c r="L55" s="13" t="str">
        <f>IFERROR(VLOOKUP(C55,'Справочник соответствий'!A$2:D$2996,3,FALSE),IF(VALUE(C55)=0,"ЭТАЖ НЕ ОПРЕДЕЛЕН. ПРИНЯТ ПО ДОПУЩЕНИЮ 1",VLOOKUP(C55,'Справочник соответствий'!A$2:D$2996,3,FALSE)))</f>
        <v>ЭТАЖ ЗАДАН ЧИСЛОМ</v>
      </c>
      <c r="M55" s="13" t="b">
        <f t="shared" si="1"/>
        <v>0</v>
      </c>
      <c r="N55" s="13">
        <f t="shared" si="2"/>
        <v>2</v>
      </c>
      <c r="O55" s="13" t="str">
        <f t="shared" si="3"/>
        <v>ЭТАЖ ЗАДАН ЧИСЛОМ</v>
      </c>
      <c r="P55" s="13" t="str">
        <f t="shared" si="4"/>
        <v>ЭТАЖ ЗАДАН ЧИСЛОМ</v>
      </c>
      <c r="Q55" s="13" t="str">
        <f t="shared" si="5"/>
        <v>ГОТОВ_ИЗМЕНЕН</v>
      </c>
      <c r="R55" s="13">
        <f>IFERROR(VLOOKUP(P55,Лист1!A$1:B$20,2,FALSE),0)</f>
        <v>784</v>
      </c>
      <c r="S55" s="13">
        <f t="shared" si="6"/>
        <v>0</v>
      </c>
    </row>
    <row r="56" spans="1:19" x14ac:dyDescent="0.25">
      <c r="A56" t="s">
        <v>1247</v>
      </c>
      <c r="B56" s="4" t="s">
        <v>1190</v>
      </c>
      <c r="C56" s="3" t="s">
        <v>5</v>
      </c>
      <c r="G56" s="3" t="s">
        <v>1187</v>
      </c>
      <c r="I56" s="3" t="str">
        <f>IFERROR(VLOOKUP(C56,'Справочник соответствий'!A$2:D$2996,2,FALSE),IF(VALUE(C56)=0,1,VLOOKUP(C56,'Справочник соответствий'!A$2:D$2996,2,FALSE)))</f>
        <v>1</v>
      </c>
      <c r="J56" s="3">
        <f>IFERROR(VLOOKUP(D56,'Справочник соответствий'!A$2:D$2996,2,FALSE),IF(VALUE(D56)=0,0,VLOOKUP(D56,'Справочник соответствий'!A$2:D$2996,2,FALSE)))</f>
        <v>0</v>
      </c>
      <c r="K56" s="3" t="str">
        <f t="shared" si="0"/>
        <v>1</v>
      </c>
      <c r="L56" s="13" t="str">
        <f>IFERROR(VLOOKUP(C56,'Справочник соответствий'!A$2:D$2996,3,FALSE),IF(VALUE(C56)=0,"ЭТАЖ НЕ ОПРЕДЕЛЕН. ПРИНЯТ ПО ДОПУЩЕНИЮ 1",VLOOKUP(C56,'Справочник соответствий'!A$2:D$2996,3,FALSE)))</f>
        <v>ЭТАЖ ЗАДАН ЧИСЛОМ</v>
      </c>
      <c r="M56" s="13" t="b">
        <f t="shared" si="1"/>
        <v>0</v>
      </c>
      <c r="N56" s="13">
        <f t="shared" si="2"/>
        <v>1</v>
      </c>
      <c r="O56" s="13" t="str">
        <f t="shared" si="3"/>
        <v>ЭТАЖ ЗАДАН ЧИСЛОМ</v>
      </c>
      <c r="P56" s="13" t="str">
        <f t="shared" si="4"/>
        <v>ЭТАЖ ЗАДАН ЧИСЛОМ</v>
      </c>
      <c r="Q56" s="13" t="str">
        <f t="shared" si="5"/>
        <v>ГОТОВ_ИЗМЕНЕН</v>
      </c>
      <c r="R56" s="13">
        <f>IFERROR(VLOOKUP(P56,Лист1!A$1:B$20,2,FALSE),0)</f>
        <v>784</v>
      </c>
      <c r="S56" s="13">
        <f t="shared" si="6"/>
        <v>0</v>
      </c>
    </row>
    <row r="57" spans="1:19" x14ac:dyDescent="0.25">
      <c r="A57" t="s">
        <v>1248</v>
      </c>
      <c r="B57" s="4" t="s">
        <v>1182</v>
      </c>
      <c r="C57" s="3" t="s">
        <v>5</v>
      </c>
      <c r="E57" s="3" t="s">
        <v>7</v>
      </c>
      <c r="F57" t="s">
        <v>1045</v>
      </c>
      <c r="G57" s="3" t="s">
        <v>1183</v>
      </c>
      <c r="H57" s="7" t="s">
        <v>1184</v>
      </c>
      <c r="I57" s="3" t="str">
        <f>IFERROR(VLOOKUP(C57,'Справочник соответствий'!A$2:D$2996,2,FALSE),IF(VALUE(C57)=0,1,VLOOKUP(C57,'Справочник соответствий'!A$2:D$2996,2,FALSE)))</f>
        <v>1</v>
      </c>
      <c r="J57" s="3">
        <f>IFERROR(VLOOKUP(D57,'Справочник соответствий'!A$2:D$2996,2,FALSE),IF(VALUE(D57)=0,0,VLOOKUP(D57,'Справочник соответствий'!A$2:D$2996,2,FALSE)))</f>
        <v>0</v>
      </c>
      <c r="K57" s="3" t="str">
        <f t="shared" si="0"/>
        <v>1</v>
      </c>
      <c r="L57" s="13" t="str">
        <f>IFERROR(VLOOKUP(C57,'Справочник соответствий'!A$2:D$2996,3,FALSE),IF(VALUE(C57)=0,"ЭТАЖ НЕ ОПРЕДЕЛЕН. ПРИНЯТ ПО ДОПУЩЕНИЮ 1",VLOOKUP(C57,'Справочник соответствий'!A$2:D$2996,3,FALSE)))</f>
        <v>ЭТАЖ ЗАДАН ЧИСЛОМ</v>
      </c>
      <c r="M57" s="13" t="b">
        <f t="shared" si="1"/>
        <v>0</v>
      </c>
      <c r="N57" s="13">
        <f t="shared" si="2"/>
        <v>1</v>
      </c>
      <c r="O57" s="13" t="str">
        <f t="shared" si="3"/>
        <v>ЭТАЖ ЗАДАН ЧИСЛОМ</v>
      </c>
      <c r="P57" s="13" t="str">
        <f t="shared" si="4"/>
        <v>ЭТАЖ ЗАДАН ЧИСЛОМ</v>
      </c>
      <c r="Q57" s="13" t="str">
        <f t="shared" si="5"/>
        <v>ГОТОВ_ИЗМЕНЕН</v>
      </c>
      <c r="R57" s="13">
        <f>IFERROR(VLOOKUP(P57,Лист1!A$1:B$20,2,FALSE),0)</f>
        <v>784</v>
      </c>
      <c r="S57" s="13">
        <f t="shared" si="6"/>
        <v>2</v>
      </c>
    </row>
    <row r="58" spans="1:19" x14ac:dyDescent="0.25">
      <c r="A58" t="s">
        <v>1249</v>
      </c>
      <c r="B58" s="4" t="s">
        <v>1190</v>
      </c>
      <c r="C58" s="3" t="s">
        <v>5</v>
      </c>
      <c r="G58" s="3" t="s">
        <v>1191</v>
      </c>
      <c r="I58" s="3" t="str">
        <f>IFERROR(VLOOKUP(C58,'Справочник соответствий'!A$2:D$2996,2,FALSE),IF(VALUE(C58)=0,1,VLOOKUP(C58,'Справочник соответствий'!A$2:D$2996,2,FALSE)))</f>
        <v>1</v>
      </c>
      <c r="J58" s="3">
        <f>IFERROR(VLOOKUP(D58,'Справочник соответствий'!A$2:D$2996,2,FALSE),IF(VALUE(D58)=0,0,VLOOKUP(D58,'Справочник соответствий'!A$2:D$2996,2,FALSE)))</f>
        <v>0</v>
      </c>
      <c r="K58" s="3" t="str">
        <f t="shared" si="0"/>
        <v>1</v>
      </c>
      <c r="L58" s="13" t="str">
        <f>IFERROR(VLOOKUP(C58,'Справочник соответствий'!A$2:D$2996,3,FALSE),IF(VALUE(C58)=0,"ЭТАЖ НЕ ОПРЕДЕЛЕН. ПРИНЯТ ПО ДОПУЩЕНИЮ 1",VLOOKUP(C58,'Справочник соответствий'!A$2:D$2996,3,FALSE)))</f>
        <v>ЭТАЖ ЗАДАН ЧИСЛОМ</v>
      </c>
      <c r="M58" s="13" t="b">
        <f t="shared" si="1"/>
        <v>0</v>
      </c>
      <c r="N58" s="13">
        <f t="shared" si="2"/>
        <v>1</v>
      </c>
      <c r="O58" s="13" t="str">
        <f t="shared" si="3"/>
        <v>ЭТАЖ ЗАДАН ЧИСЛОМ</v>
      </c>
      <c r="P58" s="13" t="str">
        <f t="shared" si="4"/>
        <v>ЭТАЖ ЗАДАН ЧИСЛОМ</v>
      </c>
      <c r="Q58" s="13" t="str">
        <f t="shared" si="5"/>
        <v>ГОТОВ_ИЗМЕНЕН</v>
      </c>
      <c r="R58" s="13">
        <f>IFERROR(VLOOKUP(P58,Лист1!A$1:B$20,2,FALSE),0)</f>
        <v>784</v>
      </c>
      <c r="S58" s="13">
        <f t="shared" si="6"/>
        <v>0</v>
      </c>
    </row>
    <row r="59" spans="1:19" x14ac:dyDescent="0.25">
      <c r="A59" t="s">
        <v>1250</v>
      </c>
      <c r="B59" s="4" t="s">
        <v>1190</v>
      </c>
      <c r="C59" s="3" t="s">
        <v>5</v>
      </c>
      <c r="G59" s="3" t="s">
        <v>1191</v>
      </c>
      <c r="I59" s="3" t="str">
        <f>IFERROR(VLOOKUP(C59,'Справочник соответствий'!A$2:D$2996,2,FALSE),IF(VALUE(C59)=0,1,VLOOKUP(C59,'Справочник соответствий'!A$2:D$2996,2,FALSE)))</f>
        <v>1</v>
      </c>
      <c r="J59" s="3">
        <f>IFERROR(VLOOKUP(D59,'Справочник соответствий'!A$2:D$2996,2,FALSE),IF(VALUE(D59)=0,0,VLOOKUP(D59,'Справочник соответствий'!A$2:D$2996,2,FALSE)))</f>
        <v>0</v>
      </c>
      <c r="K59" s="3" t="str">
        <f t="shared" si="0"/>
        <v>1</v>
      </c>
      <c r="L59" s="13" t="str">
        <f>IFERROR(VLOOKUP(C59,'Справочник соответствий'!A$2:D$2996,3,FALSE),IF(VALUE(C59)=0,"ЭТАЖ НЕ ОПРЕДЕЛЕН. ПРИНЯТ ПО ДОПУЩЕНИЮ 1",VLOOKUP(C59,'Справочник соответствий'!A$2:D$2996,3,FALSE)))</f>
        <v>ЭТАЖ ЗАДАН ЧИСЛОМ</v>
      </c>
      <c r="M59" s="13" t="b">
        <f t="shared" si="1"/>
        <v>0</v>
      </c>
      <c r="N59" s="13">
        <f t="shared" si="2"/>
        <v>1</v>
      </c>
      <c r="O59" s="13" t="str">
        <f t="shared" si="3"/>
        <v>ЭТАЖ ЗАДАН ЧИСЛОМ</v>
      </c>
      <c r="P59" s="13" t="str">
        <f t="shared" si="4"/>
        <v>ЭТАЖ ЗАДАН ЧИСЛОМ</v>
      </c>
      <c r="Q59" s="13" t="str">
        <f t="shared" si="5"/>
        <v>ГОТОВ_ИЗМЕНЕН</v>
      </c>
      <c r="R59" s="13">
        <f>IFERROR(VLOOKUP(P59,Лист1!A$1:B$20,2,FALSE),0)</f>
        <v>784</v>
      </c>
      <c r="S59" s="13">
        <f t="shared" si="6"/>
        <v>0</v>
      </c>
    </row>
    <row r="60" spans="1:19" x14ac:dyDescent="0.25">
      <c r="A60" t="s">
        <v>1251</v>
      </c>
      <c r="B60" s="4" t="s">
        <v>1190</v>
      </c>
      <c r="C60" s="3" t="s">
        <v>7</v>
      </c>
      <c r="G60" s="3" t="s">
        <v>1191</v>
      </c>
      <c r="I60" s="3" t="str">
        <f>IFERROR(VLOOKUP(C60,'Справочник соответствий'!A$2:D$2996,2,FALSE),IF(VALUE(C60)=0,1,VLOOKUP(C60,'Справочник соответствий'!A$2:D$2996,2,FALSE)))</f>
        <v>2</v>
      </c>
      <c r="J60" s="3">
        <f>IFERROR(VLOOKUP(D60,'Справочник соответствий'!A$2:D$2996,2,FALSE),IF(VALUE(D60)=0,0,VLOOKUP(D60,'Справочник соответствий'!A$2:D$2996,2,FALSE)))</f>
        <v>0</v>
      </c>
      <c r="K60" s="3" t="str">
        <f t="shared" si="0"/>
        <v>2</v>
      </c>
      <c r="L60" s="13" t="str">
        <f>IFERROR(VLOOKUP(C60,'Справочник соответствий'!A$2:D$2996,3,FALSE),IF(VALUE(C60)=0,"ЭТАЖ НЕ ОПРЕДЕЛЕН. ПРИНЯТ ПО ДОПУЩЕНИЮ 1",VLOOKUP(C60,'Справочник соответствий'!A$2:D$2996,3,FALSE)))</f>
        <v>ЭТАЖ ЗАДАН ЧИСЛОМ</v>
      </c>
      <c r="M60" s="13" t="b">
        <f t="shared" si="1"/>
        <v>0</v>
      </c>
      <c r="N60" s="13">
        <f t="shared" si="2"/>
        <v>2</v>
      </c>
      <c r="O60" s="13" t="str">
        <f t="shared" si="3"/>
        <v>ЭТАЖ ЗАДАН ЧИСЛОМ</v>
      </c>
      <c r="P60" s="13" t="str">
        <f t="shared" si="4"/>
        <v>ЭТАЖ ЗАДАН ЧИСЛОМ</v>
      </c>
      <c r="Q60" s="13" t="str">
        <f t="shared" si="5"/>
        <v>ГОТОВ_ИЗМЕНЕН</v>
      </c>
      <c r="R60" s="13">
        <f>IFERROR(VLOOKUP(P60,Лист1!A$1:B$20,2,FALSE),0)</f>
        <v>784</v>
      </c>
      <c r="S60" s="13">
        <f t="shared" si="6"/>
        <v>0</v>
      </c>
    </row>
    <row r="61" spans="1:19" x14ac:dyDescent="0.25">
      <c r="A61" t="s">
        <v>1252</v>
      </c>
      <c r="B61" s="4" t="s">
        <v>1182</v>
      </c>
      <c r="C61" s="3" t="s">
        <v>5</v>
      </c>
      <c r="G61" s="3" t="s">
        <v>1191</v>
      </c>
      <c r="I61" s="3" t="str">
        <f>IFERROR(VLOOKUP(C61,'Справочник соответствий'!A$2:D$2996,2,FALSE),IF(VALUE(C61)=0,1,VLOOKUP(C61,'Справочник соответствий'!A$2:D$2996,2,FALSE)))</f>
        <v>1</v>
      </c>
      <c r="J61" s="3">
        <f>IFERROR(VLOOKUP(D61,'Справочник соответствий'!A$2:D$2996,2,FALSE),IF(VALUE(D61)=0,0,VLOOKUP(D61,'Справочник соответствий'!A$2:D$2996,2,FALSE)))</f>
        <v>0</v>
      </c>
      <c r="K61" s="3" t="str">
        <f t="shared" si="0"/>
        <v>1</v>
      </c>
      <c r="L61" s="13" t="str">
        <f>IFERROR(VLOOKUP(C61,'Справочник соответствий'!A$2:D$2996,3,FALSE),IF(VALUE(C61)=0,"ЭТАЖ НЕ ОПРЕДЕЛЕН. ПРИНЯТ ПО ДОПУЩЕНИЮ 1",VLOOKUP(C61,'Справочник соответствий'!A$2:D$2996,3,FALSE)))</f>
        <v>ЭТАЖ ЗАДАН ЧИСЛОМ</v>
      </c>
      <c r="M61" s="13" t="b">
        <f t="shared" si="1"/>
        <v>0</v>
      </c>
      <c r="N61" s="13">
        <f t="shared" si="2"/>
        <v>1</v>
      </c>
      <c r="O61" s="13" t="str">
        <f t="shared" si="3"/>
        <v>ЭТАЖ ЗАДАН ЧИСЛОМ</v>
      </c>
      <c r="P61" s="13" t="str">
        <f t="shared" si="4"/>
        <v>ЭТАЖ ЗАДАН ЧИСЛОМ</v>
      </c>
      <c r="Q61" s="13" t="str">
        <f t="shared" si="5"/>
        <v>ГОТОВ_ИЗМЕНЕН</v>
      </c>
      <c r="R61" s="13">
        <f>IFERROR(VLOOKUP(P61,Лист1!A$1:B$20,2,FALSE),0)</f>
        <v>784</v>
      </c>
      <c r="S61" s="13">
        <f t="shared" si="6"/>
        <v>0</v>
      </c>
    </row>
    <row r="62" spans="1:19" x14ac:dyDescent="0.25">
      <c r="A62" t="s">
        <v>1253</v>
      </c>
      <c r="B62" s="4" t="s">
        <v>1190</v>
      </c>
      <c r="C62" s="3" t="s">
        <v>7</v>
      </c>
      <c r="G62" s="3" t="s">
        <v>1191</v>
      </c>
      <c r="I62" s="3" t="str">
        <f>IFERROR(VLOOKUP(C62,'Справочник соответствий'!A$2:D$2996,2,FALSE),IF(VALUE(C62)=0,1,VLOOKUP(C62,'Справочник соответствий'!A$2:D$2996,2,FALSE)))</f>
        <v>2</v>
      </c>
      <c r="J62" s="3">
        <f>IFERROR(VLOOKUP(D62,'Справочник соответствий'!A$2:D$2996,2,FALSE),IF(VALUE(D62)=0,0,VLOOKUP(D62,'Справочник соответствий'!A$2:D$2996,2,FALSE)))</f>
        <v>0</v>
      </c>
      <c r="K62" s="3" t="str">
        <f t="shared" si="0"/>
        <v>2</v>
      </c>
      <c r="L62" s="13" t="str">
        <f>IFERROR(VLOOKUP(C62,'Справочник соответствий'!A$2:D$2996,3,FALSE),IF(VALUE(C62)=0,"ЭТАЖ НЕ ОПРЕДЕЛЕН. ПРИНЯТ ПО ДОПУЩЕНИЮ 1",VLOOKUP(C62,'Справочник соответствий'!A$2:D$2996,3,FALSE)))</f>
        <v>ЭТАЖ ЗАДАН ЧИСЛОМ</v>
      </c>
      <c r="M62" s="13" t="b">
        <f t="shared" si="1"/>
        <v>0</v>
      </c>
      <c r="N62" s="13">
        <f t="shared" si="2"/>
        <v>2</v>
      </c>
      <c r="O62" s="13" t="str">
        <f t="shared" si="3"/>
        <v>ЭТАЖ ЗАДАН ЧИСЛОМ</v>
      </c>
      <c r="P62" s="13" t="str">
        <f t="shared" si="4"/>
        <v>ЭТАЖ ЗАДАН ЧИСЛОМ</v>
      </c>
      <c r="Q62" s="13" t="str">
        <f t="shared" si="5"/>
        <v>ГОТОВ_ИЗМЕНЕН</v>
      </c>
      <c r="R62" s="13">
        <f>IFERROR(VLOOKUP(P62,Лист1!A$1:B$20,2,FALSE),0)</f>
        <v>784</v>
      </c>
      <c r="S62" s="13">
        <f t="shared" si="6"/>
        <v>0</v>
      </c>
    </row>
    <row r="63" spans="1:19" x14ac:dyDescent="0.25">
      <c r="A63" t="s">
        <v>1254</v>
      </c>
      <c r="B63" s="4" t="s">
        <v>1190</v>
      </c>
      <c r="C63" s="3" t="s">
        <v>5</v>
      </c>
      <c r="G63" s="3" t="s">
        <v>1183</v>
      </c>
      <c r="I63" s="3" t="str">
        <f>IFERROR(VLOOKUP(C63,'Справочник соответствий'!A$2:D$2996,2,FALSE),IF(VALUE(C63)=0,1,VLOOKUP(C63,'Справочник соответствий'!A$2:D$2996,2,FALSE)))</f>
        <v>1</v>
      </c>
      <c r="J63" s="3">
        <f>IFERROR(VLOOKUP(D63,'Справочник соответствий'!A$2:D$2996,2,FALSE),IF(VALUE(D63)=0,0,VLOOKUP(D63,'Справочник соответствий'!A$2:D$2996,2,FALSE)))</f>
        <v>0</v>
      </c>
      <c r="K63" s="3" t="str">
        <f t="shared" si="0"/>
        <v>1</v>
      </c>
      <c r="L63" s="13" t="str">
        <f>IFERROR(VLOOKUP(C63,'Справочник соответствий'!A$2:D$2996,3,FALSE),IF(VALUE(C63)=0,"ЭТАЖ НЕ ОПРЕДЕЛЕН. ПРИНЯТ ПО ДОПУЩЕНИЮ 1",VLOOKUP(C63,'Справочник соответствий'!A$2:D$2996,3,FALSE)))</f>
        <v>ЭТАЖ ЗАДАН ЧИСЛОМ</v>
      </c>
      <c r="M63" s="13" t="b">
        <f t="shared" si="1"/>
        <v>0</v>
      </c>
      <c r="N63" s="13">
        <f t="shared" si="2"/>
        <v>1</v>
      </c>
      <c r="O63" s="13" t="str">
        <f t="shared" si="3"/>
        <v>ЭТАЖ ЗАДАН ЧИСЛОМ</v>
      </c>
      <c r="P63" s="13" t="str">
        <f t="shared" si="4"/>
        <v>ЭТАЖ ЗАДАН ЧИСЛОМ</v>
      </c>
      <c r="Q63" s="13" t="str">
        <f t="shared" si="5"/>
        <v>ГОТОВ_ИЗМЕНЕН</v>
      </c>
      <c r="R63" s="13">
        <f>IFERROR(VLOOKUP(P63,Лист1!A$1:B$20,2,FALSE),0)</f>
        <v>784</v>
      </c>
      <c r="S63" s="13">
        <f t="shared" si="6"/>
        <v>0</v>
      </c>
    </row>
    <row r="64" spans="1:19" x14ac:dyDescent="0.25">
      <c r="A64" t="s">
        <v>1255</v>
      </c>
      <c r="B64" s="4" t="s">
        <v>1190</v>
      </c>
      <c r="C64" s="3" t="s">
        <v>5</v>
      </c>
      <c r="G64" s="3" t="s">
        <v>1183</v>
      </c>
      <c r="I64" s="3" t="str">
        <f>IFERROR(VLOOKUP(C64,'Справочник соответствий'!A$2:D$2996,2,FALSE),IF(VALUE(C64)=0,1,VLOOKUP(C64,'Справочник соответствий'!A$2:D$2996,2,FALSE)))</f>
        <v>1</v>
      </c>
      <c r="J64" s="3">
        <f>IFERROR(VLOOKUP(D64,'Справочник соответствий'!A$2:D$2996,2,FALSE),IF(VALUE(D64)=0,0,VLOOKUP(D64,'Справочник соответствий'!A$2:D$2996,2,FALSE)))</f>
        <v>0</v>
      </c>
      <c r="K64" s="3" t="str">
        <f t="shared" si="0"/>
        <v>1</v>
      </c>
      <c r="L64" s="13" t="str">
        <f>IFERROR(VLOOKUP(C64,'Справочник соответствий'!A$2:D$2996,3,FALSE),IF(VALUE(C64)=0,"ЭТАЖ НЕ ОПРЕДЕЛЕН. ПРИНЯТ ПО ДОПУЩЕНИЮ 1",VLOOKUP(C64,'Справочник соответствий'!A$2:D$2996,3,FALSE)))</f>
        <v>ЭТАЖ ЗАДАН ЧИСЛОМ</v>
      </c>
      <c r="M64" s="13" t="b">
        <f t="shared" si="1"/>
        <v>0</v>
      </c>
      <c r="N64" s="13">
        <f t="shared" si="2"/>
        <v>1</v>
      </c>
      <c r="O64" s="13" t="str">
        <f t="shared" si="3"/>
        <v>ЭТАЖ ЗАДАН ЧИСЛОМ</v>
      </c>
      <c r="P64" s="13" t="str">
        <f t="shared" si="4"/>
        <v>ЭТАЖ ЗАДАН ЧИСЛОМ</v>
      </c>
      <c r="Q64" s="13" t="str">
        <f t="shared" si="5"/>
        <v>ГОТОВ_ИЗМЕНЕН</v>
      </c>
      <c r="R64" s="13">
        <f>IFERROR(VLOOKUP(P64,Лист1!A$1:B$20,2,FALSE),0)</f>
        <v>784</v>
      </c>
      <c r="S64" s="13">
        <f t="shared" si="6"/>
        <v>0</v>
      </c>
    </row>
    <row r="65" spans="1:19" x14ac:dyDescent="0.25">
      <c r="A65" t="s">
        <v>1256</v>
      </c>
      <c r="B65" s="4" t="s">
        <v>1190</v>
      </c>
      <c r="C65" s="3" t="s">
        <v>5</v>
      </c>
      <c r="G65" s="3" t="s">
        <v>1183</v>
      </c>
      <c r="I65" s="3" t="str">
        <f>IFERROR(VLOOKUP(C65,'Справочник соответствий'!A$2:D$2996,2,FALSE),IF(VALUE(C65)=0,1,VLOOKUP(C65,'Справочник соответствий'!A$2:D$2996,2,FALSE)))</f>
        <v>1</v>
      </c>
      <c r="J65" s="3">
        <f>IFERROR(VLOOKUP(D65,'Справочник соответствий'!A$2:D$2996,2,FALSE),IF(VALUE(D65)=0,0,VLOOKUP(D65,'Справочник соответствий'!A$2:D$2996,2,FALSE)))</f>
        <v>0</v>
      </c>
      <c r="K65" s="3" t="str">
        <f t="shared" si="0"/>
        <v>1</v>
      </c>
      <c r="L65" s="13" t="str">
        <f>IFERROR(VLOOKUP(C65,'Справочник соответствий'!A$2:D$2996,3,FALSE),IF(VALUE(C65)=0,"ЭТАЖ НЕ ОПРЕДЕЛЕН. ПРИНЯТ ПО ДОПУЩЕНИЮ 1",VLOOKUP(C65,'Справочник соответствий'!A$2:D$2996,3,FALSE)))</f>
        <v>ЭТАЖ ЗАДАН ЧИСЛОМ</v>
      </c>
      <c r="M65" s="13" t="b">
        <f t="shared" si="1"/>
        <v>0</v>
      </c>
      <c r="N65" s="13">
        <f t="shared" si="2"/>
        <v>1</v>
      </c>
      <c r="O65" s="13" t="str">
        <f t="shared" si="3"/>
        <v>ЭТАЖ ЗАДАН ЧИСЛОМ</v>
      </c>
      <c r="P65" s="13" t="str">
        <f t="shared" si="4"/>
        <v>ЭТАЖ ЗАДАН ЧИСЛОМ</v>
      </c>
      <c r="Q65" s="13" t="str">
        <f t="shared" si="5"/>
        <v>ГОТОВ_ИЗМЕНЕН</v>
      </c>
      <c r="R65" s="13">
        <f>IFERROR(VLOOKUP(P65,Лист1!A$1:B$20,2,FALSE),0)</f>
        <v>784</v>
      </c>
      <c r="S65" s="13">
        <f t="shared" si="6"/>
        <v>0</v>
      </c>
    </row>
    <row r="66" spans="1:19" x14ac:dyDescent="0.25">
      <c r="A66" t="s">
        <v>1257</v>
      </c>
      <c r="B66" s="4" t="s">
        <v>1182</v>
      </c>
      <c r="C66" s="3" t="s">
        <v>5</v>
      </c>
      <c r="G66" s="3" t="s">
        <v>1183</v>
      </c>
      <c r="I66" s="3" t="str">
        <f>IFERROR(VLOOKUP(C66,'Справочник соответствий'!A$2:D$2996,2,FALSE),IF(VALUE(C66)=0,1,VLOOKUP(C66,'Справочник соответствий'!A$2:D$2996,2,FALSE)))</f>
        <v>1</v>
      </c>
      <c r="J66" s="3">
        <f>IFERROR(VLOOKUP(D66,'Справочник соответствий'!A$2:D$2996,2,FALSE),IF(VALUE(D66)=0,0,VLOOKUP(D66,'Справочник соответствий'!A$2:D$2996,2,FALSE)))</f>
        <v>0</v>
      </c>
      <c r="K66" s="3" t="str">
        <f t="shared" ref="K66:K129" si="7">IF(B66="Многоквартирный дом",IF(I66-J66&gt;0,I66-J66,1),I66)</f>
        <v>1</v>
      </c>
      <c r="L66" s="13" t="str">
        <f>IFERROR(VLOOKUP(C66,'Справочник соответствий'!A$2:D$2996,3,FALSE),IF(VALUE(C66)=0,"ЭТАЖ НЕ ОПРЕДЕЛЕН. ПРИНЯТ ПО ДОПУЩЕНИЮ 1",VLOOKUP(C66,'Справочник соответствий'!A$2:D$2996,3,FALSE)))</f>
        <v>ЭТАЖ ЗАДАН ЧИСЛОМ</v>
      </c>
      <c r="M66" s="13" t="b">
        <f t="shared" ref="M66:M129" si="8">I66=E66</f>
        <v>0</v>
      </c>
      <c r="N66" s="13">
        <f t="shared" ref="N66:N129" si="9">IF(VALUE(E66)=0,VALUE(K66),IF(L66="ЭТАЖ НЕ ОПРЕДЕЛЕН. ПРИНЯТ ПО ДОПУЩЕНИЮ 1",VALUE(E66),VALUE(K66)))</f>
        <v>1</v>
      </c>
      <c r="O66" s="13" t="str">
        <f t="shared" ref="O66:O129" si="10">IF(VALUE(E66)=0,L66,IF(L66="ЭТАЖ НЕ ОПРЕДЕЛЕН. ПРИНЯТ ПО ДОПУЩЕНИЮ 1",F66,L66))</f>
        <v>ЭТАЖ ЗАДАН ЧИСЛОМ</v>
      </c>
      <c r="P66" s="13" t="str">
        <f t="shared" ref="P66:P129" si="11">IF(B66="Многоквартирный дом",CONCATENATE("МКД_",O66),O66)</f>
        <v>ЭТАЖ ЗАДАН ЧИСЛОМ</v>
      </c>
      <c r="Q66" s="13" t="str">
        <f t="shared" ref="Q66:Q129" si="12">IFERROR(IF(N66&gt;0,IF(N66=VALUE(E66),"ГОТОВ","ГОТОВ_ИЗМЕНЕН"),"НЕ ГОТОВ"),"НЕ ГОТОВ")</f>
        <v>ГОТОВ_ИЗМЕНЕН</v>
      </c>
      <c r="R66" s="13">
        <f>IFERROR(VLOOKUP(P66,Лист1!A$1:B$20,2,FALSE),0)</f>
        <v>784</v>
      </c>
      <c r="S66" s="13">
        <f t="shared" ref="S66:S129" si="13">VALUE(E66)</f>
        <v>0</v>
      </c>
    </row>
    <row r="67" spans="1:19" x14ac:dyDescent="0.25">
      <c r="A67" t="s">
        <v>1258</v>
      </c>
      <c r="B67" s="4" t="s">
        <v>1182</v>
      </c>
      <c r="C67" s="3" t="s">
        <v>5</v>
      </c>
      <c r="G67" s="3" t="s">
        <v>1183</v>
      </c>
      <c r="I67" s="3" t="str">
        <f>IFERROR(VLOOKUP(C67,'Справочник соответствий'!A$2:D$2996,2,FALSE),IF(VALUE(C67)=0,1,VLOOKUP(C67,'Справочник соответствий'!A$2:D$2996,2,FALSE)))</f>
        <v>1</v>
      </c>
      <c r="J67" s="3">
        <f>IFERROR(VLOOKUP(D67,'Справочник соответствий'!A$2:D$2996,2,FALSE),IF(VALUE(D67)=0,0,VLOOKUP(D67,'Справочник соответствий'!A$2:D$2996,2,FALSE)))</f>
        <v>0</v>
      </c>
      <c r="K67" s="3" t="str">
        <f t="shared" si="7"/>
        <v>1</v>
      </c>
      <c r="L67" s="13" t="str">
        <f>IFERROR(VLOOKUP(C67,'Справочник соответствий'!A$2:D$2996,3,FALSE),IF(VALUE(C67)=0,"ЭТАЖ НЕ ОПРЕДЕЛЕН. ПРИНЯТ ПО ДОПУЩЕНИЮ 1",VLOOKUP(C67,'Справочник соответствий'!A$2:D$2996,3,FALSE)))</f>
        <v>ЭТАЖ ЗАДАН ЧИСЛОМ</v>
      </c>
      <c r="M67" s="13" t="b">
        <f t="shared" si="8"/>
        <v>0</v>
      </c>
      <c r="N67" s="13">
        <f t="shared" si="9"/>
        <v>1</v>
      </c>
      <c r="O67" s="13" t="str">
        <f t="shared" si="10"/>
        <v>ЭТАЖ ЗАДАН ЧИСЛОМ</v>
      </c>
      <c r="P67" s="13" t="str">
        <f t="shared" si="11"/>
        <v>ЭТАЖ ЗАДАН ЧИСЛОМ</v>
      </c>
      <c r="Q67" s="13" t="str">
        <f t="shared" si="12"/>
        <v>ГОТОВ_ИЗМЕНЕН</v>
      </c>
      <c r="R67" s="13">
        <f>IFERROR(VLOOKUP(P67,Лист1!A$1:B$20,2,FALSE),0)</f>
        <v>784</v>
      </c>
      <c r="S67" s="13">
        <f t="shared" si="13"/>
        <v>0</v>
      </c>
    </row>
    <row r="68" spans="1:19" x14ac:dyDescent="0.25">
      <c r="A68" t="s">
        <v>1259</v>
      </c>
      <c r="B68" s="4" t="s">
        <v>1190</v>
      </c>
      <c r="C68" s="3" t="s">
        <v>7</v>
      </c>
      <c r="D68" s="3" t="s">
        <v>5</v>
      </c>
      <c r="G68" s="3" t="s">
        <v>1183</v>
      </c>
      <c r="I68" s="3" t="str">
        <f>IFERROR(VLOOKUP(C68,'Справочник соответствий'!A$2:D$2996,2,FALSE),IF(VALUE(C68)=0,1,VLOOKUP(C68,'Справочник соответствий'!A$2:D$2996,2,FALSE)))</f>
        <v>2</v>
      </c>
      <c r="J68" s="3" t="str">
        <f>IFERROR(VLOOKUP(D68,'Справочник соответствий'!A$2:D$2996,2,FALSE),IF(VALUE(D68)=0,0,VLOOKUP(D68,'Справочник соответствий'!A$2:D$2996,2,FALSE)))</f>
        <v>1</v>
      </c>
      <c r="K68" s="3" t="str">
        <f t="shared" si="7"/>
        <v>2</v>
      </c>
      <c r="L68" s="13" t="str">
        <f>IFERROR(VLOOKUP(C68,'Справочник соответствий'!A$2:D$2996,3,FALSE),IF(VALUE(C68)=0,"ЭТАЖ НЕ ОПРЕДЕЛЕН. ПРИНЯТ ПО ДОПУЩЕНИЮ 1",VLOOKUP(C68,'Справочник соответствий'!A$2:D$2996,3,FALSE)))</f>
        <v>ЭТАЖ ЗАДАН ЧИСЛОМ</v>
      </c>
      <c r="M68" s="13" t="b">
        <f t="shared" si="8"/>
        <v>0</v>
      </c>
      <c r="N68" s="13">
        <f t="shared" si="9"/>
        <v>2</v>
      </c>
      <c r="O68" s="13" t="str">
        <f t="shared" si="10"/>
        <v>ЭТАЖ ЗАДАН ЧИСЛОМ</v>
      </c>
      <c r="P68" s="13" t="str">
        <f t="shared" si="11"/>
        <v>ЭТАЖ ЗАДАН ЧИСЛОМ</v>
      </c>
      <c r="Q68" s="13" t="str">
        <f t="shared" si="12"/>
        <v>ГОТОВ_ИЗМЕНЕН</v>
      </c>
      <c r="R68" s="13">
        <f>IFERROR(VLOOKUP(P68,Лист1!A$1:B$20,2,FALSE),0)</f>
        <v>784</v>
      </c>
      <c r="S68" s="13">
        <f t="shared" si="13"/>
        <v>0</v>
      </c>
    </row>
    <row r="69" spans="1:19" x14ac:dyDescent="0.25">
      <c r="A69" t="s">
        <v>1260</v>
      </c>
      <c r="B69" s="4" t="s">
        <v>1190</v>
      </c>
      <c r="C69" s="3" t="s">
        <v>5</v>
      </c>
      <c r="G69" s="3" t="s">
        <v>1198</v>
      </c>
      <c r="I69" s="3" t="str">
        <f>IFERROR(VLOOKUP(C69,'Справочник соответствий'!A$2:D$2996,2,FALSE),IF(VALUE(C69)=0,1,VLOOKUP(C69,'Справочник соответствий'!A$2:D$2996,2,FALSE)))</f>
        <v>1</v>
      </c>
      <c r="J69" s="3">
        <f>IFERROR(VLOOKUP(D69,'Справочник соответствий'!A$2:D$2996,2,FALSE),IF(VALUE(D69)=0,0,VLOOKUP(D69,'Справочник соответствий'!A$2:D$2996,2,FALSE)))</f>
        <v>0</v>
      </c>
      <c r="K69" s="3" t="str">
        <f t="shared" si="7"/>
        <v>1</v>
      </c>
      <c r="L69" s="13" t="str">
        <f>IFERROR(VLOOKUP(C69,'Справочник соответствий'!A$2:D$2996,3,FALSE),IF(VALUE(C69)=0,"ЭТАЖ НЕ ОПРЕДЕЛЕН. ПРИНЯТ ПО ДОПУЩЕНИЮ 1",VLOOKUP(C69,'Справочник соответствий'!A$2:D$2996,3,FALSE)))</f>
        <v>ЭТАЖ ЗАДАН ЧИСЛОМ</v>
      </c>
      <c r="M69" s="13" t="b">
        <f t="shared" si="8"/>
        <v>0</v>
      </c>
      <c r="N69" s="13">
        <f t="shared" si="9"/>
        <v>1</v>
      </c>
      <c r="O69" s="13" t="str">
        <f t="shared" si="10"/>
        <v>ЭТАЖ ЗАДАН ЧИСЛОМ</v>
      </c>
      <c r="P69" s="13" t="str">
        <f t="shared" si="11"/>
        <v>ЭТАЖ ЗАДАН ЧИСЛОМ</v>
      </c>
      <c r="Q69" s="13" t="str">
        <f t="shared" si="12"/>
        <v>ГОТОВ_ИЗМЕНЕН</v>
      </c>
      <c r="R69" s="13">
        <f>IFERROR(VLOOKUP(P69,Лист1!A$1:B$20,2,FALSE),0)</f>
        <v>784</v>
      </c>
      <c r="S69" s="13">
        <f t="shared" si="13"/>
        <v>0</v>
      </c>
    </row>
    <row r="70" spans="1:19" x14ac:dyDescent="0.25">
      <c r="A70" t="s">
        <v>1261</v>
      </c>
      <c r="B70" s="4" t="s">
        <v>1182</v>
      </c>
      <c r="C70" s="3" t="s">
        <v>7</v>
      </c>
      <c r="G70" s="3" t="s">
        <v>1198</v>
      </c>
      <c r="I70" s="3" t="str">
        <f>IFERROR(VLOOKUP(C70,'Справочник соответствий'!A$2:D$2996,2,FALSE),IF(VALUE(C70)=0,1,VLOOKUP(C70,'Справочник соответствий'!A$2:D$2996,2,FALSE)))</f>
        <v>2</v>
      </c>
      <c r="J70" s="3">
        <f>IFERROR(VLOOKUP(D70,'Справочник соответствий'!A$2:D$2996,2,FALSE),IF(VALUE(D70)=0,0,VLOOKUP(D70,'Справочник соответствий'!A$2:D$2996,2,FALSE)))</f>
        <v>0</v>
      </c>
      <c r="K70" s="3" t="str">
        <f t="shared" si="7"/>
        <v>2</v>
      </c>
      <c r="L70" s="13" t="str">
        <f>IFERROR(VLOOKUP(C70,'Справочник соответствий'!A$2:D$2996,3,FALSE),IF(VALUE(C70)=0,"ЭТАЖ НЕ ОПРЕДЕЛЕН. ПРИНЯТ ПО ДОПУЩЕНИЮ 1",VLOOKUP(C70,'Справочник соответствий'!A$2:D$2996,3,FALSE)))</f>
        <v>ЭТАЖ ЗАДАН ЧИСЛОМ</v>
      </c>
      <c r="M70" s="13" t="b">
        <f t="shared" si="8"/>
        <v>0</v>
      </c>
      <c r="N70" s="13">
        <f t="shared" si="9"/>
        <v>2</v>
      </c>
      <c r="O70" s="13" t="str">
        <f t="shared" si="10"/>
        <v>ЭТАЖ ЗАДАН ЧИСЛОМ</v>
      </c>
      <c r="P70" s="13" t="str">
        <f t="shared" si="11"/>
        <v>ЭТАЖ ЗАДАН ЧИСЛОМ</v>
      </c>
      <c r="Q70" s="13" t="str">
        <f t="shared" si="12"/>
        <v>ГОТОВ_ИЗМЕНЕН</v>
      </c>
      <c r="R70" s="13">
        <f>IFERROR(VLOOKUP(P70,Лист1!A$1:B$20,2,FALSE),0)</f>
        <v>784</v>
      </c>
      <c r="S70" s="13">
        <f t="shared" si="13"/>
        <v>0</v>
      </c>
    </row>
    <row r="71" spans="1:19" x14ac:dyDescent="0.25">
      <c r="A71" t="s">
        <v>1262</v>
      </c>
      <c r="B71" s="4" t="s">
        <v>1190</v>
      </c>
      <c r="C71" s="3" t="s">
        <v>7</v>
      </c>
      <c r="D71" s="3" t="s">
        <v>5</v>
      </c>
      <c r="G71" s="3" t="s">
        <v>1198</v>
      </c>
      <c r="I71" s="3" t="str">
        <f>IFERROR(VLOOKUP(C71,'Справочник соответствий'!A$2:D$2996,2,FALSE),IF(VALUE(C71)=0,1,VLOOKUP(C71,'Справочник соответствий'!A$2:D$2996,2,FALSE)))</f>
        <v>2</v>
      </c>
      <c r="J71" s="3" t="str">
        <f>IFERROR(VLOOKUP(D71,'Справочник соответствий'!A$2:D$2996,2,FALSE),IF(VALUE(D71)=0,0,VLOOKUP(D71,'Справочник соответствий'!A$2:D$2996,2,FALSE)))</f>
        <v>1</v>
      </c>
      <c r="K71" s="3" t="str">
        <f t="shared" si="7"/>
        <v>2</v>
      </c>
      <c r="L71" s="13" t="str">
        <f>IFERROR(VLOOKUP(C71,'Справочник соответствий'!A$2:D$2996,3,FALSE),IF(VALUE(C71)=0,"ЭТАЖ НЕ ОПРЕДЕЛЕН. ПРИНЯТ ПО ДОПУЩЕНИЮ 1",VLOOKUP(C71,'Справочник соответствий'!A$2:D$2996,3,FALSE)))</f>
        <v>ЭТАЖ ЗАДАН ЧИСЛОМ</v>
      </c>
      <c r="M71" s="13" t="b">
        <f t="shared" si="8"/>
        <v>0</v>
      </c>
      <c r="N71" s="13">
        <f t="shared" si="9"/>
        <v>2</v>
      </c>
      <c r="O71" s="13" t="str">
        <f t="shared" si="10"/>
        <v>ЭТАЖ ЗАДАН ЧИСЛОМ</v>
      </c>
      <c r="P71" s="13" t="str">
        <f t="shared" si="11"/>
        <v>ЭТАЖ ЗАДАН ЧИСЛОМ</v>
      </c>
      <c r="Q71" s="13" t="str">
        <f t="shared" si="12"/>
        <v>ГОТОВ_ИЗМЕНЕН</v>
      </c>
      <c r="R71" s="13">
        <f>IFERROR(VLOOKUP(P71,Лист1!A$1:B$20,2,FALSE),0)</f>
        <v>784</v>
      </c>
      <c r="S71" s="13">
        <f t="shared" si="13"/>
        <v>0</v>
      </c>
    </row>
    <row r="72" spans="1:19" x14ac:dyDescent="0.25">
      <c r="A72" t="s">
        <v>1263</v>
      </c>
      <c r="B72" s="4" t="s">
        <v>1190</v>
      </c>
      <c r="C72" s="3" t="s">
        <v>5</v>
      </c>
      <c r="G72" s="3" t="s">
        <v>1198</v>
      </c>
      <c r="I72" s="3" t="str">
        <f>IFERROR(VLOOKUP(C72,'Справочник соответствий'!A$2:D$2996,2,FALSE),IF(VALUE(C72)=0,1,VLOOKUP(C72,'Справочник соответствий'!A$2:D$2996,2,FALSE)))</f>
        <v>1</v>
      </c>
      <c r="J72" s="3">
        <f>IFERROR(VLOOKUP(D72,'Справочник соответствий'!A$2:D$2996,2,FALSE),IF(VALUE(D72)=0,0,VLOOKUP(D72,'Справочник соответствий'!A$2:D$2996,2,FALSE)))</f>
        <v>0</v>
      </c>
      <c r="K72" s="3" t="str">
        <f t="shared" si="7"/>
        <v>1</v>
      </c>
      <c r="L72" s="13" t="str">
        <f>IFERROR(VLOOKUP(C72,'Справочник соответствий'!A$2:D$2996,3,FALSE),IF(VALUE(C72)=0,"ЭТАЖ НЕ ОПРЕДЕЛЕН. ПРИНЯТ ПО ДОПУЩЕНИЮ 1",VLOOKUP(C72,'Справочник соответствий'!A$2:D$2996,3,FALSE)))</f>
        <v>ЭТАЖ ЗАДАН ЧИСЛОМ</v>
      </c>
      <c r="M72" s="13" t="b">
        <f t="shared" si="8"/>
        <v>0</v>
      </c>
      <c r="N72" s="13">
        <f t="shared" si="9"/>
        <v>1</v>
      </c>
      <c r="O72" s="13" t="str">
        <f t="shared" si="10"/>
        <v>ЭТАЖ ЗАДАН ЧИСЛОМ</v>
      </c>
      <c r="P72" s="13" t="str">
        <f t="shared" si="11"/>
        <v>ЭТАЖ ЗАДАН ЧИСЛОМ</v>
      </c>
      <c r="Q72" s="13" t="str">
        <f t="shared" si="12"/>
        <v>ГОТОВ_ИЗМЕНЕН</v>
      </c>
      <c r="R72" s="13">
        <f>IFERROR(VLOOKUP(P72,Лист1!A$1:B$20,2,FALSE),0)</f>
        <v>784</v>
      </c>
      <c r="S72" s="13">
        <f t="shared" si="13"/>
        <v>0</v>
      </c>
    </row>
    <row r="73" spans="1:19" x14ac:dyDescent="0.25">
      <c r="A73" t="s">
        <v>1264</v>
      </c>
      <c r="B73" s="4" t="s">
        <v>1182</v>
      </c>
      <c r="C73" s="3" t="s">
        <v>5</v>
      </c>
      <c r="G73" s="3" t="s">
        <v>1198</v>
      </c>
      <c r="I73" s="3" t="str">
        <f>IFERROR(VLOOKUP(C73,'Справочник соответствий'!A$2:D$2996,2,FALSE),IF(VALUE(C73)=0,1,VLOOKUP(C73,'Справочник соответствий'!A$2:D$2996,2,FALSE)))</f>
        <v>1</v>
      </c>
      <c r="J73" s="3">
        <f>IFERROR(VLOOKUP(D73,'Справочник соответствий'!A$2:D$2996,2,FALSE),IF(VALUE(D73)=0,0,VLOOKUP(D73,'Справочник соответствий'!A$2:D$2996,2,FALSE)))</f>
        <v>0</v>
      </c>
      <c r="K73" s="3" t="str">
        <f t="shared" si="7"/>
        <v>1</v>
      </c>
      <c r="L73" s="13" t="str">
        <f>IFERROR(VLOOKUP(C73,'Справочник соответствий'!A$2:D$2996,3,FALSE),IF(VALUE(C73)=0,"ЭТАЖ НЕ ОПРЕДЕЛЕН. ПРИНЯТ ПО ДОПУЩЕНИЮ 1",VLOOKUP(C73,'Справочник соответствий'!A$2:D$2996,3,FALSE)))</f>
        <v>ЭТАЖ ЗАДАН ЧИСЛОМ</v>
      </c>
      <c r="M73" s="13" t="b">
        <f t="shared" si="8"/>
        <v>0</v>
      </c>
      <c r="N73" s="13">
        <f t="shared" si="9"/>
        <v>1</v>
      </c>
      <c r="O73" s="13" t="str">
        <f t="shared" si="10"/>
        <v>ЭТАЖ ЗАДАН ЧИСЛОМ</v>
      </c>
      <c r="P73" s="13" t="str">
        <f t="shared" si="11"/>
        <v>ЭТАЖ ЗАДАН ЧИСЛОМ</v>
      </c>
      <c r="Q73" s="13" t="str">
        <f t="shared" si="12"/>
        <v>ГОТОВ_ИЗМЕНЕН</v>
      </c>
      <c r="R73" s="13">
        <f>IFERROR(VLOOKUP(P73,Лист1!A$1:B$20,2,FALSE),0)</f>
        <v>784</v>
      </c>
      <c r="S73" s="13">
        <f t="shared" si="13"/>
        <v>0</v>
      </c>
    </row>
    <row r="74" spans="1:19" x14ac:dyDescent="0.25">
      <c r="A74" t="s">
        <v>1265</v>
      </c>
      <c r="B74" s="4" t="s">
        <v>1190</v>
      </c>
      <c r="C74" s="3" t="s">
        <v>5</v>
      </c>
      <c r="G74" s="3" t="s">
        <v>1224</v>
      </c>
      <c r="I74" s="3" t="str">
        <f>IFERROR(VLOOKUP(C74,'Справочник соответствий'!A$2:D$2996,2,FALSE),IF(VALUE(C74)=0,1,VLOOKUP(C74,'Справочник соответствий'!A$2:D$2996,2,FALSE)))</f>
        <v>1</v>
      </c>
      <c r="J74" s="3">
        <f>IFERROR(VLOOKUP(D74,'Справочник соответствий'!A$2:D$2996,2,FALSE),IF(VALUE(D74)=0,0,VLOOKUP(D74,'Справочник соответствий'!A$2:D$2996,2,FALSE)))</f>
        <v>0</v>
      </c>
      <c r="K74" s="3" t="str">
        <f t="shared" si="7"/>
        <v>1</v>
      </c>
      <c r="L74" s="13" t="str">
        <f>IFERROR(VLOOKUP(C74,'Справочник соответствий'!A$2:D$2996,3,FALSE),IF(VALUE(C74)=0,"ЭТАЖ НЕ ОПРЕДЕЛЕН. ПРИНЯТ ПО ДОПУЩЕНИЮ 1",VLOOKUP(C74,'Справочник соответствий'!A$2:D$2996,3,FALSE)))</f>
        <v>ЭТАЖ ЗАДАН ЧИСЛОМ</v>
      </c>
      <c r="M74" s="13" t="b">
        <f t="shared" si="8"/>
        <v>0</v>
      </c>
      <c r="N74" s="13">
        <f t="shared" si="9"/>
        <v>1</v>
      </c>
      <c r="O74" s="13" t="str">
        <f t="shared" si="10"/>
        <v>ЭТАЖ ЗАДАН ЧИСЛОМ</v>
      </c>
      <c r="P74" s="13" t="str">
        <f t="shared" si="11"/>
        <v>ЭТАЖ ЗАДАН ЧИСЛОМ</v>
      </c>
      <c r="Q74" s="13" t="str">
        <f t="shared" si="12"/>
        <v>ГОТОВ_ИЗМЕНЕН</v>
      </c>
      <c r="R74" s="13">
        <f>IFERROR(VLOOKUP(P74,Лист1!A$1:B$20,2,FALSE),0)</f>
        <v>784</v>
      </c>
      <c r="S74" s="13">
        <f t="shared" si="13"/>
        <v>0</v>
      </c>
    </row>
    <row r="75" spans="1:19" x14ac:dyDescent="0.25">
      <c r="A75" t="s">
        <v>1266</v>
      </c>
      <c r="B75" s="4" t="s">
        <v>1190</v>
      </c>
      <c r="C75" s="3" t="s">
        <v>7</v>
      </c>
      <c r="G75" s="3" t="s">
        <v>1224</v>
      </c>
      <c r="I75" s="3" t="str">
        <f>IFERROR(VLOOKUP(C75,'Справочник соответствий'!A$2:D$2996,2,FALSE),IF(VALUE(C75)=0,1,VLOOKUP(C75,'Справочник соответствий'!A$2:D$2996,2,FALSE)))</f>
        <v>2</v>
      </c>
      <c r="J75" s="3">
        <f>IFERROR(VLOOKUP(D75,'Справочник соответствий'!A$2:D$2996,2,FALSE),IF(VALUE(D75)=0,0,VLOOKUP(D75,'Справочник соответствий'!A$2:D$2996,2,FALSE)))</f>
        <v>0</v>
      </c>
      <c r="K75" s="3" t="str">
        <f t="shared" si="7"/>
        <v>2</v>
      </c>
      <c r="L75" s="13" t="str">
        <f>IFERROR(VLOOKUP(C75,'Справочник соответствий'!A$2:D$2996,3,FALSE),IF(VALUE(C75)=0,"ЭТАЖ НЕ ОПРЕДЕЛЕН. ПРИНЯТ ПО ДОПУЩЕНИЮ 1",VLOOKUP(C75,'Справочник соответствий'!A$2:D$2996,3,FALSE)))</f>
        <v>ЭТАЖ ЗАДАН ЧИСЛОМ</v>
      </c>
      <c r="M75" s="13" t="b">
        <f t="shared" si="8"/>
        <v>0</v>
      </c>
      <c r="N75" s="13">
        <f t="shared" si="9"/>
        <v>2</v>
      </c>
      <c r="O75" s="13" t="str">
        <f t="shared" si="10"/>
        <v>ЭТАЖ ЗАДАН ЧИСЛОМ</v>
      </c>
      <c r="P75" s="13" t="str">
        <f t="shared" si="11"/>
        <v>ЭТАЖ ЗАДАН ЧИСЛОМ</v>
      </c>
      <c r="Q75" s="13" t="str">
        <f t="shared" si="12"/>
        <v>ГОТОВ_ИЗМЕНЕН</v>
      </c>
      <c r="R75" s="13">
        <f>IFERROR(VLOOKUP(P75,Лист1!A$1:B$20,2,FALSE),0)</f>
        <v>784</v>
      </c>
      <c r="S75" s="13">
        <f t="shared" si="13"/>
        <v>0</v>
      </c>
    </row>
    <row r="76" spans="1:19" x14ac:dyDescent="0.25">
      <c r="A76" t="s">
        <v>1267</v>
      </c>
      <c r="B76" s="4" t="s">
        <v>1190</v>
      </c>
      <c r="C76" s="3" t="s">
        <v>5</v>
      </c>
      <c r="G76" s="3" t="s">
        <v>1224</v>
      </c>
      <c r="I76" s="3" t="str">
        <f>IFERROR(VLOOKUP(C76,'Справочник соответствий'!A$2:D$2996,2,FALSE),IF(VALUE(C76)=0,1,VLOOKUP(C76,'Справочник соответствий'!A$2:D$2996,2,FALSE)))</f>
        <v>1</v>
      </c>
      <c r="J76" s="3">
        <f>IFERROR(VLOOKUP(D76,'Справочник соответствий'!A$2:D$2996,2,FALSE),IF(VALUE(D76)=0,0,VLOOKUP(D76,'Справочник соответствий'!A$2:D$2996,2,FALSE)))</f>
        <v>0</v>
      </c>
      <c r="K76" s="3" t="str">
        <f t="shared" si="7"/>
        <v>1</v>
      </c>
      <c r="L76" s="13" t="str">
        <f>IFERROR(VLOOKUP(C76,'Справочник соответствий'!A$2:D$2996,3,FALSE),IF(VALUE(C76)=0,"ЭТАЖ НЕ ОПРЕДЕЛЕН. ПРИНЯТ ПО ДОПУЩЕНИЮ 1",VLOOKUP(C76,'Справочник соответствий'!A$2:D$2996,3,FALSE)))</f>
        <v>ЭТАЖ ЗАДАН ЧИСЛОМ</v>
      </c>
      <c r="M76" s="13" t="b">
        <f t="shared" si="8"/>
        <v>0</v>
      </c>
      <c r="N76" s="13">
        <f t="shared" si="9"/>
        <v>1</v>
      </c>
      <c r="O76" s="13" t="str">
        <f t="shared" si="10"/>
        <v>ЭТАЖ ЗАДАН ЧИСЛОМ</v>
      </c>
      <c r="P76" s="13" t="str">
        <f t="shared" si="11"/>
        <v>ЭТАЖ ЗАДАН ЧИСЛОМ</v>
      </c>
      <c r="Q76" s="13" t="str">
        <f t="shared" si="12"/>
        <v>ГОТОВ_ИЗМЕНЕН</v>
      </c>
      <c r="R76" s="13">
        <f>IFERROR(VLOOKUP(P76,Лист1!A$1:B$20,2,FALSE),0)</f>
        <v>784</v>
      </c>
      <c r="S76" s="13">
        <f t="shared" si="13"/>
        <v>0</v>
      </c>
    </row>
    <row r="77" spans="1:19" x14ac:dyDescent="0.25">
      <c r="A77" t="s">
        <v>1268</v>
      </c>
      <c r="B77" s="4" t="s">
        <v>1190</v>
      </c>
      <c r="C77" s="3" t="s">
        <v>7</v>
      </c>
      <c r="G77" s="3" t="s">
        <v>1224</v>
      </c>
      <c r="I77" s="3" t="str">
        <f>IFERROR(VLOOKUP(C77,'Справочник соответствий'!A$2:D$2996,2,FALSE),IF(VALUE(C77)=0,1,VLOOKUP(C77,'Справочник соответствий'!A$2:D$2996,2,FALSE)))</f>
        <v>2</v>
      </c>
      <c r="J77" s="3">
        <f>IFERROR(VLOOKUP(D77,'Справочник соответствий'!A$2:D$2996,2,FALSE),IF(VALUE(D77)=0,0,VLOOKUP(D77,'Справочник соответствий'!A$2:D$2996,2,FALSE)))</f>
        <v>0</v>
      </c>
      <c r="K77" s="3" t="str">
        <f t="shared" si="7"/>
        <v>2</v>
      </c>
      <c r="L77" s="13" t="str">
        <f>IFERROR(VLOOKUP(C77,'Справочник соответствий'!A$2:D$2996,3,FALSE),IF(VALUE(C77)=0,"ЭТАЖ НЕ ОПРЕДЕЛЕН. ПРИНЯТ ПО ДОПУЩЕНИЮ 1",VLOOKUP(C77,'Справочник соответствий'!A$2:D$2996,3,FALSE)))</f>
        <v>ЭТАЖ ЗАДАН ЧИСЛОМ</v>
      </c>
      <c r="M77" s="13" t="b">
        <f t="shared" si="8"/>
        <v>0</v>
      </c>
      <c r="N77" s="13">
        <f t="shared" si="9"/>
        <v>2</v>
      </c>
      <c r="O77" s="13" t="str">
        <f t="shared" si="10"/>
        <v>ЭТАЖ ЗАДАН ЧИСЛОМ</v>
      </c>
      <c r="P77" s="13" t="str">
        <f t="shared" si="11"/>
        <v>ЭТАЖ ЗАДАН ЧИСЛОМ</v>
      </c>
      <c r="Q77" s="13" t="str">
        <f t="shared" si="12"/>
        <v>ГОТОВ_ИЗМЕНЕН</v>
      </c>
      <c r="R77" s="13">
        <f>IFERROR(VLOOKUP(P77,Лист1!A$1:B$20,2,FALSE),0)</f>
        <v>784</v>
      </c>
      <c r="S77" s="13">
        <f t="shared" si="13"/>
        <v>0</v>
      </c>
    </row>
    <row r="78" spans="1:19" x14ac:dyDescent="0.25">
      <c r="A78" t="s">
        <v>1269</v>
      </c>
      <c r="B78" s="4" t="s">
        <v>1182</v>
      </c>
      <c r="C78" s="3" t="s">
        <v>5</v>
      </c>
      <c r="G78" s="3" t="s">
        <v>1224</v>
      </c>
      <c r="I78" s="3" t="str">
        <f>IFERROR(VLOOKUP(C78,'Справочник соответствий'!A$2:D$2996,2,FALSE),IF(VALUE(C78)=0,1,VLOOKUP(C78,'Справочник соответствий'!A$2:D$2996,2,FALSE)))</f>
        <v>1</v>
      </c>
      <c r="J78" s="3">
        <f>IFERROR(VLOOKUP(D78,'Справочник соответствий'!A$2:D$2996,2,FALSE),IF(VALUE(D78)=0,0,VLOOKUP(D78,'Справочник соответствий'!A$2:D$2996,2,FALSE)))</f>
        <v>0</v>
      </c>
      <c r="K78" s="3" t="str">
        <f t="shared" si="7"/>
        <v>1</v>
      </c>
      <c r="L78" s="13" t="str">
        <f>IFERROR(VLOOKUP(C78,'Справочник соответствий'!A$2:D$2996,3,FALSE),IF(VALUE(C78)=0,"ЭТАЖ НЕ ОПРЕДЕЛЕН. ПРИНЯТ ПО ДОПУЩЕНИЮ 1",VLOOKUP(C78,'Справочник соответствий'!A$2:D$2996,3,FALSE)))</f>
        <v>ЭТАЖ ЗАДАН ЧИСЛОМ</v>
      </c>
      <c r="M78" s="13" t="b">
        <f t="shared" si="8"/>
        <v>0</v>
      </c>
      <c r="N78" s="13">
        <f t="shared" si="9"/>
        <v>1</v>
      </c>
      <c r="O78" s="13" t="str">
        <f t="shared" si="10"/>
        <v>ЭТАЖ ЗАДАН ЧИСЛОМ</v>
      </c>
      <c r="P78" s="13" t="str">
        <f t="shared" si="11"/>
        <v>ЭТАЖ ЗАДАН ЧИСЛОМ</v>
      </c>
      <c r="Q78" s="13" t="str">
        <f t="shared" si="12"/>
        <v>ГОТОВ_ИЗМЕНЕН</v>
      </c>
      <c r="R78" s="13">
        <f>IFERROR(VLOOKUP(P78,Лист1!A$1:B$20,2,FALSE),0)</f>
        <v>784</v>
      </c>
      <c r="S78" s="13">
        <f t="shared" si="13"/>
        <v>0</v>
      </c>
    </row>
    <row r="79" spans="1:19" x14ac:dyDescent="0.25">
      <c r="A79" t="s">
        <v>1270</v>
      </c>
      <c r="B79" s="4" t="s">
        <v>1190</v>
      </c>
      <c r="C79" s="3" t="s">
        <v>7</v>
      </c>
      <c r="G79" s="3" t="s">
        <v>1224</v>
      </c>
      <c r="I79" s="3" t="str">
        <f>IFERROR(VLOOKUP(C79,'Справочник соответствий'!A$2:D$2996,2,FALSE),IF(VALUE(C79)=0,1,VLOOKUP(C79,'Справочник соответствий'!A$2:D$2996,2,FALSE)))</f>
        <v>2</v>
      </c>
      <c r="J79" s="3">
        <f>IFERROR(VLOOKUP(D79,'Справочник соответствий'!A$2:D$2996,2,FALSE),IF(VALUE(D79)=0,0,VLOOKUP(D79,'Справочник соответствий'!A$2:D$2996,2,FALSE)))</f>
        <v>0</v>
      </c>
      <c r="K79" s="3" t="str">
        <f t="shared" si="7"/>
        <v>2</v>
      </c>
      <c r="L79" s="13" t="str">
        <f>IFERROR(VLOOKUP(C79,'Справочник соответствий'!A$2:D$2996,3,FALSE),IF(VALUE(C79)=0,"ЭТАЖ НЕ ОПРЕДЕЛЕН. ПРИНЯТ ПО ДОПУЩЕНИЮ 1",VLOOKUP(C79,'Справочник соответствий'!A$2:D$2996,3,FALSE)))</f>
        <v>ЭТАЖ ЗАДАН ЧИСЛОМ</v>
      </c>
      <c r="M79" s="13" t="b">
        <f t="shared" si="8"/>
        <v>0</v>
      </c>
      <c r="N79" s="13">
        <f t="shared" si="9"/>
        <v>2</v>
      </c>
      <c r="O79" s="13" t="str">
        <f t="shared" si="10"/>
        <v>ЭТАЖ ЗАДАН ЧИСЛОМ</v>
      </c>
      <c r="P79" s="13" t="str">
        <f t="shared" si="11"/>
        <v>ЭТАЖ ЗАДАН ЧИСЛОМ</v>
      </c>
      <c r="Q79" s="13" t="str">
        <f t="shared" si="12"/>
        <v>ГОТОВ_ИЗМЕНЕН</v>
      </c>
      <c r="R79" s="13">
        <f>IFERROR(VLOOKUP(P79,Лист1!A$1:B$20,2,FALSE),0)</f>
        <v>784</v>
      </c>
      <c r="S79" s="13">
        <f t="shared" si="13"/>
        <v>0</v>
      </c>
    </row>
    <row r="80" spans="1:19" x14ac:dyDescent="0.25">
      <c r="A80" t="s">
        <v>1271</v>
      </c>
      <c r="B80" s="4" t="s">
        <v>1190</v>
      </c>
      <c r="C80" s="3" t="s">
        <v>7</v>
      </c>
      <c r="G80" s="3" t="s">
        <v>1224</v>
      </c>
      <c r="I80" s="3" t="str">
        <f>IFERROR(VLOOKUP(C80,'Справочник соответствий'!A$2:D$2996,2,FALSE),IF(VALUE(C80)=0,1,VLOOKUP(C80,'Справочник соответствий'!A$2:D$2996,2,FALSE)))</f>
        <v>2</v>
      </c>
      <c r="J80" s="3">
        <f>IFERROR(VLOOKUP(D80,'Справочник соответствий'!A$2:D$2996,2,FALSE),IF(VALUE(D80)=0,0,VLOOKUP(D80,'Справочник соответствий'!A$2:D$2996,2,FALSE)))</f>
        <v>0</v>
      </c>
      <c r="K80" s="3" t="str">
        <f t="shared" si="7"/>
        <v>2</v>
      </c>
      <c r="L80" s="13" t="str">
        <f>IFERROR(VLOOKUP(C80,'Справочник соответствий'!A$2:D$2996,3,FALSE),IF(VALUE(C80)=0,"ЭТАЖ НЕ ОПРЕДЕЛЕН. ПРИНЯТ ПО ДОПУЩЕНИЮ 1",VLOOKUP(C80,'Справочник соответствий'!A$2:D$2996,3,FALSE)))</f>
        <v>ЭТАЖ ЗАДАН ЧИСЛОМ</v>
      </c>
      <c r="M80" s="13" t="b">
        <f t="shared" si="8"/>
        <v>0</v>
      </c>
      <c r="N80" s="13">
        <f t="shared" si="9"/>
        <v>2</v>
      </c>
      <c r="O80" s="13" t="str">
        <f t="shared" si="10"/>
        <v>ЭТАЖ ЗАДАН ЧИСЛОМ</v>
      </c>
      <c r="P80" s="13" t="str">
        <f t="shared" si="11"/>
        <v>ЭТАЖ ЗАДАН ЧИСЛОМ</v>
      </c>
      <c r="Q80" s="13" t="str">
        <f t="shared" si="12"/>
        <v>ГОТОВ_ИЗМЕНЕН</v>
      </c>
      <c r="R80" s="13">
        <f>IFERROR(VLOOKUP(P80,Лист1!A$1:B$20,2,FALSE),0)</f>
        <v>784</v>
      </c>
      <c r="S80" s="13">
        <f t="shared" si="13"/>
        <v>0</v>
      </c>
    </row>
    <row r="81" spans="1:19" x14ac:dyDescent="0.25">
      <c r="A81" t="s">
        <v>1272</v>
      </c>
      <c r="B81" s="4" t="s">
        <v>1182</v>
      </c>
      <c r="C81" s="3" t="s">
        <v>5</v>
      </c>
      <c r="E81" s="3" t="s">
        <v>5</v>
      </c>
      <c r="F81" t="s">
        <v>1186</v>
      </c>
      <c r="G81" s="3" t="s">
        <v>1187</v>
      </c>
      <c r="H81" s="7" t="s">
        <v>1184</v>
      </c>
      <c r="I81" s="3" t="str">
        <f>IFERROR(VLOOKUP(C81,'Справочник соответствий'!A$2:D$2996,2,FALSE),IF(VALUE(C81)=0,1,VLOOKUP(C81,'Справочник соответствий'!A$2:D$2996,2,FALSE)))</f>
        <v>1</v>
      </c>
      <c r="J81" s="3">
        <f>IFERROR(VLOOKUP(D81,'Справочник соответствий'!A$2:D$2996,2,FALSE),IF(VALUE(D81)=0,0,VLOOKUP(D81,'Справочник соответствий'!A$2:D$2996,2,FALSE)))</f>
        <v>0</v>
      </c>
      <c r="K81" s="3" t="str">
        <f t="shared" si="7"/>
        <v>1</v>
      </c>
      <c r="L81" s="13" t="str">
        <f>IFERROR(VLOOKUP(C81,'Справочник соответствий'!A$2:D$2996,3,FALSE),IF(VALUE(C81)=0,"ЭТАЖ НЕ ОПРЕДЕЛЕН. ПРИНЯТ ПО ДОПУЩЕНИЮ 1",VLOOKUP(C81,'Справочник соответствий'!A$2:D$2996,3,FALSE)))</f>
        <v>ЭТАЖ ЗАДАН ЧИСЛОМ</v>
      </c>
      <c r="M81" s="13" t="b">
        <f t="shared" si="8"/>
        <v>1</v>
      </c>
      <c r="N81" s="13">
        <f t="shared" si="9"/>
        <v>1</v>
      </c>
      <c r="O81" s="13" t="str">
        <f t="shared" si="10"/>
        <v>ЭТАЖ ЗАДАН ЧИСЛОМ</v>
      </c>
      <c r="P81" s="13" t="str">
        <f t="shared" si="11"/>
        <v>ЭТАЖ ЗАДАН ЧИСЛОМ</v>
      </c>
      <c r="Q81" s="13" t="str">
        <f t="shared" si="12"/>
        <v>ГОТОВ</v>
      </c>
      <c r="R81" s="13">
        <f>IFERROR(VLOOKUP(P81,Лист1!A$1:B$20,2,FALSE),0)</f>
        <v>784</v>
      </c>
      <c r="S81" s="13">
        <f t="shared" si="13"/>
        <v>1</v>
      </c>
    </row>
    <row r="82" spans="1:19" x14ac:dyDescent="0.25">
      <c r="A82" t="s">
        <v>1273</v>
      </c>
      <c r="B82" s="4" t="s">
        <v>1182</v>
      </c>
      <c r="C82" s="3" t="s">
        <v>5</v>
      </c>
      <c r="E82" s="3" t="s">
        <v>5</v>
      </c>
      <c r="F82" t="s">
        <v>1186</v>
      </c>
      <c r="G82" s="3" t="s">
        <v>1191</v>
      </c>
      <c r="H82" s="7" t="s">
        <v>1184</v>
      </c>
      <c r="I82" s="3" t="str">
        <f>IFERROR(VLOOKUP(C82,'Справочник соответствий'!A$2:D$2996,2,FALSE),IF(VALUE(C82)=0,1,VLOOKUP(C82,'Справочник соответствий'!A$2:D$2996,2,FALSE)))</f>
        <v>1</v>
      </c>
      <c r="J82" s="3">
        <f>IFERROR(VLOOKUP(D82,'Справочник соответствий'!A$2:D$2996,2,FALSE),IF(VALUE(D82)=0,0,VLOOKUP(D82,'Справочник соответствий'!A$2:D$2996,2,FALSE)))</f>
        <v>0</v>
      </c>
      <c r="K82" s="3" t="str">
        <f t="shared" si="7"/>
        <v>1</v>
      </c>
      <c r="L82" s="13" t="str">
        <f>IFERROR(VLOOKUP(C82,'Справочник соответствий'!A$2:D$2996,3,FALSE),IF(VALUE(C82)=0,"ЭТАЖ НЕ ОПРЕДЕЛЕН. ПРИНЯТ ПО ДОПУЩЕНИЮ 1",VLOOKUP(C82,'Справочник соответствий'!A$2:D$2996,3,FALSE)))</f>
        <v>ЭТАЖ ЗАДАН ЧИСЛОМ</v>
      </c>
      <c r="M82" s="13" t="b">
        <f t="shared" si="8"/>
        <v>1</v>
      </c>
      <c r="N82" s="13">
        <f t="shared" si="9"/>
        <v>1</v>
      </c>
      <c r="O82" s="13" t="str">
        <f t="shared" si="10"/>
        <v>ЭТАЖ ЗАДАН ЧИСЛОМ</v>
      </c>
      <c r="P82" s="13" t="str">
        <f t="shared" si="11"/>
        <v>ЭТАЖ ЗАДАН ЧИСЛОМ</v>
      </c>
      <c r="Q82" s="13" t="str">
        <f t="shared" si="12"/>
        <v>ГОТОВ</v>
      </c>
      <c r="R82" s="13">
        <f>IFERROR(VLOOKUP(P82,Лист1!A$1:B$20,2,FALSE),0)</f>
        <v>784</v>
      </c>
      <c r="S82" s="13">
        <f t="shared" si="13"/>
        <v>1</v>
      </c>
    </row>
    <row r="83" spans="1:19" x14ac:dyDescent="0.25">
      <c r="A83" t="s">
        <v>1274</v>
      </c>
      <c r="B83" s="4" t="s">
        <v>1182</v>
      </c>
      <c r="C83" s="3" t="s">
        <v>7</v>
      </c>
      <c r="E83" s="3" t="s">
        <v>5</v>
      </c>
      <c r="F83" t="s">
        <v>1045</v>
      </c>
      <c r="G83" s="3" t="s">
        <v>1183</v>
      </c>
      <c r="H83" s="7" t="s">
        <v>1184</v>
      </c>
      <c r="I83" s="3" t="str">
        <f>IFERROR(VLOOKUP(C83,'Справочник соответствий'!A$2:D$2996,2,FALSE),IF(VALUE(C83)=0,1,VLOOKUP(C83,'Справочник соответствий'!A$2:D$2996,2,FALSE)))</f>
        <v>2</v>
      </c>
      <c r="J83" s="3">
        <f>IFERROR(VLOOKUP(D83,'Справочник соответствий'!A$2:D$2996,2,FALSE),IF(VALUE(D83)=0,0,VLOOKUP(D83,'Справочник соответствий'!A$2:D$2996,2,FALSE)))</f>
        <v>0</v>
      </c>
      <c r="K83" s="3" t="str">
        <f t="shared" si="7"/>
        <v>2</v>
      </c>
      <c r="L83" s="13" t="str">
        <f>IFERROR(VLOOKUP(C83,'Справочник соответствий'!A$2:D$2996,3,FALSE),IF(VALUE(C83)=0,"ЭТАЖ НЕ ОПРЕДЕЛЕН. ПРИНЯТ ПО ДОПУЩЕНИЮ 1",VLOOKUP(C83,'Справочник соответствий'!A$2:D$2996,3,FALSE)))</f>
        <v>ЭТАЖ ЗАДАН ЧИСЛОМ</v>
      </c>
      <c r="M83" s="13" t="b">
        <f t="shared" si="8"/>
        <v>0</v>
      </c>
      <c r="N83" s="13">
        <f t="shared" si="9"/>
        <v>2</v>
      </c>
      <c r="O83" s="13" t="str">
        <f t="shared" si="10"/>
        <v>ЭТАЖ ЗАДАН ЧИСЛОМ</v>
      </c>
      <c r="P83" s="13" t="str">
        <f t="shared" si="11"/>
        <v>ЭТАЖ ЗАДАН ЧИСЛОМ</v>
      </c>
      <c r="Q83" s="13" t="str">
        <f t="shared" si="12"/>
        <v>ГОТОВ_ИЗМЕНЕН</v>
      </c>
      <c r="R83" s="13">
        <f>IFERROR(VLOOKUP(P83,Лист1!A$1:B$20,2,FALSE),0)</f>
        <v>784</v>
      </c>
      <c r="S83" s="13">
        <f t="shared" si="13"/>
        <v>1</v>
      </c>
    </row>
    <row r="84" spans="1:19" x14ac:dyDescent="0.25">
      <c r="A84" t="s">
        <v>1275</v>
      </c>
      <c r="B84" s="4" t="s">
        <v>1190</v>
      </c>
      <c r="C84" s="3" t="s">
        <v>7</v>
      </c>
      <c r="D84" s="3" t="s">
        <v>5</v>
      </c>
      <c r="E84" s="3" t="s">
        <v>5</v>
      </c>
      <c r="F84" t="s">
        <v>1045</v>
      </c>
      <c r="G84" s="3" t="s">
        <v>1198</v>
      </c>
      <c r="H84" s="7" t="s">
        <v>1184</v>
      </c>
      <c r="I84" s="3" t="str">
        <f>IFERROR(VLOOKUP(C84,'Справочник соответствий'!A$2:D$2996,2,FALSE),IF(VALUE(C84)=0,1,VLOOKUP(C84,'Справочник соответствий'!A$2:D$2996,2,FALSE)))</f>
        <v>2</v>
      </c>
      <c r="J84" s="3" t="str">
        <f>IFERROR(VLOOKUP(D84,'Справочник соответствий'!A$2:D$2996,2,FALSE),IF(VALUE(D84)=0,0,VLOOKUP(D84,'Справочник соответствий'!A$2:D$2996,2,FALSE)))</f>
        <v>1</v>
      </c>
      <c r="K84" s="3" t="str">
        <f t="shared" si="7"/>
        <v>2</v>
      </c>
      <c r="L84" s="13" t="str">
        <f>IFERROR(VLOOKUP(C84,'Справочник соответствий'!A$2:D$2996,3,FALSE),IF(VALUE(C84)=0,"ЭТАЖ НЕ ОПРЕДЕЛЕН. ПРИНЯТ ПО ДОПУЩЕНИЮ 1",VLOOKUP(C84,'Справочник соответствий'!A$2:D$2996,3,FALSE)))</f>
        <v>ЭТАЖ ЗАДАН ЧИСЛОМ</v>
      </c>
      <c r="M84" s="13" t="b">
        <f t="shared" si="8"/>
        <v>0</v>
      </c>
      <c r="N84" s="13">
        <f t="shared" si="9"/>
        <v>2</v>
      </c>
      <c r="O84" s="13" t="str">
        <f t="shared" si="10"/>
        <v>ЭТАЖ ЗАДАН ЧИСЛОМ</v>
      </c>
      <c r="P84" s="13" t="str">
        <f t="shared" si="11"/>
        <v>ЭТАЖ ЗАДАН ЧИСЛОМ</v>
      </c>
      <c r="Q84" s="13" t="str">
        <f t="shared" si="12"/>
        <v>ГОТОВ_ИЗМЕНЕН</v>
      </c>
      <c r="R84" s="13">
        <f>IFERROR(VLOOKUP(P84,Лист1!A$1:B$20,2,FALSE),0)</f>
        <v>784</v>
      </c>
      <c r="S84" s="13">
        <f t="shared" si="13"/>
        <v>1</v>
      </c>
    </row>
    <row r="85" spans="1:19" x14ac:dyDescent="0.25">
      <c r="A85" t="s">
        <v>1276</v>
      </c>
      <c r="B85" s="4" t="s">
        <v>1182</v>
      </c>
      <c r="C85" s="3" t="s">
        <v>12</v>
      </c>
      <c r="E85" s="3" t="s">
        <v>12</v>
      </c>
      <c r="F85" t="s">
        <v>1186</v>
      </c>
      <c r="G85" s="3" t="s">
        <v>1187</v>
      </c>
      <c r="H85" s="7" t="s">
        <v>1184</v>
      </c>
      <c r="I85" s="3" t="str">
        <f>IFERROR(VLOOKUP(C85,'Справочник соответствий'!A$2:D$2996,2,FALSE),IF(VALUE(C85)=0,1,VLOOKUP(C85,'Справочник соответствий'!A$2:D$2996,2,FALSE)))</f>
        <v>4</v>
      </c>
      <c r="J85" s="3">
        <f>IFERROR(VLOOKUP(D85,'Справочник соответствий'!A$2:D$2996,2,FALSE),IF(VALUE(D85)=0,0,VLOOKUP(D85,'Справочник соответствий'!A$2:D$2996,2,FALSE)))</f>
        <v>0</v>
      </c>
      <c r="K85" s="3" t="str">
        <f t="shared" si="7"/>
        <v>4</v>
      </c>
      <c r="L85" s="13" t="str">
        <f>IFERROR(VLOOKUP(C85,'Справочник соответствий'!A$2:D$2996,3,FALSE),IF(VALUE(C85)=0,"ЭТАЖ НЕ ОПРЕДЕЛЕН. ПРИНЯТ ПО ДОПУЩЕНИЮ 1",VLOOKUP(C85,'Справочник соответствий'!A$2:D$2996,3,FALSE)))</f>
        <v>ЭТАЖ ЗАДАН ЧИСЛОМ</v>
      </c>
      <c r="M85" s="13" t="b">
        <f t="shared" si="8"/>
        <v>1</v>
      </c>
      <c r="N85" s="13">
        <f t="shared" si="9"/>
        <v>4</v>
      </c>
      <c r="O85" s="13" t="str">
        <f t="shared" si="10"/>
        <v>ЭТАЖ ЗАДАН ЧИСЛОМ</v>
      </c>
      <c r="P85" s="13" t="str">
        <f t="shared" si="11"/>
        <v>ЭТАЖ ЗАДАН ЧИСЛОМ</v>
      </c>
      <c r="Q85" s="13" t="str">
        <f t="shared" si="12"/>
        <v>ГОТОВ</v>
      </c>
      <c r="R85" s="13">
        <f>IFERROR(VLOOKUP(P85,Лист1!A$1:B$20,2,FALSE),0)</f>
        <v>784</v>
      </c>
      <c r="S85" s="13">
        <f t="shared" si="13"/>
        <v>4</v>
      </c>
    </row>
    <row r="86" spans="1:19" x14ac:dyDescent="0.25">
      <c r="A86" t="s">
        <v>1277</v>
      </c>
      <c r="B86" s="4" t="s">
        <v>1190</v>
      </c>
      <c r="C86" s="3" t="s">
        <v>7</v>
      </c>
      <c r="E86" s="3" t="s">
        <v>5</v>
      </c>
      <c r="F86" t="s">
        <v>1038</v>
      </c>
      <c r="G86" s="3" t="s">
        <v>1198</v>
      </c>
      <c r="H86" s="7" t="s">
        <v>1184</v>
      </c>
      <c r="I86" s="3" t="str">
        <f>IFERROR(VLOOKUP(C86,'Справочник соответствий'!A$2:D$2996,2,FALSE),IF(VALUE(C86)=0,1,VLOOKUP(C86,'Справочник соответствий'!A$2:D$2996,2,FALSE)))</f>
        <v>2</v>
      </c>
      <c r="J86" s="3">
        <f>IFERROR(VLOOKUP(D86,'Справочник соответствий'!A$2:D$2996,2,FALSE),IF(VALUE(D86)=0,0,VLOOKUP(D86,'Справочник соответствий'!A$2:D$2996,2,FALSE)))</f>
        <v>0</v>
      </c>
      <c r="K86" s="3" t="str">
        <f t="shared" si="7"/>
        <v>2</v>
      </c>
      <c r="L86" s="13" t="str">
        <f>IFERROR(VLOOKUP(C86,'Справочник соответствий'!A$2:D$2996,3,FALSE),IF(VALUE(C86)=0,"ЭТАЖ НЕ ОПРЕДЕЛЕН. ПРИНЯТ ПО ДОПУЩЕНИЮ 1",VLOOKUP(C86,'Справочник соответствий'!A$2:D$2996,3,FALSE)))</f>
        <v>ЭТАЖ ЗАДАН ЧИСЛОМ</v>
      </c>
      <c r="M86" s="13" t="b">
        <f t="shared" si="8"/>
        <v>0</v>
      </c>
      <c r="N86" s="13">
        <f t="shared" si="9"/>
        <v>2</v>
      </c>
      <c r="O86" s="13" t="str">
        <f t="shared" si="10"/>
        <v>ЭТАЖ ЗАДАН ЧИСЛОМ</v>
      </c>
      <c r="P86" s="13" t="str">
        <f t="shared" si="11"/>
        <v>ЭТАЖ ЗАДАН ЧИСЛОМ</v>
      </c>
      <c r="Q86" s="13" t="str">
        <f t="shared" si="12"/>
        <v>ГОТОВ_ИЗМЕНЕН</v>
      </c>
      <c r="R86" s="13">
        <f>IFERROR(VLOOKUP(P86,Лист1!A$1:B$20,2,FALSE),0)</f>
        <v>784</v>
      </c>
      <c r="S86" s="13">
        <f t="shared" si="13"/>
        <v>1</v>
      </c>
    </row>
    <row r="87" spans="1:19" x14ac:dyDescent="0.25">
      <c r="A87" t="s">
        <v>1278</v>
      </c>
      <c r="B87" s="4" t="s">
        <v>1182</v>
      </c>
      <c r="C87" s="3" t="s">
        <v>5</v>
      </c>
      <c r="D87" s="3" t="s">
        <v>1059</v>
      </c>
      <c r="E87" s="3" t="s">
        <v>5</v>
      </c>
      <c r="F87" t="s">
        <v>1045</v>
      </c>
      <c r="G87" s="3" t="s">
        <v>1183</v>
      </c>
      <c r="H87" s="7" t="s">
        <v>1184</v>
      </c>
      <c r="I87" s="3" t="str">
        <f>IFERROR(VLOOKUP(C87,'Справочник соответствий'!A$2:D$2996,2,FALSE),IF(VALUE(C87)=0,1,VLOOKUP(C87,'Справочник соответствий'!A$2:D$2996,2,FALSE)))</f>
        <v>1</v>
      </c>
      <c r="J87" s="3" t="str">
        <f>IFERROR(VLOOKUP(D87,'Справочник соответствий'!A$2:D$2996,2,FALSE),IF(VALUE(D87)=0,0,VLOOKUP(D87,'Справочник соответствий'!A$2:D$2996,2,FALSE)))</f>
        <v>1</v>
      </c>
      <c r="K87" s="3" t="str">
        <f t="shared" si="7"/>
        <v>1</v>
      </c>
      <c r="L87" s="13" t="str">
        <f>IFERROR(VLOOKUP(C87,'Справочник соответствий'!A$2:D$2996,3,FALSE),IF(VALUE(C87)=0,"ЭТАЖ НЕ ОПРЕДЕЛЕН. ПРИНЯТ ПО ДОПУЩЕНИЮ 1",VLOOKUP(C87,'Справочник соответствий'!A$2:D$2996,3,FALSE)))</f>
        <v>ЭТАЖ ЗАДАН ЧИСЛОМ</v>
      </c>
      <c r="M87" s="13" t="b">
        <f t="shared" si="8"/>
        <v>1</v>
      </c>
      <c r="N87" s="13">
        <f t="shared" si="9"/>
        <v>1</v>
      </c>
      <c r="O87" s="13" t="str">
        <f t="shared" si="10"/>
        <v>ЭТАЖ ЗАДАН ЧИСЛОМ</v>
      </c>
      <c r="P87" s="13" t="str">
        <f t="shared" si="11"/>
        <v>ЭТАЖ ЗАДАН ЧИСЛОМ</v>
      </c>
      <c r="Q87" s="13" t="str">
        <f t="shared" si="12"/>
        <v>ГОТОВ</v>
      </c>
      <c r="R87" s="13">
        <f>IFERROR(VLOOKUP(P87,Лист1!A$1:B$20,2,FALSE),0)</f>
        <v>784</v>
      </c>
      <c r="S87" s="13">
        <f t="shared" si="13"/>
        <v>1</v>
      </c>
    </row>
    <row r="88" spans="1:19" x14ac:dyDescent="0.25">
      <c r="A88" t="s">
        <v>1279</v>
      </c>
      <c r="B88" s="4" t="s">
        <v>1031</v>
      </c>
      <c r="C88" s="3" t="s">
        <v>5</v>
      </c>
      <c r="E88" s="3" t="s">
        <v>7</v>
      </c>
      <c r="F88" t="s">
        <v>1045</v>
      </c>
      <c r="G88" s="3" t="s">
        <v>1191</v>
      </c>
      <c r="H88" s="7" t="s">
        <v>1184</v>
      </c>
      <c r="I88" s="3" t="str">
        <f>IFERROR(VLOOKUP(C88,'Справочник соответствий'!A$2:D$2996,2,FALSE),IF(VALUE(C88)=0,1,VLOOKUP(C88,'Справочник соответствий'!A$2:D$2996,2,FALSE)))</f>
        <v>1</v>
      </c>
      <c r="J88" s="3">
        <f>IFERROR(VLOOKUP(D88,'Справочник соответствий'!A$2:D$2996,2,FALSE),IF(VALUE(D88)=0,0,VLOOKUP(D88,'Справочник соответствий'!A$2:D$2996,2,FALSE)))</f>
        <v>0</v>
      </c>
      <c r="K88" s="3">
        <f t="shared" si="7"/>
        <v>1</v>
      </c>
      <c r="L88" s="13" t="str">
        <f>IFERROR(VLOOKUP(C88,'Справочник соответствий'!A$2:D$2996,3,FALSE),IF(VALUE(C88)=0,"ЭТАЖ НЕ ОПРЕДЕЛЕН. ПРИНЯТ ПО ДОПУЩЕНИЮ 1",VLOOKUP(C88,'Справочник соответствий'!A$2:D$2996,3,FALSE)))</f>
        <v>ЭТАЖ ЗАДАН ЧИСЛОМ</v>
      </c>
      <c r="M88" s="13" t="b">
        <f t="shared" si="8"/>
        <v>0</v>
      </c>
      <c r="N88" s="13">
        <f t="shared" si="9"/>
        <v>1</v>
      </c>
      <c r="O88" s="13" t="str">
        <f t="shared" si="10"/>
        <v>ЭТАЖ ЗАДАН ЧИСЛОМ</v>
      </c>
      <c r="P88" s="13" t="str">
        <f t="shared" si="11"/>
        <v>МКД_ЭТАЖ ЗАДАН ЧИСЛОМ</v>
      </c>
      <c r="Q88" s="13" t="str">
        <f t="shared" si="12"/>
        <v>ГОТОВ_ИЗМЕНЕН</v>
      </c>
      <c r="R88" s="13">
        <f>IFERROR(VLOOKUP(P88,Лист1!A$1:B$20,2,FALSE),0)</f>
        <v>786</v>
      </c>
      <c r="S88" s="13">
        <f t="shared" si="13"/>
        <v>2</v>
      </c>
    </row>
    <row r="89" spans="1:19" x14ac:dyDescent="0.25">
      <c r="A89" t="s">
        <v>1280</v>
      </c>
      <c r="B89" s="4" t="s">
        <v>1190</v>
      </c>
      <c r="C89" s="3" t="s">
        <v>5</v>
      </c>
      <c r="D89" s="3" t="s">
        <v>5</v>
      </c>
      <c r="E89" s="3" t="s">
        <v>5</v>
      </c>
      <c r="F89" t="s">
        <v>1045</v>
      </c>
      <c r="G89" s="3" t="s">
        <v>1191</v>
      </c>
      <c r="H89" s="7" t="s">
        <v>1184</v>
      </c>
      <c r="I89" s="3" t="str">
        <f>IFERROR(VLOOKUP(C89,'Справочник соответствий'!A$2:D$2996,2,FALSE),IF(VALUE(C89)=0,1,VLOOKUP(C89,'Справочник соответствий'!A$2:D$2996,2,FALSE)))</f>
        <v>1</v>
      </c>
      <c r="J89" s="3" t="str">
        <f>IFERROR(VLOOKUP(D89,'Справочник соответствий'!A$2:D$2996,2,FALSE),IF(VALUE(D89)=0,0,VLOOKUP(D89,'Справочник соответствий'!A$2:D$2996,2,FALSE)))</f>
        <v>1</v>
      </c>
      <c r="K89" s="3" t="str">
        <f t="shared" si="7"/>
        <v>1</v>
      </c>
      <c r="L89" s="13" t="str">
        <f>IFERROR(VLOOKUP(C89,'Справочник соответствий'!A$2:D$2996,3,FALSE),IF(VALUE(C89)=0,"ЭТАЖ НЕ ОПРЕДЕЛЕН. ПРИНЯТ ПО ДОПУЩЕНИЮ 1",VLOOKUP(C89,'Справочник соответствий'!A$2:D$2996,3,FALSE)))</f>
        <v>ЭТАЖ ЗАДАН ЧИСЛОМ</v>
      </c>
      <c r="M89" s="13" t="b">
        <f t="shared" si="8"/>
        <v>1</v>
      </c>
      <c r="N89" s="13">
        <f t="shared" si="9"/>
        <v>1</v>
      </c>
      <c r="O89" s="13" t="str">
        <f t="shared" si="10"/>
        <v>ЭТАЖ ЗАДАН ЧИСЛОМ</v>
      </c>
      <c r="P89" s="13" t="str">
        <f t="shared" si="11"/>
        <v>ЭТАЖ ЗАДАН ЧИСЛОМ</v>
      </c>
      <c r="Q89" s="13" t="str">
        <f t="shared" si="12"/>
        <v>ГОТОВ</v>
      </c>
      <c r="R89" s="13">
        <f>IFERROR(VLOOKUP(P89,Лист1!A$1:B$20,2,FALSE),0)</f>
        <v>784</v>
      </c>
      <c r="S89" s="13">
        <f t="shared" si="13"/>
        <v>1</v>
      </c>
    </row>
    <row r="90" spans="1:19" x14ac:dyDescent="0.25">
      <c r="A90" t="s">
        <v>1281</v>
      </c>
      <c r="B90" s="4" t="s">
        <v>1182</v>
      </c>
      <c r="C90" s="3" t="s">
        <v>5</v>
      </c>
      <c r="G90" s="3" t="s">
        <v>1187</v>
      </c>
      <c r="I90" s="3" t="str">
        <f>IFERROR(VLOOKUP(C90,'Справочник соответствий'!A$2:D$2996,2,FALSE),IF(VALUE(C90)=0,1,VLOOKUP(C90,'Справочник соответствий'!A$2:D$2996,2,FALSE)))</f>
        <v>1</v>
      </c>
      <c r="J90" s="3">
        <f>IFERROR(VLOOKUP(D90,'Справочник соответствий'!A$2:D$2996,2,FALSE),IF(VALUE(D90)=0,0,VLOOKUP(D90,'Справочник соответствий'!A$2:D$2996,2,FALSE)))</f>
        <v>0</v>
      </c>
      <c r="K90" s="3" t="str">
        <f t="shared" si="7"/>
        <v>1</v>
      </c>
      <c r="L90" s="13" t="str">
        <f>IFERROR(VLOOKUP(C90,'Справочник соответствий'!A$2:D$2996,3,FALSE),IF(VALUE(C90)=0,"ЭТАЖ НЕ ОПРЕДЕЛЕН. ПРИНЯТ ПО ДОПУЩЕНИЮ 1",VLOOKUP(C90,'Справочник соответствий'!A$2:D$2996,3,FALSE)))</f>
        <v>ЭТАЖ ЗАДАН ЧИСЛОМ</v>
      </c>
      <c r="M90" s="13" t="b">
        <f t="shared" si="8"/>
        <v>0</v>
      </c>
      <c r="N90" s="13">
        <f t="shared" si="9"/>
        <v>1</v>
      </c>
      <c r="O90" s="13" t="str">
        <f t="shared" si="10"/>
        <v>ЭТАЖ ЗАДАН ЧИСЛОМ</v>
      </c>
      <c r="P90" s="13" t="str">
        <f t="shared" si="11"/>
        <v>ЭТАЖ ЗАДАН ЧИСЛОМ</v>
      </c>
      <c r="Q90" s="13" t="str">
        <f t="shared" si="12"/>
        <v>ГОТОВ_ИЗМЕНЕН</v>
      </c>
      <c r="R90" s="13">
        <f>IFERROR(VLOOKUP(P90,Лист1!A$1:B$20,2,FALSE),0)</f>
        <v>784</v>
      </c>
      <c r="S90" s="13">
        <f t="shared" si="13"/>
        <v>0</v>
      </c>
    </row>
    <row r="91" spans="1:19" x14ac:dyDescent="0.25">
      <c r="A91" t="s">
        <v>1282</v>
      </c>
      <c r="B91" s="4" t="s">
        <v>1182</v>
      </c>
      <c r="C91" s="3" t="s">
        <v>5</v>
      </c>
      <c r="G91" s="3" t="s">
        <v>1187</v>
      </c>
      <c r="I91" s="3" t="str">
        <f>IFERROR(VLOOKUP(C91,'Справочник соответствий'!A$2:D$2996,2,FALSE),IF(VALUE(C91)=0,1,VLOOKUP(C91,'Справочник соответствий'!A$2:D$2996,2,FALSE)))</f>
        <v>1</v>
      </c>
      <c r="J91" s="3">
        <f>IFERROR(VLOOKUP(D91,'Справочник соответствий'!A$2:D$2996,2,FALSE),IF(VALUE(D91)=0,0,VLOOKUP(D91,'Справочник соответствий'!A$2:D$2996,2,FALSE)))</f>
        <v>0</v>
      </c>
      <c r="K91" s="3" t="str">
        <f t="shared" si="7"/>
        <v>1</v>
      </c>
      <c r="L91" s="13" t="str">
        <f>IFERROR(VLOOKUP(C91,'Справочник соответствий'!A$2:D$2996,3,FALSE),IF(VALUE(C91)=0,"ЭТАЖ НЕ ОПРЕДЕЛЕН. ПРИНЯТ ПО ДОПУЩЕНИЮ 1",VLOOKUP(C91,'Справочник соответствий'!A$2:D$2996,3,FALSE)))</f>
        <v>ЭТАЖ ЗАДАН ЧИСЛОМ</v>
      </c>
      <c r="M91" s="13" t="b">
        <f t="shared" si="8"/>
        <v>0</v>
      </c>
      <c r="N91" s="13">
        <f t="shared" si="9"/>
        <v>1</v>
      </c>
      <c r="O91" s="13" t="str">
        <f t="shared" si="10"/>
        <v>ЭТАЖ ЗАДАН ЧИСЛОМ</v>
      </c>
      <c r="P91" s="13" t="str">
        <f t="shared" si="11"/>
        <v>ЭТАЖ ЗАДАН ЧИСЛОМ</v>
      </c>
      <c r="Q91" s="13" t="str">
        <f t="shared" si="12"/>
        <v>ГОТОВ_ИЗМЕНЕН</v>
      </c>
      <c r="R91" s="13">
        <f>IFERROR(VLOOKUP(P91,Лист1!A$1:B$20,2,FALSE),0)</f>
        <v>784</v>
      </c>
      <c r="S91" s="13">
        <f t="shared" si="13"/>
        <v>0</v>
      </c>
    </row>
    <row r="92" spans="1:19" x14ac:dyDescent="0.25">
      <c r="A92" t="s">
        <v>1283</v>
      </c>
      <c r="B92" s="4" t="s">
        <v>1190</v>
      </c>
      <c r="C92" s="3" t="s">
        <v>5</v>
      </c>
      <c r="G92" s="3" t="s">
        <v>1187</v>
      </c>
      <c r="I92" s="3" t="str">
        <f>IFERROR(VLOOKUP(C92,'Справочник соответствий'!A$2:D$2996,2,FALSE),IF(VALUE(C92)=0,1,VLOOKUP(C92,'Справочник соответствий'!A$2:D$2996,2,FALSE)))</f>
        <v>1</v>
      </c>
      <c r="J92" s="3">
        <f>IFERROR(VLOOKUP(D92,'Справочник соответствий'!A$2:D$2996,2,FALSE),IF(VALUE(D92)=0,0,VLOOKUP(D92,'Справочник соответствий'!A$2:D$2996,2,FALSE)))</f>
        <v>0</v>
      </c>
      <c r="K92" s="3" t="str">
        <f t="shared" si="7"/>
        <v>1</v>
      </c>
      <c r="L92" s="13" t="str">
        <f>IFERROR(VLOOKUP(C92,'Справочник соответствий'!A$2:D$2996,3,FALSE),IF(VALUE(C92)=0,"ЭТАЖ НЕ ОПРЕДЕЛЕН. ПРИНЯТ ПО ДОПУЩЕНИЮ 1",VLOOKUP(C92,'Справочник соответствий'!A$2:D$2996,3,FALSE)))</f>
        <v>ЭТАЖ ЗАДАН ЧИСЛОМ</v>
      </c>
      <c r="M92" s="13" t="b">
        <f t="shared" si="8"/>
        <v>0</v>
      </c>
      <c r="N92" s="13">
        <f t="shared" si="9"/>
        <v>1</v>
      </c>
      <c r="O92" s="13" t="str">
        <f t="shared" si="10"/>
        <v>ЭТАЖ ЗАДАН ЧИСЛОМ</v>
      </c>
      <c r="P92" s="13" t="str">
        <f t="shared" si="11"/>
        <v>ЭТАЖ ЗАДАН ЧИСЛОМ</v>
      </c>
      <c r="Q92" s="13" t="str">
        <f t="shared" si="12"/>
        <v>ГОТОВ_ИЗМЕНЕН</v>
      </c>
      <c r="R92" s="13">
        <f>IFERROR(VLOOKUP(P92,Лист1!A$1:B$20,2,FALSE),0)</f>
        <v>784</v>
      </c>
      <c r="S92" s="13">
        <f t="shared" si="13"/>
        <v>0</v>
      </c>
    </row>
    <row r="93" spans="1:19" x14ac:dyDescent="0.25">
      <c r="A93" t="s">
        <v>1284</v>
      </c>
      <c r="B93" s="4" t="s">
        <v>1190</v>
      </c>
      <c r="C93" s="3" t="s">
        <v>7</v>
      </c>
      <c r="G93" s="3" t="s">
        <v>1187</v>
      </c>
      <c r="I93" s="3" t="str">
        <f>IFERROR(VLOOKUP(C93,'Справочник соответствий'!A$2:D$2996,2,FALSE),IF(VALUE(C93)=0,1,VLOOKUP(C93,'Справочник соответствий'!A$2:D$2996,2,FALSE)))</f>
        <v>2</v>
      </c>
      <c r="J93" s="3">
        <f>IFERROR(VLOOKUP(D93,'Справочник соответствий'!A$2:D$2996,2,FALSE),IF(VALUE(D93)=0,0,VLOOKUP(D93,'Справочник соответствий'!A$2:D$2996,2,FALSE)))</f>
        <v>0</v>
      </c>
      <c r="K93" s="3" t="str">
        <f t="shared" si="7"/>
        <v>2</v>
      </c>
      <c r="L93" s="13" t="str">
        <f>IFERROR(VLOOKUP(C93,'Справочник соответствий'!A$2:D$2996,3,FALSE),IF(VALUE(C93)=0,"ЭТАЖ НЕ ОПРЕДЕЛЕН. ПРИНЯТ ПО ДОПУЩЕНИЮ 1",VLOOKUP(C93,'Справочник соответствий'!A$2:D$2996,3,FALSE)))</f>
        <v>ЭТАЖ ЗАДАН ЧИСЛОМ</v>
      </c>
      <c r="M93" s="13" t="b">
        <f t="shared" si="8"/>
        <v>0</v>
      </c>
      <c r="N93" s="13">
        <f t="shared" si="9"/>
        <v>2</v>
      </c>
      <c r="O93" s="13" t="str">
        <f t="shared" si="10"/>
        <v>ЭТАЖ ЗАДАН ЧИСЛОМ</v>
      </c>
      <c r="P93" s="13" t="str">
        <f t="shared" si="11"/>
        <v>ЭТАЖ ЗАДАН ЧИСЛОМ</v>
      </c>
      <c r="Q93" s="13" t="str">
        <f t="shared" si="12"/>
        <v>ГОТОВ_ИЗМЕНЕН</v>
      </c>
      <c r="R93" s="13">
        <f>IFERROR(VLOOKUP(P93,Лист1!A$1:B$20,2,FALSE),0)</f>
        <v>784</v>
      </c>
      <c r="S93" s="13">
        <f t="shared" si="13"/>
        <v>0</v>
      </c>
    </row>
    <row r="94" spans="1:19" x14ac:dyDescent="0.25">
      <c r="A94" t="s">
        <v>1285</v>
      </c>
      <c r="B94" s="4" t="s">
        <v>1190</v>
      </c>
      <c r="C94" s="3" t="s">
        <v>7</v>
      </c>
      <c r="G94" s="3" t="s">
        <v>1187</v>
      </c>
      <c r="I94" s="3" t="str">
        <f>IFERROR(VLOOKUP(C94,'Справочник соответствий'!A$2:D$2996,2,FALSE),IF(VALUE(C94)=0,1,VLOOKUP(C94,'Справочник соответствий'!A$2:D$2996,2,FALSE)))</f>
        <v>2</v>
      </c>
      <c r="J94" s="3">
        <f>IFERROR(VLOOKUP(D94,'Справочник соответствий'!A$2:D$2996,2,FALSE),IF(VALUE(D94)=0,0,VLOOKUP(D94,'Справочник соответствий'!A$2:D$2996,2,FALSE)))</f>
        <v>0</v>
      </c>
      <c r="K94" s="3" t="str">
        <f t="shared" si="7"/>
        <v>2</v>
      </c>
      <c r="L94" s="13" t="str">
        <f>IFERROR(VLOOKUP(C94,'Справочник соответствий'!A$2:D$2996,3,FALSE),IF(VALUE(C94)=0,"ЭТАЖ НЕ ОПРЕДЕЛЕН. ПРИНЯТ ПО ДОПУЩЕНИЮ 1",VLOOKUP(C94,'Справочник соответствий'!A$2:D$2996,3,FALSE)))</f>
        <v>ЭТАЖ ЗАДАН ЧИСЛОМ</v>
      </c>
      <c r="M94" s="13" t="b">
        <f t="shared" si="8"/>
        <v>0</v>
      </c>
      <c r="N94" s="13">
        <f t="shared" si="9"/>
        <v>2</v>
      </c>
      <c r="O94" s="13" t="str">
        <f t="shared" si="10"/>
        <v>ЭТАЖ ЗАДАН ЧИСЛОМ</v>
      </c>
      <c r="P94" s="13" t="str">
        <f t="shared" si="11"/>
        <v>ЭТАЖ ЗАДАН ЧИСЛОМ</v>
      </c>
      <c r="Q94" s="13" t="str">
        <f t="shared" si="12"/>
        <v>ГОТОВ_ИЗМЕНЕН</v>
      </c>
      <c r="R94" s="13">
        <f>IFERROR(VLOOKUP(P94,Лист1!A$1:B$20,2,FALSE),0)</f>
        <v>784</v>
      </c>
      <c r="S94" s="13">
        <f t="shared" si="13"/>
        <v>0</v>
      </c>
    </row>
    <row r="95" spans="1:19" x14ac:dyDescent="0.25">
      <c r="A95" t="s">
        <v>1286</v>
      </c>
      <c r="B95" s="4" t="s">
        <v>1190</v>
      </c>
      <c r="C95" s="3" t="s">
        <v>7</v>
      </c>
      <c r="E95" s="3" t="s">
        <v>5</v>
      </c>
      <c r="F95" t="s">
        <v>1038</v>
      </c>
      <c r="G95" s="3" t="s">
        <v>1224</v>
      </c>
      <c r="H95" s="7" t="s">
        <v>1184</v>
      </c>
      <c r="I95" s="3" t="str">
        <f>IFERROR(VLOOKUP(C95,'Справочник соответствий'!A$2:D$2996,2,FALSE),IF(VALUE(C95)=0,1,VLOOKUP(C95,'Справочник соответствий'!A$2:D$2996,2,FALSE)))</f>
        <v>2</v>
      </c>
      <c r="J95" s="3">
        <f>IFERROR(VLOOKUP(D95,'Справочник соответствий'!A$2:D$2996,2,FALSE),IF(VALUE(D95)=0,0,VLOOKUP(D95,'Справочник соответствий'!A$2:D$2996,2,FALSE)))</f>
        <v>0</v>
      </c>
      <c r="K95" s="3" t="str">
        <f t="shared" si="7"/>
        <v>2</v>
      </c>
      <c r="L95" s="13" t="str">
        <f>IFERROR(VLOOKUP(C95,'Справочник соответствий'!A$2:D$2996,3,FALSE),IF(VALUE(C95)=0,"ЭТАЖ НЕ ОПРЕДЕЛЕН. ПРИНЯТ ПО ДОПУЩЕНИЮ 1",VLOOKUP(C95,'Справочник соответствий'!A$2:D$2996,3,FALSE)))</f>
        <v>ЭТАЖ ЗАДАН ЧИСЛОМ</v>
      </c>
      <c r="M95" s="13" t="b">
        <f t="shared" si="8"/>
        <v>0</v>
      </c>
      <c r="N95" s="13">
        <f t="shared" si="9"/>
        <v>2</v>
      </c>
      <c r="O95" s="13" t="str">
        <f t="shared" si="10"/>
        <v>ЭТАЖ ЗАДАН ЧИСЛОМ</v>
      </c>
      <c r="P95" s="13" t="str">
        <f t="shared" si="11"/>
        <v>ЭТАЖ ЗАДАН ЧИСЛОМ</v>
      </c>
      <c r="Q95" s="13" t="str">
        <f t="shared" si="12"/>
        <v>ГОТОВ_ИЗМЕНЕН</v>
      </c>
      <c r="R95" s="13">
        <f>IFERROR(VLOOKUP(P95,Лист1!A$1:B$20,2,FALSE),0)</f>
        <v>784</v>
      </c>
      <c r="S95" s="13">
        <f t="shared" si="13"/>
        <v>1</v>
      </c>
    </row>
    <row r="96" spans="1:19" x14ac:dyDescent="0.25">
      <c r="A96" t="s">
        <v>1287</v>
      </c>
      <c r="B96" s="4" t="s">
        <v>1190</v>
      </c>
      <c r="G96" s="3" t="s">
        <v>1191</v>
      </c>
      <c r="I96" s="3">
        <f>IFERROR(VLOOKUP(C96,'Справочник соответствий'!A$2:D$2996,2,FALSE),IF(VALUE(C96)=0,1,VLOOKUP(C96,'Справочник соответствий'!A$2:D$2996,2,FALSE)))</f>
        <v>1</v>
      </c>
      <c r="J96" s="3">
        <f>IFERROR(VLOOKUP(D96,'Справочник соответствий'!A$2:D$2996,2,FALSE),IF(VALUE(D96)=0,0,VLOOKUP(D96,'Справочник соответствий'!A$2:D$2996,2,FALSE)))</f>
        <v>0</v>
      </c>
      <c r="K96" s="3">
        <f t="shared" si="7"/>
        <v>1</v>
      </c>
      <c r="L96" s="13" t="str">
        <f>IFERROR(VLOOKUP(C96,'Справочник соответствий'!A$2:D$2996,3,FALSE),IF(VALUE(C96)=0,"ЭТАЖ НЕ ОПРЕДЕЛЕН. ПРИНЯТ ПО ДОПУЩЕНИЮ 1",VLOOKUP(C96,'Справочник соответствий'!A$2:D$2996,3,FALSE)))</f>
        <v>ЭТАЖ НЕ ОПРЕДЕЛЕН. ПРИНЯТ ПО ДОПУЩЕНИЮ 1</v>
      </c>
      <c r="M96" s="13" t="b">
        <f t="shared" si="8"/>
        <v>0</v>
      </c>
      <c r="N96" s="13">
        <f t="shared" si="9"/>
        <v>1</v>
      </c>
      <c r="O96" s="13" t="str">
        <f t="shared" si="10"/>
        <v>ЭТАЖ НЕ ОПРЕДЕЛЕН. ПРИНЯТ ПО ДОПУЩЕНИЮ 1</v>
      </c>
      <c r="P96" s="13" t="str">
        <f t="shared" si="11"/>
        <v>ЭТАЖ НЕ ОПРЕДЕЛЕН. ПРИНЯТ ПО ДОПУЩЕНИЮ 1</v>
      </c>
      <c r="Q96" s="13" t="str">
        <f t="shared" si="12"/>
        <v>ГОТОВ_ИЗМЕНЕН</v>
      </c>
      <c r="R96" s="13">
        <f>IFERROR(VLOOKUP(P96,Лист1!A$1:B$20,2,FALSE),0)</f>
        <v>788</v>
      </c>
      <c r="S96" s="13">
        <f t="shared" si="13"/>
        <v>0</v>
      </c>
    </row>
    <row r="97" spans="1:19" x14ac:dyDescent="0.25">
      <c r="A97" t="s">
        <v>1288</v>
      </c>
      <c r="B97" s="4" t="s">
        <v>1190</v>
      </c>
      <c r="C97" s="3" t="s">
        <v>5</v>
      </c>
      <c r="G97" s="3" t="s">
        <v>1191</v>
      </c>
      <c r="I97" s="3" t="str">
        <f>IFERROR(VLOOKUP(C97,'Справочник соответствий'!A$2:D$2996,2,FALSE),IF(VALUE(C97)=0,1,VLOOKUP(C97,'Справочник соответствий'!A$2:D$2996,2,FALSE)))</f>
        <v>1</v>
      </c>
      <c r="J97" s="3">
        <f>IFERROR(VLOOKUP(D97,'Справочник соответствий'!A$2:D$2996,2,FALSE),IF(VALUE(D97)=0,0,VLOOKUP(D97,'Справочник соответствий'!A$2:D$2996,2,FALSE)))</f>
        <v>0</v>
      </c>
      <c r="K97" s="3" t="str">
        <f t="shared" si="7"/>
        <v>1</v>
      </c>
      <c r="L97" s="13" t="str">
        <f>IFERROR(VLOOKUP(C97,'Справочник соответствий'!A$2:D$2996,3,FALSE),IF(VALUE(C97)=0,"ЭТАЖ НЕ ОПРЕДЕЛЕН. ПРИНЯТ ПО ДОПУЩЕНИЮ 1",VLOOKUP(C97,'Справочник соответствий'!A$2:D$2996,3,FALSE)))</f>
        <v>ЭТАЖ ЗАДАН ЧИСЛОМ</v>
      </c>
      <c r="M97" s="13" t="b">
        <f t="shared" si="8"/>
        <v>0</v>
      </c>
      <c r="N97" s="13">
        <f t="shared" si="9"/>
        <v>1</v>
      </c>
      <c r="O97" s="13" t="str">
        <f t="shared" si="10"/>
        <v>ЭТАЖ ЗАДАН ЧИСЛОМ</v>
      </c>
      <c r="P97" s="13" t="str">
        <f t="shared" si="11"/>
        <v>ЭТАЖ ЗАДАН ЧИСЛОМ</v>
      </c>
      <c r="Q97" s="13" t="str">
        <f t="shared" si="12"/>
        <v>ГОТОВ_ИЗМЕНЕН</v>
      </c>
      <c r="R97" s="13">
        <f>IFERROR(VLOOKUP(P97,Лист1!A$1:B$20,2,FALSE),0)</f>
        <v>784</v>
      </c>
      <c r="S97" s="13">
        <f t="shared" si="13"/>
        <v>0</v>
      </c>
    </row>
    <row r="98" spans="1:19" x14ac:dyDescent="0.25">
      <c r="A98" t="s">
        <v>1289</v>
      </c>
      <c r="B98" s="4" t="s">
        <v>1190</v>
      </c>
      <c r="C98" s="3" t="s">
        <v>5</v>
      </c>
      <c r="G98" s="3" t="s">
        <v>1191</v>
      </c>
      <c r="I98" s="3" t="str">
        <f>IFERROR(VLOOKUP(C98,'Справочник соответствий'!A$2:D$2996,2,FALSE),IF(VALUE(C98)=0,1,VLOOKUP(C98,'Справочник соответствий'!A$2:D$2996,2,FALSE)))</f>
        <v>1</v>
      </c>
      <c r="J98" s="3">
        <f>IFERROR(VLOOKUP(D98,'Справочник соответствий'!A$2:D$2996,2,FALSE),IF(VALUE(D98)=0,0,VLOOKUP(D98,'Справочник соответствий'!A$2:D$2996,2,FALSE)))</f>
        <v>0</v>
      </c>
      <c r="K98" s="3" t="str">
        <f t="shared" si="7"/>
        <v>1</v>
      </c>
      <c r="L98" s="13" t="str">
        <f>IFERROR(VLOOKUP(C98,'Справочник соответствий'!A$2:D$2996,3,FALSE),IF(VALUE(C98)=0,"ЭТАЖ НЕ ОПРЕДЕЛЕН. ПРИНЯТ ПО ДОПУЩЕНИЮ 1",VLOOKUP(C98,'Справочник соответствий'!A$2:D$2996,3,FALSE)))</f>
        <v>ЭТАЖ ЗАДАН ЧИСЛОМ</v>
      </c>
      <c r="M98" s="13" t="b">
        <f t="shared" si="8"/>
        <v>0</v>
      </c>
      <c r="N98" s="13">
        <f t="shared" si="9"/>
        <v>1</v>
      </c>
      <c r="O98" s="13" t="str">
        <f t="shared" si="10"/>
        <v>ЭТАЖ ЗАДАН ЧИСЛОМ</v>
      </c>
      <c r="P98" s="13" t="str">
        <f t="shared" si="11"/>
        <v>ЭТАЖ ЗАДАН ЧИСЛОМ</v>
      </c>
      <c r="Q98" s="13" t="str">
        <f t="shared" si="12"/>
        <v>ГОТОВ_ИЗМЕНЕН</v>
      </c>
      <c r="R98" s="13">
        <f>IFERROR(VLOOKUP(P98,Лист1!A$1:B$20,2,FALSE),0)</f>
        <v>784</v>
      </c>
      <c r="S98" s="13">
        <f t="shared" si="13"/>
        <v>0</v>
      </c>
    </row>
    <row r="99" spans="1:19" x14ac:dyDescent="0.25">
      <c r="A99" t="s">
        <v>1290</v>
      </c>
      <c r="B99" s="4" t="s">
        <v>1190</v>
      </c>
      <c r="C99" s="3" t="s">
        <v>7</v>
      </c>
      <c r="G99" s="3" t="s">
        <v>1191</v>
      </c>
      <c r="I99" s="3" t="str">
        <f>IFERROR(VLOOKUP(C99,'Справочник соответствий'!A$2:D$2996,2,FALSE),IF(VALUE(C99)=0,1,VLOOKUP(C99,'Справочник соответствий'!A$2:D$2996,2,FALSE)))</f>
        <v>2</v>
      </c>
      <c r="J99" s="3">
        <f>IFERROR(VLOOKUP(D99,'Справочник соответствий'!A$2:D$2996,2,FALSE),IF(VALUE(D99)=0,0,VLOOKUP(D99,'Справочник соответствий'!A$2:D$2996,2,FALSE)))</f>
        <v>0</v>
      </c>
      <c r="K99" s="3" t="str">
        <f t="shared" si="7"/>
        <v>2</v>
      </c>
      <c r="L99" s="13" t="str">
        <f>IFERROR(VLOOKUP(C99,'Справочник соответствий'!A$2:D$2996,3,FALSE),IF(VALUE(C99)=0,"ЭТАЖ НЕ ОПРЕДЕЛЕН. ПРИНЯТ ПО ДОПУЩЕНИЮ 1",VLOOKUP(C99,'Справочник соответствий'!A$2:D$2996,3,FALSE)))</f>
        <v>ЭТАЖ ЗАДАН ЧИСЛОМ</v>
      </c>
      <c r="M99" s="13" t="b">
        <f t="shared" si="8"/>
        <v>0</v>
      </c>
      <c r="N99" s="13">
        <f t="shared" si="9"/>
        <v>2</v>
      </c>
      <c r="O99" s="13" t="str">
        <f t="shared" si="10"/>
        <v>ЭТАЖ ЗАДАН ЧИСЛОМ</v>
      </c>
      <c r="P99" s="13" t="str">
        <f t="shared" si="11"/>
        <v>ЭТАЖ ЗАДАН ЧИСЛОМ</v>
      </c>
      <c r="Q99" s="13" t="str">
        <f t="shared" si="12"/>
        <v>ГОТОВ_ИЗМЕНЕН</v>
      </c>
      <c r="R99" s="13">
        <f>IFERROR(VLOOKUP(P99,Лист1!A$1:B$20,2,FALSE),0)</f>
        <v>784</v>
      </c>
      <c r="S99" s="13">
        <f t="shared" si="13"/>
        <v>0</v>
      </c>
    </row>
    <row r="100" spans="1:19" x14ac:dyDescent="0.25">
      <c r="A100" t="s">
        <v>1291</v>
      </c>
      <c r="B100" s="4" t="s">
        <v>1190</v>
      </c>
      <c r="C100" s="3" t="s">
        <v>7</v>
      </c>
      <c r="G100" s="3" t="s">
        <v>1191</v>
      </c>
      <c r="I100" s="3" t="str">
        <f>IFERROR(VLOOKUP(C100,'Справочник соответствий'!A$2:D$2996,2,FALSE),IF(VALUE(C100)=0,1,VLOOKUP(C100,'Справочник соответствий'!A$2:D$2996,2,FALSE)))</f>
        <v>2</v>
      </c>
      <c r="J100" s="3">
        <f>IFERROR(VLOOKUP(D100,'Справочник соответствий'!A$2:D$2996,2,FALSE),IF(VALUE(D100)=0,0,VLOOKUP(D100,'Справочник соответствий'!A$2:D$2996,2,FALSE)))</f>
        <v>0</v>
      </c>
      <c r="K100" s="3" t="str">
        <f t="shared" si="7"/>
        <v>2</v>
      </c>
      <c r="L100" s="13" t="str">
        <f>IFERROR(VLOOKUP(C100,'Справочник соответствий'!A$2:D$2996,3,FALSE),IF(VALUE(C100)=0,"ЭТАЖ НЕ ОПРЕДЕЛЕН. ПРИНЯТ ПО ДОПУЩЕНИЮ 1",VLOOKUP(C100,'Справочник соответствий'!A$2:D$2996,3,FALSE)))</f>
        <v>ЭТАЖ ЗАДАН ЧИСЛОМ</v>
      </c>
      <c r="M100" s="13" t="b">
        <f t="shared" si="8"/>
        <v>0</v>
      </c>
      <c r="N100" s="13">
        <f t="shared" si="9"/>
        <v>2</v>
      </c>
      <c r="O100" s="13" t="str">
        <f t="shared" si="10"/>
        <v>ЭТАЖ ЗАДАН ЧИСЛОМ</v>
      </c>
      <c r="P100" s="13" t="str">
        <f t="shared" si="11"/>
        <v>ЭТАЖ ЗАДАН ЧИСЛОМ</v>
      </c>
      <c r="Q100" s="13" t="str">
        <f t="shared" si="12"/>
        <v>ГОТОВ_ИЗМЕНЕН</v>
      </c>
      <c r="R100" s="13">
        <f>IFERROR(VLOOKUP(P100,Лист1!A$1:B$20,2,FALSE),0)</f>
        <v>784</v>
      </c>
      <c r="S100" s="13">
        <f t="shared" si="13"/>
        <v>0</v>
      </c>
    </row>
    <row r="101" spans="1:19" x14ac:dyDescent="0.25">
      <c r="A101" t="s">
        <v>1292</v>
      </c>
      <c r="B101" s="4" t="s">
        <v>1190</v>
      </c>
      <c r="C101" s="3" t="s">
        <v>7</v>
      </c>
      <c r="G101" s="3" t="s">
        <v>1183</v>
      </c>
      <c r="I101" s="3" t="str">
        <f>IFERROR(VLOOKUP(C101,'Справочник соответствий'!A$2:D$2996,2,FALSE),IF(VALUE(C101)=0,1,VLOOKUP(C101,'Справочник соответствий'!A$2:D$2996,2,FALSE)))</f>
        <v>2</v>
      </c>
      <c r="J101" s="3">
        <f>IFERROR(VLOOKUP(D101,'Справочник соответствий'!A$2:D$2996,2,FALSE),IF(VALUE(D101)=0,0,VLOOKUP(D101,'Справочник соответствий'!A$2:D$2996,2,FALSE)))</f>
        <v>0</v>
      </c>
      <c r="K101" s="3" t="str">
        <f t="shared" si="7"/>
        <v>2</v>
      </c>
      <c r="L101" s="13" t="str">
        <f>IFERROR(VLOOKUP(C101,'Справочник соответствий'!A$2:D$2996,3,FALSE),IF(VALUE(C101)=0,"ЭТАЖ НЕ ОПРЕДЕЛЕН. ПРИНЯТ ПО ДОПУЩЕНИЮ 1",VLOOKUP(C101,'Справочник соответствий'!A$2:D$2996,3,FALSE)))</f>
        <v>ЭТАЖ ЗАДАН ЧИСЛОМ</v>
      </c>
      <c r="M101" s="13" t="b">
        <f t="shared" si="8"/>
        <v>0</v>
      </c>
      <c r="N101" s="13">
        <f t="shared" si="9"/>
        <v>2</v>
      </c>
      <c r="O101" s="13" t="str">
        <f t="shared" si="10"/>
        <v>ЭТАЖ ЗАДАН ЧИСЛОМ</v>
      </c>
      <c r="P101" s="13" t="str">
        <f t="shared" si="11"/>
        <v>ЭТАЖ ЗАДАН ЧИСЛОМ</v>
      </c>
      <c r="Q101" s="13" t="str">
        <f t="shared" si="12"/>
        <v>ГОТОВ_ИЗМЕНЕН</v>
      </c>
      <c r="R101" s="13">
        <f>IFERROR(VLOOKUP(P101,Лист1!A$1:B$20,2,FALSE),0)</f>
        <v>784</v>
      </c>
      <c r="S101" s="13">
        <f t="shared" si="13"/>
        <v>0</v>
      </c>
    </row>
    <row r="102" spans="1:19" x14ac:dyDescent="0.25">
      <c r="A102" t="s">
        <v>1293</v>
      </c>
      <c r="B102" s="4" t="s">
        <v>1182</v>
      </c>
      <c r="C102" s="3" t="s">
        <v>5</v>
      </c>
      <c r="G102" s="3" t="s">
        <v>1183</v>
      </c>
      <c r="I102" s="3" t="str">
        <f>IFERROR(VLOOKUP(C102,'Справочник соответствий'!A$2:D$2996,2,FALSE),IF(VALUE(C102)=0,1,VLOOKUP(C102,'Справочник соответствий'!A$2:D$2996,2,FALSE)))</f>
        <v>1</v>
      </c>
      <c r="J102" s="3">
        <f>IFERROR(VLOOKUP(D102,'Справочник соответствий'!A$2:D$2996,2,FALSE),IF(VALUE(D102)=0,0,VLOOKUP(D102,'Справочник соответствий'!A$2:D$2996,2,FALSE)))</f>
        <v>0</v>
      </c>
      <c r="K102" s="3" t="str">
        <f t="shared" si="7"/>
        <v>1</v>
      </c>
      <c r="L102" s="13" t="str">
        <f>IFERROR(VLOOKUP(C102,'Справочник соответствий'!A$2:D$2996,3,FALSE),IF(VALUE(C102)=0,"ЭТАЖ НЕ ОПРЕДЕЛЕН. ПРИНЯТ ПО ДОПУЩЕНИЮ 1",VLOOKUP(C102,'Справочник соответствий'!A$2:D$2996,3,FALSE)))</f>
        <v>ЭТАЖ ЗАДАН ЧИСЛОМ</v>
      </c>
      <c r="M102" s="13" t="b">
        <f t="shared" si="8"/>
        <v>0</v>
      </c>
      <c r="N102" s="13">
        <f t="shared" si="9"/>
        <v>1</v>
      </c>
      <c r="O102" s="13" t="str">
        <f t="shared" si="10"/>
        <v>ЭТАЖ ЗАДАН ЧИСЛОМ</v>
      </c>
      <c r="P102" s="13" t="str">
        <f t="shared" si="11"/>
        <v>ЭТАЖ ЗАДАН ЧИСЛОМ</v>
      </c>
      <c r="Q102" s="13" t="str">
        <f t="shared" si="12"/>
        <v>ГОТОВ_ИЗМЕНЕН</v>
      </c>
      <c r="R102" s="13">
        <f>IFERROR(VLOOKUP(P102,Лист1!A$1:B$20,2,FALSE),0)</f>
        <v>784</v>
      </c>
      <c r="S102" s="13">
        <f t="shared" si="13"/>
        <v>0</v>
      </c>
    </row>
    <row r="103" spans="1:19" x14ac:dyDescent="0.25">
      <c r="A103" t="s">
        <v>1294</v>
      </c>
      <c r="B103" s="4" t="s">
        <v>1182</v>
      </c>
      <c r="C103" s="3" t="s">
        <v>5</v>
      </c>
      <c r="G103" s="3" t="s">
        <v>1183</v>
      </c>
      <c r="I103" s="3" t="str">
        <f>IFERROR(VLOOKUP(C103,'Справочник соответствий'!A$2:D$2996,2,FALSE),IF(VALUE(C103)=0,1,VLOOKUP(C103,'Справочник соответствий'!A$2:D$2996,2,FALSE)))</f>
        <v>1</v>
      </c>
      <c r="J103" s="3">
        <f>IFERROR(VLOOKUP(D103,'Справочник соответствий'!A$2:D$2996,2,FALSE),IF(VALUE(D103)=0,0,VLOOKUP(D103,'Справочник соответствий'!A$2:D$2996,2,FALSE)))</f>
        <v>0</v>
      </c>
      <c r="K103" s="3" t="str">
        <f t="shared" si="7"/>
        <v>1</v>
      </c>
      <c r="L103" s="13" t="str">
        <f>IFERROR(VLOOKUP(C103,'Справочник соответствий'!A$2:D$2996,3,FALSE),IF(VALUE(C103)=0,"ЭТАЖ НЕ ОПРЕДЕЛЕН. ПРИНЯТ ПО ДОПУЩЕНИЮ 1",VLOOKUP(C103,'Справочник соответствий'!A$2:D$2996,3,FALSE)))</f>
        <v>ЭТАЖ ЗАДАН ЧИСЛОМ</v>
      </c>
      <c r="M103" s="13" t="b">
        <f t="shared" si="8"/>
        <v>0</v>
      </c>
      <c r="N103" s="13">
        <f t="shared" si="9"/>
        <v>1</v>
      </c>
      <c r="O103" s="13" t="str">
        <f t="shared" si="10"/>
        <v>ЭТАЖ ЗАДАН ЧИСЛОМ</v>
      </c>
      <c r="P103" s="13" t="str">
        <f t="shared" si="11"/>
        <v>ЭТАЖ ЗАДАН ЧИСЛОМ</v>
      </c>
      <c r="Q103" s="13" t="str">
        <f t="shared" si="12"/>
        <v>ГОТОВ_ИЗМЕНЕН</v>
      </c>
      <c r="R103" s="13">
        <f>IFERROR(VLOOKUP(P103,Лист1!A$1:B$20,2,FALSE),0)</f>
        <v>784</v>
      </c>
      <c r="S103" s="13">
        <f t="shared" si="13"/>
        <v>0</v>
      </c>
    </row>
    <row r="104" spans="1:19" x14ac:dyDescent="0.25">
      <c r="A104" t="s">
        <v>1295</v>
      </c>
      <c r="B104" s="4" t="s">
        <v>1190</v>
      </c>
      <c r="C104" s="3" t="s">
        <v>5</v>
      </c>
      <c r="G104" s="3" t="s">
        <v>1183</v>
      </c>
      <c r="I104" s="3" t="str">
        <f>IFERROR(VLOOKUP(C104,'Справочник соответствий'!A$2:D$2996,2,FALSE),IF(VALUE(C104)=0,1,VLOOKUP(C104,'Справочник соответствий'!A$2:D$2996,2,FALSE)))</f>
        <v>1</v>
      </c>
      <c r="J104" s="3">
        <f>IFERROR(VLOOKUP(D104,'Справочник соответствий'!A$2:D$2996,2,FALSE),IF(VALUE(D104)=0,0,VLOOKUP(D104,'Справочник соответствий'!A$2:D$2996,2,FALSE)))</f>
        <v>0</v>
      </c>
      <c r="K104" s="3" t="str">
        <f t="shared" si="7"/>
        <v>1</v>
      </c>
      <c r="L104" s="13" t="str">
        <f>IFERROR(VLOOKUP(C104,'Справочник соответствий'!A$2:D$2996,3,FALSE),IF(VALUE(C104)=0,"ЭТАЖ НЕ ОПРЕДЕЛЕН. ПРИНЯТ ПО ДОПУЩЕНИЮ 1",VLOOKUP(C104,'Справочник соответствий'!A$2:D$2996,3,FALSE)))</f>
        <v>ЭТАЖ ЗАДАН ЧИСЛОМ</v>
      </c>
      <c r="M104" s="13" t="b">
        <f t="shared" si="8"/>
        <v>0</v>
      </c>
      <c r="N104" s="13">
        <f t="shared" si="9"/>
        <v>1</v>
      </c>
      <c r="O104" s="13" t="str">
        <f t="shared" si="10"/>
        <v>ЭТАЖ ЗАДАН ЧИСЛОМ</v>
      </c>
      <c r="P104" s="13" t="str">
        <f t="shared" si="11"/>
        <v>ЭТАЖ ЗАДАН ЧИСЛОМ</v>
      </c>
      <c r="Q104" s="13" t="str">
        <f t="shared" si="12"/>
        <v>ГОТОВ_ИЗМЕНЕН</v>
      </c>
      <c r="R104" s="13">
        <f>IFERROR(VLOOKUP(P104,Лист1!A$1:B$20,2,FALSE),0)</f>
        <v>784</v>
      </c>
      <c r="S104" s="13">
        <f t="shared" si="13"/>
        <v>0</v>
      </c>
    </row>
    <row r="105" spans="1:19" x14ac:dyDescent="0.25">
      <c r="A105" t="s">
        <v>1296</v>
      </c>
      <c r="B105" s="4" t="s">
        <v>1190</v>
      </c>
      <c r="C105" s="3" t="s">
        <v>5</v>
      </c>
      <c r="G105" s="3" t="s">
        <v>1183</v>
      </c>
      <c r="I105" s="3" t="str">
        <f>IFERROR(VLOOKUP(C105,'Справочник соответствий'!A$2:D$2996,2,FALSE),IF(VALUE(C105)=0,1,VLOOKUP(C105,'Справочник соответствий'!A$2:D$2996,2,FALSE)))</f>
        <v>1</v>
      </c>
      <c r="J105" s="3">
        <f>IFERROR(VLOOKUP(D105,'Справочник соответствий'!A$2:D$2996,2,FALSE),IF(VALUE(D105)=0,0,VLOOKUP(D105,'Справочник соответствий'!A$2:D$2996,2,FALSE)))</f>
        <v>0</v>
      </c>
      <c r="K105" s="3" t="str">
        <f t="shared" si="7"/>
        <v>1</v>
      </c>
      <c r="L105" s="13" t="str">
        <f>IFERROR(VLOOKUP(C105,'Справочник соответствий'!A$2:D$2996,3,FALSE),IF(VALUE(C105)=0,"ЭТАЖ НЕ ОПРЕДЕЛЕН. ПРИНЯТ ПО ДОПУЩЕНИЮ 1",VLOOKUP(C105,'Справочник соответствий'!A$2:D$2996,3,FALSE)))</f>
        <v>ЭТАЖ ЗАДАН ЧИСЛОМ</v>
      </c>
      <c r="M105" s="13" t="b">
        <f t="shared" si="8"/>
        <v>0</v>
      </c>
      <c r="N105" s="13">
        <f t="shared" si="9"/>
        <v>1</v>
      </c>
      <c r="O105" s="13" t="str">
        <f t="shared" si="10"/>
        <v>ЭТАЖ ЗАДАН ЧИСЛОМ</v>
      </c>
      <c r="P105" s="13" t="str">
        <f t="shared" si="11"/>
        <v>ЭТАЖ ЗАДАН ЧИСЛОМ</v>
      </c>
      <c r="Q105" s="13" t="str">
        <f t="shared" si="12"/>
        <v>ГОТОВ_ИЗМЕНЕН</v>
      </c>
      <c r="R105" s="13">
        <f>IFERROR(VLOOKUP(P105,Лист1!A$1:B$20,2,FALSE),0)</f>
        <v>784</v>
      </c>
      <c r="S105" s="13">
        <f t="shared" si="13"/>
        <v>0</v>
      </c>
    </row>
    <row r="106" spans="1:19" x14ac:dyDescent="0.25">
      <c r="A106" t="s">
        <v>1297</v>
      </c>
      <c r="B106" s="4" t="s">
        <v>1182</v>
      </c>
      <c r="C106" s="3" t="s">
        <v>5</v>
      </c>
      <c r="G106" s="3" t="s">
        <v>1183</v>
      </c>
      <c r="I106" s="3" t="str">
        <f>IFERROR(VLOOKUP(C106,'Справочник соответствий'!A$2:D$2996,2,FALSE),IF(VALUE(C106)=0,1,VLOOKUP(C106,'Справочник соответствий'!A$2:D$2996,2,FALSE)))</f>
        <v>1</v>
      </c>
      <c r="J106" s="3">
        <f>IFERROR(VLOOKUP(D106,'Справочник соответствий'!A$2:D$2996,2,FALSE),IF(VALUE(D106)=0,0,VLOOKUP(D106,'Справочник соответствий'!A$2:D$2996,2,FALSE)))</f>
        <v>0</v>
      </c>
      <c r="K106" s="3" t="str">
        <f t="shared" si="7"/>
        <v>1</v>
      </c>
      <c r="L106" s="13" t="str">
        <f>IFERROR(VLOOKUP(C106,'Справочник соответствий'!A$2:D$2996,3,FALSE),IF(VALUE(C106)=0,"ЭТАЖ НЕ ОПРЕДЕЛЕН. ПРИНЯТ ПО ДОПУЩЕНИЮ 1",VLOOKUP(C106,'Справочник соответствий'!A$2:D$2996,3,FALSE)))</f>
        <v>ЭТАЖ ЗАДАН ЧИСЛОМ</v>
      </c>
      <c r="M106" s="13" t="b">
        <f t="shared" si="8"/>
        <v>0</v>
      </c>
      <c r="N106" s="13">
        <f t="shared" si="9"/>
        <v>1</v>
      </c>
      <c r="O106" s="13" t="str">
        <f t="shared" si="10"/>
        <v>ЭТАЖ ЗАДАН ЧИСЛОМ</v>
      </c>
      <c r="P106" s="13" t="str">
        <f t="shared" si="11"/>
        <v>ЭТАЖ ЗАДАН ЧИСЛОМ</v>
      </c>
      <c r="Q106" s="13" t="str">
        <f t="shared" si="12"/>
        <v>ГОТОВ_ИЗМЕНЕН</v>
      </c>
      <c r="R106" s="13">
        <f>IFERROR(VLOOKUP(P106,Лист1!A$1:B$20,2,FALSE),0)</f>
        <v>784</v>
      </c>
      <c r="S106" s="13">
        <f t="shared" si="13"/>
        <v>0</v>
      </c>
    </row>
    <row r="107" spans="1:19" x14ac:dyDescent="0.25">
      <c r="A107" t="s">
        <v>1298</v>
      </c>
      <c r="B107" s="4" t="s">
        <v>1182</v>
      </c>
      <c r="C107" s="3" t="s">
        <v>5</v>
      </c>
      <c r="G107" s="3" t="s">
        <v>1198</v>
      </c>
      <c r="I107" s="3" t="str">
        <f>IFERROR(VLOOKUP(C107,'Справочник соответствий'!A$2:D$2996,2,FALSE),IF(VALUE(C107)=0,1,VLOOKUP(C107,'Справочник соответствий'!A$2:D$2996,2,FALSE)))</f>
        <v>1</v>
      </c>
      <c r="J107" s="3">
        <f>IFERROR(VLOOKUP(D107,'Справочник соответствий'!A$2:D$2996,2,FALSE),IF(VALUE(D107)=0,0,VLOOKUP(D107,'Справочник соответствий'!A$2:D$2996,2,FALSE)))</f>
        <v>0</v>
      </c>
      <c r="K107" s="3" t="str">
        <f t="shared" si="7"/>
        <v>1</v>
      </c>
      <c r="L107" s="13" t="str">
        <f>IFERROR(VLOOKUP(C107,'Справочник соответствий'!A$2:D$2996,3,FALSE),IF(VALUE(C107)=0,"ЭТАЖ НЕ ОПРЕДЕЛЕН. ПРИНЯТ ПО ДОПУЩЕНИЮ 1",VLOOKUP(C107,'Справочник соответствий'!A$2:D$2996,3,FALSE)))</f>
        <v>ЭТАЖ ЗАДАН ЧИСЛОМ</v>
      </c>
      <c r="M107" s="13" t="b">
        <f t="shared" si="8"/>
        <v>0</v>
      </c>
      <c r="N107" s="13">
        <f t="shared" si="9"/>
        <v>1</v>
      </c>
      <c r="O107" s="13" t="str">
        <f t="shared" si="10"/>
        <v>ЭТАЖ ЗАДАН ЧИСЛОМ</v>
      </c>
      <c r="P107" s="13" t="str">
        <f t="shared" si="11"/>
        <v>ЭТАЖ ЗАДАН ЧИСЛОМ</v>
      </c>
      <c r="Q107" s="13" t="str">
        <f t="shared" si="12"/>
        <v>ГОТОВ_ИЗМЕНЕН</v>
      </c>
      <c r="R107" s="13">
        <f>IFERROR(VLOOKUP(P107,Лист1!A$1:B$20,2,FALSE),0)</f>
        <v>784</v>
      </c>
      <c r="S107" s="13">
        <f t="shared" si="13"/>
        <v>0</v>
      </c>
    </row>
    <row r="108" spans="1:19" x14ac:dyDescent="0.25">
      <c r="A108" t="s">
        <v>1299</v>
      </c>
      <c r="B108" s="4" t="s">
        <v>1190</v>
      </c>
      <c r="C108" s="3" t="s">
        <v>7</v>
      </c>
      <c r="G108" s="3" t="s">
        <v>1198</v>
      </c>
      <c r="I108" s="3" t="str">
        <f>IFERROR(VLOOKUP(C108,'Справочник соответствий'!A$2:D$2996,2,FALSE),IF(VALUE(C108)=0,1,VLOOKUP(C108,'Справочник соответствий'!A$2:D$2996,2,FALSE)))</f>
        <v>2</v>
      </c>
      <c r="J108" s="3">
        <f>IFERROR(VLOOKUP(D108,'Справочник соответствий'!A$2:D$2996,2,FALSE),IF(VALUE(D108)=0,0,VLOOKUP(D108,'Справочник соответствий'!A$2:D$2996,2,FALSE)))</f>
        <v>0</v>
      </c>
      <c r="K108" s="3" t="str">
        <f t="shared" si="7"/>
        <v>2</v>
      </c>
      <c r="L108" s="13" t="str">
        <f>IFERROR(VLOOKUP(C108,'Справочник соответствий'!A$2:D$2996,3,FALSE),IF(VALUE(C108)=0,"ЭТАЖ НЕ ОПРЕДЕЛЕН. ПРИНЯТ ПО ДОПУЩЕНИЮ 1",VLOOKUP(C108,'Справочник соответствий'!A$2:D$2996,3,FALSE)))</f>
        <v>ЭТАЖ ЗАДАН ЧИСЛОМ</v>
      </c>
      <c r="M108" s="13" t="b">
        <f t="shared" si="8"/>
        <v>0</v>
      </c>
      <c r="N108" s="13">
        <f t="shared" si="9"/>
        <v>2</v>
      </c>
      <c r="O108" s="13" t="str">
        <f t="shared" si="10"/>
        <v>ЭТАЖ ЗАДАН ЧИСЛОМ</v>
      </c>
      <c r="P108" s="13" t="str">
        <f t="shared" si="11"/>
        <v>ЭТАЖ ЗАДАН ЧИСЛОМ</v>
      </c>
      <c r="Q108" s="13" t="str">
        <f t="shared" si="12"/>
        <v>ГОТОВ_ИЗМЕНЕН</v>
      </c>
      <c r="R108" s="13">
        <f>IFERROR(VLOOKUP(P108,Лист1!A$1:B$20,2,FALSE),0)</f>
        <v>784</v>
      </c>
      <c r="S108" s="13">
        <f t="shared" si="13"/>
        <v>0</v>
      </c>
    </row>
    <row r="109" spans="1:19" x14ac:dyDescent="0.25">
      <c r="A109" t="s">
        <v>1300</v>
      </c>
      <c r="B109" s="4" t="s">
        <v>1190</v>
      </c>
      <c r="C109" s="3" t="s">
        <v>5</v>
      </c>
      <c r="G109" s="3" t="s">
        <v>1198</v>
      </c>
      <c r="I109" s="3" t="str">
        <f>IFERROR(VLOOKUP(C109,'Справочник соответствий'!A$2:D$2996,2,FALSE),IF(VALUE(C109)=0,1,VLOOKUP(C109,'Справочник соответствий'!A$2:D$2996,2,FALSE)))</f>
        <v>1</v>
      </c>
      <c r="J109" s="3">
        <f>IFERROR(VLOOKUP(D109,'Справочник соответствий'!A$2:D$2996,2,FALSE),IF(VALUE(D109)=0,0,VLOOKUP(D109,'Справочник соответствий'!A$2:D$2996,2,FALSE)))</f>
        <v>0</v>
      </c>
      <c r="K109" s="3" t="str">
        <f t="shared" si="7"/>
        <v>1</v>
      </c>
      <c r="L109" s="13" t="str">
        <f>IFERROR(VLOOKUP(C109,'Справочник соответствий'!A$2:D$2996,3,FALSE),IF(VALUE(C109)=0,"ЭТАЖ НЕ ОПРЕДЕЛЕН. ПРИНЯТ ПО ДОПУЩЕНИЮ 1",VLOOKUP(C109,'Справочник соответствий'!A$2:D$2996,3,FALSE)))</f>
        <v>ЭТАЖ ЗАДАН ЧИСЛОМ</v>
      </c>
      <c r="M109" s="13" t="b">
        <f t="shared" si="8"/>
        <v>0</v>
      </c>
      <c r="N109" s="13">
        <f t="shared" si="9"/>
        <v>1</v>
      </c>
      <c r="O109" s="13" t="str">
        <f t="shared" si="10"/>
        <v>ЭТАЖ ЗАДАН ЧИСЛОМ</v>
      </c>
      <c r="P109" s="13" t="str">
        <f t="shared" si="11"/>
        <v>ЭТАЖ ЗАДАН ЧИСЛОМ</v>
      </c>
      <c r="Q109" s="13" t="str">
        <f t="shared" si="12"/>
        <v>ГОТОВ_ИЗМЕНЕН</v>
      </c>
      <c r="R109" s="13">
        <f>IFERROR(VLOOKUP(P109,Лист1!A$1:B$20,2,FALSE),0)</f>
        <v>784</v>
      </c>
      <c r="S109" s="13">
        <f t="shared" si="13"/>
        <v>0</v>
      </c>
    </row>
    <row r="110" spans="1:19" x14ac:dyDescent="0.25">
      <c r="A110" t="s">
        <v>1301</v>
      </c>
      <c r="B110" s="4" t="s">
        <v>1182</v>
      </c>
      <c r="C110" s="3" t="s">
        <v>5</v>
      </c>
      <c r="G110" s="3" t="s">
        <v>1198</v>
      </c>
      <c r="I110" s="3" t="str">
        <f>IFERROR(VLOOKUP(C110,'Справочник соответствий'!A$2:D$2996,2,FALSE),IF(VALUE(C110)=0,1,VLOOKUP(C110,'Справочник соответствий'!A$2:D$2996,2,FALSE)))</f>
        <v>1</v>
      </c>
      <c r="J110" s="3">
        <f>IFERROR(VLOOKUP(D110,'Справочник соответствий'!A$2:D$2996,2,FALSE),IF(VALUE(D110)=0,0,VLOOKUP(D110,'Справочник соответствий'!A$2:D$2996,2,FALSE)))</f>
        <v>0</v>
      </c>
      <c r="K110" s="3" t="str">
        <f t="shared" si="7"/>
        <v>1</v>
      </c>
      <c r="L110" s="13" t="str">
        <f>IFERROR(VLOOKUP(C110,'Справочник соответствий'!A$2:D$2996,3,FALSE),IF(VALUE(C110)=0,"ЭТАЖ НЕ ОПРЕДЕЛЕН. ПРИНЯТ ПО ДОПУЩЕНИЮ 1",VLOOKUP(C110,'Справочник соответствий'!A$2:D$2996,3,FALSE)))</f>
        <v>ЭТАЖ ЗАДАН ЧИСЛОМ</v>
      </c>
      <c r="M110" s="13" t="b">
        <f t="shared" si="8"/>
        <v>0</v>
      </c>
      <c r="N110" s="13">
        <f t="shared" si="9"/>
        <v>1</v>
      </c>
      <c r="O110" s="13" t="str">
        <f t="shared" si="10"/>
        <v>ЭТАЖ ЗАДАН ЧИСЛОМ</v>
      </c>
      <c r="P110" s="13" t="str">
        <f t="shared" si="11"/>
        <v>ЭТАЖ ЗАДАН ЧИСЛОМ</v>
      </c>
      <c r="Q110" s="13" t="str">
        <f t="shared" si="12"/>
        <v>ГОТОВ_ИЗМЕНЕН</v>
      </c>
      <c r="R110" s="13">
        <f>IFERROR(VLOOKUP(P110,Лист1!A$1:B$20,2,FALSE),0)</f>
        <v>784</v>
      </c>
      <c r="S110" s="13">
        <f t="shared" si="13"/>
        <v>0</v>
      </c>
    </row>
    <row r="111" spans="1:19" x14ac:dyDescent="0.25">
      <c r="A111" t="s">
        <v>1302</v>
      </c>
      <c r="B111" s="4" t="s">
        <v>1190</v>
      </c>
      <c r="C111" s="3" t="s">
        <v>5</v>
      </c>
      <c r="G111" s="3" t="s">
        <v>1198</v>
      </c>
      <c r="I111" s="3" t="str">
        <f>IFERROR(VLOOKUP(C111,'Справочник соответствий'!A$2:D$2996,2,FALSE),IF(VALUE(C111)=0,1,VLOOKUP(C111,'Справочник соответствий'!A$2:D$2996,2,FALSE)))</f>
        <v>1</v>
      </c>
      <c r="J111" s="3">
        <f>IFERROR(VLOOKUP(D111,'Справочник соответствий'!A$2:D$2996,2,FALSE),IF(VALUE(D111)=0,0,VLOOKUP(D111,'Справочник соответствий'!A$2:D$2996,2,FALSE)))</f>
        <v>0</v>
      </c>
      <c r="K111" s="3" t="str">
        <f t="shared" si="7"/>
        <v>1</v>
      </c>
      <c r="L111" s="13" t="str">
        <f>IFERROR(VLOOKUP(C111,'Справочник соответствий'!A$2:D$2996,3,FALSE),IF(VALUE(C111)=0,"ЭТАЖ НЕ ОПРЕДЕЛЕН. ПРИНЯТ ПО ДОПУЩЕНИЮ 1",VLOOKUP(C111,'Справочник соответствий'!A$2:D$2996,3,FALSE)))</f>
        <v>ЭТАЖ ЗАДАН ЧИСЛОМ</v>
      </c>
      <c r="M111" s="13" t="b">
        <f t="shared" si="8"/>
        <v>0</v>
      </c>
      <c r="N111" s="13">
        <f t="shared" si="9"/>
        <v>1</v>
      </c>
      <c r="O111" s="13" t="str">
        <f t="shared" si="10"/>
        <v>ЭТАЖ ЗАДАН ЧИСЛОМ</v>
      </c>
      <c r="P111" s="13" t="str">
        <f t="shared" si="11"/>
        <v>ЭТАЖ ЗАДАН ЧИСЛОМ</v>
      </c>
      <c r="Q111" s="13" t="str">
        <f t="shared" si="12"/>
        <v>ГОТОВ_ИЗМЕНЕН</v>
      </c>
      <c r="R111" s="13">
        <f>IFERROR(VLOOKUP(P111,Лист1!A$1:B$20,2,FALSE),0)</f>
        <v>784</v>
      </c>
      <c r="S111" s="13">
        <f t="shared" si="13"/>
        <v>0</v>
      </c>
    </row>
    <row r="112" spans="1:19" x14ac:dyDescent="0.25">
      <c r="A112" t="s">
        <v>1303</v>
      </c>
      <c r="B112" s="4" t="s">
        <v>1190</v>
      </c>
      <c r="C112" s="3" t="s">
        <v>5</v>
      </c>
      <c r="G112" s="3" t="s">
        <v>1224</v>
      </c>
      <c r="I112" s="3" t="str">
        <f>IFERROR(VLOOKUP(C112,'Справочник соответствий'!A$2:D$2996,2,FALSE),IF(VALUE(C112)=0,1,VLOOKUP(C112,'Справочник соответствий'!A$2:D$2996,2,FALSE)))</f>
        <v>1</v>
      </c>
      <c r="J112" s="3">
        <f>IFERROR(VLOOKUP(D112,'Справочник соответствий'!A$2:D$2996,2,FALSE),IF(VALUE(D112)=0,0,VLOOKUP(D112,'Справочник соответствий'!A$2:D$2996,2,FALSE)))</f>
        <v>0</v>
      </c>
      <c r="K112" s="3" t="str">
        <f t="shared" si="7"/>
        <v>1</v>
      </c>
      <c r="L112" s="13" t="str">
        <f>IFERROR(VLOOKUP(C112,'Справочник соответствий'!A$2:D$2996,3,FALSE),IF(VALUE(C112)=0,"ЭТАЖ НЕ ОПРЕДЕЛЕН. ПРИНЯТ ПО ДОПУЩЕНИЮ 1",VLOOKUP(C112,'Справочник соответствий'!A$2:D$2996,3,FALSE)))</f>
        <v>ЭТАЖ ЗАДАН ЧИСЛОМ</v>
      </c>
      <c r="M112" s="13" t="b">
        <f t="shared" si="8"/>
        <v>0</v>
      </c>
      <c r="N112" s="13">
        <f t="shared" si="9"/>
        <v>1</v>
      </c>
      <c r="O112" s="13" t="str">
        <f t="shared" si="10"/>
        <v>ЭТАЖ ЗАДАН ЧИСЛОМ</v>
      </c>
      <c r="P112" s="13" t="str">
        <f t="shared" si="11"/>
        <v>ЭТАЖ ЗАДАН ЧИСЛОМ</v>
      </c>
      <c r="Q112" s="13" t="str">
        <f t="shared" si="12"/>
        <v>ГОТОВ_ИЗМЕНЕН</v>
      </c>
      <c r="R112" s="13">
        <f>IFERROR(VLOOKUP(P112,Лист1!A$1:B$20,2,FALSE),0)</f>
        <v>784</v>
      </c>
      <c r="S112" s="13">
        <f t="shared" si="13"/>
        <v>0</v>
      </c>
    </row>
    <row r="113" spans="1:19" x14ac:dyDescent="0.25">
      <c r="A113" t="s">
        <v>1304</v>
      </c>
      <c r="B113" s="4" t="s">
        <v>1190</v>
      </c>
      <c r="C113" s="3" t="s">
        <v>5</v>
      </c>
      <c r="G113" s="3" t="s">
        <v>1224</v>
      </c>
      <c r="I113" s="3" t="str">
        <f>IFERROR(VLOOKUP(C113,'Справочник соответствий'!A$2:D$2996,2,FALSE),IF(VALUE(C113)=0,1,VLOOKUP(C113,'Справочник соответствий'!A$2:D$2996,2,FALSE)))</f>
        <v>1</v>
      </c>
      <c r="J113" s="3">
        <f>IFERROR(VLOOKUP(D113,'Справочник соответствий'!A$2:D$2996,2,FALSE),IF(VALUE(D113)=0,0,VLOOKUP(D113,'Справочник соответствий'!A$2:D$2996,2,FALSE)))</f>
        <v>0</v>
      </c>
      <c r="K113" s="3" t="str">
        <f t="shared" si="7"/>
        <v>1</v>
      </c>
      <c r="L113" s="13" t="str">
        <f>IFERROR(VLOOKUP(C113,'Справочник соответствий'!A$2:D$2996,3,FALSE),IF(VALUE(C113)=0,"ЭТАЖ НЕ ОПРЕДЕЛЕН. ПРИНЯТ ПО ДОПУЩЕНИЮ 1",VLOOKUP(C113,'Справочник соответствий'!A$2:D$2996,3,FALSE)))</f>
        <v>ЭТАЖ ЗАДАН ЧИСЛОМ</v>
      </c>
      <c r="M113" s="13" t="b">
        <f t="shared" si="8"/>
        <v>0</v>
      </c>
      <c r="N113" s="13">
        <f t="shared" si="9"/>
        <v>1</v>
      </c>
      <c r="O113" s="13" t="str">
        <f t="shared" si="10"/>
        <v>ЭТАЖ ЗАДАН ЧИСЛОМ</v>
      </c>
      <c r="P113" s="13" t="str">
        <f t="shared" si="11"/>
        <v>ЭТАЖ ЗАДАН ЧИСЛОМ</v>
      </c>
      <c r="Q113" s="13" t="str">
        <f t="shared" si="12"/>
        <v>ГОТОВ_ИЗМЕНЕН</v>
      </c>
      <c r="R113" s="13">
        <f>IFERROR(VLOOKUP(P113,Лист1!A$1:B$20,2,FALSE),0)</f>
        <v>784</v>
      </c>
      <c r="S113" s="13">
        <f t="shared" si="13"/>
        <v>0</v>
      </c>
    </row>
    <row r="114" spans="1:19" x14ac:dyDescent="0.25">
      <c r="A114" t="s">
        <v>1305</v>
      </c>
      <c r="B114" s="4" t="s">
        <v>1182</v>
      </c>
      <c r="C114" s="3" t="s">
        <v>21</v>
      </c>
      <c r="G114" s="3" t="s">
        <v>1224</v>
      </c>
      <c r="I114" s="3" t="str">
        <f>IFERROR(VLOOKUP(C114,'Справочник соответствий'!A$2:D$2996,2,FALSE),IF(VALUE(C114)=0,1,VLOOKUP(C114,'Справочник соответствий'!A$2:D$2996,2,FALSE)))</f>
        <v>2</v>
      </c>
      <c r="J114" s="3">
        <f>IFERROR(VLOOKUP(D114,'Справочник соответствий'!A$2:D$2996,2,FALSE),IF(VALUE(D114)=0,0,VLOOKUP(D114,'Справочник соответствий'!A$2:D$2996,2,FALSE)))</f>
        <v>0</v>
      </c>
      <c r="K114" s="3" t="str">
        <f t="shared" si="7"/>
        <v>2</v>
      </c>
      <c r="L114" s="13" t="str">
        <f>IFERROR(VLOOKUP(C114,'Справочник соответствий'!A$2:D$2996,3,FALSE),IF(VALUE(C114)=0,"ЭТАЖ НЕ ОПРЕДЕЛЕН. ПРИНЯТ ПО ДОПУЩЕНИЮ 1",VLOOKUP(C114,'Справочник соответствий'!A$2:D$2996,3,FALSE)))</f>
        <v>СПРАВОЧНИК ЭТАЖНОСТИ</v>
      </c>
      <c r="M114" s="13" t="b">
        <f t="shared" si="8"/>
        <v>0</v>
      </c>
      <c r="N114" s="13">
        <f t="shared" si="9"/>
        <v>2</v>
      </c>
      <c r="O114" s="13" t="str">
        <f t="shared" si="10"/>
        <v>СПРАВОЧНИК ЭТАЖНОСТИ</v>
      </c>
      <c r="P114" s="13" t="str">
        <f t="shared" si="11"/>
        <v>СПРАВОЧНИК ЭТАЖНОСТИ</v>
      </c>
      <c r="Q114" s="13" t="str">
        <f t="shared" si="12"/>
        <v>ГОТОВ_ИЗМЕНЕН</v>
      </c>
      <c r="R114" s="13">
        <f>IFERROR(VLOOKUP(P114,Лист1!A$1:B$20,2,FALSE),0)</f>
        <v>785</v>
      </c>
      <c r="S114" s="13">
        <f t="shared" si="13"/>
        <v>0</v>
      </c>
    </row>
    <row r="115" spans="1:19" x14ac:dyDescent="0.25">
      <c r="A115" t="s">
        <v>1306</v>
      </c>
      <c r="B115" s="4" t="s">
        <v>1182</v>
      </c>
      <c r="G115" s="3" t="s">
        <v>1224</v>
      </c>
      <c r="I115" s="3">
        <f>IFERROR(VLOOKUP(C115,'Справочник соответствий'!A$2:D$2996,2,FALSE),IF(VALUE(C115)=0,1,VLOOKUP(C115,'Справочник соответствий'!A$2:D$2996,2,FALSE)))</f>
        <v>1</v>
      </c>
      <c r="J115" s="3">
        <f>IFERROR(VLOOKUP(D115,'Справочник соответствий'!A$2:D$2996,2,FALSE),IF(VALUE(D115)=0,0,VLOOKUP(D115,'Справочник соответствий'!A$2:D$2996,2,FALSE)))</f>
        <v>0</v>
      </c>
      <c r="K115" s="3">
        <f t="shared" si="7"/>
        <v>1</v>
      </c>
      <c r="L115" s="13" t="str">
        <f>IFERROR(VLOOKUP(C115,'Справочник соответствий'!A$2:D$2996,3,FALSE),IF(VALUE(C115)=0,"ЭТАЖ НЕ ОПРЕДЕЛЕН. ПРИНЯТ ПО ДОПУЩЕНИЮ 1",VLOOKUP(C115,'Справочник соответствий'!A$2:D$2996,3,FALSE)))</f>
        <v>ЭТАЖ НЕ ОПРЕДЕЛЕН. ПРИНЯТ ПО ДОПУЩЕНИЮ 1</v>
      </c>
      <c r="M115" s="13" t="b">
        <f t="shared" si="8"/>
        <v>0</v>
      </c>
      <c r="N115" s="13">
        <f t="shared" si="9"/>
        <v>1</v>
      </c>
      <c r="O115" s="13" t="str">
        <f t="shared" si="10"/>
        <v>ЭТАЖ НЕ ОПРЕДЕЛЕН. ПРИНЯТ ПО ДОПУЩЕНИЮ 1</v>
      </c>
      <c r="P115" s="13" t="str">
        <f t="shared" si="11"/>
        <v>ЭТАЖ НЕ ОПРЕДЕЛЕН. ПРИНЯТ ПО ДОПУЩЕНИЮ 1</v>
      </c>
      <c r="Q115" s="13" t="str">
        <f t="shared" si="12"/>
        <v>ГОТОВ_ИЗМЕНЕН</v>
      </c>
      <c r="R115" s="13">
        <f>IFERROR(VLOOKUP(P115,Лист1!A$1:B$20,2,FALSE),0)</f>
        <v>788</v>
      </c>
      <c r="S115" s="13">
        <f t="shared" si="13"/>
        <v>0</v>
      </c>
    </row>
    <row r="116" spans="1:19" x14ac:dyDescent="0.25">
      <c r="A116" t="s">
        <v>1307</v>
      </c>
      <c r="B116" s="4" t="s">
        <v>1190</v>
      </c>
      <c r="C116" s="3" t="s">
        <v>7</v>
      </c>
      <c r="G116" s="3" t="s">
        <v>1224</v>
      </c>
      <c r="I116" s="3" t="str">
        <f>IFERROR(VLOOKUP(C116,'Справочник соответствий'!A$2:D$2996,2,FALSE),IF(VALUE(C116)=0,1,VLOOKUP(C116,'Справочник соответствий'!A$2:D$2996,2,FALSE)))</f>
        <v>2</v>
      </c>
      <c r="J116" s="3">
        <f>IFERROR(VLOOKUP(D116,'Справочник соответствий'!A$2:D$2996,2,FALSE),IF(VALUE(D116)=0,0,VLOOKUP(D116,'Справочник соответствий'!A$2:D$2996,2,FALSE)))</f>
        <v>0</v>
      </c>
      <c r="K116" s="3" t="str">
        <f t="shared" si="7"/>
        <v>2</v>
      </c>
      <c r="L116" s="13" t="str">
        <f>IFERROR(VLOOKUP(C116,'Справочник соответствий'!A$2:D$2996,3,FALSE),IF(VALUE(C116)=0,"ЭТАЖ НЕ ОПРЕДЕЛЕН. ПРИНЯТ ПО ДОПУЩЕНИЮ 1",VLOOKUP(C116,'Справочник соответствий'!A$2:D$2996,3,FALSE)))</f>
        <v>ЭТАЖ ЗАДАН ЧИСЛОМ</v>
      </c>
      <c r="M116" s="13" t="b">
        <f t="shared" si="8"/>
        <v>0</v>
      </c>
      <c r="N116" s="13">
        <f t="shared" si="9"/>
        <v>2</v>
      </c>
      <c r="O116" s="13" t="str">
        <f t="shared" si="10"/>
        <v>ЭТАЖ ЗАДАН ЧИСЛОМ</v>
      </c>
      <c r="P116" s="13" t="str">
        <f t="shared" si="11"/>
        <v>ЭТАЖ ЗАДАН ЧИСЛОМ</v>
      </c>
      <c r="Q116" s="13" t="str">
        <f t="shared" si="12"/>
        <v>ГОТОВ_ИЗМЕНЕН</v>
      </c>
      <c r="R116" s="13">
        <f>IFERROR(VLOOKUP(P116,Лист1!A$1:B$20,2,FALSE),0)</f>
        <v>784</v>
      </c>
      <c r="S116" s="13">
        <f t="shared" si="13"/>
        <v>0</v>
      </c>
    </row>
    <row r="117" spans="1:19" x14ac:dyDescent="0.25">
      <c r="A117" t="s">
        <v>1308</v>
      </c>
      <c r="B117" s="4" t="s">
        <v>1190</v>
      </c>
      <c r="C117" s="3" t="s">
        <v>5</v>
      </c>
      <c r="G117" s="3" t="s">
        <v>1224</v>
      </c>
      <c r="I117" s="3" t="str">
        <f>IFERROR(VLOOKUP(C117,'Справочник соответствий'!A$2:D$2996,2,FALSE),IF(VALUE(C117)=0,1,VLOOKUP(C117,'Справочник соответствий'!A$2:D$2996,2,FALSE)))</f>
        <v>1</v>
      </c>
      <c r="J117" s="3">
        <f>IFERROR(VLOOKUP(D117,'Справочник соответствий'!A$2:D$2996,2,FALSE),IF(VALUE(D117)=0,0,VLOOKUP(D117,'Справочник соответствий'!A$2:D$2996,2,FALSE)))</f>
        <v>0</v>
      </c>
      <c r="K117" s="3" t="str">
        <f t="shared" si="7"/>
        <v>1</v>
      </c>
      <c r="L117" s="13" t="str">
        <f>IFERROR(VLOOKUP(C117,'Справочник соответствий'!A$2:D$2996,3,FALSE),IF(VALUE(C117)=0,"ЭТАЖ НЕ ОПРЕДЕЛЕН. ПРИНЯТ ПО ДОПУЩЕНИЮ 1",VLOOKUP(C117,'Справочник соответствий'!A$2:D$2996,3,FALSE)))</f>
        <v>ЭТАЖ ЗАДАН ЧИСЛОМ</v>
      </c>
      <c r="M117" s="13" t="b">
        <f t="shared" si="8"/>
        <v>0</v>
      </c>
      <c r="N117" s="13">
        <f t="shared" si="9"/>
        <v>1</v>
      </c>
      <c r="O117" s="13" t="str">
        <f t="shared" si="10"/>
        <v>ЭТАЖ ЗАДАН ЧИСЛОМ</v>
      </c>
      <c r="P117" s="13" t="str">
        <f t="shared" si="11"/>
        <v>ЭТАЖ ЗАДАН ЧИСЛОМ</v>
      </c>
      <c r="Q117" s="13" t="str">
        <f t="shared" si="12"/>
        <v>ГОТОВ_ИЗМЕНЕН</v>
      </c>
      <c r="R117" s="13">
        <f>IFERROR(VLOOKUP(P117,Лист1!A$1:B$20,2,FALSE),0)</f>
        <v>784</v>
      </c>
      <c r="S117" s="13">
        <f t="shared" si="13"/>
        <v>0</v>
      </c>
    </row>
    <row r="118" spans="1:19" x14ac:dyDescent="0.25">
      <c r="A118" t="s">
        <v>1309</v>
      </c>
      <c r="B118" s="4" t="s">
        <v>1190</v>
      </c>
      <c r="C118" s="3" t="s">
        <v>7</v>
      </c>
      <c r="G118" s="3" t="s">
        <v>1224</v>
      </c>
      <c r="I118" s="3" t="str">
        <f>IFERROR(VLOOKUP(C118,'Справочник соответствий'!A$2:D$2996,2,FALSE),IF(VALUE(C118)=0,1,VLOOKUP(C118,'Справочник соответствий'!A$2:D$2996,2,FALSE)))</f>
        <v>2</v>
      </c>
      <c r="J118" s="3">
        <f>IFERROR(VLOOKUP(D118,'Справочник соответствий'!A$2:D$2996,2,FALSE),IF(VALUE(D118)=0,0,VLOOKUP(D118,'Справочник соответствий'!A$2:D$2996,2,FALSE)))</f>
        <v>0</v>
      </c>
      <c r="K118" s="3" t="str">
        <f t="shared" si="7"/>
        <v>2</v>
      </c>
      <c r="L118" s="13" t="str">
        <f>IFERROR(VLOOKUP(C118,'Справочник соответствий'!A$2:D$2996,3,FALSE),IF(VALUE(C118)=0,"ЭТАЖ НЕ ОПРЕДЕЛЕН. ПРИНЯТ ПО ДОПУЩЕНИЮ 1",VLOOKUP(C118,'Справочник соответствий'!A$2:D$2996,3,FALSE)))</f>
        <v>ЭТАЖ ЗАДАН ЧИСЛОМ</v>
      </c>
      <c r="M118" s="13" t="b">
        <f t="shared" si="8"/>
        <v>0</v>
      </c>
      <c r="N118" s="13">
        <f t="shared" si="9"/>
        <v>2</v>
      </c>
      <c r="O118" s="13" t="str">
        <f t="shared" si="10"/>
        <v>ЭТАЖ ЗАДАН ЧИСЛОМ</v>
      </c>
      <c r="P118" s="13" t="str">
        <f t="shared" si="11"/>
        <v>ЭТАЖ ЗАДАН ЧИСЛОМ</v>
      </c>
      <c r="Q118" s="13" t="str">
        <f t="shared" si="12"/>
        <v>ГОТОВ_ИЗМЕНЕН</v>
      </c>
      <c r="R118" s="13">
        <f>IFERROR(VLOOKUP(P118,Лист1!A$1:B$20,2,FALSE),0)</f>
        <v>784</v>
      </c>
      <c r="S118" s="13">
        <f t="shared" si="13"/>
        <v>0</v>
      </c>
    </row>
    <row r="119" spans="1:19" x14ac:dyDescent="0.25">
      <c r="A119" t="s">
        <v>1310</v>
      </c>
      <c r="B119" s="4" t="s">
        <v>1182</v>
      </c>
      <c r="C119" s="3" t="s">
        <v>5</v>
      </c>
      <c r="E119" s="3" t="s">
        <v>5</v>
      </c>
      <c r="F119" t="s">
        <v>1186</v>
      </c>
      <c r="G119" s="3" t="s">
        <v>1183</v>
      </c>
      <c r="H119" s="7" t="s">
        <v>1184</v>
      </c>
      <c r="I119" s="3" t="str">
        <f>IFERROR(VLOOKUP(C119,'Справочник соответствий'!A$2:D$2996,2,FALSE),IF(VALUE(C119)=0,1,VLOOKUP(C119,'Справочник соответствий'!A$2:D$2996,2,FALSE)))</f>
        <v>1</v>
      </c>
      <c r="J119" s="3">
        <f>IFERROR(VLOOKUP(D119,'Справочник соответствий'!A$2:D$2996,2,FALSE),IF(VALUE(D119)=0,0,VLOOKUP(D119,'Справочник соответствий'!A$2:D$2996,2,FALSE)))</f>
        <v>0</v>
      </c>
      <c r="K119" s="3" t="str">
        <f t="shared" si="7"/>
        <v>1</v>
      </c>
      <c r="L119" s="13" t="str">
        <f>IFERROR(VLOOKUP(C119,'Справочник соответствий'!A$2:D$2996,3,FALSE),IF(VALUE(C119)=0,"ЭТАЖ НЕ ОПРЕДЕЛЕН. ПРИНЯТ ПО ДОПУЩЕНИЮ 1",VLOOKUP(C119,'Справочник соответствий'!A$2:D$2996,3,FALSE)))</f>
        <v>ЭТАЖ ЗАДАН ЧИСЛОМ</v>
      </c>
      <c r="M119" s="13" t="b">
        <f t="shared" si="8"/>
        <v>1</v>
      </c>
      <c r="N119" s="13">
        <f t="shared" si="9"/>
        <v>1</v>
      </c>
      <c r="O119" s="13" t="str">
        <f t="shared" si="10"/>
        <v>ЭТАЖ ЗАДАН ЧИСЛОМ</v>
      </c>
      <c r="P119" s="13" t="str">
        <f t="shared" si="11"/>
        <v>ЭТАЖ ЗАДАН ЧИСЛОМ</v>
      </c>
      <c r="Q119" s="13" t="str">
        <f t="shared" si="12"/>
        <v>ГОТОВ</v>
      </c>
      <c r="R119" s="13">
        <f>IFERROR(VLOOKUP(P119,Лист1!A$1:B$20,2,FALSE),0)</f>
        <v>784</v>
      </c>
      <c r="S119" s="13">
        <f t="shared" si="13"/>
        <v>1</v>
      </c>
    </row>
    <row r="120" spans="1:19" x14ac:dyDescent="0.25">
      <c r="A120" t="s">
        <v>1311</v>
      </c>
      <c r="B120" s="4" t="s">
        <v>1182</v>
      </c>
      <c r="C120" s="3" t="s">
        <v>5</v>
      </c>
      <c r="E120" s="3" t="s">
        <v>5</v>
      </c>
      <c r="F120" t="s">
        <v>1186</v>
      </c>
      <c r="G120" s="3" t="s">
        <v>1191</v>
      </c>
      <c r="H120" s="7" t="s">
        <v>1184</v>
      </c>
      <c r="I120" s="3" t="str">
        <f>IFERROR(VLOOKUP(C120,'Справочник соответствий'!A$2:D$2996,2,FALSE),IF(VALUE(C120)=0,1,VLOOKUP(C120,'Справочник соответствий'!A$2:D$2996,2,FALSE)))</f>
        <v>1</v>
      </c>
      <c r="J120" s="3">
        <f>IFERROR(VLOOKUP(D120,'Справочник соответствий'!A$2:D$2996,2,FALSE),IF(VALUE(D120)=0,0,VLOOKUP(D120,'Справочник соответствий'!A$2:D$2996,2,FALSE)))</f>
        <v>0</v>
      </c>
      <c r="K120" s="3" t="str">
        <f t="shared" si="7"/>
        <v>1</v>
      </c>
      <c r="L120" s="13" t="str">
        <f>IFERROR(VLOOKUP(C120,'Справочник соответствий'!A$2:D$2996,3,FALSE),IF(VALUE(C120)=0,"ЭТАЖ НЕ ОПРЕДЕЛЕН. ПРИНЯТ ПО ДОПУЩЕНИЮ 1",VLOOKUP(C120,'Справочник соответствий'!A$2:D$2996,3,FALSE)))</f>
        <v>ЭТАЖ ЗАДАН ЧИСЛОМ</v>
      </c>
      <c r="M120" s="13" t="b">
        <f t="shared" si="8"/>
        <v>1</v>
      </c>
      <c r="N120" s="13">
        <f t="shared" si="9"/>
        <v>1</v>
      </c>
      <c r="O120" s="13" t="str">
        <f t="shared" si="10"/>
        <v>ЭТАЖ ЗАДАН ЧИСЛОМ</v>
      </c>
      <c r="P120" s="13" t="str">
        <f t="shared" si="11"/>
        <v>ЭТАЖ ЗАДАН ЧИСЛОМ</v>
      </c>
      <c r="Q120" s="13" t="str">
        <f t="shared" si="12"/>
        <v>ГОТОВ</v>
      </c>
      <c r="R120" s="13">
        <f>IFERROR(VLOOKUP(P120,Лист1!A$1:B$20,2,FALSE),0)</f>
        <v>784</v>
      </c>
      <c r="S120" s="13">
        <f t="shared" si="13"/>
        <v>1</v>
      </c>
    </row>
    <row r="121" spans="1:19" x14ac:dyDescent="0.25">
      <c r="A121" t="s">
        <v>1312</v>
      </c>
      <c r="B121" s="4" t="s">
        <v>1182</v>
      </c>
      <c r="C121" s="3" t="s">
        <v>5</v>
      </c>
      <c r="E121" s="3" t="s">
        <v>5</v>
      </c>
      <c r="F121" t="s">
        <v>1186</v>
      </c>
      <c r="G121" s="3" t="s">
        <v>1187</v>
      </c>
      <c r="H121" s="7" t="s">
        <v>1184</v>
      </c>
      <c r="I121" s="3" t="str">
        <f>IFERROR(VLOOKUP(C121,'Справочник соответствий'!A$2:D$2996,2,FALSE),IF(VALUE(C121)=0,1,VLOOKUP(C121,'Справочник соответствий'!A$2:D$2996,2,FALSE)))</f>
        <v>1</v>
      </c>
      <c r="J121" s="3">
        <f>IFERROR(VLOOKUP(D121,'Справочник соответствий'!A$2:D$2996,2,FALSE),IF(VALUE(D121)=0,0,VLOOKUP(D121,'Справочник соответствий'!A$2:D$2996,2,FALSE)))</f>
        <v>0</v>
      </c>
      <c r="K121" s="3" t="str">
        <f t="shared" si="7"/>
        <v>1</v>
      </c>
      <c r="L121" s="13" t="str">
        <f>IFERROR(VLOOKUP(C121,'Справочник соответствий'!A$2:D$2996,3,FALSE),IF(VALUE(C121)=0,"ЭТАЖ НЕ ОПРЕДЕЛЕН. ПРИНЯТ ПО ДОПУЩЕНИЮ 1",VLOOKUP(C121,'Справочник соответствий'!A$2:D$2996,3,FALSE)))</f>
        <v>ЭТАЖ ЗАДАН ЧИСЛОМ</v>
      </c>
      <c r="M121" s="13" t="b">
        <f t="shared" si="8"/>
        <v>1</v>
      </c>
      <c r="N121" s="13">
        <f t="shared" si="9"/>
        <v>1</v>
      </c>
      <c r="O121" s="13" t="str">
        <f t="shared" si="10"/>
        <v>ЭТАЖ ЗАДАН ЧИСЛОМ</v>
      </c>
      <c r="P121" s="13" t="str">
        <f t="shared" si="11"/>
        <v>ЭТАЖ ЗАДАН ЧИСЛОМ</v>
      </c>
      <c r="Q121" s="13" t="str">
        <f t="shared" si="12"/>
        <v>ГОТОВ</v>
      </c>
      <c r="R121" s="13">
        <f>IFERROR(VLOOKUP(P121,Лист1!A$1:B$20,2,FALSE),0)</f>
        <v>784</v>
      </c>
      <c r="S121" s="13">
        <f t="shared" si="13"/>
        <v>1</v>
      </c>
    </row>
    <row r="122" spans="1:19" x14ac:dyDescent="0.25">
      <c r="A122" t="s">
        <v>1313</v>
      </c>
      <c r="B122" s="4" t="s">
        <v>1031</v>
      </c>
      <c r="C122" s="3" t="s">
        <v>16</v>
      </c>
      <c r="E122" s="3" t="s">
        <v>16</v>
      </c>
      <c r="F122" t="s">
        <v>1314</v>
      </c>
      <c r="G122" s="3" t="s">
        <v>1224</v>
      </c>
      <c r="H122" s="7" t="s">
        <v>1184</v>
      </c>
      <c r="I122" s="3" t="str">
        <f>IFERROR(VLOOKUP(C122,'Справочник соответствий'!A$2:D$2996,2,FALSE),IF(VALUE(C122)=0,1,VLOOKUP(C122,'Справочник соответствий'!A$2:D$2996,2,FALSE)))</f>
        <v>5</v>
      </c>
      <c r="J122" s="3">
        <f>IFERROR(VLOOKUP(D122,'Справочник соответствий'!A$2:D$2996,2,FALSE),IF(VALUE(D122)=0,0,VLOOKUP(D122,'Справочник соответствий'!A$2:D$2996,2,FALSE)))</f>
        <v>0</v>
      </c>
      <c r="K122" s="3">
        <f t="shared" si="7"/>
        <v>5</v>
      </c>
      <c r="L122" s="13" t="str">
        <f>IFERROR(VLOOKUP(C122,'Справочник соответствий'!A$2:D$2996,3,FALSE),IF(VALUE(C122)=0,"ЭТАЖ НЕ ОПРЕДЕЛЕН. ПРИНЯТ ПО ДОПУЩЕНИЮ 1",VLOOKUP(C122,'Справочник соответствий'!A$2:D$2996,3,FALSE)))</f>
        <v>ЭТАЖ ЗАДАН ЧИСЛОМ</v>
      </c>
      <c r="M122" s="13" t="b">
        <f t="shared" si="8"/>
        <v>1</v>
      </c>
      <c r="N122" s="13">
        <f t="shared" si="9"/>
        <v>5</v>
      </c>
      <c r="O122" s="13" t="str">
        <f t="shared" si="10"/>
        <v>ЭТАЖ ЗАДАН ЧИСЛОМ</v>
      </c>
      <c r="P122" s="13" t="str">
        <f t="shared" si="11"/>
        <v>МКД_ЭТАЖ ЗАДАН ЧИСЛОМ</v>
      </c>
      <c r="Q122" s="13" t="str">
        <f t="shared" si="12"/>
        <v>ГОТОВ</v>
      </c>
      <c r="R122" s="13">
        <f>IFERROR(VLOOKUP(P122,Лист1!A$1:B$20,2,FALSE),0)</f>
        <v>786</v>
      </c>
      <c r="S122" s="13">
        <f t="shared" si="13"/>
        <v>5</v>
      </c>
    </row>
    <row r="123" spans="1:19" x14ac:dyDescent="0.25">
      <c r="A123" t="s">
        <v>1315</v>
      </c>
      <c r="B123" s="4" t="s">
        <v>1182</v>
      </c>
      <c r="C123" s="3" t="s">
        <v>8</v>
      </c>
      <c r="E123" s="3" t="s">
        <v>8</v>
      </c>
      <c r="F123" t="s">
        <v>1186</v>
      </c>
      <c r="G123" s="3" t="s">
        <v>1187</v>
      </c>
      <c r="H123" s="7" t="s">
        <v>1184</v>
      </c>
      <c r="I123" s="3" t="str">
        <f>IFERROR(VLOOKUP(C123,'Справочник соответствий'!A$2:D$2996,2,FALSE),IF(VALUE(C123)=0,1,VLOOKUP(C123,'Справочник соответствий'!A$2:D$2996,2,FALSE)))</f>
        <v>3</v>
      </c>
      <c r="J123" s="3">
        <f>IFERROR(VLOOKUP(D123,'Справочник соответствий'!A$2:D$2996,2,FALSE),IF(VALUE(D123)=0,0,VLOOKUP(D123,'Справочник соответствий'!A$2:D$2996,2,FALSE)))</f>
        <v>0</v>
      </c>
      <c r="K123" s="3" t="str">
        <f t="shared" si="7"/>
        <v>3</v>
      </c>
      <c r="L123" s="13" t="str">
        <f>IFERROR(VLOOKUP(C123,'Справочник соответствий'!A$2:D$2996,3,FALSE),IF(VALUE(C123)=0,"ЭТАЖ НЕ ОПРЕДЕЛЕН. ПРИНЯТ ПО ДОПУЩЕНИЮ 1",VLOOKUP(C123,'Справочник соответствий'!A$2:D$2996,3,FALSE)))</f>
        <v>ЭТАЖ ЗАДАН ЧИСЛОМ</v>
      </c>
      <c r="M123" s="13" t="b">
        <f t="shared" si="8"/>
        <v>1</v>
      </c>
      <c r="N123" s="13">
        <f t="shared" si="9"/>
        <v>3</v>
      </c>
      <c r="O123" s="13" t="str">
        <f t="shared" si="10"/>
        <v>ЭТАЖ ЗАДАН ЧИСЛОМ</v>
      </c>
      <c r="P123" s="13" t="str">
        <f t="shared" si="11"/>
        <v>ЭТАЖ ЗАДАН ЧИСЛОМ</v>
      </c>
      <c r="Q123" s="13" t="str">
        <f t="shared" si="12"/>
        <v>ГОТОВ</v>
      </c>
      <c r="R123" s="13">
        <f>IFERROR(VLOOKUP(P123,Лист1!A$1:B$20,2,FALSE),0)</f>
        <v>784</v>
      </c>
      <c r="S123" s="13">
        <f t="shared" si="13"/>
        <v>3</v>
      </c>
    </row>
    <row r="124" spans="1:19" x14ac:dyDescent="0.25">
      <c r="A124" t="s">
        <v>1316</v>
      </c>
      <c r="B124" s="4" t="s">
        <v>1182</v>
      </c>
      <c r="D124" s="3" t="s">
        <v>5</v>
      </c>
      <c r="E124" s="3" t="s">
        <v>5</v>
      </c>
      <c r="F124" t="s">
        <v>1186</v>
      </c>
      <c r="G124" s="3" t="s">
        <v>1191</v>
      </c>
      <c r="H124" s="7" t="s">
        <v>1184</v>
      </c>
      <c r="I124" s="3">
        <f>IFERROR(VLOOKUP(C124,'Справочник соответствий'!A$2:D$2996,2,FALSE),IF(VALUE(C124)=0,1,VLOOKUP(C124,'Справочник соответствий'!A$2:D$2996,2,FALSE)))</f>
        <v>1</v>
      </c>
      <c r="J124" s="3" t="str">
        <f>IFERROR(VLOOKUP(D124,'Справочник соответствий'!A$2:D$2996,2,FALSE),IF(VALUE(D124)=0,0,VLOOKUP(D124,'Справочник соответствий'!A$2:D$2996,2,FALSE)))</f>
        <v>1</v>
      </c>
      <c r="K124" s="3">
        <f t="shared" si="7"/>
        <v>1</v>
      </c>
      <c r="L124" s="13" t="str">
        <f>IFERROR(VLOOKUP(C124,'Справочник соответствий'!A$2:D$2996,3,FALSE),IF(VALUE(C124)=0,"ЭТАЖ НЕ ОПРЕДЕЛЕН. ПРИНЯТ ПО ДОПУЩЕНИЮ 1",VLOOKUP(C124,'Справочник соответствий'!A$2:D$2996,3,FALSE)))</f>
        <v>ЭТАЖ НЕ ОПРЕДЕЛЕН. ПРИНЯТ ПО ДОПУЩЕНИЮ 1</v>
      </c>
      <c r="M124" s="13" t="b">
        <f t="shared" si="8"/>
        <v>0</v>
      </c>
      <c r="N124" s="13">
        <f t="shared" si="9"/>
        <v>1</v>
      </c>
      <c r="O124" s="13" t="str">
        <f t="shared" si="10"/>
        <v>Письмо № 44-04-2701/8 от 31.05.2018 Глава Асбестовского городского округа</v>
      </c>
      <c r="P124" s="13" t="str">
        <f t="shared" si="11"/>
        <v>Письмо № 44-04-2701/8 от 31.05.2018 Глава Асбестовского городского округа</v>
      </c>
      <c r="Q124" s="13" t="str">
        <f t="shared" si="12"/>
        <v>ГОТОВ</v>
      </c>
      <c r="R124" s="13">
        <f>IFERROR(VLOOKUP(P124,Лист1!A$1:B$20,2,FALSE),0)</f>
        <v>0</v>
      </c>
      <c r="S124" s="13">
        <f t="shared" si="13"/>
        <v>1</v>
      </c>
    </row>
    <row r="125" spans="1:19" x14ac:dyDescent="0.25">
      <c r="A125" t="s">
        <v>1317</v>
      </c>
      <c r="B125" s="4" t="s">
        <v>1190</v>
      </c>
      <c r="C125" s="3" t="s">
        <v>7</v>
      </c>
      <c r="E125" s="3" t="s">
        <v>5</v>
      </c>
      <c r="F125" t="s">
        <v>1038</v>
      </c>
      <c r="G125" s="3" t="s">
        <v>1183</v>
      </c>
      <c r="H125" s="7" t="s">
        <v>1184</v>
      </c>
      <c r="I125" s="3" t="str">
        <f>IFERROR(VLOOKUP(C125,'Справочник соответствий'!A$2:D$2996,2,FALSE),IF(VALUE(C125)=0,1,VLOOKUP(C125,'Справочник соответствий'!A$2:D$2996,2,FALSE)))</f>
        <v>2</v>
      </c>
      <c r="J125" s="3">
        <f>IFERROR(VLOOKUP(D125,'Справочник соответствий'!A$2:D$2996,2,FALSE),IF(VALUE(D125)=0,0,VLOOKUP(D125,'Справочник соответствий'!A$2:D$2996,2,FALSE)))</f>
        <v>0</v>
      </c>
      <c r="K125" s="3" t="str">
        <f t="shared" si="7"/>
        <v>2</v>
      </c>
      <c r="L125" s="13" t="str">
        <f>IFERROR(VLOOKUP(C125,'Справочник соответствий'!A$2:D$2996,3,FALSE),IF(VALUE(C125)=0,"ЭТАЖ НЕ ОПРЕДЕЛЕН. ПРИНЯТ ПО ДОПУЩЕНИЮ 1",VLOOKUP(C125,'Справочник соответствий'!A$2:D$2996,3,FALSE)))</f>
        <v>ЭТАЖ ЗАДАН ЧИСЛОМ</v>
      </c>
      <c r="M125" s="13" t="b">
        <f t="shared" si="8"/>
        <v>0</v>
      </c>
      <c r="N125" s="13">
        <f t="shared" si="9"/>
        <v>2</v>
      </c>
      <c r="O125" s="13" t="str">
        <f t="shared" si="10"/>
        <v>ЭТАЖ ЗАДАН ЧИСЛОМ</v>
      </c>
      <c r="P125" s="13" t="str">
        <f t="shared" si="11"/>
        <v>ЭТАЖ ЗАДАН ЧИСЛОМ</v>
      </c>
      <c r="Q125" s="13" t="str">
        <f t="shared" si="12"/>
        <v>ГОТОВ_ИЗМЕНЕН</v>
      </c>
      <c r="R125" s="13">
        <f>IFERROR(VLOOKUP(P125,Лист1!A$1:B$20,2,FALSE),0)</f>
        <v>784</v>
      </c>
      <c r="S125" s="13">
        <f t="shared" si="13"/>
        <v>1</v>
      </c>
    </row>
    <row r="126" spans="1:19" x14ac:dyDescent="0.25">
      <c r="A126" t="s">
        <v>1318</v>
      </c>
      <c r="B126" s="4" t="s">
        <v>1182</v>
      </c>
      <c r="C126" s="3" t="s">
        <v>339</v>
      </c>
      <c r="E126" s="3" t="s">
        <v>5</v>
      </c>
      <c r="F126" t="s">
        <v>1045</v>
      </c>
      <c r="G126" s="3" t="s">
        <v>1191</v>
      </c>
      <c r="H126" s="7" t="s">
        <v>1184</v>
      </c>
      <c r="I126" s="3" t="str">
        <f>IFERROR(VLOOKUP(C126,'Справочник соответствий'!A$2:D$2996,2,FALSE),IF(VALUE(C126)=0,1,VLOOKUP(C126,'Справочник соответствий'!A$2:D$2996,2,FALSE)))</f>
        <v>5</v>
      </c>
      <c r="J126" s="3">
        <f>IFERROR(VLOOKUP(D126,'Справочник соответствий'!A$2:D$2996,2,FALSE),IF(VALUE(D126)=0,0,VLOOKUP(D126,'Справочник соответствий'!A$2:D$2996,2,FALSE)))</f>
        <v>0</v>
      </c>
      <c r="K126" s="3" t="str">
        <f t="shared" si="7"/>
        <v>5</v>
      </c>
      <c r="L126" s="13" t="str">
        <f>IFERROR(VLOOKUP(C126,'Справочник соответствий'!A$2:D$2996,3,FALSE),IF(VALUE(C126)=0,"ЭТАЖ НЕ ОПРЕДЕЛЕН. ПРИНЯТ ПО ДОПУЩЕНИЮ 1",VLOOKUP(C126,'Справочник соответствий'!A$2:D$2996,3,FALSE)))</f>
        <v>СПРАВОЧНИК ЭТАЖНОСТИ</v>
      </c>
      <c r="M126" s="13" t="b">
        <f t="shared" si="8"/>
        <v>0</v>
      </c>
      <c r="N126" s="13">
        <f t="shared" si="9"/>
        <v>5</v>
      </c>
      <c r="O126" s="13" t="str">
        <f t="shared" si="10"/>
        <v>СПРАВОЧНИК ЭТАЖНОСТИ</v>
      </c>
      <c r="P126" s="13" t="str">
        <f t="shared" si="11"/>
        <v>СПРАВОЧНИК ЭТАЖНОСТИ</v>
      </c>
      <c r="Q126" s="13" t="str">
        <f t="shared" si="12"/>
        <v>ГОТОВ_ИЗМЕНЕН</v>
      </c>
      <c r="R126" s="13">
        <f>IFERROR(VLOOKUP(P126,Лист1!A$1:B$20,2,FALSE),0)</f>
        <v>785</v>
      </c>
      <c r="S126" s="13">
        <f t="shared" si="13"/>
        <v>1</v>
      </c>
    </row>
    <row r="127" spans="1:19" x14ac:dyDescent="0.25">
      <c r="A127" t="s">
        <v>1319</v>
      </c>
      <c r="B127" s="4" t="s">
        <v>1182</v>
      </c>
      <c r="C127" s="3" t="s">
        <v>5</v>
      </c>
      <c r="E127" s="3" t="s">
        <v>5</v>
      </c>
      <c r="F127" t="s">
        <v>1045</v>
      </c>
      <c r="G127" s="3" t="s">
        <v>1198</v>
      </c>
      <c r="H127" s="7" t="s">
        <v>1184</v>
      </c>
      <c r="I127" s="3" t="str">
        <f>IFERROR(VLOOKUP(C127,'Справочник соответствий'!A$2:D$2996,2,FALSE),IF(VALUE(C127)=0,1,VLOOKUP(C127,'Справочник соответствий'!A$2:D$2996,2,FALSE)))</f>
        <v>1</v>
      </c>
      <c r="J127" s="3">
        <f>IFERROR(VLOOKUP(D127,'Справочник соответствий'!A$2:D$2996,2,FALSE),IF(VALUE(D127)=0,0,VLOOKUP(D127,'Справочник соответствий'!A$2:D$2996,2,FALSE)))</f>
        <v>0</v>
      </c>
      <c r="K127" s="3" t="str">
        <f t="shared" si="7"/>
        <v>1</v>
      </c>
      <c r="L127" s="13" t="str">
        <f>IFERROR(VLOOKUP(C127,'Справочник соответствий'!A$2:D$2996,3,FALSE),IF(VALUE(C127)=0,"ЭТАЖ НЕ ОПРЕДЕЛЕН. ПРИНЯТ ПО ДОПУЩЕНИЮ 1",VLOOKUP(C127,'Справочник соответствий'!A$2:D$2996,3,FALSE)))</f>
        <v>ЭТАЖ ЗАДАН ЧИСЛОМ</v>
      </c>
      <c r="M127" s="13" t="b">
        <f t="shared" si="8"/>
        <v>1</v>
      </c>
      <c r="N127" s="13">
        <f t="shared" si="9"/>
        <v>1</v>
      </c>
      <c r="O127" s="13" t="str">
        <f t="shared" si="10"/>
        <v>ЭТАЖ ЗАДАН ЧИСЛОМ</v>
      </c>
      <c r="P127" s="13" t="str">
        <f t="shared" si="11"/>
        <v>ЭТАЖ ЗАДАН ЧИСЛОМ</v>
      </c>
      <c r="Q127" s="13" t="str">
        <f t="shared" si="12"/>
        <v>ГОТОВ</v>
      </c>
      <c r="R127" s="13">
        <f>IFERROR(VLOOKUP(P127,Лист1!A$1:B$20,2,FALSE),0)</f>
        <v>784</v>
      </c>
      <c r="S127" s="13">
        <f t="shared" si="13"/>
        <v>1</v>
      </c>
    </row>
    <row r="128" spans="1:19" x14ac:dyDescent="0.25">
      <c r="A128" t="s">
        <v>1320</v>
      </c>
      <c r="B128" s="4" t="s">
        <v>1190</v>
      </c>
      <c r="C128" s="3" t="s">
        <v>5</v>
      </c>
      <c r="G128" s="3" t="s">
        <v>1187</v>
      </c>
      <c r="I128" s="3" t="str">
        <f>IFERROR(VLOOKUP(C128,'Справочник соответствий'!A$2:D$2996,2,FALSE),IF(VALUE(C128)=0,1,VLOOKUP(C128,'Справочник соответствий'!A$2:D$2996,2,FALSE)))</f>
        <v>1</v>
      </c>
      <c r="J128" s="3">
        <f>IFERROR(VLOOKUP(D128,'Справочник соответствий'!A$2:D$2996,2,FALSE),IF(VALUE(D128)=0,0,VLOOKUP(D128,'Справочник соответствий'!A$2:D$2996,2,FALSE)))</f>
        <v>0</v>
      </c>
      <c r="K128" s="3" t="str">
        <f t="shared" si="7"/>
        <v>1</v>
      </c>
      <c r="L128" s="13" t="str">
        <f>IFERROR(VLOOKUP(C128,'Справочник соответствий'!A$2:D$2996,3,FALSE),IF(VALUE(C128)=0,"ЭТАЖ НЕ ОПРЕДЕЛЕН. ПРИНЯТ ПО ДОПУЩЕНИЮ 1",VLOOKUP(C128,'Справочник соответствий'!A$2:D$2996,3,FALSE)))</f>
        <v>ЭТАЖ ЗАДАН ЧИСЛОМ</v>
      </c>
      <c r="M128" s="13" t="b">
        <f t="shared" si="8"/>
        <v>0</v>
      </c>
      <c r="N128" s="13">
        <f t="shared" si="9"/>
        <v>1</v>
      </c>
      <c r="O128" s="13" t="str">
        <f t="shared" si="10"/>
        <v>ЭТАЖ ЗАДАН ЧИСЛОМ</v>
      </c>
      <c r="P128" s="13" t="str">
        <f t="shared" si="11"/>
        <v>ЭТАЖ ЗАДАН ЧИСЛОМ</v>
      </c>
      <c r="Q128" s="13" t="str">
        <f t="shared" si="12"/>
        <v>ГОТОВ_ИЗМЕНЕН</v>
      </c>
      <c r="R128" s="13">
        <f>IFERROR(VLOOKUP(P128,Лист1!A$1:B$20,2,FALSE),0)</f>
        <v>784</v>
      </c>
      <c r="S128" s="13">
        <f t="shared" si="13"/>
        <v>0</v>
      </c>
    </row>
    <row r="129" spans="1:19" x14ac:dyDescent="0.25">
      <c r="A129" t="s">
        <v>1321</v>
      </c>
      <c r="B129" s="4" t="s">
        <v>1190</v>
      </c>
      <c r="C129" s="3" t="s">
        <v>5</v>
      </c>
      <c r="G129" s="3" t="s">
        <v>1187</v>
      </c>
      <c r="I129" s="3" t="str">
        <f>IFERROR(VLOOKUP(C129,'Справочник соответствий'!A$2:D$2996,2,FALSE),IF(VALUE(C129)=0,1,VLOOKUP(C129,'Справочник соответствий'!A$2:D$2996,2,FALSE)))</f>
        <v>1</v>
      </c>
      <c r="J129" s="3">
        <f>IFERROR(VLOOKUP(D129,'Справочник соответствий'!A$2:D$2996,2,FALSE),IF(VALUE(D129)=0,0,VLOOKUP(D129,'Справочник соответствий'!A$2:D$2996,2,FALSE)))</f>
        <v>0</v>
      </c>
      <c r="K129" s="3" t="str">
        <f t="shared" si="7"/>
        <v>1</v>
      </c>
      <c r="L129" s="13" t="str">
        <f>IFERROR(VLOOKUP(C129,'Справочник соответствий'!A$2:D$2996,3,FALSE),IF(VALUE(C129)=0,"ЭТАЖ НЕ ОПРЕДЕЛЕН. ПРИНЯТ ПО ДОПУЩЕНИЮ 1",VLOOKUP(C129,'Справочник соответствий'!A$2:D$2996,3,FALSE)))</f>
        <v>ЭТАЖ ЗАДАН ЧИСЛОМ</v>
      </c>
      <c r="M129" s="13" t="b">
        <f t="shared" si="8"/>
        <v>0</v>
      </c>
      <c r="N129" s="13">
        <f t="shared" si="9"/>
        <v>1</v>
      </c>
      <c r="O129" s="13" t="str">
        <f t="shared" si="10"/>
        <v>ЭТАЖ ЗАДАН ЧИСЛОМ</v>
      </c>
      <c r="P129" s="13" t="str">
        <f t="shared" si="11"/>
        <v>ЭТАЖ ЗАДАН ЧИСЛОМ</v>
      </c>
      <c r="Q129" s="13" t="str">
        <f t="shared" si="12"/>
        <v>ГОТОВ_ИЗМЕНЕН</v>
      </c>
      <c r="R129" s="13">
        <f>IFERROR(VLOOKUP(P129,Лист1!A$1:B$20,2,FALSE),0)</f>
        <v>784</v>
      </c>
      <c r="S129" s="13">
        <f t="shared" si="13"/>
        <v>0</v>
      </c>
    </row>
    <row r="130" spans="1:19" x14ac:dyDescent="0.25">
      <c r="A130" t="s">
        <v>1322</v>
      </c>
      <c r="B130" s="4" t="s">
        <v>1182</v>
      </c>
      <c r="C130" s="3" t="s">
        <v>5</v>
      </c>
      <c r="G130" s="3" t="s">
        <v>1187</v>
      </c>
      <c r="I130" s="3" t="str">
        <f>IFERROR(VLOOKUP(C130,'Справочник соответствий'!A$2:D$2996,2,FALSE),IF(VALUE(C130)=0,1,VLOOKUP(C130,'Справочник соответствий'!A$2:D$2996,2,FALSE)))</f>
        <v>1</v>
      </c>
      <c r="J130" s="3">
        <f>IFERROR(VLOOKUP(D130,'Справочник соответствий'!A$2:D$2996,2,FALSE),IF(VALUE(D130)=0,0,VLOOKUP(D130,'Справочник соответствий'!A$2:D$2996,2,FALSE)))</f>
        <v>0</v>
      </c>
      <c r="K130" s="3" t="str">
        <f t="shared" ref="K130:K193" si="14">IF(B130="Многоквартирный дом",IF(I130-J130&gt;0,I130-J130,1),I130)</f>
        <v>1</v>
      </c>
      <c r="L130" s="13" t="str">
        <f>IFERROR(VLOOKUP(C130,'Справочник соответствий'!A$2:D$2996,3,FALSE),IF(VALUE(C130)=0,"ЭТАЖ НЕ ОПРЕДЕЛЕН. ПРИНЯТ ПО ДОПУЩЕНИЮ 1",VLOOKUP(C130,'Справочник соответствий'!A$2:D$2996,3,FALSE)))</f>
        <v>ЭТАЖ ЗАДАН ЧИСЛОМ</v>
      </c>
      <c r="M130" s="13" t="b">
        <f t="shared" ref="M130:M193" si="15">I130=E130</f>
        <v>0</v>
      </c>
      <c r="N130" s="13">
        <f t="shared" ref="N130:N193" si="16">IF(VALUE(E130)=0,VALUE(K130),IF(L130="ЭТАЖ НЕ ОПРЕДЕЛЕН. ПРИНЯТ ПО ДОПУЩЕНИЮ 1",VALUE(E130),VALUE(K130)))</f>
        <v>1</v>
      </c>
      <c r="O130" s="13" t="str">
        <f t="shared" ref="O130:O193" si="17">IF(VALUE(E130)=0,L130,IF(L130="ЭТАЖ НЕ ОПРЕДЕЛЕН. ПРИНЯТ ПО ДОПУЩЕНИЮ 1",F130,L130))</f>
        <v>ЭТАЖ ЗАДАН ЧИСЛОМ</v>
      </c>
      <c r="P130" s="13" t="str">
        <f t="shared" ref="P130:P193" si="18">IF(B130="Многоквартирный дом",CONCATENATE("МКД_",O130),O130)</f>
        <v>ЭТАЖ ЗАДАН ЧИСЛОМ</v>
      </c>
      <c r="Q130" s="13" t="str">
        <f t="shared" ref="Q130:Q193" si="19">IFERROR(IF(N130&gt;0,IF(N130=VALUE(E130),"ГОТОВ","ГОТОВ_ИЗМЕНЕН"),"НЕ ГОТОВ"),"НЕ ГОТОВ")</f>
        <v>ГОТОВ_ИЗМЕНЕН</v>
      </c>
      <c r="R130" s="13">
        <f>IFERROR(VLOOKUP(P130,Лист1!A$1:B$20,2,FALSE),0)</f>
        <v>784</v>
      </c>
      <c r="S130" s="13">
        <f t="shared" ref="S130:S193" si="20">VALUE(E130)</f>
        <v>0</v>
      </c>
    </row>
    <row r="131" spans="1:19" x14ac:dyDescent="0.25">
      <c r="A131" t="s">
        <v>1323</v>
      </c>
      <c r="B131" s="4" t="s">
        <v>1182</v>
      </c>
      <c r="G131" s="3" t="s">
        <v>1187</v>
      </c>
      <c r="I131" s="3">
        <f>IFERROR(VLOOKUP(C131,'Справочник соответствий'!A$2:D$2996,2,FALSE),IF(VALUE(C131)=0,1,VLOOKUP(C131,'Справочник соответствий'!A$2:D$2996,2,FALSE)))</f>
        <v>1</v>
      </c>
      <c r="J131" s="3">
        <f>IFERROR(VLOOKUP(D131,'Справочник соответствий'!A$2:D$2996,2,FALSE),IF(VALUE(D131)=0,0,VLOOKUP(D131,'Справочник соответствий'!A$2:D$2996,2,FALSE)))</f>
        <v>0</v>
      </c>
      <c r="K131" s="3">
        <f t="shared" si="14"/>
        <v>1</v>
      </c>
      <c r="L131" s="13" t="str">
        <f>IFERROR(VLOOKUP(C131,'Справочник соответствий'!A$2:D$2996,3,FALSE),IF(VALUE(C131)=0,"ЭТАЖ НЕ ОПРЕДЕЛЕН. ПРИНЯТ ПО ДОПУЩЕНИЮ 1",VLOOKUP(C131,'Справочник соответствий'!A$2:D$2996,3,FALSE)))</f>
        <v>ЭТАЖ НЕ ОПРЕДЕЛЕН. ПРИНЯТ ПО ДОПУЩЕНИЮ 1</v>
      </c>
      <c r="M131" s="13" t="b">
        <f t="shared" si="15"/>
        <v>0</v>
      </c>
      <c r="N131" s="13">
        <f t="shared" si="16"/>
        <v>1</v>
      </c>
      <c r="O131" s="13" t="str">
        <f t="shared" si="17"/>
        <v>ЭТАЖ НЕ ОПРЕДЕЛЕН. ПРИНЯТ ПО ДОПУЩЕНИЮ 1</v>
      </c>
      <c r="P131" s="13" t="str">
        <f t="shared" si="18"/>
        <v>ЭТАЖ НЕ ОПРЕДЕЛЕН. ПРИНЯТ ПО ДОПУЩЕНИЮ 1</v>
      </c>
      <c r="Q131" s="13" t="str">
        <f t="shared" si="19"/>
        <v>ГОТОВ_ИЗМЕНЕН</v>
      </c>
      <c r="R131" s="13">
        <f>IFERROR(VLOOKUP(P131,Лист1!A$1:B$20,2,FALSE),0)</f>
        <v>788</v>
      </c>
      <c r="S131" s="13">
        <f t="shared" si="20"/>
        <v>0</v>
      </c>
    </row>
    <row r="132" spans="1:19" x14ac:dyDescent="0.25">
      <c r="A132" t="s">
        <v>1324</v>
      </c>
      <c r="B132" s="4" t="s">
        <v>1190</v>
      </c>
      <c r="C132" s="3" t="s">
        <v>5</v>
      </c>
      <c r="G132" s="3" t="s">
        <v>1187</v>
      </c>
      <c r="I132" s="3" t="str">
        <f>IFERROR(VLOOKUP(C132,'Справочник соответствий'!A$2:D$2996,2,FALSE),IF(VALUE(C132)=0,1,VLOOKUP(C132,'Справочник соответствий'!A$2:D$2996,2,FALSE)))</f>
        <v>1</v>
      </c>
      <c r="J132" s="3">
        <f>IFERROR(VLOOKUP(D132,'Справочник соответствий'!A$2:D$2996,2,FALSE),IF(VALUE(D132)=0,0,VLOOKUP(D132,'Справочник соответствий'!A$2:D$2996,2,FALSE)))</f>
        <v>0</v>
      </c>
      <c r="K132" s="3" t="str">
        <f t="shared" si="14"/>
        <v>1</v>
      </c>
      <c r="L132" s="13" t="str">
        <f>IFERROR(VLOOKUP(C132,'Справочник соответствий'!A$2:D$2996,3,FALSE),IF(VALUE(C132)=0,"ЭТАЖ НЕ ОПРЕДЕЛЕН. ПРИНЯТ ПО ДОПУЩЕНИЮ 1",VLOOKUP(C132,'Справочник соответствий'!A$2:D$2996,3,FALSE)))</f>
        <v>ЭТАЖ ЗАДАН ЧИСЛОМ</v>
      </c>
      <c r="M132" s="13" t="b">
        <f t="shared" si="15"/>
        <v>0</v>
      </c>
      <c r="N132" s="13">
        <f t="shared" si="16"/>
        <v>1</v>
      </c>
      <c r="O132" s="13" t="str">
        <f t="shared" si="17"/>
        <v>ЭТАЖ ЗАДАН ЧИСЛОМ</v>
      </c>
      <c r="P132" s="13" t="str">
        <f t="shared" si="18"/>
        <v>ЭТАЖ ЗАДАН ЧИСЛОМ</v>
      </c>
      <c r="Q132" s="13" t="str">
        <f t="shared" si="19"/>
        <v>ГОТОВ_ИЗМЕНЕН</v>
      </c>
      <c r="R132" s="13">
        <f>IFERROR(VLOOKUP(P132,Лист1!A$1:B$20,2,FALSE),0)</f>
        <v>784</v>
      </c>
      <c r="S132" s="13">
        <f t="shared" si="20"/>
        <v>0</v>
      </c>
    </row>
    <row r="133" spans="1:19" x14ac:dyDescent="0.25">
      <c r="A133" t="s">
        <v>1325</v>
      </c>
      <c r="B133" s="4" t="s">
        <v>1190</v>
      </c>
      <c r="C133" s="3" t="s">
        <v>5</v>
      </c>
      <c r="G133" s="3" t="s">
        <v>1191</v>
      </c>
      <c r="I133" s="3" t="str">
        <f>IFERROR(VLOOKUP(C133,'Справочник соответствий'!A$2:D$2996,2,FALSE),IF(VALUE(C133)=0,1,VLOOKUP(C133,'Справочник соответствий'!A$2:D$2996,2,FALSE)))</f>
        <v>1</v>
      </c>
      <c r="J133" s="3">
        <f>IFERROR(VLOOKUP(D133,'Справочник соответствий'!A$2:D$2996,2,FALSE),IF(VALUE(D133)=0,0,VLOOKUP(D133,'Справочник соответствий'!A$2:D$2996,2,FALSE)))</f>
        <v>0</v>
      </c>
      <c r="K133" s="3" t="str">
        <f t="shared" si="14"/>
        <v>1</v>
      </c>
      <c r="L133" s="13" t="str">
        <f>IFERROR(VLOOKUP(C133,'Справочник соответствий'!A$2:D$2996,3,FALSE),IF(VALUE(C133)=0,"ЭТАЖ НЕ ОПРЕДЕЛЕН. ПРИНЯТ ПО ДОПУЩЕНИЮ 1",VLOOKUP(C133,'Справочник соответствий'!A$2:D$2996,3,FALSE)))</f>
        <v>ЭТАЖ ЗАДАН ЧИСЛОМ</v>
      </c>
      <c r="M133" s="13" t="b">
        <f t="shared" si="15"/>
        <v>0</v>
      </c>
      <c r="N133" s="13">
        <f t="shared" si="16"/>
        <v>1</v>
      </c>
      <c r="O133" s="13" t="str">
        <f t="shared" si="17"/>
        <v>ЭТАЖ ЗАДАН ЧИСЛОМ</v>
      </c>
      <c r="P133" s="13" t="str">
        <f t="shared" si="18"/>
        <v>ЭТАЖ ЗАДАН ЧИСЛОМ</v>
      </c>
      <c r="Q133" s="13" t="str">
        <f t="shared" si="19"/>
        <v>ГОТОВ_ИЗМЕНЕН</v>
      </c>
      <c r="R133" s="13">
        <f>IFERROR(VLOOKUP(P133,Лист1!A$1:B$20,2,FALSE),0)</f>
        <v>784</v>
      </c>
      <c r="S133" s="13">
        <f t="shared" si="20"/>
        <v>0</v>
      </c>
    </row>
    <row r="134" spans="1:19" x14ac:dyDescent="0.25">
      <c r="A134" t="s">
        <v>1326</v>
      </c>
      <c r="B134" s="4" t="s">
        <v>1182</v>
      </c>
      <c r="C134" s="3" t="s">
        <v>5</v>
      </c>
      <c r="G134" s="3" t="s">
        <v>1191</v>
      </c>
      <c r="I134" s="3" t="str">
        <f>IFERROR(VLOOKUP(C134,'Справочник соответствий'!A$2:D$2996,2,FALSE),IF(VALUE(C134)=0,1,VLOOKUP(C134,'Справочник соответствий'!A$2:D$2996,2,FALSE)))</f>
        <v>1</v>
      </c>
      <c r="J134" s="3">
        <f>IFERROR(VLOOKUP(D134,'Справочник соответствий'!A$2:D$2996,2,FALSE),IF(VALUE(D134)=0,0,VLOOKUP(D134,'Справочник соответствий'!A$2:D$2996,2,FALSE)))</f>
        <v>0</v>
      </c>
      <c r="K134" s="3" t="str">
        <f t="shared" si="14"/>
        <v>1</v>
      </c>
      <c r="L134" s="13" t="str">
        <f>IFERROR(VLOOKUP(C134,'Справочник соответствий'!A$2:D$2996,3,FALSE),IF(VALUE(C134)=0,"ЭТАЖ НЕ ОПРЕДЕЛЕН. ПРИНЯТ ПО ДОПУЩЕНИЮ 1",VLOOKUP(C134,'Справочник соответствий'!A$2:D$2996,3,FALSE)))</f>
        <v>ЭТАЖ ЗАДАН ЧИСЛОМ</v>
      </c>
      <c r="M134" s="13" t="b">
        <f t="shared" si="15"/>
        <v>0</v>
      </c>
      <c r="N134" s="13">
        <f t="shared" si="16"/>
        <v>1</v>
      </c>
      <c r="O134" s="13" t="str">
        <f t="shared" si="17"/>
        <v>ЭТАЖ ЗАДАН ЧИСЛОМ</v>
      </c>
      <c r="P134" s="13" t="str">
        <f t="shared" si="18"/>
        <v>ЭТАЖ ЗАДАН ЧИСЛОМ</v>
      </c>
      <c r="Q134" s="13" t="str">
        <f t="shared" si="19"/>
        <v>ГОТОВ_ИЗМЕНЕН</v>
      </c>
      <c r="R134" s="13">
        <f>IFERROR(VLOOKUP(P134,Лист1!A$1:B$20,2,FALSE),0)</f>
        <v>784</v>
      </c>
      <c r="S134" s="13">
        <f t="shared" si="20"/>
        <v>0</v>
      </c>
    </row>
    <row r="135" spans="1:19" x14ac:dyDescent="0.25">
      <c r="A135" t="s">
        <v>1327</v>
      </c>
      <c r="B135" s="4" t="s">
        <v>1190</v>
      </c>
      <c r="C135" s="3" t="s">
        <v>5</v>
      </c>
      <c r="G135" s="3" t="s">
        <v>1191</v>
      </c>
      <c r="I135" s="3" t="str">
        <f>IFERROR(VLOOKUP(C135,'Справочник соответствий'!A$2:D$2996,2,FALSE),IF(VALUE(C135)=0,1,VLOOKUP(C135,'Справочник соответствий'!A$2:D$2996,2,FALSE)))</f>
        <v>1</v>
      </c>
      <c r="J135" s="3">
        <f>IFERROR(VLOOKUP(D135,'Справочник соответствий'!A$2:D$2996,2,FALSE),IF(VALUE(D135)=0,0,VLOOKUP(D135,'Справочник соответствий'!A$2:D$2996,2,FALSE)))</f>
        <v>0</v>
      </c>
      <c r="K135" s="3" t="str">
        <f t="shared" si="14"/>
        <v>1</v>
      </c>
      <c r="L135" s="13" t="str">
        <f>IFERROR(VLOOKUP(C135,'Справочник соответствий'!A$2:D$2996,3,FALSE),IF(VALUE(C135)=0,"ЭТАЖ НЕ ОПРЕДЕЛЕН. ПРИНЯТ ПО ДОПУЩЕНИЮ 1",VLOOKUP(C135,'Справочник соответствий'!A$2:D$2996,3,FALSE)))</f>
        <v>ЭТАЖ ЗАДАН ЧИСЛОМ</v>
      </c>
      <c r="M135" s="13" t="b">
        <f t="shared" si="15"/>
        <v>0</v>
      </c>
      <c r="N135" s="13">
        <f t="shared" si="16"/>
        <v>1</v>
      </c>
      <c r="O135" s="13" t="str">
        <f t="shared" si="17"/>
        <v>ЭТАЖ ЗАДАН ЧИСЛОМ</v>
      </c>
      <c r="P135" s="13" t="str">
        <f t="shared" si="18"/>
        <v>ЭТАЖ ЗАДАН ЧИСЛОМ</v>
      </c>
      <c r="Q135" s="13" t="str">
        <f t="shared" si="19"/>
        <v>ГОТОВ_ИЗМЕНЕН</v>
      </c>
      <c r="R135" s="13">
        <f>IFERROR(VLOOKUP(P135,Лист1!A$1:B$20,2,FALSE),0)</f>
        <v>784</v>
      </c>
      <c r="S135" s="13">
        <f t="shared" si="20"/>
        <v>0</v>
      </c>
    </row>
    <row r="136" spans="1:19" x14ac:dyDescent="0.25">
      <c r="A136" t="s">
        <v>1328</v>
      </c>
      <c r="B136" s="4" t="s">
        <v>1182</v>
      </c>
      <c r="C136" s="3" t="s">
        <v>5</v>
      </c>
      <c r="G136" s="3" t="s">
        <v>1191</v>
      </c>
      <c r="I136" s="3" t="str">
        <f>IFERROR(VLOOKUP(C136,'Справочник соответствий'!A$2:D$2996,2,FALSE),IF(VALUE(C136)=0,1,VLOOKUP(C136,'Справочник соответствий'!A$2:D$2996,2,FALSE)))</f>
        <v>1</v>
      </c>
      <c r="J136" s="3">
        <f>IFERROR(VLOOKUP(D136,'Справочник соответствий'!A$2:D$2996,2,FALSE),IF(VALUE(D136)=0,0,VLOOKUP(D136,'Справочник соответствий'!A$2:D$2996,2,FALSE)))</f>
        <v>0</v>
      </c>
      <c r="K136" s="3" t="str">
        <f t="shared" si="14"/>
        <v>1</v>
      </c>
      <c r="L136" s="13" t="str">
        <f>IFERROR(VLOOKUP(C136,'Справочник соответствий'!A$2:D$2996,3,FALSE),IF(VALUE(C136)=0,"ЭТАЖ НЕ ОПРЕДЕЛЕН. ПРИНЯТ ПО ДОПУЩЕНИЮ 1",VLOOKUP(C136,'Справочник соответствий'!A$2:D$2996,3,FALSE)))</f>
        <v>ЭТАЖ ЗАДАН ЧИСЛОМ</v>
      </c>
      <c r="M136" s="13" t="b">
        <f t="shared" si="15"/>
        <v>0</v>
      </c>
      <c r="N136" s="13">
        <f t="shared" si="16"/>
        <v>1</v>
      </c>
      <c r="O136" s="13" t="str">
        <f t="shared" si="17"/>
        <v>ЭТАЖ ЗАДАН ЧИСЛОМ</v>
      </c>
      <c r="P136" s="13" t="str">
        <f t="shared" si="18"/>
        <v>ЭТАЖ ЗАДАН ЧИСЛОМ</v>
      </c>
      <c r="Q136" s="13" t="str">
        <f t="shared" si="19"/>
        <v>ГОТОВ_ИЗМЕНЕН</v>
      </c>
      <c r="R136" s="13">
        <f>IFERROR(VLOOKUP(P136,Лист1!A$1:B$20,2,FALSE),0)</f>
        <v>784</v>
      </c>
      <c r="S136" s="13">
        <f t="shared" si="20"/>
        <v>0</v>
      </c>
    </row>
    <row r="137" spans="1:19" x14ac:dyDescent="0.25">
      <c r="A137" t="s">
        <v>1329</v>
      </c>
      <c r="B137" s="4" t="s">
        <v>1190</v>
      </c>
      <c r="C137" s="3" t="s">
        <v>5</v>
      </c>
      <c r="G137" s="3" t="s">
        <v>1191</v>
      </c>
      <c r="I137" s="3" t="str">
        <f>IFERROR(VLOOKUP(C137,'Справочник соответствий'!A$2:D$2996,2,FALSE),IF(VALUE(C137)=0,1,VLOOKUP(C137,'Справочник соответствий'!A$2:D$2996,2,FALSE)))</f>
        <v>1</v>
      </c>
      <c r="J137" s="3">
        <f>IFERROR(VLOOKUP(D137,'Справочник соответствий'!A$2:D$2996,2,FALSE),IF(VALUE(D137)=0,0,VLOOKUP(D137,'Справочник соответствий'!A$2:D$2996,2,FALSE)))</f>
        <v>0</v>
      </c>
      <c r="K137" s="3" t="str">
        <f t="shared" si="14"/>
        <v>1</v>
      </c>
      <c r="L137" s="13" t="str">
        <f>IFERROR(VLOOKUP(C137,'Справочник соответствий'!A$2:D$2996,3,FALSE),IF(VALUE(C137)=0,"ЭТАЖ НЕ ОПРЕДЕЛЕН. ПРИНЯТ ПО ДОПУЩЕНИЮ 1",VLOOKUP(C137,'Справочник соответствий'!A$2:D$2996,3,FALSE)))</f>
        <v>ЭТАЖ ЗАДАН ЧИСЛОМ</v>
      </c>
      <c r="M137" s="13" t="b">
        <f t="shared" si="15"/>
        <v>0</v>
      </c>
      <c r="N137" s="13">
        <f t="shared" si="16"/>
        <v>1</v>
      </c>
      <c r="O137" s="13" t="str">
        <f t="shared" si="17"/>
        <v>ЭТАЖ ЗАДАН ЧИСЛОМ</v>
      </c>
      <c r="P137" s="13" t="str">
        <f t="shared" si="18"/>
        <v>ЭТАЖ ЗАДАН ЧИСЛОМ</v>
      </c>
      <c r="Q137" s="13" t="str">
        <f t="shared" si="19"/>
        <v>ГОТОВ_ИЗМЕНЕН</v>
      </c>
      <c r="R137" s="13">
        <f>IFERROR(VLOOKUP(P137,Лист1!A$1:B$20,2,FALSE),0)</f>
        <v>784</v>
      </c>
      <c r="S137" s="13">
        <f t="shared" si="20"/>
        <v>0</v>
      </c>
    </row>
    <row r="138" spans="1:19" x14ac:dyDescent="0.25">
      <c r="A138" t="s">
        <v>1330</v>
      </c>
      <c r="B138" s="4" t="s">
        <v>1182</v>
      </c>
      <c r="C138" s="3" t="s">
        <v>5</v>
      </c>
      <c r="G138" s="3" t="s">
        <v>1191</v>
      </c>
      <c r="I138" s="3" t="str">
        <f>IFERROR(VLOOKUP(C138,'Справочник соответствий'!A$2:D$2996,2,FALSE),IF(VALUE(C138)=0,1,VLOOKUP(C138,'Справочник соответствий'!A$2:D$2996,2,FALSE)))</f>
        <v>1</v>
      </c>
      <c r="J138" s="3">
        <f>IFERROR(VLOOKUP(D138,'Справочник соответствий'!A$2:D$2996,2,FALSE),IF(VALUE(D138)=0,0,VLOOKUP(D138,'Справочник соответствий'!A$2:D$2996,2,FALSE)))</f>
        <v>0</v>
      </c>
      <c r="K138" s="3" t="str">
        <f t="shared" si="14"/>
        <v>1</v>
      </c>
      <c r="L138" s="13" t="str">
        <f>IFERROR(VLOOKUP(C138,'Справочник соответствий'!A$2:D$2996,3,FALSE),IF(VALUE(C138)=0,"ЭТАЖ НЕ ОПРЕДЕЛЕН. ПРИНЯТ ПО ДОПУЩЕНИЮ 1",VLOOKUP(C138,'Справочник соответствий'!A$2:D$2996,3,FALSE)))</f>
        <v>ЭТАЖ ЗАДАН ЧИСЛОМ</v>
      </c>
      <c r="M138" s="13" t="b">
        <f t="shared" si="15"/>
        <v>0</v>
      </c>
      <c r="N138" s="13">
        <f t="shared" si="16"/>
        <v>1</v>
      </c>
      <c r="O138" s="13" t="str">
        <f t="shared" si="17"/>
        <v>ЭТАЖ ЗАДАН ЧИСЛОМ</v>
      </c>
      <c r="P138" s="13" t="str">
        <f t="shared" si="18"/>
        <v>ЭТАЖ ЗАДАН ЧИСЛОМ</v>
      </c>
      <c r="Q138" s="13" t="str">
        <f t="shared" si="19"/>
        <v>ГОТОВ_ИЗМЕНЕН</v>
      </c>
      <c r="R138" s="13">
        <f>IFERROR(VLOOKUP(P138,Лист1!A$1:B$20,2,FALSE),0)</f>
        <v>784</v>
      </c>
      <c r="S138" s="13">
        <f t="shared" si="20"/>
        <v>0</v>
      </c>
    </row>
    <row r="139" spans="1:19" x14ac:dyDescent="0.25">
      <c r="A139" t="s">
        <v>1331</v>
      </c>
      <c r="B139" s="4" t="s">
        <v>1190</v>
      </c>
      <c r="C139" s="3" t="s">
        <v>7</v>
      </c>
      <c r="G139" s="3" t="s">
        <v>1183</v>
      </c>
      <c r="I139" s="3" t="str">
        <f>IFERROR(VLOOKUP(C139,'Справочник соответствий'!A$2:D$2996,2,FALSE),IF(VALUE(C139)=0,1,VLOOKUP(C139,'Справочник соответствий'!A$2:D$2996,2,FALSE)))</f>
        <v>2</v>
      </c>
      <c r="J139" s="3">
        <f>IFERROR(VLOOKUP(D139,'Справочник соответствий'!A$2:D$2996,2,FALSE),IF(VALUE(D139)=0,0,VLOOKUP(D139,'Справочник соответствий'!A$2:D$2996,2,FALSE)))</f>
        <v>0</v>
      </c>
      <c r="K139" s="3" t="str">
        <f t="shared" si="14"/>
        <v>2</v>
      </c>
      <c r="L139" s="13" t="str">
        <f>IFERROR(VLOOKUP(C139,'Справочник соответствий'!A$2:D$2996,3,FALSE),IF(VALUE(C139)=0,"ЭТАЖ НЕ ОПРЕДЕЛЕН. ПРИНЯТ ПО ДОПУЩЕНИЮ 1",VLOOKUP(C139,'Справочник соответствий'!A$2:D$2996,3,FALSE)))</f>
        <v>ЭТАЖ ЗАДАН ЧИСЛОМ</v>
      </c>
      <c r="M139" s="13" t="b">
        <f t="shared" si="15"/>
        <v>0</v>
      </c>
      <c r="N139" s="13">
        <f t="shared" si="16"/>
        <v>2</v>
      </c>
      <c r="O139" s="13" t="str">
        <f t="shared" si="17"/>
        <v>ЭТАЖ ЗАДАН ЧИСЛОМ</v>
      </c>
      <c r="P139" s="13" t="str">
        <f t="shared" si="18"/>
        <v>ЭТАЖ ЗАДАН ЧИСЛОМ</v>
      </c>
      <c r="Q139" s="13" t="str">
        <f t="shared" si="19"/>
        <v>ГОТОВ_ИЗМЕНЕН</v>
      </c>
      <c r="R139" s="13">
        <f>IFERROR(VLOOKUP(P139,Лист1!A$1:B$20,2,FALSE),0)</f>
        <v>784</v>
      </c>
      <c r="S139" s="13">
        <f t="shared" si="20"/>
        <v>0</v>
      </c>
    </row>
    <row r="140" spans="1:19" x14ac:dyDescent="0.25">
      <c r="A140" t="s">
        <v>1332</v>
      </c>
      <c r="B140" s="4" t="s">
        <v>1190</v>
      </c>
      <c r="C140" s="3" t="s">
        <v>5</v>
      </c>
      <c r="G140" s="3" t="s">
        <v>1183</v>
      </c>
      <c r="I140" s="3" t="str">
        <f>IFERROR(VLOOKUP(C140,'Справочник соответствий'!A$2:D$2996,2,FALSE),IF(VALUE(C140)=0,1,VLOOKUP(C140,'Справочник соответствий'!A$2:D$2996,2,FALSE)))</f>
        <v>1</v>
      </c>
      <c r="J140" s="3">
        <f>IFERROR(VLOOKUP(D140,'Справочник соответствий'!A$2:D$2996,2,FALSE),IF(VALUE(D140)=0,0,VLOOKUP(D140,'Справочник соответствий'!A$2:D$2996,2,FALSE)))</f>
        <v>0</v>
      </c>
      <c r="K140" s="3" t="str">
        <f t="shared" si="14"/>
        <v>1</v>
      </c>
      <c r="L140" s="13" t="str">
        <f>IFERROR(VLOOKUP(C140,'Справочник соответствий'!A$2:D$2996,3,FALSE),IF(VALUE(C140)=0,"ЭТАЖ НЕ ОПРЕДЕЛЕН. ПРИНЯТ ПО ДОПУЩЕНИЮ 1",VLOOKUP(C140,'Справочник соответствий'!A$2:D$2996,3,FALSE)))</f>
        <v>ЭТАЖ ЗАДАН ЧИСЛОМ</v>
      </c>
      <c r="M140" s="13" t="b">
        <f t="shared" si="15"/>
        <v>0</v>
      </c>
      <c r="N140" s="13">
        <f t="shared" si="16"/>
        <v>1</v>
      </c>
      <c r="O140" s="13" t="str">
        <f t="shared" si="17"/>
        <v>ЭТАЖ ЗАДАН ЧИСЛОМ</v>
      </c>
      <c r="P140" s="13" t="str">
        <f t="shared" si="18"/>
        <v>ЭТАЖ ЗАДАН ЧИСЛОМ</v>
      </c>
      <c r="Q140" s="13" t="str">
        <f t="shared" si="19"/>
        <v>ГОТОВ_ИЗМЕНЕН</v>
      </c>
      <c r="R140" s="13">
        <f>IFERROR(VLOOKUP(P140,Лист1!A$1:B$20,2,FALSE),0)</f>
        <v>784</v>
      </c>
      <c r="S140" s="13">
        <f t="shared" si="20"/>
        <v>0</v>
      </c>
    </row>
    <row r="141" spans="1:19" x14ac:dyDescent="0.25">
      <c r="A141" t="s">
        <v>1333</v>
      </c>
      <c r="B141" s="4" t="s">
        <v>1190</v>
      </c>
      <c r="C141" s="3" t="s">
        <v>7</v>
      </c>
      <c r="G141" s="3" t="s">
        <v>1183</v>
      </c>
      <c r="I141" s="3" t="str">
        <f>IFERROR(VLOOKUP(C141,'Справочник соответствий'!A$2:D$2996,2,FALSE),IF(VALUE(C141)=0,1,VLOOKUP(C141,'Справочник соответствий'!A$2:D$2996,2,FALSE)))</f>
        <v>2</v>
      </c>
      <c r="J141" s="3">
        <f>IFERROR(VLOOKUP(D141,'Справочник соответствий'!A$2:D$2996,2,FALSE),IF(VALUE(D141)=0,0,VLOOKUP(D141,'Справочник соответствий'!A$2:D$2996,2,FALSE)))</f>
        <v>0</v>
      </c>
      <c r="K141" s="3" t="str">
        <f t="shared" si="14"/>
        <v>2</v>
      </c>
      <c r="L141" s="13" t="str">
        <f>IFERROR(VLOOKUP(C141,'Справочник соответствий'!A$2:D$2996,3,FALSE),IF(VALUE(C141)=0,"ЭТАЖ НЕ ОПРЕДЕЛЕН. ПРИНЯТ ПО ДОПУЩЕНИЮ 1",VLOOKUP(C141,'Справочник соответствий'!A$2:D$2996,3,FALSE)))</f>
        <v>ЭТАЖ ЗАДАН ЧИСЛОМ</v>
      </c>
      <c r="M141" s="13" t="b">
        <f t="shared" si="15"/>
        <v>0</v>
      </c>
      <c r="N141" s="13">
        <f t="shared" si="16"/>
        <v>2</v>
      </c>
      <c r="O141" s="13" t="str">
        <f t="shared" si="17"/>
        <v>ЭТАЖ ЗАДАН ЧИСЛОМ</v>
      </c>
      <c r="P141" s="13" t="str">
        <f t="shared" si="18"/>
        <v>ЭТАЖ ЗАДАН ЧИСЛОМ</v>
      </c>
      <c r="Q141" s="13" t="str">
        <f t="shared" si="19"/>
        <v>ГОТОВ_ИЗМЕНЕН</v>
      </c>
      <c r="R141" s="13">
        <f>IFERROR(VLOOKUP(P141,Лист1!A$1:B$20,2,FALSE),0)</f>
        <v>784</v>
      </c>
      <c r="S141" s="13">
        <f t="shared" si="20"/>
        <v>0</v>
      </c>
    </row>
    <row r="142" spans="1:19" x14ac:dyDescent="0.25">
      <c r="A142" t="s">
        <v>1334</v>
      </c>
      <c r="B142" s="4" t="s">
        <v>1190</v>
      </c>
      <c r="C142" s="3" t="s">
        <v>5</v>
      </c>
      <c r="G142" s="3" t="s">
        <v>1183</v>
      </c>
      <c r="I142" s="3" t="str">
        <f>IFERROR(VLOOKUP(C142,'Справочник соответствий'!A$2:D$2996,2,FALSE),IF(VALUE(C142)=0,1,VLOOKUP(C142,'Справочник соответствий'!A$2:D$2996,2,FALSE)))</f>
        <v>1</v>
      </c>
      <c r="J142" s="3">
        <f>IFERROR(VLOOKUP(D142,'Справочник соответствий'!A$2:D$2996,2,FALSE),IF(VALUE(D142)=0,0,VLOOKUP(D142,'Справочник соответствий'!A$2:D$2996,2,FALSE)))</f>
        <v>0</v>
      </c>
      <c r="K142" s="3" t="str">
        <f t="shared" si="14"/>
        <v>1</v>
      </c>
      <c r="L142" s="13" t="str">
        <f>IFERROR(VLOOKUP(C142,'Справочник соответствий'!A$2:D$2996,3,FALSE),IF(VALUE(C142)=0,"ЭТАЖ НЕ ОПРЕДЕЛЕН. ПРИНЯТ ПО ДОПУЩЕНИЮ 1",VLOOKUP(C142,'Справочник соответствий'!A$2:D$2996,3,FALSE)))</f>
        <v>ЭТАЖ ЗАДАН ЧИСЛОМ</v>
      </c>
      <c r="M142" s="13" t="b">
        <f t="shared" si="15"/>
        <v>0</v>
      </c>
      <c r="N142" s="13">
        <f t="shared" si="16"/>
        <v>1</v>
      </c>
      <c r="O142" s="13" t="str">
        <f t="shared" si="17"/>
        <v>ЭТАЖ ЗАДАН ЧИСЛОМ</v>
      </c>
      <c r="P142" s="13" t="str">
        <f t="shared" si="18"/>
        <v>ЭТАЖ ЗАДАН ЧИСЛОМ</v>
      </c>
      <c r="Q142" s="13" t="str">
        <f t="shared" si="19"/>
        <v>ГОТОВ_ИЗМЕНЕН</v>
      </c>
      <c r="R142" s="13">
        <f>IFERROR(VLOOKUP(P142,Лист1!A$1:B$20,2,FALSE),0)</f>
        <v>784</v>
      </c>
      <c r="S142" s="13">
        <f t="shared" si="20"/>
        <v>0</v>
      </c>
    </row>
    <row r="143" spans="1:19" x14ac:dyDescent="0.25">
      <c r="A143" t="s">
        <v>1335</v>
      </c>
      <c r="B143" s="4" t="s">
        <v>1190</v>
      </c>
      <c r="C143" s="3" t="s">
        <v>5</v>
      </c>
      <c r="G143" s="3" t="s">
        <v>1183</v>
      </c>
      <c r="I143" s="3" t="str">
        <f>IFERROR(VLOOKUP(C143,'Справочник соответствий'!A$2:D$2996,2,FALSE),IF(VALUE(C143)=0,1,VLOOKUP(C143,'Справочник соответствий'!A$2:D$2996,2,FALSE)))</f>
        <v>1</v>
      </c>
      <c r="J143" s="3">
        <f>IFERROR(VLOOKUP(D143,'Справочник соответствий'!A$2:D$2996,2,FALSE),IF(VALUE(D143)=0,0,VLOOKUP(D143,'Справочник соответствий'!A$2:D$2996,2,FALSE)))</f>
        <v>0</v>
      </c>
      <c r="K143" s="3" t="str">
        <f t="shared" si="14"/>
        <v>1</v>
      </c>
      <c r="L143" s="13" t="str">
        <f>IFERROR(VLOOKUP(C143,'Справочник соответствий'!A$2:D$2996,3,FALSE),IF(VALUE(C143)=0,"ЭТАЖ НЕ ОПРЕДЕЛЕН. ПРИНЯТ ПО ДОПУЩЕНИЮ 1",VLOOKUP(C143,'Справочник соответствий'!A$2:D$2996,3,FALSE)))</f>
        <v>ЭТАЖ ЗАДАН ЧИСЛОМ</v>
      </c>
      <c r="M143" s="13" t="b">
        <f t="shared" si="15"/>
        <v>0</v>
      </c>
      <c r="N143" s="13">
        <f t="shared" si="16"/>
        <v>1</v>
      </c>
      <c r="O143" s="13" t="str">
        <f t="shared" si="17"/>
        <v>ЭТАЖ ЗАДАН ЧИСЛОМ</v>
      </c>
      <c r="P143" s="13" t="str">
        <f t="shared" si="18"/>
        <v>ЭТАЖ ЗАДАН ЧИСЛОМ</v>
      </c>
      <c r="Q143" s="13" t="str">
        <f t="shared" si="19"/>
        <v>ГОТОВ_ИЗМЕНЕН</v>
      </c>
      <c r="R143" s="13">
        <f>IFERROR(VLOOKUP(P143,Лист1!A$1:B$20,2,FALSE),0)</f>
        <v>784</v>
      </c>
      <c r="S143" s="13">
        <f t="shared" si="20"/>
        <v>0</v>
      </c>
    </row>
    <row r="144" spans="1:19" x14ac:dyDescent="0.25">
      <c r="A144" t="s">
        <v>1336</v>
      </c>
      <c r="B144" s="4" t="s">
        <v>1190</v>
      </c>
      <c r="C144" s="3" t="s">
        <v>7</v>
      </c>
      <c r="G144" s="3" t="s">
        <v>1198</v>
      </c>
      <c r="I144" s="3" t="str">
        <f>IFERROR(VLOOKUP(C144,'Справочник соответствий'!A$2:D$2996,2,FALSE),IF(VALUE(C144)=0,1,VLOOKUP(C144,'Справочник соответствий'!A$2:D$2996,2,FALSE)))</f>
        <v>2</v>
      </c>
      <c r="J144" s="3">
        <f>IFERROR(VLOOKUP(D144,'Справочник соответствий'!A$2:D$2996,2,FALSE),IF(VALUE(D144)=0,0,VLOOKUP(D144,'Справочник соответствий'!A$2:D$2996,2,FALSE)))</f>
        <v>0</v>
      </c>
      <c r="K144" s="3" t="str">
        <f t="shared" si="14"/>
        <v>2</v>
      </c>
      <c r="L144" s="13" t="str">
        <f>IFERROR(VLOOKUP(C144,'Справочник соответствий'!A$2:D$2996,3,FALSE),IF(VALUE(C144)=0,"ЭТАЖ НЕ ОПРЕДЕЛЕН. ПРИНЯТ ПО ДОПУЩЕНИЮ 1",VLOOKUP(C144,'Справочник соответствий'!A$2:D$2996,3,FALSE)))</f>
        <v>ЭТАЖ ЗАДАН ЧИСЛОМ</v>
      </c>
      <c r="M144" s="13" t="b">
        <f t="shared" si="15"/>
        <v>0</v>
      </c>
      <c r="N144" s="13">
        <f t="shared" si="16"/>
        <v>2</v>
      </c>
      <c r="O144" s="13" t="str">
        <f t="shared" si="17"/>
        <v>ЭТАЖ ЗАДАН ЧИСЛОМ</v>
      </c>
      <c r="P144" s="13" t="str">
        <f t="shared" si="18"/>
        <v>ЭТАЖ ЗАДАН ЧИСЛОМ</v>
      </c>
      <c r="Q144" s="13" t="str">
        <f t="shared" si="19"/>
        <v>ГОТОВ_ИЗМЕНЕН</v>
      </c>
      <c r="R144" s="13">
        <f>IFERROR(VLOOKUP(P144,Лист1!A$1:B$20,2,FALSE),0)</f>
        <v>784</v>
      </c>
      <c r="S144" s="13">
        <f t="shared" si="20"/>
        <v>0</v>
      </c>
    </row>
    <row r="145" spans="1:19" x14ac:dyDescent="0.25">
      <c r="A145" t="s">
        <v>1337</v>
      </c>
      <c r="B145" s="4" t="s">
        <v>1190</v>
      </c>
      <c r="C145" s="3" t="s">
        <v>7</v>
      </c>
      <c r="G145" s="3" t="s">
        <v>1198</v>
      </c>
      <c r="I145" s="3" t="str">
        <f>IFERROR(VLOOKUP(C145,'Справочник соответствий'!A$2:D$2996,2,FALSE),IF(VALUE(C145)=0,1,VLOOKUP(C145,'Справочник соответствий'!A$2:D$2996,2,FALSE)))</f>
        <v>2</v>
      </c>
      <c r="J145" s="3">
        <f>IFERROR(VLOOKUP(D145,'Справочник соответствий'!A$2:D$2996,2,FALSE),IF(VALUE(D145)=0,0,VLOOKUP(D145,'Справочник соответствий'!A$2:D$2996,2,FALSE)))</f>
        <v>0</v>
      </c>
      <c r="K145" s="3" t="str">
        <f t="shared" si="14"/>
        <v>2</v>
      </c>
      <c r="L145" s="13" t="str">
        <f>IFERROR(VLOOKUP(C145,'Справочник соответствий'!A$2:D$2996,3,FALSE),IF(VALUE(C145)=0,"ЭТАЖ НЕ ОПРЕДЕЛЕН. ПРИНЯТ ПО ДОПУЩЕНИЮ 1",VLOOKUP(C145,'Справочник соответствий'!A$2:D$2996,3,FALSE)))</f>
        <v>ЭТАЖ ЗАДАН ЧИСЛОМ</v>
      </c>
      <c r="M145" s="13" t="b">
        <f t="shared" si="15"/>
        <v>0</v>
      </c>
      <c r="N145" s="13">
        <f t="shared" si="16"/>
        <v>2</v>
      </c>
      <c r="O145" s="13" t="str">
        <f t="shared" si="17"/>
        <v>ЭТАЖ ЗАДАН ЧИСЛОМ</v>
      </c>
      <c r="P145" s="13" t="str">
        <f t="shared" si="18"/>
        <v>ЭТАЖ ЗАДАН ЧИСЛОМ</v>
      </c>
      <c r="Q145" s="13" t="str">
        <f t="shared" si="19"/>
        <v>ГОТОВ_ИЗМЕНЕН</v>
      </c>
      <c r="R145" s="13">
        <f>IFERROR(VLOOKUP(P145,Лист1!A$1:B$20,2,FALSE),0)</f>
        <v>784</v>
      </c>
      <c r="S145" s="13">
        <f t="shared" si="20"/>
        <v>0</v>
      </c>
    </row>
    <row r="146" spans="1:19" x14ac:dyDescent="0.25">
      <c r="A146" t="s">
        <v>1338</v>
      </c>
      <c r="B146" s="4" t="s">
        <v>1182</v>
      </c>
      <c r="C146" s="3" t="s">
        <v>5</v>
      </c>
      <c r="G146" s="3" t="s">
        <v>1198</v>
      </c>
      <c r="I146" s="3" t="str">
        <f>IFERROR(VLOOKUP(C146,'Справочник соответствий'!A$2:D$2996,2,FALSE),IF(VALUE(C146)=0,1,VLOOKUP(C146,'Справочник соответствий'!A$2:D$2996,2,FALSE)))</f>
        <v>1</v>
      </c>
      <c r="J146" s="3">
        <f>IFERROR(VLOOKUP(D146,'Справочник соответствий'!A$2:D$2996,2,FALSE),IF(VALUE(D146)=0,0,VLOOKUP(D146,'Справочник соответствий'!A$2:D$2996,2,FALSE)))</f>
        <v>0</v>
      </c>
      <c r="K146" s="3" t="str">
        <f t="shared" si="14"/>
        <v>1</v>
      </c>
      <c r="L146" s="13" t="str">
        <f>IFERROR(VLOOKUP(C146,'Справочник соответствий'!A$2:D$2996,3,FALSE),IF(VALUE(C146)=0,"ЭТАЖ НЕ ОПРЕДЕЛЕН. ПРИНЯТ ПО ДОПУЩЕНИЮ 1",VLOOKUP(C146,'Справочник соответствий'!A$2:D$2996,3,FALSE)))</f>
        <v>ЭТАЖ ЗАДАН ЧИСЛОМ</v>
      </c>
      <c r="M146" s="13" t="b">
        <f t="shared" si="15"/>
        <v>0</v>
      </c>
      <c r="N146" s="13">
        <f t="shared" si="16"/>
        <v>1</v>
      </c>
      <c r="O146" s="13" t="str">
        <f t="shared" si="17"/>
        <v>ЭТАЖ ЗАДАН ЧИСЛОМ</v>
      </c>
      <c r="P146" s="13" t="str">
        <f t="shared" si="18"/>
        <v>ЭТАЖ ЗАДАН ЧИСЛОМ</v>
      </c>
      <c r="Q146" s="13" t="str">
        <f t="shared" si="19"/>
        <v>ГОТОВ_ИЗМЕНЕН</v>
      </c>
      <c r="R146" s="13">
        <f>IFERROR(VLOOKUP(P146,Лист1!A$1:B$20,2,FALSE),0)</f>
        <v>784</v>
      </c>
      <c r="S146" s="13">
        <f t="shared" si="20"/>
        <v>0</v>
      </c>
    </row>
    <row r="147" spans="1:19" x14ac:dyDescent="0.25">
      <c r="A147" t="s">
        <v>1339</v>
      </c>
      <c r="B147" s="4" t="s">
        <v>1190</v>
      </c>
      <c r="C147" s="3" t="s">
        <v>5</v>
      </c>
      <c r="G147" s="3" t="s">
        <v>1198</v>
      </c>
      <c r="I147" s="3" t="str">
        <f>IFERROR(VLOOKUP(C147,'Справочник соответствий'!A$2:D$2996,2,FALSE),IF(VALUE(C147)=0,1,VLOOKUP(C147,'Справочник соответствий'!A$2:D$2996,2,FALSE)))</f>
        <v>1</v>
      </c>
      <c r="J147" s="3">
        <f>IFERROR(VLOOKUP(D147,'Справочник соответствий'!A$2:D$2996,2,FALSE),IF(VALUE(D147)=0,0,VLOOKUP(D147,'Справочник соответствий'!A$2:D$2996,2,FALSE)))</f>
        <v>0</v>
      </c>
      <c r="K147" s="3" t="str">
        <f t="shared" si="14"/>
        <v>1</v>
      </c>
      <c r="L147" s="13" t="str">
        <f>IFERROR(VLOOKUP(C147,'Справочник соответствий'!A$2:D$2996,3,FALSE),IF(VALUE(C147)=0,"ЭТАЖ НЕ ОПРЕДЕЛЕН. ПРИНЯТ ПО ДОПУЩЕНИЮ 1",VLOOKUP(C147,'Справочник соответствий'!A$2:D$2996,3,FALSE)))</f>
        <v>ЭТАЖ ЗАДАН ЧИСЛОМ</v>
      </c>
      <c r="M147" s="13" t="b">
        <f t="shared" si="15"/>
        <v>0</v>
      </c>
      <c r="N147" s="13">
        <f t="shared" si="16"/>
        <v>1</v>
      </c>
      <c r="O147" s="13" t="str">
        <f t="shared" si="17"/>
        <v>ЭТАЖ ЗАДАН ЧИСЛОМ</v>
      </c>
      <c r="P147" s="13" t="str">
        <f t="shared" si="18"/>
        <v>ЭТАЖ ЗАДАН ЧИСЛОМ</v>
      </c>
      <c r="Q147" s="13" t="str">
        <f t="shared" si="19"/>
        <v>ГОТОВ_ИЗМЕНЕН</v>
      </c>
      <c r="R147" s="13">
        <f>IFERROR(VLOOKUP(P147,Лист1!A$1:B$20,2,FALSE),0)</f>
        <v>784</v>
      </c>
      <c r="S147" s="13">
        <f t="shared" si="20"/>
        <v>0</v>
      </c>
    </row>
    <row r="148" spans="1:19" x14ac:dyDescent="0.25">
      <c r="A148" t="s">
        <v>1340</v>
      </c>
      <c r="B148" s="4" t="s">
        <v>1190</v>
      </c>
      <c r="C148" s="3" t="s">
        <v>5</v>
      </c>
      <c r="G148" s="3" t="s">
        <v>1198</v>
      </c>
      <c r="I148" s="3" t="str">
        <f>IFERROR(VLOOKUP(C148,'Справочник соответствий'!A$2:D$2996,2,FALSE),IF(VALUE(C148)=0,1,VLOOKUP(C148,'Справочник соответствий'!A$2:D$2996,2,FALSE)))</f>
        <v>1</v>
      </c>
      <c r="J148" s="3">
        <f>IFERROR(VLOOKUP(D148,'Справочник соответствий'!A$2:D$2996,2,FALSE),IF(VALUE(D148)=0,0,VLOOKUP(D148,'Справочник соответствий'!A$2:D$2996,2,FALSE)))</f>
        <v>0</v>
      </c>
      <c r="K148" s="3" t="str">
        <f t="shared" si="14"/>
        <v>1</v>
      </c>
      <c r="L148" s="13" t="str">
        <f>IFERROR(VLOOKUP(C148,'Справочник соответствий'!A$2:D$2996,3,FALSE),IF(VALUE(C148)=0,"ЭТАЖ НЕ ОПРЕДЕЛЕН. ПРИНЯТ ПО ДОПУЩЕНИЮ 1",VLOOKUP(C148,'Справочник соответствий'!A$2:D$2996,3,FALSE)))</f>
        <v>ЭТАЖ ЗАДАН ЧИСЛОМ</v>
      </c>
      <c r="M148" s="13" t="b">
        <f t="shared" si="15"/>
        <v>0</v>
      </c>
      <c r="N148" s="13">
        <f t="shared" si="16"/>
        <v>1</v>
      </c>
      <c r="O148" s="13" t="str">
        <f t="shared" si="17"/>
        <v>ЭТАЖ ЗАДАН ЧИСЛОМ</v>
      </c>
      <c r="P148" s="13" t="str">
        <f t="shared" si="18"/>
        <v>ЭТАЖ ЗАДАН ЧИСЛОМ</v>
      </c>
      <c r="Q148" s="13" t="str">
        <f t="shared" si="19"/>
        <v>ГОТОВ_ИЗМЕНЕН</v>
      </c>
      <c r="R148" s="13">
        <f>IFERROR(VLOOKUP(P148,Лист1!A$1:B$20,2,FALSE),0)</f>
        <v>784</v>
      </c>
      <c r="S148" s="13">
        <f t="shared" si="20"/>
        <v>0</v>
      </c>
    </row>
    <row r="149" spans="1:19" x14ac:dyDescent="0.25">
      <c r="A149" t="s">
        <v>1341</v>
      </c>
      <c r="B149" s="4" t="s">
        <v>1190</v>
      </c>
      <c r="C149" s="3" t="s">
        <v>5</v>
      </c>
      <c r="G149" s="3" t="s">
        <v>1224</v>
      </c>
      <c r="I149" s="3" t="str">
        <f>IFERROR(VLOOKUP(C149,'Справочник соответствий'!A$2:D$2996,2,FALSE),IF(VALUE(C149)=0,1,VLOOKUP(C149,'Справочник соответствий'!A$2:D$2996,2,FALSE)))</f>
        <v>1</v>
      </c>
      <c r="J149" s="3">
        <f>IFERROR(VLOOKUP(D149,'Справочник соответствий'!A$2:D$2996,2,FALSE),IF(VALUE(D149)=0,0,VLOOKUP(D149,'Справочник соответствий'!A$2:D$2996,2,FALSE)))</f>
        <v>0</v>
      </c>
      <c r="K149" s="3" t="str">
        <f t="shared" si="14"/>
        <v>1</v>
      </c>
      <c r="L149" s="13" t="str">
        <f>IFERROR(VLOOKUP(C149,'Справочник соответствий'!A$2:D$2996,3,FALSE),IF(VALUE(C149)=0,"ЭТАЖ НЕ ОПРЕДЕЛЕН. ПРИНЯТ ПО ДОПУЩЕНИЮ 1",VLOOKUP(C149,'Справочник соответствий'!A$2:D$2996,3,FALSE)))</f>
        <v>ЭТАЖ ЗАДАН ЧИСЛОМ</v>
      </c>
      <c r="M149" s="13" t="b">
        <f t="shared" si="15"/>
        <v>0</v>
      </c>
      <c r="N149" s="13">
        <f t="shared" si="16"/>
        <v>1</v>
      </c>
      <c r="O149" s="13" t="str">
        <f t="shared" si="17"/>
        <v>ЭТАЖ ЗАДАН ЧИСЛОМ</v>
      </c>
      <c r="P149" s="13" t="str">
        <f t="shared" si="18"/>
        <v>ЭТАЖ ЗАДАН ЧИСЛОМ</v>
      </c>
      <c r="Q149" s="13" t="str">
        <f t="shared" si="19"/>
        <v>ГОТОВ_ИЗМЕНЕН</v>
      </c>
      <c r="R149" s="13">
        <f>IFERROR(VLOOKUP(P149,Лист1!A$1:B$20,2,FALSE),0)</f>
        <v>784</v>
      </c>
      <c r="S149" s="13">
        <f t="shared" si="20"/>
        <v>0</v>
      </c>
    </row>
    <row r="150" spans="1:19" x14ac:dyDescent="0.25">
      <c r="A150" t="s">
        <v>1342</v>
      </c>
      <c r="B150" s="4" t="s">
        <v>1190</v>
      </c>
      <c r="C150" s="3" t="s">
        <v>7</v>
      </c>
      <c r="G150" s="3" t="s">
        <v>1224</v>
      </c>
      <c r="I150" s="3" t="str">
        <f>IFERROR(VLOOKUP(C150,'Справочник соответствий'!A$2:D$2996,2,FALSE),IF(VALUE(C150)=0,1,VLOOKUP(C150,'Справочник соответствий'!A$2:D$2996,2,FALSE)))</f>
        <v>2</v>
      </c>
      <c r="J150" s="3">
        <f>IFERROR(VLOOKUP(D150,'Справочник соответствий'!A$2:D$2996,2,FALSE),IF(VALUE(D150)=0,0,VLOOKUP(D150,'Справочник соответствий'!A$2:D$2996,2,FALSE)))</f>
        <v>0</v>
      </c>
      <c r="K150" s="3" t="str">
        <f t="shared" si="14"/>
        <v>2</v>
      </c>
      <c r="L150" s="13" t="str">
        <f>IFERROR(VLOOKUP(C150,'Справочник соответствий'!A$2:D$2996,3,FALSE),IF(VALUE(C150)=0,"ЭТАЖ НЕ ОПРЕДЕЛЕН. ПРИНЯТ ПО ДОПУЩЕНИЮ 1",VLOOKUP(C150,'Справочник соответствий'!A$2:D$2996,3,FALSE)))</f>
        <v>ЭТАЖ ЗАДАН ЧИСЛОМ</v>
      </c>
      <c r="M150" s="13" t="b">
        <f t="shared" si="15"/>
        <v>0</v>
      </c>
      <c r="N150" s="13">
        <f t="shared" si="16"/>
        <v>2</v>
      </c>
      <c r="O150" s="13" t="str">
        <f t="shared" si="17"/>
        <v>ЭТАЖ ЗАДАН ЧИСЛОМ</v>
      </c>
      <c r="P150" s="13" t="str">
        <f t="shared" si="18"/>
        <v>ЭТАЖ ЗАДАН ЧИСЛОМ</v>
      </c>
      <c r="Q150" s="13" t="str">
        <f t="shared" si="19"/>
        <v>ГОТОВ_ИЗМЕНЕН</v>
      </c>
      <c r="R150" s="13">
        <f>IFERROR(VLOOKUP(P150,Лист1!A$1:B$20,2,FALSE),0)</f>
        <v>784</v>
      </c>
      <c r="S150" s="13">
        <f t="shared" si="20"/>
        <v>0</v>
      </c>
    </row>
    <row r="151" spans="1:19" x14ac:dyDescent="0.25">
      <c r="A151" t="s">
        <v>1343</v>
      </c>
      <c r="B151" s="4" t="s">
        <v>1190</v>
      </c>
      <c r="C151" s="3" t="s">
        <v>5</v>
      </c>
      <c r="G151" s="3" t="s">
        <v>1224</v>
      </c>
      <c r="I151" s="3" t="str">
        <f>IFERROR(VLOOKUP(C151,'Справочник соответствий'!A$2:D$2996,2,FALSE),IF(VALUE(C151)=0,1,VLOOKUP(C151,'Справочник соответствий'!A$2:D$2996,2,FALSE)))</f>
        <v>1</v>
      </c>
      <c r="J151" s="3">
        <f>IFERROR(VLOOKUP(D151,'Справочник соответствий'!A$2:D$2996,2,FALSE),IF(VALUE(D151)=0,0,VLOOKUP(D151,'Справочник соответствий'!A$2:D$2996,2,FALSE)))</f>
        <v>0</v>
      </c>
      <c r="K151" s="3" t="str">
        <f t="shared" si="14"/>
        <v>1</v>
      </c>
      <c r="L151" s="13" t="str">
        <f>IFERROR(VLOOKUP(C151,'Справочник соответствий'!A$2:D$2996,3,FALSE),IF(VALUE(C151)=0,"ЭТАЖ НЕ ОПРЕДЕЛЕН. ПРИНЯТ ПО ДОПУЩЕНИЮ 1",VLOOKUP(C151,'Справочник соответствий'!A$2:D$2996,3,FALSE)))</f>
        <v>ЭТАЖ ЗАДАН ЧИСЛОМ</v>
      </c>
      <c r="M151" s="13" t="b">
        <f t="shared" si="15"/>
        <v>0</v>
      </c>
      <c r="N151" s="13">
        <f t="shared" si="16"/>
        <v>1</v>
      </c>
      <c r="O151" s="13" t="str">
        <f t="shared" si="17"/>
        <v>ЭТАЖ ЗАДАН ЧИСЛОМ</v>
      </c>
      <c r="P151" s="13" t="str">
        <f t="shared" si="18"/>
        <v>ЭТАЖ ЗАДАН ЧИСЛОМ</v>
      </c>
      <c r="Q151" s="13" t="str">
        <f t="shared" si="19"/>
        <v>ГОТОВ_ИЗМЕНЕН</v>
      </c>
      <c r="R151" s="13">
        <f>IFERROR(VLOOKUP(P151,Лист1!A$1:B$20,2,FALSE),0)</f>
        <v>784</v>
      </c>
      <c r="S151" s="13">
        <f t="shared" si="20"/>
        <v>0</v>
      </c>
    </row>
    <row r="152" spans="1:19" x14ac:dyDescent="0.25">
      <c r="A152" t="s">
        <v>1344</v>
      </c>
      <c r="B152" s="4" t="s">
        <v>1190</v>
      </c>
      <c r="G152" s="3" t="s">
        <v>1224</v>
      </c>
      <c r="I152" s="3">
        <f>IFERROR(VLOOKUP(C152,'Справочник соответствий'!A$2:D$2996,2,FALSE),IF(VALUE(C152)=0,1,VLOOKUP(C152,'Справочник соответствий'!A$2:D$2996,2,FALSE)))</f>
        <v>1</v>
      </c>
      <c r="J152" s="3">
        <f>IFERROR(VLOOKUP(D152,'Справочник соответствий'!A$2:D$2996,2,FALSE),IF(VALUE(D152)=0,0,VLOOKUP(D152,'Справочник соответствий'!A$2:D$2996,2,FALSE)))</f>
        <v>0</v>
      </c>
      <c r="K152" s="3">
        <f t="shared" si="14"/>
        <v>1</v>
      </c>
      <c r="L152" s="13" t="str">
        <f>IFERROR(VLOOKUP(C152,'Справочник соответствий'!A$2:D$2996,3,FALSE),IF(VALUE(C152)=0,"ЭТАЖ НЕ ОПРЕДЕЛЕН. ПРИНЯТ ПО ДОПУЩЕНИЮ 1",VLOOKUP(C152,'Справочник соответствий'!A$2:D$2996,3,FALSE)))</f>
        <v>ЭТАЖ НЕ ОПРЕДЕЛЕН. ПРИНЯТ ПО ДОПУЩЕНИЮ 1</v>
      </c>
      <c r="M152" s="13" t="b">
        <f t="shared" si="15"/>
        <v>0</v>
      </c>
      <c r="N152" s="13">
        <f t="shared" si="16"/>
        <v>1</v>
      </c>
      <c r="O152" s="13" t="str">
        <f t="shared" si="17"/>
        <v>ЭТАЖ НЕ ОПРЕДЕЛЕН. ПРИНЯТ ПО ДОПУЩЕНИЮ 1</v>
      </c>
      <c r="P152" s="13" t="str">
        <f t="shared" si="18"/>
        <v>ЭТАЖ НЕ ОПРЕДЕЛЕН. ПРИНЯТ ПО ДОПУЩЕНИЮ 1</v>
      </c>
      <c r="Q152" s="13" t="str">
        <f t="shared" si="19"/>
        <v>ГОТОВ_ИЗМЕНЕН</v>
      </c>
      <c r="R152" s="13">
        <f>IFERROR(VLOOKUP(P152,Лист1!A$1:B$20,2,FALSE),0)</f>
        <v>788</v>
      </c>
      <c r="S152" s="13">
        <f t="shared" si="20"/>
        <v>0</v>
      </c>
    </row>
    <row r="153" spans="1:19" x14ac:dyDescent="0.25">
      <c r="A153" t="s">
        <v>1345</v>
      </c>
      <c r="B153" s="4" t="s">
        <v>1190</v>
      </c>
      <c r="C153" s="3" t="s">
        <v>7</v>
      </c>
      <c r="G153" s="3" t="s">
        <v>1224</v>
      </c>
      <c r="I153" s="3" t="str">
        <f>IFERROR(VLOOKUP(C153,'Справочник соответствий'!A$2:D$2996,2,FALSE),IF(VALUE(C153)=0,1,VLOOKUP(C153,'Справочник соответствий'!A$2:D$2996,2,FALSE)))</f>
        <v>2</v>
      </c>
      <c r="J153" s="3">
        <f>IFERROR(VLOOKUP(D153,'Справочник соответствий'!A$2:D$2996,2,FALSE),IF(VALUE(D153)=0,0,VLOOKUP(D153,'Справочник соответствий'!A$2:D$2996,2,FALSE)))</f>
        <v>0</v>
      </c>
      <c r="K153" s="3" t="str">
        <f t="shared" si="14"/>
        <v>2</v>
      </c>
      <c r="L153" s="13" t="str">
        <f>IFERROR(VLOOKUP(C153,'Справочник соответствий'!A$2:D$2996,3,FALSE),IF(VALUE(C153)=0,"ЭТАЖ НЕ ОПРЕДЕЛЕН. ПРИНЯТ ПО ДОПУЩЕНИЮ 1",VLOOKUP(C153,'Справочник соответствий'!A$2:D$2996,3,FALSE)))</f>
        <v>ЭТАЖ ЗАДАН ЧИСЛОМ</v>
      </c>
      <c r="M153" s="13" t="b">
        <f t="shared" si="15"/>
        <v>0</v>
      </c>
      <c r="N153" s="13">
        <f t="shared" si="16"/>
        <v>2</v>
      </c>
      <c r="O153" s="13" t="str">
        <f t="shared" si="17"/>
        <v>ЭТАЖ ЗАДАН ЧИСЛОМ</v>
      </c>
      <c r="P153" s="13" t="str">
        <f t="shared" si="18"/>
        <v>ЭТАЖ ЗАДАН ЧИСЛОМ</v>
      </c>
      <c r="Q153" s="13" t="str">
        <f t="shared" si="19"/>
        <v>ГОТОВ_ИЗМЕНЕН</v>
      </c>
      <c r="R153" s="13">
        <f>IFERROR(VLOOKUP(P153,Лист1!A$1:B$20,2,FALSE),0)</f>
        <v>784</v>
      </c>
      <c r="S153" s="13">
        <f t="shared" si="20"/>
        <v>0</v>
      </c>
    </row>
    <row r="154" spans="1:19" x14ac:dyDescent="0.25">
      <c r="A154" t="s">
        <v>1346</v>
      </c>
      <c r="B154" s="4" t="s">
        <v>1190</v>
      </c>
      <c r="C154" s="3" t="s">
        <v>7</v>
      </c>
      <c r="G154" s="3" t="s">
        <v>1224</v>
      </c>
      <c r="I154" s="3" t="str">
        <f>IFERROR(VLOOKUP(C154,'Справочник соответствий'!A$2:D$2996,2,FALSE),IF(VALUE(C154)=0,1,VLOOKUP(C154,'Справочник соответствий'!A$2:D$2996,2,FALSE)))</f>
        <v>2</v>
      </c>
      <c r="J154" s="3">
        <f>IFERROR(VLOOKUP(D154,'Справочник соответствий'!A$2:D$2996,2,FALSE),IF(VALUE(D154)=0,0,VLOOKUP(D154,'Справочник соответствий'!A$2:D$2996,2,FALSE)))</f>
        <v>0</v>
      </c>
      <c r="K154" s="3" t="str">
        <f t="shared" si="14"/>
        <v>2</v>
      </c>
      <c r="L154" s="13" t="str">
        <f>IFERROR(VLOOKUP(C154,'Справочник соответствий'!A$2:D$2996,3,FALSE),IF(VALUE(C154)=0,"ЭТАЖ НЕ ОПРЕДЕЛЕН. ПРИНЯТ ПО ДОПУЩЕНИЮ 1",VLOOKUP(C154,'Справочник соответствий'!A$2:D$2996,3,FALSE)))</f>
        <v>ЭТАЖ ЗАДАН ЧИСЛОМ</v>
      </c>
      <c r="M154" s="13" t="b">
        <f t="shared" si="15"/>
        <v>0</v>
      </c>
      <c r="N154" s="13">
        <f t="shared" si="16"/>
        <v>2</v>
      </c>
      <c r="O154" s="13" t="str">
        <f t="shared" si="17"/>
        <v>ЭТАЖ ЗАДАН ЧИСЛОМ</v>
      </c>
      <c r="P154" s="13" t="str">
        <f t="shared" si="18"/>
        <v>ЭТАЖ ЗАДАН ЧИСЛОМ</v>
      </c>
      <c r="Q154" s="13" t="str">
        <f t="shared" si="19"/>
        <v>ГОТОВ_ИЗМЕНЕН</v>
      </c>
      <c r="R154" s="13">
        <f>IFERROR(VLOOKUP(P154,Лист1!A$1:B$20,2,FALSE),0)</f>
        <v>784</v>
      </c>
      <c r="S154" s="13">
        <f t="shared" si="20"/>
        <v>0</v>
      </c>
    </row>
    <row r="155" spans="1:19" x14ac:dyDescent="0.25">
      <c r="A155" t="s">
        <v>1347</v>
      </c>
      <c r="B155" s="4" t="s">
        <v>1190</v>
      </c>
      <c r="G155" s="3" t="s">
        <v>1224</v>
      </c>
      <c r="I155" s="3">
        <f>IFERROR(VLOOKUP(C155,'Справочник соответствий'!A$2:D$2996,2,FALSE),IF(VALUE(C155)=0,1,VLOOKUP(C155,'Справочник соответствий'!A$2:D$2996,2,FALSE)))</f>
        <v>1</v>
      </c>
      <c r="J155" s="3">
        <f>IFERROR(VLOOKUP(D155,'Справочник соответствий'!A$2:D$2996,2,FALSE),IF(VALUE(D155)=0,0,VLOOKUP(D155,'Справочник соответствий'!A$2:D$2996,2,FALSE)))</f>
        <v>0</v>
      </c>
      <c r="K155" s="3">
        <f t="shared" si="14"/>
        <v>1</v>
      </c>
      <c r="L155" s="13" t="str">
        <f>IFERROR(VLOOKUP(C155,'Справочник соответствий'!A$2:D$2996,3,FALSE),IF(VALUE(C155)=0,"ЭТАЖ НЕ ОПРЕДЕЛЕН. ПРИНЯТ ПО ДОПУЩЕНИЮ 1",VLOOKUP(C155,'Справочник соответствий'!A$2:D$2996,3,FALSE)))</f>
        <v>ЭТАЖ НЕ ОПРЕДЕЛЕН. ПРИНЯТ ПО ДОПУЩЕНИЮ 1</v>
      </c>
      <c r="M155" s="13" t="b">
        <f t="shared" si="15"/>
        <v>0</v>
      </c>
      <c r="N155" s="13">
        <f t="shared" si="16"/>
        <v>1</v>
      </c>
      <c r="O155" s="13" t="str">
        <f t="shared" si="17"/>
        <v>ЭТАЖ НЕ ОПРЕДЕЛЕН. ПРИНЯТ ПО ДОПУЩЕНИЮ 1</v>
      </c>
      <c r="P155" s="13" t="str">
        <f t="shared" si="18"/>
        <v>ЭТАЖ НЕ ОПРЕДЕЛЕН. ПРИНЯТ ПО ДОПУЩЕНИЮ 1</v>
      </c>
      <c r="Q155" s="13" t="str">
        <f t="shared" si="19"/>
        <v>ГОТОВ_ИЗМЕНЕН</v>
      </c>
      <c r="R155" s="13">
        <f>IFERROR(VLOOKUP(P155,Лист1!A$1:B$20,2,FALSE),0)</f>
        <v>788</v>
      </c>
      <c r="S155" s="13">
        <f t="shared" si="20"/>
        <v>0</v>
      </c>
    </row>
    <row r="156" spans="1:19" x14ac:dyDescent="0.25">
      <c r="A156" t="s">
        <v>1348</v>
      </c>
      <c r="B156" s="4" t="s">
        <v>1182</v>
      </c>
      <c r="C156" s="3" t="s">
        <v>5</v>
      </c>
      <c r="E156" s="3" t="s">
        <v>5</v>
      </c>
      <c r="F156" t="s">
        <v>1186</v>
      </c>
      <c r="G156" s="3" t="s">
        <v>1187</v>
      </c>
      <c r="H156" s="7" t="s">
        <v>1184</v>
      </c>
      <c r="I156" s="3" t="str">
        <f>IFERROR(VLOOKUP(C156,'Справочник соответствий'!A$2:D$2996,2,FALSE),IF(VALUE(C156)=0,1,VLOOKUP(C156,'Справочник соответствий'!A$2:D$2996,2,FALSE)))</f>
        <v>1</v>
      </c>
      <c r="J156" s="3">
        <f>IFERROR(VLOOKUP(D156,'Справочник соответствий'!A$2:D$2996,2,FALSE),IF(VALUE(D156)=0,0,VLOOKUP(D156,'Справочник соответствий'!A$2:D$2996,2,FALSE)))</f>
        <v>0</v>
      </c>
      <c r="K156" s="3" t="str">
        <f t="shared" si="14"/>
        <v>1</v>
      </c>
      <c r="L156" s="13" t="str">
        <f>IFERROR(VLOOKUP(C156,'Справочник соответствий'!A$2:D$2996,3,FALSE),IF(VALUE(C156)=0,"ЭТАЖ НЕ ОПРЕДЕЛЕН. ПРИНЯТ ПО ДОПУЩЕНИЮ 1",VLOOKUP(C156,'Справочник соответствий'!A$2:D$2996,3,FALSE)))</f>
        <v>ЭТАЖ ЗАДАН ЧИСЛОМ</v>
      </c>
      <c r="M156" s="13" t="b">
        <f t="shared" si="15"/>
        <v>1</v>
      </c>
      <c r="N156" s="13">
        <f t="shared" si="16"/>
        <v>1</v>
      </c>
      <c r="O156" s="13" t="str">
        <f t="shared" si="17"/>
        <v>ЭТАЖ ЗАДАН ЧИСЛОМ</v>
      </c>
      <c r="P156" s="13" t="str">
        <f t="shared" si="18"/>
        <v>ЭТАЖ ЗАДАН ЧИСЛОМ</v>
      </c>
      <c r="Q156" s="13" t="str">
        <f t="shared" si="19"/>
        <v>ГОТОВ</v>
      </c>
      <c r="R156" s="13">
        <f>IFERROR(VLOOKUP(P156,Лист1!A$1:B$20,2,FALSE),0)</f>
        <v>784</v>
      </c>
      <c r="S156" s="13">
        <f t="shared" si="20"/>
        <v>1</v>
      </c>
    </row>
    <row r="157" spans="1:19" x14ac:dyDescent="0.25">
      <c r="A157" t="s">
        <v>1349</v>
      </c>
      <c r="B157" s="4" t="s">
        <v>1190</v>
      </c>
      <c r="C157" s="3" t="s">
        <v>7</v>
      </c>
      <c r="D157" s="3" t="s">
        <v>5</v>
      </c>
      <c r="E157" s="3" t="s">
        <v>7</v>
      </c>
      <c r="F157" t="s">
        <v>1045</v>
      </c>
      <c r="G157" s="3" t="s">
        <v>1198</v>
      </c>
      <c r="H157" s="7" t="s">
        <v>1184</v>
      </c>
      <c r="I157" s="3" t="str">
        <f>IFERROR(VLOOKUP(C157,'Справочник соответствий'!A$2:D$2996,2,FALSE),IF(VALUE(C157)=0,1,VLOOKUP(C157,'Справочник соответствий'!A$2:D$2996,2,FALSE)))</f>
        <v>2</v>
      </c>
      <c r="J157" s="3" t="str">
        <f>IFERROR(VLOOKUP(D157,'Справочник соответствий'!A$2:D$2996,2,FALSE),IF(VALUE(D157)=0,0,VLOOKUP(D157,'Справочник соответствий'!A$2:D$2996,2,FALSE)))</f>
        <v>1</v>
      </c>
      <c r="K157" s="3" t="str">
        <f t="shared" si="14"/>
        <v>2</v>
      </c>
      <c r="L157" s="13" t="str">
        <f>IFERROR(VLOOKUP(C157,'Справочник соответствий'!A$2:D$2996,3,FALSE),IF(VALUE(C157)=0,"ЭТАЖ НЕ ОПРЕДЕЛЕН. ПРИНЯТ ПО ДОПУЩЕНИЮ 1",VLOOKUP(C157,'Справочник соответствий'!A$2:D$2996,3,FALSE)))</f>
        <v>ЭТАЖ ЗАДАН ЧИСЛОМ</v>
      </c>
      <c r="M157" s="13" t="b">
        <f t="shared" si="15"/>
        <v>1</v>
      </c>
      <c r="N157" s="13">
        <f t="shared" si="16"/>
        <v>2</v>
      </c>
      <c r="O157" s="13" t="str">
        <f t="shared" si="17"/>
        <v>ЭТАЖ ЗАДАН ЧИСЛОМ</v>
      </c>
      <c r="P157" s="13" t="str">
        <f t="shared" si="18"/>
        <v>ЭТАЖ ЗАДАН ЧИСЛОМ</v>
      </c>
      <c r="Q157" s="13" t="str">
        <f t="shared" si="19"/>
        <v>ГОТОВ</v>
      </c>
      <c r="R157" s="13">
        <f>IFERROR(VLOOKUP(P157,Лист1!A$1:B$20,2,FALSE),0)</f>
        <v>784</v>
      </c>
      <c r="S157" s="13">
        <f t="shared" si="20"/>
        <v>2</v>
      </c>
    </row>
    <row r="158" spans="1:19" x14ac:dyDescent="0.25">
      <c r="A158" t="s">
        <v>1350</v>
      </c>
      <c r="B158" s="4" t="s">
        <v>1182</v>
      </c>
      <c r="C158" s="3" t="s">
        <v>5</v>
      </c>
      <c r="E158" s="3" t="s">
        <v>5</v>
      </c>
      <c r="F158" t="s">
        <v>1045</v>
      </c>
      <c r="G158" s="3" t="s">
        <v>1183</v>
      </c>
      <c r="H158" s="7" t="s">
        <v>1184</v>
      </c>
      <c r="I158" s="3" t="str">
        <f>IFERROR(VLOOKUP(C158,'Справочник соответствий'!A$2:D$2996,2,FALSE),IF(VALUE(C158)=0,1,VLOOKUP(C158,'Справочник соответствий'!A$2:D$2996,2,FALSE)))</f>
        <v>1</v>
      </c>
      <c r="J158" s="3">
        <f>IFERROR(VLOOKUP(D158,'Справочник соответствий'!A$2:D$2996,2,FALSE),IF(VALUE(D158)=0,0,VLOOKUP(D158,'Справочник соответствий'!A$2:D$2996,2,FALSE)))</f>
        <v>0</v>
      </c>
      <c r="K158" s="3" t="str">
        <f t="shared" si="14"/>
        <v>1</v>
      </c>
      <c r="L158" s="13" t="str">
        <f>IFERROR(VLOOKUP(C158,'Справочник соответствий'!A$2:D$2996,3,FALSE),IF(VALUE(C158)=0,"ЭТАЖ НЕ ОПРЕДЕЛЕН. ПРИНЯТ ПО ДОПУЩЕНИЮ 1",VLOOKUP(C158,'Справочник соответствий'!A$2:D$2996,3,FALSE)))</f>
        <v>ЭТАЖ ЗАДАН ЧИСЛОМ</v>
      </c>
      <c r="M158" s="13" t="b">
        <f t="shared" si="15"/>
        <v>1</v>
      </c>
      <c r="N158" s="13">
        <f t="shared" si="16"/>
        <v>1</v>
      </c>
      <c r="O158" s="13" t="str">
        <f t="shared" si="17"/>
        <v>ЭТАЖ ЗАДАН ЧИСЛОМ</v>
      </c>
      <c r="P158" s="13" t="str">
        <f t="shared" si="18"/>
        <v>ЭТАЖ ЗАДАН ЧИСЛОМ</v>
      </c>
      <c r="Q158" s="13" t="str">
        <f t="shared" si="19"/>
        <v>ГОТОВ</v>
      </c>
      <c r="R158" s="13">
        <f>IFERROR(VLOOKUP(P158,Лист1!A$1:B$20,2,FALSE),0)</f>
        <v>784</v>
      </c>
      <c r="S158" s="13">
        <f t="shared" si="20"/>
        <v>1</v>
      </c>
    </row>
    <row r="159" spans="1:19" x14ac:dyDescent="0.25">
      <c r="A159" t="s">
        <v>1351</v>
      </c>
      <c r="B159" s="4" t="s">
        <v>1182</v>
      </c>
      <c r="C159" s="3" t="s">
        <v>5</v>
      </c>
      <c r="E159" s="3" t="s">
        <v>5</v>
      </c>
      <c r="F159" t="s">
        <v>1045</v>
      </c>
      <c r="G159" s="3" t="s">
        <v>1187</v>
      </c>
      <c r="H159" s="7" t="s">
        <v>1184</v>
      </c>
      <c r="I159" s="3" t="str">
        <f>IFERROR(VLOOKUP(C159,'Справочник соответствий'!A$2:D$2996,2,FALSE),IF(VALUE(C159)=0,1,VLOOKUP(C159,'Справочник соответствий'!A$2:D$2996,2,FALSE)))</f>
        <v>1</v>
      </c>
      <c r="J159" s="3">
        <f>IFERROR(VLOOKUP(D159,'Справочник соответствий'!A$2:D$2996,2,FALSE),IF(VALUE(D159)=0,0,VLOOKUP(D159,'Справочник соответствий'!A$2:D$2996,2,FALSE)))</f>
        <v>0</v>
      </c>
      <c r="K159" s="3" t="str">
        <f t="shared" si="14"/>
        <v>1</v>
      </c>
      <c r="L159" s="13" t="str">
        <f>IFERROR(VLOOKUP(C159,'Справочник соответствий'!A$2:D$2996,3,FALSE),IF(VALUE(C159)=0,"ЭТАЖ НЕ ОПРЕДЕЛЕН. ПРИНЯТ ПО ДОПУЩЕНИЮ 1",VLOOKUP(C159,'Справочник соответствий'!A$2:D$2996,3,FALSE)))</f>
        <v>ЭТАЖ ЗАДАН ЧИСЛОМ</v>
      </c>
      <c r="M159" s="13" t="b">
        <f t="shared" si="15"/>
        <v>1</v>
      </c>
      <c r="N159" s="13">
        <f t="shared" si="16"/>
        <v>1</v>
      </c>
      <c r="O159" s="13" t="str">
        <f t="shared" si="17"/>
        <v>ЭТАЖ ЗАДАН ЧИСЛОМ</v>
      </c>
      <c r="P159" s="13" t="str">
        <f t="shared" si="18"/>
        <v>ЭТАЖ ЗАДАН ЧИСЛОМ</v>
      </c>
      <c r="Q159" s="13" t="str">
        <f t="shared" si="19"/>
        <v>ГОТОВ</v>
      </c>
      <c r="R159" s="13">
        <f>IFERROR(VLOOKUP(P159,Лист1!A$1:B$20,2,FALSE),0)</f>
        <v>784</v>
      </c>
      <c r="S159" s="13">
        <f t="shared" si="20"/>
        <v>1</v>
      </c>
    </row>
    <row r="160" spans="1:19" x14ac:dyDescent="0.25">
      <c r="A160" t="s">
        <v>1352</v>
      </c>
      <c r="B160" s="4" t="s">
        <v>1190</v>
      </c>
      <c r="C160" s="3" t="s">
        <v>7</v>
      </c>
      <c r="D160" s="3" t="s">
        <v>5</v>
      </c>
      <c r="E160" s="3" t="s">
        <v>7</v>
      </c>
      <c r="F160" t="s">
        <v>1045</v>
      </c>
      <c r="G160" s="3" t="s">
        <v>1183</v>
      </c>
      <c r="H160" s="7" t="s">
        <v>1184</v>
      </c>
      <c r="I160" s="3" t="str">
        <f>IFERROR(VLOOKUP(C160,'Справочник соответствий'!A$2:D$2996,2,FALSE),IF(VALUE(C160)=0,1,VLOOKUP(C160,'Справочник соответствий'!A$2:D$2996,2,FALSE)))</f>
        <v>2</v>
      </c>
      <c r="J160" s="3" t="str">
        <f>IFERROR(VLOOKUP(D160,'Справочник соответствий'!A$2:D$2996,2,FALSE),IF(VALUE(D160)=0,0,VLOOKUP(D160,'Справочник соответствий'!A$2:D$2996,2,FALSE)))</f>
        <v>1</v>
      </c>
      <c r="K160" s="3" t="str">
        <f t="shared" si="14"/>
        <v>2</v>
      </c>
      <c r="L160" s="13" t="str">
        <f>IFERROR(VLOOKUP(C160,'Справочник соответствий'!A$2:D$2996,3,FALSE),IF(VALUE(C160)=0,"ЭТАЖ НЕ ОПРЕДЕЛЕН. ПРИНЯТ ПО ДОПУЩЕНИЮ 1",VLOOKUP(C160,'Справочник соответствий'!A$2:D$2996,3,FALSE)))</f>
        <v>ЭТАЖ ЗАДАН ЧИСЛОМ</v>
      </c>
      <c r="M160" s="13" t="b">
        <f t="shared" si="15"/>
        <v>1</v>
      </c>
      <c r="N160" s="13">
        <f t="shared" si="16"/>
        <v>2</v>
      </c>
      <c r="O160" s="13" t="str">
        <f t="shared" si="17"/>
        <v>ЭТАЖ ЗАДАН ЧИСЛОМ</v>
      </c>
      <c r="P160" s="13" t="str">
        <f t="shared" si="18"/>
        <v>ЭТАЖ ЗАДАН ЧИСЛОМ</v>
      </c>
      <c r="Q160" s="13" t="str">
        <f t="shared" si="19"/>
        <v>ГОТОВ</v>
      </c>
      <c r="R160" s="13">
        <f>IFERROR(VLOOKUP(P160,Лист1!A$1:B$20,2,FALSE),0)</f>
        <v>784</v>
      </c>
      <c r="S160" s="13">
        <f t="shared" si="20"/>
        <v>2</v>
      </c>
    </row>
    <row r="161" spans="1:19" x14ac:dyDescent="0.25">
      <c r="A161" t="s">
        <v>1353</v>
      </c>
      <c r="B161" s="4" t="s">
        <v>1190</v>
      </c>
      <c r="C161" s="3" t="s">
        <v>7</v>
      </c>
      <c r="D161" s="3" t="s">
        <v>5</v>
      </c>
      <c r="E161" s="3" t="s">
        <v>7</v>
      </c>
      <c r="F161" t="s">
        <v>1045</v>
      </c>
      <c r="G161" s="3" t="s">
        <v>1183</v>
      </c>
      <c r="H161" s="7" t="s">
        <v>1184</v>
      </c>
      <c r="I161" s="3" t="str">
        <f>IFERROR(VLOOKUP(C161,'Справочник соответствий'!A$2:D$2996,2,FALSE),IF(VALUE(C161)=0,1,VLOOKUP(C161,'Справочник соответствий'!A$2:D$2996,2,FALSE)))</f>
        <v>2</v>
      </c>
      <c r="J161" s="3" t="str">
        <f>IFERROR(VLOOKUP(D161,'Справочник соответствий'!A$2:D$2996,2,FALSE),IF(VALUE(D161)=0,0,VLOOKUP(D161,'Справочник соответствий'!A$2:D$2996,2,FALSE)))</f>
        <v>1</v>
      </c>
      <c r="K161" s="3" t="str">
        <f t="shared" si="14"/>
        <v>2</v>
      </c>
      <c r="L161" s="13" t="str">
        <f>IFERROR(VLOOKUP(C161,'Справочник соответствий'!A$2:D$2996,3,FALSE),IF(VALUE(C161)=0,"ЭТАЖ НЕ ОПРЕДЕЛЕН. ПРИНЯТ ПО ДОПУЩЕНИЮ 1",VLOOKUP(C161,'Справочник соответствий'!A$2:D$2996,3,FALSE)))</f>
        <v>ЭТАЖ ЗАДАН ЧИСЛОМ</v>
      </c>
      <c r="M161" s="13" t="b">
        <f t="shared" si="15"/>
        <v>1</v>
      </c>
      <c r="N161" s="13">
        <f t="shared" si="16"/>
        <v>2</v>
      </c>
      <c r="O161" s="13" t="str">
        <f t="shared" si="17"/>
        <v>ЭТАЖ ЗАДАН ЧИСЛОМ</v>
      </c>
      <c r="P161" s="13" t="str">
        <f t="shared" si="18"/>
        <v>ЭТАЖ ЗАДАН ЧИСЛОМ</v>
      </c>
      <c r="Q161" s="13" t="str">
        <f t="shared" si="19"/>
        <v>ГОТОВ</v>
      </c>
      <c r="R161" s="13">
        <f>IFERROR(VLOOKUP(P161,Лист1!A$1:B$20,2,FALSE),0)</f>
        <v>784</v>
      </c>
      <c r="S161" s="13">
        <f t="shared" si="20"/>
        <v>2</v>
      </c>
    </row>
    <row r="162" spans="1:19" x14ac:dyDescent="0.25">
      <c r="A162" t="s">
        <v>1354</v>
      </c>
      <c r="B162" s="4" t="s">
        <v>1182</v>
      </c>
      <c r="C162" s="3" t="s">
        <v>5</v>
      </c>
      <c r="E162" s="3" t="s">
        <v>5</v>
      </c>
      <c r="F162" t="s">
        <v>1045</v>
      </c>
      <c r="G162" s="3" t="s">
        <v>1183</v>
      </c>
      <c r="H162" s="7" t="s">
        <v>1184</v>
      </c>
      <c r="I162" s="3" t="str">
        <f>IFERROR(VLOOKUP(C162,'Справочник соответствий'!A$2:D$2996,2,FALSE),IF(VALUE(C162)=0,1,VLOOKUP(C162,'Справочник соответствий'!A$2:D$2996,2,FALSE)))</f>
        <v>1</v>
      </c>
      <c r="J162" s="3">
        <f>IFERROR(VLOOKUP(D162,'Справочник соответствий'!A$2:D$2996,2,FALSE),IF(VALUE(D162)=0,0,VLOOKUP(D162,'Справочник соответствий'!A$2:D$2996,2,FALSE)))</f>
        <v>0</v>
      </c>
      <c r="K162" s="3" t="str">
        <f t="shared" si="14"/>
        <v>1</v>
      </c>
      <c r="L162" s="13" t="str">
        <f>IFERROR(VLOOKUP(C162,'Справочник соответствий'!A$2:D$2996,3,FALSE),IF(VALUE(C162)=0,"ЭТАЖ НЕ ОПРЕДЕЛЕН. ПРИНЯТ ПО ДОПУЩЕНИЮ 1",VLOOKUP(C162,'Справочник соответствий'!A$2:D$2996,3,FALSE)))</f>
        <v>ЭТАЖ ЗАДАН ЧИСЛОМ</v>
      </c>
      <c r="M162" s="13" t="b">
        <f t="shared" si="15"/>
        <v>1</v>
      </c>
      <c r="N162" s="13">
        <f t="shared" si="16"/>
        <v>1</v>
      </c>
      <c r="O162" s="13" t="str">
        <f t="shared" si="17"/>
        <v>ЭТАЖ ЗАДАН ЧИСЛОМ</v>
      </c>
      <c r="P162" s="13" t="str">
        <f t="shared" si="18"/>
        <v>ЭТАЖ ЗАДАН ЧИСЛОМ</v>
      </c>
      <c r="Q162" s="13" t="str">
        <f t="shared" si="19"/>
        <v>ГОТОВ</v>
      </c>
      <c r="R162" s="13">
        <f>IFERROR(VLOOKUP(P162,Лист1!A$1:B$20,2,FALSE),0)</f>
        <v>784</v>
      </c>
      <c r="S162" s="13">
        <f t="shared" si="20"/>
        <v>1</v>
      </c>
    </row>
    <row r="163" spans="1:19" x14ac:dyDescent="0.25">
      <c r="A163" t="s">
        <v>1355</v>
      </c>
      <c r="B163" s="4" t="s">
        <v>1190</v>
      </c>
      <c r="C163" s="3" t="s">
        <v>7</v>
      </c>
      <c r="E163" s="3" t="s">
        <v>5</v>
      </c>
      <c r="F163" t="s">
        <v>1045</v>
      </c>
      <c r="G163" s="3" t="s">
        <v>1224</v>
      </c>
      <c r="H163" s="7" t="s">
        <v>1184</v>
      </c>
      <c r="I163" s="3" t="str">
        <f>IFERROR(VLOOKUP(C163,'Справочник соответствий'!A$2:D$2996,2,FALSE),IF(VALUE(C163)=0,1,VLOOKUP(C163,'Справочник соответствий'!A$2:D$2996,2,FALSE)))</f>
        <v>2</v>
      </c>
      <c r="J163" s="3">
        <f>IFERROR(VLOOKUP(D163,'Справочник соответствий'!A$2:D$2996,2,FALSE),IF(VALUE(D163)=0,0,VLOOKUP(D163,'Справочник соответствий'!A$2:D$2996,2,FALSE)))</f>
        <v>0</v>
      </c>
      <c r="K163" s="3" t="str">
        <f t="shared" si="14"/>
        <v>2</v>
      </c>
      <c r="L163" s="13" t="str">
        <f>IFERROR(VLOOKUP(C163,'Справочник соответствий'!A$2:D$2996,3,FALSE),IF(VALUE(C163)=0,"ЭТАЖ НЕ ОПРЕДЕЛЕН. ПРИНЯТ ПО ДОПУЩЕНИЮ 1",VLOOKUP(C163,'Справочник соответствий'!A$2:D$2996,3,FALSE)))</f>
        <v>ЭТАЖ ЗАДАН ЧИСЛОМ</v>
      </c>
      <c r="M163" s="13" t="b">
        <f t="shared" si="15"/>
        <v>0</v>
      </c>
      <c r="N163" s="13">
        <f t="shared" si="16"/>
        <v>2</v>
      </c>
      <c r="O163" s="13" t="str">
        <f t="shared" si="17"/>
        <v>ЭТАЖ ЗАДАН ЧИСЛОМ</v>
      </c>
      <c r="P163" s="13" t="str">
        <f t="shared" si="18"/>
        <v>ЭТАЖ ЗАДАН ЧИСЛОМ</v>
      </c>
      <c r="Q163" s="13" t="str">
        <f t="shared" si="19"/>
        <v>ГОТОВ_ИЗМЕНЕН</v>
      </c>
      <c r="R163" s="13">
        <f>IFERROR(VLOOKUP(P163,Лист1!A$1:B$20,2,FALSE),0)</f>
        <v>784</v>
      </c>
      <c r="S163" s="13">
        <f t="shared" si="20"/>
        <v>1</v>
      </c>
    </row>
    <row r="164" spans="1:19" x14ac:dyDescent="0.25">
      <c r="A164" t="s">
        <v>1356</v>
      </c>
      <c r="B164" s="4" t="s">
        <v>1190</v>
      </c>
      <c r="C164" s="3" t="s">
        <v>7</v>
      </c>
      <c r="E164" s="3" t="s">
        <v>5</v>
      </c>
      <c r="F164" t="s">
        <v>1038</v>
      </c>
      <c r="G164" s="3" t="s">
        <v>1224</v>
      </c>
      <c r="H164" s="7" t="s">
        <v>1184</v>
      </c>
      <c r="I164" s="3" t="str">
        <f>IFERROR(VLOOKUP(C164,'Справочник соответствий'!A$2:D$2996,2,FALSE),IF(VALUE(C164)=0,1,VLOOKUP(C164,'Справочник соответствий'!A$2:D$2996,2,FALSE)))</f>
        <v>2</v>
      </c>
      <c r="J164" s="3">
        <f>IFERROR(VLOOKUP(D164,'Справочник соответствий'!A$2:D$2996,2,FALSE),IF(VALUE(D164)=0,0,VLOOKUP(D164,'Справочник соответствий'!A$2:D$2996,2,FALSE)))</f>
        <v>0</v>
      </c>
      <c r="K164" s="3" t="str">
        <f t="shared" si="14"/>
        <v>2</v>
      </c>
      <c r="L164" s="13" t="str">
        <f>IFERROR(VLOOKUP(C164,'Справочник соответствий'!A$2:D$2996,3,FALSE),IF(VALUE(C164)=0,"ЭТАЖ НЕ ОПРЕДЕЛЕН. ПРИНЯТ ПО ДОПУЩЕНИЮ 1",VLOOKUP(C164,'Справочник соответствий'!A$2:D$2996,3,FALSE)))</f>
        <v>ЭТАЖ ЗАДАН ЧИСЛОМ</v>
      </c>
      <c r="M164" s="13" t="b">
        <f t="shared" si="15"/>
        <v>0</v>
      </c>
      <c r="N164" s="13">
        <f t="shared" si="16"/>
        <v>2</v>
      </c>
      <c r="O164" s="13" t="str">
        <f t="shared" si="17"/>
        <v>ЭТАЖ ЗАДАН ЧИСЛОМ</v>
      </c>
      <c r="P164" s="13" t="str">
        <f t="shared" si="18"/>
        <v>ЭТАЖ ЗАДАН ЧИСЛОМ</v>
      </c>
      <c r="Q164" s="13" t="str">
        <f t="shared" si="19"/>
        <v>ГОТОВ_ИЗМЕНЕН</v>
      </c>
      <c r="R164" s="13">
        <f>IFERROR(VLOOKUP(P164,Лист1!A$1:B$20,2,FALSE),0)</f>
        <v>784</v>
      </c>
      <c r="S164" s="13">
        <f t="shared" si="20"/>
        <v>1</v>
      </c>
    </row>
    <row r="165" spans="1:19" x14ac:dyDescent="0.25">
      <c r="A165" t="s">
        <v>1357</v>
      </c>
      <c r="B165" s="4" t="s">
        <v>1182</v>
      </c>
      <c r="C165" s="3" t="s">
        <v>5</v>
      </c>
      <c r="E165" s="3" t="s">
        <v>5</v>
      </c>
      <c r="F165" t="s">
        <v>1045</v>
      </c>
      <c r="G165" s="3" t="s">
        <v>1198</v>
      </c>
      <c r="H165" s="7" t="s">
        <v>1184</v>
      </c>
      <c r="I165" s="3" t="str">
        <f>IFERROR(VLOOKUP(C165,'Справочник соответствий'!A$2:D$2996,2,FALSE),IF(VALUE(C165)=0,1,VLOOKUP(C165,'Справочник соответствий'!A$2:D$2996,2,FALSE)))</f>
        <v>1</v>
      </c>
      <c r="J165" s="3">
        <f>IFERROR(VLOOKUP(D165,'Справочник соответствий'!A$2:D$2996,2,FALSE),IF(VALUE(D165)=0,0,VLOOKUP(D165,'Справочник соответствий'!A$2:D$2996,2,FALSE)))</f>
        <v>0</v>
      </c>
      <c r="K165" s="3" t="str">
        <f t="shared" si="14"/>
        <v>1</v>
      </c>
      <c r="L165" s="13" t="str">
        <f>IFERROR(VLOOKUP(C165,'Справочник соответствий'!A$2:D$2996,3,FALSE),IF(VALUE(C165)=0,"ЭТАЖ НЕ ОПРЕДЕЛЕН. ПРИНЯТ ПО ДОПУЩЕНИЮ 1",VLOOKUP(C165,'Справочник соответствий'!A$2:D$2996,3,FALSE)))</f>
        <v>ЭТАЖ ЗАДАН ЧИСЛОМ</v>
      </c>
      <c r="M165" s="13" t="b">
        <f t="shared" si="15"/>
        <v>1</v>
      </c>
      <c r="N165" s="13">
        <f t="shared" si="16"/>
        <v>1</v>
      </c>
      <c r="O165" s="13" t="str">
        <f t="shared" si="17"/>
        <v>ЭТАЖ ЗАДАН ЧИСЛОМ</v>
      </c>
      <c r="P165" s="13" t="str">
        <f t="shared" si="18"/>
        <v>ЭТАЖ ЗАДАН ЧИСЛОМ</v>
      </c>
      <c r="Q165" s="13" t="str">
        <f t="shared" si="19"/>
        <v>ГОТОВ</v>
      </c>
      <c r="R165" s="13">
        <f>IFERROR(VLOOKUP(P165,Лист1!A$1:B$20,2,FALSE),0)</f>
        <v>784</v>
      </c>
      <c r="S165" s="13">
        <f t="shared" si="20"/>
        <v>1</v>
      </c>
    </row>
    <row r="166" spans="1:19" x14ac:dyDescent="0.25">
      <c r="A166" t="s">
        <v>1358</v>
      </c>
      <c r="B166" s="4" t="s">
        <v>1190</v>
      </c>
      <c r="C166" s="3" t="s">
        <v>7</v>
      </c>
      <c r="G166" s="3" t="s">
        <v>1187</v>
      </c>
      <c r="I166" s="3" t="str">
        <f>IFERROR(VLOOKUP(C166,'Справочник соответствий'!A$2:D$2996,2,FALSE),IF(VALUE(C166)=0,1,VLOOKUP(C166,'Справочник соответствий'!A$2:D$2996,2,FALSE)))</f>
        <v>2</v>
      </c>
      <c r="J166" s="3">
        <f>IFERROR(VLOOKUP(D166,'Справочник соответствий'!A$2:D$2996,2,FALSE),IF(VALUE(D166)=0,0,VLOOKUP(D166,'Справочник соответствий'!A$2:D$2996,2,FALSE)))</f>
        <v>0</v>
      </c>
      <c r="K166" s="3" t="str">
        <f t="shared" si="14"/>
        <v>2</v>
      </c>
      <c r="L166" s="13" t="str">
        <f>IFERROR(VLOOKUP(C166,'Справочник соответствий'!A$2:D$2996,3,FALSE),IF(VALUE(C166)=0,"ЭТАЖ НЕ ОПРЕДЕЛЕН. ПРИНЯТ ПО ДОПУЩЕНИЮ 1",VLOOKUP(C166,'Справочник соответствий'!A$2:D$2996,3,FALSE)))</f>
        <v>ЭТАЖ ЗАДАН ЧИСЛОМ</v>
      </c>
      <c r="M166" s="13" t="b">
        <f t="shared" si="15"/>
        <v>0</v>
      </c>
      <c r="N166" s="13">
        <f t="shared" si="16"/>
        <v>2</v>
      </c>
      <c r="O166" s="13" t="str">
        <f t="shared" si="17"/>
        <v>ЭТАЖ ЗАДАН ЧИСЛОМ</v>
      </c>
      <c r="P166" s="13" t="str">
        <f t="shared" si="18"/>
        <v>ЭТАЖ ЗАДАН ЧИСЛОМ</v>
      </c>
      <c r="Q166" s="13" t="str">
        <f t="shared" si="19"/>
        <v>ГОТОВ_ИЗМЕНЕН</v>
      </c>
      <c r="R166" s="13">
        <f>IFERROR(VLOOKUP(P166,Лист1!A$1:B$20,2,FALSE),0)</f>
        <v>784</v>
      </c>
      <c r="S166" s="13">
        <f t="shared" si="20"/>
        <v>0</v>
      </c>
    </row>
    <row r="167" spans="1:19" x14ac:dyDescent="0.25">
      <c r="A167" t="s">
        <v>1359</v>
      </c>
      <c r="B167" s="4" t="s">
        <v>1190</v>
      </c>
      <c r="C167" s="3" t="s">
        <v>7</v>
      </c>
      <c r="G167" s="3" t="s">
        <v>1187</v>
      </c>
      <c r="I167" s="3" t="str">
        <f>IFERROR(VLOOKUP(C167,'Справочник соответствий'!A$2:D$2996,2,FALSE),IF(VALUE(C167)=0,1,VLOOKUP(C167,'Справочник соответствий'!A$2:D$2996,2,FALSE)))</f>
        <v>2</v>
      </c>
      <c r="J167" s="3">
        <f>IFERROR(VLOOKUP(D167,'Справочник соответствий'!A$2:D$2996,2,FALSE),IF(VALUE(D167)=0,0,VLOOKUP(D167,'Справочник соответствий'!A$2:D$2996,2,FALSE)))</f>
        <v>0</v>
      </c>
      <c r="K167" s="3" t="str">
        <f t="shared" si="14"/>
        <v>2</v>
      </c>
      <c r="L167" s="13" t="str">
        <f>IFERROR(VLOOKUP(C167,'Справочник соответствий'!A$2:D$2996,3,FALSE),IF(VALUE(C167)=0,"ЭТАЖ НЕ ОПРЕДЕЛЕН. ПРИНЯТ ПО ДОПУЩЕНИЮ 1",VLOOKUP(C167,'Справочник соответствий'!A$2:D$2996,3,FALSE)))</f>
        <v>ЭТАЖ ЗАДАН ЧИСЛОМ</v>
      </c>
      <c r="M167" s="13" t="b">
        <f t="shared" si="15"/>
        <v>0</v>
      </c>
      <c r="N167" s="13">
        <f t="shared" si="16"/>
        <v>2</v>
      </c>
      <c r="O167" s="13" t="str">
        <f t="shared" si="17"/>
        <v>ЭТАЖ ЗАДАН ЧИСЛОМ</v>
      </c>
      <c r="P167" s="13" t="str">
        <f t="shared" si="18"/>
        <v>ЭТАЖ ЗАДАН ЧИСЛОМ</v>
      </c>
      <c r="Q167" s="13" t="str">
        <f t="shared" si="19"/>
        <v>ГОТОВ_ИЗМЕНЕН</v>
      </c>
      <c r="R167" s="13">
        <f>IFERROR(VLOOKUP(P167,Лист1!A$1:B$20,2,FALSE),0)</f>
        <v>784</v>
      </c>
      <c r="S167" s="13">
        <f t="shared" si="20"/>
        <v>0</v>
      </c>
    </row>
    <row r="168" spans="1:19" x14ac:dyDescent="0.25">
      <c r="A168" t="s">
        <v>1360</v>
      </c>
      <c r="B168" s="4" t="s">
        <v>1190</v>
      </c>
      <c r="G168" s="3" t="s">
        <v>1187</v>
      </c>
      <c r="I168" s="3">
        <f>IFERROR(VLOOKUP(C168,'Справочник соответствий'!A$2:D$2996,2,FALSE),IF(VALUE(C168)=0,1,VLOOKUP(C168,'Справочник соответствий'!A$2:D$2996,2,FALSE)))</f>
        <v>1</v>
      </c>
      <c r="J168" s="3">
        <f>IFERROR(VLOOKUP(D168,'Справочник соответствий'!A$2:D$2996,2,FALSE),IF(VALUE(D168)=0,0,VLOOKUP(D168,'Справочник соответствий'!A$2:D$2996,2,FALSE)))</f>
        <v>0</v>
      </c>
      <c r="K168" s="3">
        <f t="shared" si="14"/>
        <v>1</v>
      </c>
      <c r="L168" s="13" t="str">
        <f>IFERROR(VLOOKUP(C168,'Справочник соответствий'!A$2:D$2996,3,FALSE),IF(VALUE(C168)=0,"ЭТАЖ НЕ ОПРЕДЕЛЕН. ПРИНЯТ ПО ДОПУЩЕНИЮ 1",VLOOKUP(C168,'Справочник соответствий'!A$2:D$2996,3,FALSE)))</f>
        <v>ЭТАЖ НЕ ОПРЕДЕЛЕН. ПРИНЯТ ПО ДОПУЩЕНИЮ 1</v>
      </c>
      <c r="M168" s="13" t="b">
        <f t="shared" si="15"/>
        <v>0</v>
      </c>
      <c r="N168" s="13">
        <f t="shared" si="16"/>
        <v>1</v>
      </c>
      <c r="O168" s="13" t="str">
        <f t="shared" si="17"/>
        <v>ЭТАЖ НЕ ОПРЕДЕЛЕН. ПРИНЯТ ПО ДОПУЩЕНИЮ 1</v>
      </c>
      <c r="P168" s="13" t="str">
        <f t="shared" si="18"/>
        <v>ЭТАЖ НЕ ОПРЕДЕЛЕН. ПРИНЯТ ПО ДОПУЩЕНИЮ 1</v>
      </c>
      <c r="Q168" s="13" t="str">
        <f t="shared" si="19"/>
        <v>ГОТОВ_ИЗМЕНЕН</v>
      </c>
      <c r="R168" s="13">
        <f>IFERROR(VLOOKUP(P168,Лист1!A$1:B$20,2,FALSE),0)</f>
        <v>788</v>
      </c>
      <c r="S168" s="13">
        <f t="shared" si="20"/>
        <v>0</v>
      </c>
    </row>
    <row r="169" spans="1:19" x14ac:dyDescent="0.25">
      <c r="A169" t="s">
        <v>1361</v>
      </c>
      <c r="B169" s="4" t="s">
        <v>1190</v>
      </c>
      <c r="C169" s="3" t="s">
        <v>5</v>
      </c>
      <c r="G169" s="3" t="s">
        <v>1187</v>
      </c>
      <c r="I169" s="3" t="str">
        <f>IFERROR(VLOOKUP(C169,'Справочник соответствий'!A$2:D$2996,2,FALSE),IF(VALUE(C169)=0,1,VLOOKUP(C169,'Справочник соответствий'!A$2:D$2996,2,FALSE)))</f>
        <v>1</v>
      </c>
      <c r="J169" s="3">
        <f>IFERROR(VLOOKUP(D169,'Справочник соответствий'!A$2:D$2996,2,FALSE),IF(VALUE(D169)=0,0,VLOOKUP(D169,'Справочник соответствий'!A$2:D$2996,2,FALSE)))</f>
        <v>0</v>
      </c>
      <c r="K169" s="3" t="str">
        <f t="shared" si="14"/>
        <v>1</v>
      </c>
      <c r="L169" s="13" t="str">
        <f>IFERROR(VLOOKUP(C169,'Справочник соответствий'!A$2:D$2996,3,FALSE),IF(VALUE(C169)=0,"ЭТАЖ НЕ ОПРЕДЕЛЕН. ПРИНЯТ ПО ДОПУЩЕНИЮ 1",VLOOKUP(C169,'Справочник соответствий'!A$2:D$2996,3,FALSE)))</f>
        <v>ЭТАЖ ЗАДАН ЧИСЛОМ</v>
      </c>
      <c r="M169" s="13" t="b">
        <f t="shared" si="15"/>
        <v>0</v>
      </c>
      <c r="N169" s="13">
        <f t="shared" si="16"/>
        <v>1</v>
      </c>
      <c r="O169" s="13" t="str">
        <f t="shared" si="17"/>
        <v>ЭТАЖ ЗАДАН ЧИСЛОМ</v>
      </c>
      <c r="P169" s="13" t="str">
        <f t="shared" si="18"/>
        <v>ЭТАЖ ЗАДАН ЧИСЛОМ</v>
      </c>
      <c r="Q169" s="13" t="str">
        <f t="shared" si="19"/>
        <v>ГОТОВ_ИЗМЕНЕН</v>
      </c>
      <c r="R169" s="13">
        <f>IFERROR(VLOOKUP(P169,Лист1!A$1:B$20,2,FALSE),0)</f>
        <v>784</v>
      </c>
      <c r="S169" s="13">
        <f t="shared" si="20"/>
        <v>0</v>
      </c>
    </row>
    <row r="170" spans="1:19" x14ac:dyDescent="0.25">
      <c r="A170" t="s">
        <v>1362</v>
      </c>
      <c r="B170" s="4" t="s">
        <v>1190</v>
      </c>
      <c r="C170" s="3" t="s">
        <v>5</v>
      </c>
      <c r="G170" s="3" t="s">
        <v>1187</v>
      </c>
      <c r="I170" s="3" t="str">
        <f>IFERROR(VLOOKUP(C170,'Справочник соответствий'!A$2:D$2996,2,FALSE),IF(VALUE(C170)=0,1,VLOOKUP(C170,'Справочник соответствий'!A$2:D$2996,2,FALSE)))</f>
        <v>1</v>
      </c>
      <c r="J170" s="3">
        <f>IFERROR(VLOOKUP(D170,'Справочник соответствий'!A$2:D$2996,2,FALSE),IF(VALUE(D170)=0,0,VLOOKUP(D170,'Справочник соответствий'!A$2:D$2996,2,FALSE)))</f>
        <v>0</v>
      </c>
      <c r="K170" s="3" t="str">
        <f t="shared" si="14"/>
        <v>1</v>
      </c>
      <c r="L170" s="13" t="str">
        <f>IFERROR(VLOOKUP(C170,'Справочник соответствий'!A$2:D$2996,3,FALSE),IF(VALUE(C170)=0,"ЭТАЖ НЕ ОПРЕДЕЛЕН. ПРИНЯТ ПО ДОПУЩЕНИЮ 1",VLOOKUP(C170,'Справочник соответствий'!A$2:D$2996,3,FALSE)))</f>
        <v>ЭТАЖ ЗАДАН ЧИСЛОМ</v>
      </c>
      <c r="M170" s="13" t="b">
        <f t="shared" si="15"/>
        <v>0</v>
      </c>
      <c r="N170" s="13">
        <f t="shared" si="16"/>
        <v>1</v>
      </c>
      <c r="O170" s="13" t="str">
        <f t="shared" si="17"/>
        <v>ЭТАЖ ЗАДАН ЧИСЛОМ</v>
      </c>
      <c r="P170" s="13" t="str">
        <f t="shared" si="18"/>
        <v>ЭТАЖ ЗАДАН ЧИСЛОМ</v>
      </c>
      <c r="Q170" s="13" t="str">
        <f t="shared" si="19"/>
        <v>ГОТОВ_ИЗМЕНЕН</v>
      </c>
      <c r="R170" s="13">
        <f>IFERROR(VLOOKUP(P170,Лист1!A$1:B$20,2,FALSE),0)</f>
        <v>784</v>
      </c>
      <c r="S170" s="13">
        <f t="shared" si="20"/>
        <v>0</v>
      </c>
    </row>
    <row r="171" spans="1:19" x14ac:dyDescent="0.25">
      <c r="A171" t="s">
        <v>1363</v>
      </c>
      <c r="B171" s="4" t="s">
        <v>1190</v>
      </c>
      <c r="C171" s="3" t="s">
        <v>7</v>
      </c>
      <c r="D171" s="3" t="s">
        <v>5</v>
      </c>
      <c r="E171" s="3" t="s">
        <v>7</v>
      </c>
      <c r="F171" t="s">
        <v>1045</v>
      </c>
      <c r="G171" s="3" t="s">
        <v>1183</v>
      </c>
      <c r="H171" s="7" t="s">
        <v>1184</v>
      </c>
      <c r="I171" s="3" t="str">
        <f>IFERROR(VLOOKUP(C171,'Справочник соответствий'!A$2:D$2996,2,FALSE),IF(VALUE(C171)=0,1,VLOOKUP(C171,'Справочник соответствий'!A$2:D$2996,2,FALSE)))</f>
        <v>2</v>
      </c>
      <c r="J171" s="3" t="str">
        <f>IFERROR(VLOOKUP(D171,'Справочник соответствий'!A$2:D$2996,2,FALSE),IF(VALUE(D171)=0,0,VLOOKUP(D171,'Справочник соответствий'!A$2:D$2996,2,FALSE)))</f>
        <v>1</v>
      </c>
      <c r="K171" s="3" t="str">
        <f t="shared" si="14"/>
        <v>2</v>
      </c>
      <c r="L171" s="13" t="str">
        <f>IFERROR(VLOOKUP(C171,'Справочник соответствий'!A$2:D$2996,3,FALSE),IF(VALUE(C171)=0,"ЭТАЖ НЕ ОПРЕДЕЛЕН. ПРИНЯТ ПО ДОПУЩЕНИЮ 1",VLOOKUP(C171,'Справочник соответствий'!A$2:D$2996,3,FALSE)))</f>
        <v>ЭТАЖ ЗАДАН ЧИСЛОМ</v>
      </c>
      <c r="M171" s="13" t="b">
        <f t="shared" si="15"/>
        <v>1</v>
      </c>
      <c r="N171" s="13">
        <f t="shared" si="16"/>
        <v>2</v>
      </c>
      <c r="O171" s="13" t="str">
        <f t="shared" si="17"/>
        <v>ЭТАЖ ЗАДАН ЧИСЛОМ</v>
      </c>
      <c r="P171" s="13" t="str">
        <f t="shared" si="18"/>
        <v>ЭТАЖ ЗАДАН ЧИСЛОМ</v>
      </c>
      <c r="Q171" s="13" t="str">
        <f t="shared" si="19"/>
        <v>ГОТОВ</v>
      </c>
      <c r="R171" s="13">
        <f>IFERROR(VLOOKUP(P171,Лист1!A$1:B$20,2,FALSE),0)</f>
        <v>784</v>
      </c>
      <c r="S171" s="13">
        <f t="shared" si="20"/>
        <v>2</v>
      </c>
    </row>
    <row r="172" spans="1:19" x14ac:dyDescent="0.25">
      <c r="A172" t="s">
        <v>1364</v>
      </c>
      <c r="B172" s="4" t="s">
        <v>1190</v>
      </c>
      <c r="C172" s="3" t="s">
        <v>5</v>
      </c>
      <c r="G172" s="3" t="s">
        <v>1191</v>
      </c>
      <c r="I172" s="3" t="str">
        <f>IFERROR(VLOOKUP(C172,'Справочник соответствий'!A$2:D$2996,2,FALSE),IF(VALUE(C172)=0,1,VLOOKUP(C172,'Справочник соответствий'!A$2:D$2996,2,FALSE)))</f>
        <v>1</v>
      </c>
      <c r="J172" s="3">
        <f>IFERROR(VLOOKUP(D172,'Справочник соответствий'!A$2:D$2996,2,FALSE),IF(VALUE(D172)=0,0,VLOOKUP(D172,'Справочник соответствий'!A$2:D$2996,2,FALSE)))</f>
        <v>0</v>
      </c>
      <c r="K172" s="3" t="str">
        <f t="shared" si="14"/>
        <v>1</v>
      </c>
      <c r="L172" s="13" t="str">
        <f>IFERROR(VLOOKUP(C172,'Справочник соответствий'!A$2:D$2996,3,FALSE),IF(VALUE(C172)=0,"ЭТАЖ НЕ ОПРЕДЕЛЕН. ПРИНЯТ ПО ДОПУЩЕНИЮ 1",VLOOKUP(C172,'Справочник соответствий'!A$2:D$2996,3,FALSE)))</f>
        <v>ЭТАЖ ЗАДАН ЧИСЛОМ</v>
      </c>
      <c r="M172" s="13" t="b">
        <f t="shared" si="15"/>
        <v>0</v>
      </c>
      <c r="N172" s="13">
        <f t="shared" si="16"/>
        <v>1</v>
      </c>
      <c r="O172" s="13" t="str">
        <f t="shared" si="17"/>
        <v>ЭТАЖ ЗАДАН ЧИСЛОМ</v>
      </c>
      <c r="P172" s="13" t="str">
        <f t="shared" si="18"/>
        <v>ЭТАЖ ЗАДАН ЧИСЛОМ</v>
      </c>
      <c r="Q172" s="13" t="str">
        <f t="shared" si="19"/>
        <v>ГОТОВ_ИЗМЕНЕН</v>
      </c>
      <c r="R172" s="13">
        <f>IFERROR(VLOOKUP(P172,Лист1!A$1:B$20,2,FALSE),0)</f>
        <v>784</v>
      </c>
      <c r="S172" s="13">
        <f t="shared" si="20"/>
        <v>0</v>
      </c>
    </row>
    <row r="173" spans="1:19" x14ac:dyDescent="0.25">
      <c r="A173" t="s">
        <v>1365</v>
      </c>
      <c r="B173" s="4" t="s">
        <v>1190</v>
      </c>
      <c r="C173" s="3" t="s">
        <v>5</v>
      </c>
      <c r="G173" s="3" t="s">
        <v>1191</v>
      </c>
      <c r="I173" s="3" t="str">
        <f>IFERROR(VLOOKUP(C173,'Справочник соответствий'!A$2:D$2996,2,FALSE),IF(VALUE(C173)=0,1,VLOOKUP(C173,'Справочник соответствий'!A$2:D$2996,2,FALSE)))</f>
        <v>1</v>
      </c>
      <c r="J173" s="3">
        <f>IFERROR(VLOOKUP(D173,'Справочник соответствий'!A$2:D$2996,2,FALSE),IF(VALUE(D173)=0,0,VLOOKUP(D173,'Справочник соответствий'!A$2:D$2996,2,FALSE)))</f>
        <v>0</v>
      </c>
      <c r="K173" s="3" t="str">
        <f t="shared" si="14"/>
        <v>1</v>
      </c>
      <c r="L173" s="13" t="str">
        <f>IFERROR(VLOOKUP(C173,'Справочник соответствий'!A$2:D$2996,3,FALSE),IF(VALUE(C173)=0,"ЭТАЖ НЕ ОПРЕДЕЛЕН. ПРИНЯТ ПО ДОПУЩЕНИЮ 1",VLOOKUP(C173,'Справочник соответствий'!A$2:D$2996,3,FALSE)))</f>
        <v>ЭТАЖ ЗАДАН ЧИСЛОМ</v>
      </c>
      <c r="M173" s="13" t="b">
        <f t="shared" si="15"/>
        <v>0</v>
      </c>
      <c r="N173" s="13">
        <f t="shared" si="16"/>
        <v>1</v>
      </c>
      <c r="O173" s="13" t="str">
        <f t="shared" si="17"/>
        <v>ЭТАЖ ЗАДАН ЧИСЛОМ</v>
      </c>
      <c r="P173" s="13" t="str">
        <f t="shared" si="18"/>
        <v>ЭТАЖ ЗАДАН ЧИСЛОМ</v>
      </c>
      <c r="Q173" s="13" t="str">
        <f t="shared" si="19"/>
        <v>ГОТОВ_ИЗМЕНЕН</v>
      </c>
      <c r="R173" s="13">
        <f>IFERROR(VLOOKUP(P173,Лист1!A$1:B$20,2,FALSE),0)</f>
        <v>784</v>
      </c>
      <c r="S173" s="13">
        <f t="shared" si="20"/>
        <v>0</v>
      </c>
    </row>
    <row r="174" spans="1:19" x14ac:dyDescent="0.25">
      <c r="A174" t="s">
        <v>1366</v>
      </c>
      <c r="B174" s="4" t="s">
        <v>1182</v>
      </c>
      <c r="C174" s="3" t="s">
        <v>5</v>
      </c>
      <c r="G174" s="3" t="s">
        <v>1191</v>
      </c>
      <c r="I174" s="3" t="str">
        <f>IFERROR(VLOOKUP(C174,'Справочник соответствий'!A$2:D$2996,2,FALSE),IF(VALUE(C174)=0,1,VLOOKUP(C174,'Справочник соответствий'!A$2:D$2996,2,FALSE)))</f>
        <v>1</v>
      </c>
      <c r="J174" s="3">
        <f>IFERROR(VLOOKUP(D174,'Справочник соответствий'!A$2:D$2996,2,FALSE),IF(VALUE(D174)=0,0,VLOOKUP(D174,'Справочник соответствий'!A$2:D$2996,2,FALSE)))</f>
        <v>0</v>
      </c>
      <c r="K174" s="3" t="str">
        <f t="shared" si="14"/>
        <v>1</v>
      </c>
      <c r="L174" s="13" t="str">
        <f>IFERROR(VLOOKUP(C174,'Справочник соответствий'!A$2:D$2996,3,FALSE),IF(VALUE(C174)=0,"ЭТАЖ НЕ ОПРЕДЕЛЕН. ПРИНЯТ ПО ДОПУЩЕНИЮ 1",VLOOKUP(C174,'Справочник соответствий'!A$2:D$2996,3,FALSE)))</f>
        <v>ЭТАЖ ЗАДАН ЧИСЛОМ</v>
      </c>
      <c r="M174" s="13" t="b">
        <f t="shared" si="15"/>
        <v>0</v>
      </c>
      <c r="N174" s="13">
        <f t="shared" si="16"/>
        <v>1</v>
      </c>
      <c r="O174" s="13" t="str">
        <f t="shared" si="17"/>
        <v>ЭТАЖ ЗАДАН ЧИСЛОМ</v>
      </c>
      <c r="P174" s="13" t="str">
        <f t="shared" si="18"/>
        <v>ЭТАЖ ЗАДАН ЧИСЛОМ</v>
      </c>
      <c r="Q174" s="13" t="str">
        <f t="shared" si="19"/>
        <v>ГОТОВ_ИЗМЕНЕН</v>
      </c>
      <c r="R174" s="13">
        <f>IFERROR(VLOOKUP(P174,Лист1!A$1:B$20,2,FALSE),0)</f>
        <v>784</v>
      </c>
      <c r="S174" s="13">
        <f t="shared" si="20"/>
        <v>0</v>
      </c>
    </row>
    <row r="175" spans="1:19" x14ac:dyDescent="0.25">
      <c r="A175" t="s">
        <v>1367</v>
      </c>
      <c r="B175" s="4" t="s">
        <v>1190</v>
      </c>
      <c r="G175" s="3" t="s">
        <v>1191</v>
      </c>
      <c r="I175" s="3">
        <f>IFERROR(VLOOKUP(C175,'Справочник соответствий'!A$2:D$2996,2,FALSE),IF(VALUE(C175)=0,1,VLOOKUP(C175,'Справочник соответствий'!A$2:D$2996,2,FALSE)))</f>
        <v>1</v>
      </c>
      <c r="J175" s="3">
        <f>IFERROR(VLOOKUP(D175,'Справочник соответствий'!A$2:D$2996,2,FALSE),IF(VALUE(D175)=0,0,VLOOKUP(D175,'Справочник соответствий'!A$2:D$2996,2,FALSE)))</f>
        <v>0</v>
      </c>
      <c r="K175" s="3">
        <f t="shared" si="14"/>
        <v>1</v>
      </c>
      <c r="L175" s="13" t="str">
        <f>IFERROR(VLOOKUP(C175,'Справочник соответствий'!A$2:D$2996,3,FALSE),IF(VALUE(C175)=0,"ЭТАЖ НЕ ОПРЕДЕЛЕН. ПРИНЯТ ПО ДОПУЩЕНИЮ 1",VLOOKUP(C175,'Справочник соответствий'!A$2:D$2996,3,FALSE)))</f>
        <v>ЭТАЖ НЕ ОПРЕДЕЛЕН. ПРИНЯТ ПО ДОПУЩЕНИЮ 1</v>
      </c>
      <c r="M175" s="13" t="b">
        <f t="shared" si="15"/>
        <v>0</v>
      </c>
      <c r="N175" s="13">
        <f t="shared" si="16"/>
        <v>1</v>
      </c>
      <c r="O175" s="13" t="str">
        <f t="shared" si="17"/>
        <v>ЭТАЖ НЕ ОПРЕДЕЛЕН. ПРИНЯТ ПО ДОПУЩЕНИЮ 1</v>
      </c>
      <c r="P175" s="13" t="str">
        <f t="shared" si="18"/>
        <v>ЭТАЖ НЕ ОПРЕДЕЛЕН. ПРИНЯТ ПО ДОПУЩЕНИЮ 1</v>
      </c>
      <c r="Q175" s="13" t="str">
        <f t="shared" si="19"/>
        <v>ГОТОВ_ИЗМЕНЕН</v>
      </c>
      <c r="R175" s="13">
        <f>IFERROR(VLOOKUP(P175,Лист1!A$1:B$20,2,FALSE),0)</f>
        <v>788</v>
      </c>
      <c r="S175" s="13">
        <f t="shared" si="20"/>
        <v>0</v>
      </c>
    </row>
    <row r="176" spans="1:19" x14ac:dyDescent="0.25">
      <c r="A176" t="s">
        <v>1368</v>
      </c>
      <c r="B176" s="4" t="s">
        <v>1190</v>
      </c>
      <c r="C176" s="3" t="s">
        <v>8</v>
      </c>
      <c r="D176" s="3" t="s">
        <v>5</v>
      </c>
      <c r="G176" s="3" t="s">
        <v>1191</v>
      </c>
      <c r="I176" s="3" t="str">
        <f>IFERROR(VLOOKUP(C176,'Справочник соответствий'!A$2:D$2996,2,FALSE),IF(VALUE(C176)=0,1,VLOOKUP(C176,'Справочник соответствий'!A$2:D$2996,2,FALSE)))</f>
        <v>3</v>
      </c>
      <c r="J176" s="3" t="str">
        <f>IFERROR(VLOOKUP(D176,'Справочник соответствий'!A$2:D$2996,2,FALSE),IF(VALUE(D176)=0,0,VLOOKUP(D176,'Справочник соответствий'!A$2:D$2996,2,FALSE)))</f>
        <v>1</v>
      </c>
      <c r="K176" s="3" t="str">
        <f t="shared" si="14"/>
        <v>3</v>
      </c>
      <c r="L176" s="13" t="str">
        <f>IFERROR(VLOOKUP(C176,'Справочник соответствий'!A$2:D$2996,3,FALSE),IF(VALUE(C176)=0,"ЭТАЖ НЕ ОПРЕДЕЛЕН. ПРИНЯТ ПО ДОПУЩЕНИЮ 1",VLOOKUP(C176,'Справочник соответствий'!A$2:D$2996,3,FALSE)))</f>
        <v>ЭТАЖ ЗАДАН ЧИСЛОМ</v>
      </c>
      <c r="M176" s="13" t="b">
        <f t="shared" si="15"/>
        <v>0</v>
      </c>
      <c r="N176" s="13">
        <f t="shared" si="16"/>
        <v>3</v>
      </c>
      <c r="O176" s="13" t="str">
        <f t="shared" si="17"/>
        <v>ЭТАЖ ЗАДАН ЧИСЛОМ</v>
      </c>
      <c r="P176" s="13" t="str">
        <f t="shared" si="18"/>
        <v>ЭТАЖ ЗАДАН ЧИСЛОМ</v>
      </c>
      <c r="Q176" s="13" t="str">
        <f t="shared" si="19"/>
        <v>ГОТОВ_ИЗМЕНЕН</v>
      </c>
      <c r="R176" s="13">
        <f>IFERROR(VLOOKUP(P176,Лист1!A$1:B$20,2,FALSE),0)</f>
        <v>784</v>
      </c>
      <c r="S176" s="13">
        <f t="shared" si="20"/>
        <v>0</v>
      </c>
    </row>
    <row r="177" spans="1:19" x14ac:dyDescent="0.25">
      <c r="A177" t="s">
        <v>1369</v>
      </c>
      <c r="B177" s="4" t="s">
        <v>1190</v>
      </c>
      <c r="C177" s="3" t="s">
        <v>5</v>
      </c>
      <c r="G177" s="3" t="s">
        <v>1191</v>
      </c>
      <c r="I177" s="3" t="str">
        <f>IFERROR(VLOOKUP(C177,'Справочник соответствий'!A$2:D$2996,2,FALSE),IF(VALUE(C177)=0,1,VLOOKUP(C177,'Справочник соответствий'!A$2:D$2996,2,FALSE)))</f>
        <v>1</v>
      </c>
      <c r="J177" s="3">
        <f>IFERROR(VLOOKUP(D177,'Справочник соответствий'!A$2:D$2996,2,FALSE),IF(VALUE(D177)=0,0,VLOOKUP(D177,'Справочник соответствий'!A$2:D$2996,2,FALSE)))</f>
        <v>0</v>
      </c>
      <c r="K177" s="3" t="str">
        <f t="shared" si="14"/>
        <v>1</v>
      </c>
      <c r="L177" s="13" t="str">
        <f>IFERROR(VLOOKUP(C177,'Справочник соответствий'!A$2:D$2996,3,FALSE),IF(VALUE(C177)=0,"ЭТАЖ НЕ ОПРЕДЕЛЕН. ПРИНЯТ ПО ДОПУЩЕНИЮ 1",VLOOKUP(C177,'Справочник соответствий'!A$2:D$2996,3,FALSE)))</f>
        <v>ЭТАЖ ЗАДАН ЧИСЛОМ</v>
      </c>
      <c r="M177" s="13" t="b">
        <f t="shared" si="15"/>
        <v>0</v>
      </c>
      <c r="N177" s="13">
        <f t="shared" si="16"/>
        <v>1</v>
      </c>
      <c r="O177" s="13" t="str">
        <f t="shared" si="17"/>
        <v>ЭТАЖ ЗАДАН ЧИСЛОМ</v>
      </c>
      <c r="P177" s="13" t="str">
        <f t="shared" si="18"/>
        <v>ЭТАЖ ЗАДАН ЧИСЛОМ</v>
      </c>
      <c r="Q177" s="13" t="str">
        <f t="shared" si="19"/>
        <v>ГОТОВ_ИЗМЕНЕН</v>
      </c>
      <c r="R177" s="13">
        <f>IFERROR(VLOOKUP(P177,Лист1!A$1:B$20,2,FALSE),0)</f>
        <v>784</v>
      </c>
      <c r="S177" s="13">
        <f t="shared" si="20"/>
        <v>0</v>
      </c>
    </row>
    <row r="178" spans="1:19" x14ac:dyDescent="0.25">
      <c r="A178" t="s">
        <v>1370</v>
      </c>
      <c r="B178" s="4" t="s">
        <v>1182</v>
      </c>
      <c r="C178" s="3" t="s">
        <v>5</v>
      </c>
      <c r="G178" s="3" t="s">
        <v>1183</v>
      </c>
      <c r="I178" s="3" t="str">
        <f>IFERROR(VLOOKUP(C178,'Справочник соответствий'!A$2:D$2996,2,FALSE),IF(VALUE(C178)=0,1,VLOOKUP(C178,'Справочник соответствий'!A$2:D$2996,2,FALSE)))</f>
        <v>1</v>
      </c>
      <c r="J178" s="3">
        <f>IFERROR(VLOOKUP(D178,'Справочник соответствий'!A$2:D$2996,2,FALSE),IF(VALUE(D178)=0,0,VLOOKUP(D178,'Справочник соответствий'!A$2:D$2996,2,FALSE)))</f>
        <v>0</v>
      </c>
      <c r="K178" s="3" t="str">
        <f t="shared" si="14"/>
        <v>1</v>
      </c>
      <c r="L178" s="13" t="str">
        <f>IFERROR(VLOOKUP(C178,'Справочник соответствий'!A$2:D$2996,3,FALSE),IF(VALUE(C178)=0,"ЭТАЖ НЕ ОПРЕДЕЛЕН. ПРИНЯТ ПО ДОПУЩЕНИЮ 1",VLOOKUP(C178,'Справочник соответствий'!A$2:D$2996,3,FALSE)))</f>
        <v>ЭТАЖ ЗАДАН ЧИСЛОМ</v>
      </c>
      <c r="M178" s="13" t="b">
        <f t="shared" si="15"/>
        <v>0</v>
      </c>
      <c r="N178" s="13">
        <f t="shared" si="16"/>
        <v>1</v>
      </c>
      <c r="O178" s="13" t="str">
        <f t="shared" si="17"/>
        <v>ЭТАЖ ЗАДАН ЧИСЛОМ</v>
      </c>
      <c r="P178" s="13" t="str">
        <f t="shared" si="18"/>
        <v>ЭТАЖ ЗАДАН ЧИСЛОМ</v>
      </c>
      <c r="Q178" s="13" t="str">
        <f t="shared" si="19"/>
        <v>ГОТОВ_ИЗМЕНЕН</v>
      </c>
      <c r="R178" s="13">
        <f>IFERROR(VLOOKUP(P178,Лист1!A$1:B$20,2,FALSE),0)</f>
        <v>784</v>
      </c>
      <c r="S178" s="13">
        <f t="shared" si="20"/>
        <v>0</v>
      </c>
    </row>
    <row r="179" spans="1:19" x14ac:dyDescent="0.25">
      <c r="A179" t="s">
        <v>1371</v>
      </c>
      <c r="B179" s="4" t="s">
        <v>1182</v>
      </c>
      <c r="C179" s="3" t="s">
        <v>5</v>
      </c>
      <c r="G179" s="3" t="s">
        <v>1183</v>
      </c>
      <c r="I179" s="3" t="str">
        <f>IFERROR(VLOOKUP(C179,'Справочник соответствий'!A$2:D$2996,2,FALSE),IF(VALUE(C179)=0,1,VLOOKUP(C179,'Справочник соответствий'!A$2:D$2996,2,FALSE)))</f>
        <v>1</v>
      </c>
      <c r="J179" s="3">
        <f>IFERROR(VLOOKUP(D179,'Справочник соответствий'!A$2:D$2996,2,FALSE),IF(VALUE(D179)=0,0,VLOOKUP(D179,'Справочник соответствий'!A$2:D$2996,2,FALSE)))</f>
        <v>0</v>
      </c>
      <c r="K179" s="3" t="str">
        <f t="shared" si="14"/>
        <v>1</v>
      </c>
      <c r="L179" s="13" t="str">
        <f>IFERROR(VLOOKUP(C179,'Справочник соответствий'!A$2:D$2996,3,FALSE),IF(VALUE(C179)=0,"ЭТАЖ НЕ ОПРЕДЕЛЕН. ПРИНЯТ ПО ДОПУЩЕНИЮ 1",VLOOKUP(C179,'Справочник соответствий'!A$2:D$2996,3,FALSE)))</f>
        <v>ЭТАЖ ЗАДАН ЧИСЛОМ</v>
      </c>
      <c r="M179" s="13" t="b">
        <f t="shared" si="15"/>
        <v>0</v>
      </c>
      <c r="N179" s="13">
        <f t="shared" si="16"/>
        <v>1</v>
      </c>
      <c r="O179" s="13" t="str">
        <f t="shared" si="17"/>
        <v>ЭТАЖ ЗАДАН ЧИСЛОМ</v>
      </c>
      <c r="P179" s="13" t="str">
        <f t="shared" si="18"/>
        <v>ЭТАЖ ЗАДАН ЧИСЛОМ</v>
      </c>
      <c r="Q179" s="13" t="str">
        <f t="shared" si="19"/>
        <v>ГОТОВ_ИЗМЕНЕН</v>
      </c>
      <c r="R179" s="13">
        <f>IFERROR(VLOOKUP(P179,Лист1!A$1:B$20,2,FALSE),0)</f>
        <v>784</v>
      </c>
      <c r="S179" s="13">
        <f t="shared" si="20"/>
        <v>0</v>
      </c>
    </row>
    <row r="180" spans="1:19" x14ac:dyDescent="0.25">
      <c r="A180" t="s">
        <v>1372</v>
      </c>
      <c r="B180" s="4" t="s">
        <v>1182</v>
      </c>
      <c r="C180" s="3" t="s">
        <v>5</v>
      </c>
      <c r="G180" s="3" t="s">
        <v>1183</v>
      </c>
      <c r="I180" s="3" t="str">
        <f>IFERROR(VLOOKUP(C180,'Справочник соответствий'!A$2:D$2996,2,FALSE),IF(VALUE(C180)=0,1,VLOOKUP(C180,'Справочник соответствий'!A$2:D$2996,2,FALSE)))</f>
        <v>1</v>
      </c>
      <c r="J180" s="3">
        <f>IFERROR(VLOOKUP(D180,'Справочник соответствий'!A$2:D$2996,2,FALSE),IF(VALUE(D180)=0,0,VLOOKUP(D180,'Справочник соответствий'!A$2:D$2996,2,FALSE)))</f>
        <v>0</v>
      </c>
      <c r="K180" s="3" t="str">
        <f t="shared" si="14"/>
        <v>1</v>
      </c>
      <c r="L180" s="13" t="str">
        <f>IFERROR(VLOOKUP(C180,'Справочник соответствий'!A$2:D$2996,3,FALSE),IF(VALUE(C180)=0,"ЭТАЖ НЕ ОПРЕДЕЛЕН. ПРИНЯТ ПО ДОПУЩЕНИЮ 1",VLOOKUP(C180,'Справочник соответствий'!A$2:D$2996,3,FALSE)))</f>
        <v>ЭТАЖ ЗАДАН ЧИСЛОМ</v>
      </c>
      <c r="M180" s="13" t="b">
        <f t="shared" si="15"/>
        <v>0</v>
      </c>
      <c r="N180" s="13">
        <f t="shared" si="16"/>
        <v>1</v>
      </c>
      <c r="O180" s="13" t="str">
        <f t="shared" si="17"/>
        <v>ЭТАЖ ЗАДАН ЧИСЛОМ</v>
      </c>
      <c r="P180" s="13" t="str">
        <f t="shared" si="18"/>
        <v>ЭТАЖ ЗАДАН ЧИСЛОМ</v>
      </c>
      <c r="Q180" s="13" t="str">
        <f t="shared" si="19"/>
        <v>ГОТОВ_ИЗМЕНЕН</v>
      </c>
      <c r="R180" s="13">
        <f>IFERROR(VLOOKUP(P180,Лист1!A$1:B$20,2,FALSE),0)</f>
        <v>784</v>
      </c>
      <c r="S180" s="13">
        <f t="shared" si="20"/>
        <v>0</v>
      </c>
    </row>
    <row r="181" spans="1:19" x14ac:dyDescent="0.25">
      <c r="A181" t="s">
        <v>1373</v>
      </c>
      <c r="B181" s="4" t="s">
        <v>1190</v>
      </c>
      <c r="C181" s="3" t="s">
        <v>5</v>
      </c>
      <c r="G181" s="3" t="s">
        <v>1183</v>
      </c>
      <c r="I181" s="3" t="str">
        <f>IFERROR(VLOOKUP(C181,'Справочник соответствий'!A$2:D$2996,2,FALSE),IF(VALUE(C181)=0,1,VLOOKUP(C181,'Справочник соответствий'!A$2:D$2996,2,FALSE)))</f>
        <v>1</v>
      </c>
      <c r="J181" s="3">
        <f>IFERROR(VLOOKUP(D181,'Справочник соответствий'!A$2:D$2996,2,FALSE),IF(VALUE(D181)=0,0,VLOOKUP(D181,'Справочник соответствий'!A$2:D$2996,2,FALSE)))</f>
        <v>0</v>
      </c>
      <c r="K181" s="3" t="str">
        <f t="shared" si="14"/>
        <v>1</v>
      </c>
      <c r="L181" s="13" t="str">
        <f>IFERROR(VLOOKUP(C181,'Справочник соответствий'!A$2:D$2996,3,FALSE),IF(VALUE(C181)=0,"ЭТАЖ НЕ ОПРЕДЕЛЕН. ПРИНЯТ ПО ДОПУЩЕНИЮ 1",VLOOKUP(C181,'Справочник соответствий'!A$2:D$2996,3,FALSE)))</f>
        <v>ЭТАЖ ЗАДАН ЧИСЛОМ</v>
      </c>
      <c r="M181" s="13" t="b">
        <f t="shared" si="15"/>
        <v>0</v>
      </c>
      <c r="N181" s="13">
        <f t="shared" si="16"/>
        <v>1</v>
      </c>
      <c r="O181" s="13" t="str">
        <f t="shared" si="17"/>
        <v>ЭТАЖ ЗАДАН ЧИСЛОМ</v>
      </c>
      <c r="P181" s="13" t="str">
        <f t="shared" si="18"/>
        <v>ЭТАЖ ЗАДАН ЧИСЛОМ</v>
      </c>
      <c r="Q181" s="13" t="str">
        <f t="shared" si="19"/>
        <v>ГОТОВ_ИЗМЕНЕН</v>
      </c>
      <c r="R181" s="13">
        <f>IFERROR(VLOOKUP(P181,Лист1!A$1:B$20,2,FALSE),0)</f>
        <v>784</v>
      </c>
      <c r="S181" s="13">
        <f t="shared" si="20"/>
        <v>0</v>
      </c>
    </row>
    <row r="182" spans="1:19" x14ac:dyDescent="0.25">
      <c r="A182" t="s">
        <v>1374</v>
      </c>
      <c r="B182" s="4" t="s">
        <v>1190</v>
      </c>
      <c r="C182" s="3" t="s">
        <v>5</v>
      </c>
      <c r="G182" s="3" t="s">
        <v>1183</v>
      </c>
      <c r="I182" s="3" t="str">
        <f>IFERROR(VLOOKUP(C182,'Справочник соответствий'!A$2:D$2996,2,FALSE),IF(VALUE(C182)=0,1,VLOOKUP(C182,'Справочник соответствий'!A$2:D$2996,2,FALSE)))</f>
        <v>1</v>
      </c>
      <c r="J182" s="3">
        <f>IFERROR(VLOOKUP(D182,'Справочник соответствий'!A$2:D$2996,2,FALSE),IF(VALUE(D182)=0,0,VLOOKUP(D182,'Справочник соответствий'!A$2:D$2996,2,FALSE)))</f>
        <v>0</v>
      </c>
      <c r="K182" s="3" t="str">
        <f t="shared" si="14"/>
        <v>1</v>
      </c>
      <c r="L182" s="13" t="str">
        <f>IFERROR(VLOOKUP(C182,'Справочник соответствий'!A$2:D$2996,3,FALSE),IF(VALUE(C182)=0,"ЭТАЖ НЕ ОПРЕДЕЛЕН. ПРИНЯТ ПО ДОПУЩЕНИЮ 1",VLOOKUP(C182,'Справочник соответствий'!A$2:D$2996,3,FALSE)))</f>
        <v>ЭТАЖ ЗАДАН ЧИСЛОМ</v>
      </c>
      <c r="M182" s="13" t="b">
        <f t="shared" si="15"/>
        <v>0</v>
      </c>
      <c r="N182" s="13">
        <f t="shared" si="16"/>
        <v>1</v>
      </c>
      <c r="O182" s="13" t="str">
        <f t="shared" si="17"/>
        <v>ЭТАЖ ЗАДАН ЧИСЛОМ</v>
      </c>
      <c r="P182" s="13" t="str">
        <f t="shared" si="18"/>
        <v>ЭТАЖ ЗАДАН ЧИСЛОМ</v>
      </c>
      <c r="Q182" s="13" t="str">
        <f t="shared" si="19"/>
        <v>ГОТОВ_ИЗМЕНЕН</v>
      </c>
      <c r="R182" s="13">
        <f>IFERROR(VLOOKUP(P182,Лист1!A$1:B$20,2,FALSE),0)</f>
        <v>784</v>
      </c>
      <c r="S182" s="13">
        <f t="shared" si="20"/>
        <v>0</v>
      </c>
    </row>
    <row r="183" spans="1:19" x14ac:dyDescent="0.25">
      <c r="A183" t="s">
        <v>1375</v>
      </c>
      <c r="B183" s="4" t="s">
        <v>1190</v>
      </c>
      <c r="C183" s="3" t="s">
        <v>7</v>
      </c>
      <c r="G183" s="3" t="s">
        <v>1198</v>
      </c>
      <c r="I183" s="3" t="str">
        <f>IFERROR(VLOOKUP(C183,'Справочник соответствий'!A$2:D$2996,2,FALSE),IF(VALUE(C183)=0,1,VLOOKUP(C183,'Справочник соответствий'!A$2:D$2996,2,FALSE)))</f>
        <v>2</v>
      </c>
      <c r="J183" s="3">
        <f>IFERROR(VLOOKUP(D183,'Справочник соответствий'!A$2:D$2996,2,FALSE),IF(VALUE(D183)=0,0,VLOOKUP(D183,'Справочник соответствий'!A$2:D$2996,2,FALSE)))</f>
        <v>0</v>
      </c>
      <c r="K183" s="3" t="str">
        <f t="shared" si="14"/>
        <v>2</v>
      </c>
      <c r="L183" s="13" t="str">
        <f>IFERROR(VLOOKUP(C183,'Справочник соответствий'!A$2:D$2996,3,FALSE),IF(VALUE(C183)=0,"ЭТАЖ НЕ ОПРЕДЕЛЕН. ПРИНЯТ ПО ДОПУЩЕНИЮ 1",VLOOKUP(C183,'Справочник соответствий'!A$2:D$2996,3,FALSE)))</f>
        <v>ЭТАЖ ЗАДАН ЧИСЛОМ</v>
      </c>
      <c r="M183" s="13" t="b">
        <f t="shared" si="15"/>
        <v>0</v>
      </c>
      <c r="N183" s="13">
        <f t="shared" si="16"/>
        <v>2</v>
      </c>
      <c r="O183" s="13" t="str">
        <f t="shared" si="17"/>
        <v>ЭТАЖ ЗАДАН ЧИСЛОМ</v>
      </c>
      <c r="P183" s="13" t="str">
        <f t="shared" si="18"/>
        <v>ЭТАЖ ЗАДАН ЧИСЛОМ</v>
      </c>
      <c r="Q183" s="13" t="str">
        <f t="shared" si="19"/>
        <v>ГОТОВ_ИЗМЕНЕН</v>
      </c>
      <c r="R183" s="13">
        <f>IFERROR(VLOOKUP(P183,Лист1!A$1:B$20,2,FALSE),0)</f>
        <v>784</v>
      </c>
      <c r="S183" s="13">
        <f t="shared" si="20"/>
        <v>0</v>
      </c>
    </row>
    <row r="184" spans="1:19" x14ac:dyDescent="0.25">
      <c r="A184" t="s">
        <v>1376</v>
      </c>
      <c r="B184" s="4" t="s">
        <v>1190</v>
      </c>
      <c r="C184" s="3" t="s">
        <v>7</v>
      </c>
      <c r="G184" s="3" t="s">
        <v>1198</v>
      </c>
      <c r="I184" s="3" t="str">
        <f>IFERROR(VLOOKUP(C184,'Справочник соответствий'!A$2:D$2996,2,FALSE),IF(VALUE(C184)=0,1,VLOOKUP(C184,'Справочник соответствий'!A$2:D$2996,2,FALSE)))</f>
        <v>2</v>
      </c>
      <c r="J184" s="3">
        <f>IFERROR(VLOOKUP(D184,'Справочник соответствий'!A$2:D$2996,2,FALSE),IF(VALUE(D184)=0,0,VLOOKUP(D184,'Справочник соответствий'!A$2:D$2996,2,FALSE)))</f>
        <v>0</v>
      </c>
      <c r="K184" s="3" t="str">
        <f t="shared" si="14"/>
        <v>2</v>
      </c>
      <c r="L184" s="13" t="str">
        <f>IFERROR(VLOOKUP(C184,'Справочник соответствий'!A$2:D$2996,3,FALSE),IF(VALUE(C184)=0,"ЭТАЖ НЕ ОПРЕДЕЛЕН. ПРИНЯТ ПО ДОПУЩЕНИЮ 1",VLOOKUP(C184,'Справочник соответствий'!A$2:D$2996,3,FALSE)))</f>
        <v>ЭТАЖ ЗАДАН ЧИСЛОМ</v>
      </c>
      <c r="M184" s="13" t="b">
        <f t="shared" si="15"/>
        <v>0</v>
      </c>
      <c r="N184" s="13">
        <f t="shared" si="16"/>
        <v>2</v>
      </c>
      <c r="O184" s="13" t="str">
        <f t="shared" si="17"/>
        <v>ЭТАЖ ЗАДАН ЧИСЛОМ</v>
      </c>
      <c r="P184" s="13" t="str">
        <f t="shared" si="18"/>
        <v>ЭТАЖ ЗАДАН ЧИСЛОМ</v>
      </c>
      <c r="Q184" s="13" t="str">
        <f t="shared" si="19"/>
        <v>ГОТОВ_ИЗМЕНЕН</v>
      </c>
      <c r="R184" s="13">
        <f>IFERROR(VLOOKUP(P184,Лист1!A$1:B$20,2,FALSE),0)</f>
        <v>784</v>
      </c>
      <c r="S184" s="13">
        <f t="shared" si="20"/>
        <v>0</v>
      </c>
    </row>
    <row r="185" spans="1:19" x14ac:dyDescent="0.25">
      <c r="A185" t="s">
        <v>1377</v>
      </c>
      <c r="B185" s="4" t="s">
        <v>1182</v>
      </c>
      <c r="C185" s="3" t="s">
        <v>7</v>
      </c>
      <c r="G185" s="3" t="s">
        <v>1198</v>
      </c>
      <c r="I185" s="3" t="str">
        <f>IFERROR(VLOOKUP(C185,'Справочник соответствий'!A$2:D$2996,2,FALSE),IF(VALUE(C185)=0,1,VLOOKUP(C185,'Справочник соответствий'!A$2:D$2996,2,FALSE)))</f>
        <v>2</v>
      </c>
      <c r="J185" s="3">
        <f>IFERROR(VLOOKUP(D185,'Справочник соответствий'!A$2:D$2996,2,FALSE),IF(VALUE(D185)=0,0,VLOOKUP(D185,'Справочник соответствий'!A$2:D$2996,2,FALSE)))</f>
        <v>0</v>
      </c>
      <c r="K185" s="3" t="str">
        <f t="shared" si="14"/>
        <v>2</v>
      </c>
      <c r="L185" s="13" t="str">
        <f>IFERROR(VLOOKUP(C185,'Справочник соответствий'!A$2:D$2996,3,FALSE),IF(VALUE(C185)=0,"ЭТАЖ НЕ ОПРЕДЕЛЕН. ПРИНЯТ ПО ДОПУЩЕНИЮ 1",VLOOKUP(C185,'Справочник соответствий'!A$2:D$2996,3,FALSE)))</f>
        <v>ЭТАЖ ЗАДАН ЧИСЛОМ</v>
      </c>
      <c r="M185" s="13" t="b">
        <f t="shared" si="15"/>
        <v>0</v>
      </c>
      <c r="N185" s="13">
        <f t="shared" si="16"/>
        <v>2</v>
      </c>
      <c r="O185" s="13" t="str">
        <f t="shared" si="17"/>
        <v>ЭТАЖ ЗАДАН ЧИСЛОМ</v>
      </c>
      <c r="P185" s="13" t="str">
        <f t="shared" si="18"/>
        <v>ЭТАЖ ЗАДАН ЧИСЛОМ</v>
      </c>
      <c r="Q185" s="13" t="str">
        <f t="shared" si="19"/>
        <v>ГОТОВ_ИЗМЕНЕН</v>
      </c>
      <c r="R185" s="13">
        <f>IFERROR(VLOOKUP(P185,Лист1!A$1:B$20,2,FALSE),0)</f>
        <v>784</v>
      </c>
      <c r="S185" s="13">
        <f t="shared" si="20"/>
        <v>0</v>
      </c>
    </row>
    <row r="186" spans="1:19" x14ac:dyDescent="0.25">
      <c r="A186" t="s">
        <v>1378</v>
      </c>
      <c r="B186" s="4" t="s">
        <v>1190</v>
      </c>
      <c r="C186" s="3" t="s">
        <v>5</v>
      </c>
      <c r="G186" s="3" t="s">
        <v>1198</v>
      </c>
      <c r="I186" s="3" t="str">
        <f>IFERROR(VLOOKUP(C186,'Справочник соответствий'!A$2:D$2996,2,FALSE),IF(VALUE(C186)=0,1,VLOOKUP(C186,'Справочник соответствий'!A$2:D$2996,2,FALSE)))</f>
        <v>1</v>
      </c>
      <c r="J186" s="3">
        <f>IFERROR(VLOOKUP(D186,'Справочник соответствий'!A$2:D$2996,2,FALSE),IF(VALUE(D186)=0,0,VLOOKUP(D186,'Справочник соответствий'!A$2:D$2996,2,FALSE)))</f>
        <v>0</v>
      </c>
      <c r="K186" s="3" t="str">
        <f t="shared" si="14"/>
        <v>1</v>
      </c>
      <c r="L186" s="13" t="str">
        <f>IFERROR(VLOOKUP(C186,'Справочник соответствий'!A$2:D$2996,3,FALSE),IF(VALUE(C186)=0,"ЭТАЖ НЕ ОПРЕДЕЛЕН. ПРИНЯТ ПО ДОПУЩЕНИЮ 1",VLOOKUP(C186,'Справочник соответствий'!A$2:D$2996,3,FALSE)))</f>
        <v>ЭТАЖ ЗАДАН ЧИСЛОМ</v>
      </c>
      <c r="M186" s="13" t="b">
        <f t="shared" si="15"/>
        <v>0</v>
      </c>
      <c r="N186" s="13">
        <f t="shared" si="16"/>
        <v>1</v>
      </c>
      <c r="O186" s="13" t="str">
        <f t="shared" si="17"/>
        <v>ЭТАЖ ЗАДАН ЧИСЛОМ</v>
      </c>
      <c r="P186" s="13" t="str">
        <f t="shared" si="18"/>
        <v>ЭТАЖ ЗАДАН ЧИСЛОМ</v>
      </c>
      <c r="Q186" s="13" t="str">
        <f t="shared" si="19"/>
        <v>ГОТОВ_ИЗМЕНЕН</v>
      </c>
      <c r="R186" s="13">
        <f>IFERROR(VLOOKUP(P186,Лист1!A$1:B$20,2,FALSE),0)</f>
        <v>784</v>
      </c>
      <c r="S186" s="13">
        <f t="shared" si="20"/>
        <v>0</v>
      </c>
    </row>
    <row r="187" spans="1:19" x14ac:dyDescent="0.25">
      <c r="A187" t="s">
        <v>1379</v>
      </c>
      <c r="B187" s="4" t="s">
        <v>1182</v>
      </c>
      <c r="C187" s="3" t="s">
        <v>5</v>
      </c>
      <c r="G187" s="3" t="s">
        <v>1198</v>
      </c>
      <c r="I187" s="3" t="str">
        <f>IFERROR(VLOOKUP(C187,'Справочник соответствий'!A$2:D$2996,2,FALSE),IF(VALUE(C187)=0,1,VLOOKUP(C187,'Справочник соответствий'!A$2:D$2996,2,FALSE)))</f>
        <v>1</v>
      </c>
      <c r="J187" s="3">
        <f>IFERROR(VLOOKUP(D187,'Справочник соответствий'!A$2:D$2996,2,FALSE),IF(VALUE(D187)=0,0,VLOOKUP(D187,'Справочник соответствий'!A$2:D$2996,2,FALSE)))</f>
        <v>0</v>
      </c>
      <c r="K187" s="3" t="str">
        <f t="shared" si="14"/>
        <v>1</v>
      </c>
      <c r="L187" s="13" t="str">
        <f>IFERROR(VLOOKUP(C187,'Справочник соответствий'!A$2:D$2996,3,FALSE),IF(VALUE(C187)=0,"ЭТАЖ НЕ ОПРЕДЕЛЕН. ПРИНЯТ ПО ДОПУЩЕНИЮ 1",VLOOKUP(C187,'Справочник соответствий'!A$2:D$2996,3,FALSE)))</f>
        <v>ЭТАЖ ЗАДАН ЧИСЛОМ</v>
      </c>
      <c r="M187" s="13" t="b">
        <f t="shared" si="15"/>
        <v>0</v>
      </c>
      <c r="N187" s="13">
        <f t="shared" si="16"/>
        <v>1</v>
      </c>
      <c r="O187" s="13" t="str">
        <f t="shared" si="17"/>
        <v>ЭТАЖ ЗАДАН ЧИСЛОМ</v>
      </c>
      <c r="P187" s="13" t="str">
        <f t="shared" si="18"/>
        <v>ЭТАЖ ЗАДАН ЧИСЛОМ</v>
      </c>
      <c r="Q187" s="13" t="str">
        <f t="shared" si="19"/>
        <v>ГОТОВ_ИЗМЕНЕН</v>
      </c>
      <c r="R187" s="13">
        <f>IFERROR(VLOOKUP(P187,Лист1!A$1:B$20,2,FALSE),0)</f>
        <v>784</v>
      </c>
      <c r="S187" s="13">
        <f t="shared" si="20"/>
        <v>0</v>
      </c>
    </row>
    <row r="188" spans="1:19" x14ac:dyDescent="0.25">
      <c r="A188" t="s">
        <v>1380</v>
      </c>
      <c r="B188" s="4" t="s">
        <v>1190</v>
      </c>
      <c r="C188" s="3" t="s">
        <v>7</v>
      </c>
      <c r="G188" s="3" t="s">
        <v>1224</v>
      </c>
      <c r="I188" s="3" t="str">
        <f>IFERROR(VLOOKUP(C188,'Справочник соответствий'!A$2:D$2996,2,FALSE),IF(VALUE(C188)=0,1,VLOOKUP(C188,'Справочник соответствий'!A$2:D$2996,2,FALSE)))</f>
        <v>2</v>
      </c>
      <c r="J188" s="3">
        <f>IFERROR(VLOOKUP(D188,'Справочник соответствий'!A$2:D$2996,2,FALSE),IF(VALUE(D188)=0,0,VLOOKUP(D188,'Справочник соответствий'!A$2:D$2996,2,FALSE)))</f>
        <v>0</v>
      </c>
      <c r="K188" s="3" t="str">
        <f t="shared" si="14"/>
        <v>2</v>
      </c>
      <c r="L188" s="13" t="str">
        <f>IFERROR(VLOOKUP(C188,'Справочник соответствий'!A$2:D$2996,3,FALSE),IF(VALUE(C188)=0,"ЭТАЖ НЕ ОПРЕДЕЛЕН. ПРИНЯТ ПО ДОПУЩЕНИЮ 1",VLOOKUP(C188,'Справочник соответствий'!A$2:D$2996,3,FALSE)))</f>
        <v>ЭТАЖ ЗАДАН ЧИСЛОМ</v>
      </c>
      <c r="M188" s="13" t="b">
        <f t="shared" si="15"/>
        <v>0</v>
      </c>
      <c r="N188" s="13">
        <f t="shared" si="16"/>
        <v>2</v>
      </c>
      <c r="O188" s="13" t="str">
        <f t="shared" si="17"/>
        <v>ЭТАЖ ЗАДАН ЧИСЛОМ</v>
      </c>
      <c r="P188" s="13" t="str">
        <f t="shared" si="18"/>
        <v>ЭТАЖ ЗАДАН ЧИСЛОМ</v>
      </c>
      <c r="Q188" s="13" t="str">
        <f t="shared" si="19"/>
        <v>ГОТОВ_ИЗМЕНЕН</v>
      </c>
      <c r="R188" s="13">
        <f>IFERROR(VLOOKUP(P188,Лист1!A$1:B$20,2,FALSE),0)</f>
        <v>784</v>
      </c>
      <c r="S188" s="13">
        <f t="shared" si="20"/>
        <v>0</v>
      </c>
    </row>
    <row r="189" spans="1:19" x14ac:dyDescent="0.25">
      <c r="A189" t="s">
        <v>1381</v>
      </c>
      <c r="B189" s="4" t="s">
        <v>1190</v>
      </c>
      <c r="C189" s="3" t="s">
        <v>7</v>
      </c>
      <c r="G189" s="3" t="s">
        <v>1224</v>
      </c>
      <c r="I189" s="3" t="str">
        <f>IFERROR(VLOOKUP(C189,'Справочник соответствий'!A$2:D$2996,2,FALSE),IF(VALUE(C189)=0,1,VLOOKUP(C189,'Справочник соответствий'!A$2:D$2996,2,FALSE)))</f>
        <v>2</v>
      </c>
      <c r="J189" s="3">
        <f>IFERROR(VLOOKUP(D189,'Справочник соответствий'!A$2:D$2996,2,FALSE),IF(VALUE(D189)=0,0,VLOOKUP(D189,'Справочник соответствий'!A$2:D$2996,2,FALSE)))</f>
        <v>0</v>
      </c>
      <c r="K189" s="3" t="str">
        <f t="shared" si="14"/>
        <v>2</v>
      </c>
      <c r="L189" s="13" t="str">
        <f>IFERROR(VLOOKUP(C189,'Справочник соответствий'!A$2:D$2996,3,FALSE),IF(VALUE(C189)=0,"ЭТАЖ НЕ ОПРЕДЕЛЕН. ПРИНЯТ ПО ДОПУЩЕНИЮ 1",VLOOKUP(C189,'Справочник соответствий'!A$2:D$2996,3,FALSE)))</f>
        <v>ЭТАЖ ЗАДАН ЧИСЛОМ</v>
      </c>
      <c r="M189" s="13" t="b">
        <f t="shared" si="15"/>
        <v>0</v>
      </c>
      <c r="N189" s="13">
        <f t="shared" si="16"/>
        <v>2</v>
      </c>
      <c r="O189" s="13" t="str">
        <f t="shared" si="17"/>
        <v>ЭТАЖ ЗАДАН ЧИСЛОМ</v>
      </c>
      <c r="P189" s="13" t="str">
        <f t="shared" si="18"/>
        <v>ЭТАЖ ЗАДАН ЧИСЛОМ</v>
      </c>
      <c r="Q189" s="13" t="str">
        <f t="shared" si="19"/>
        <v>ГОТОВ_ИЗМЕНЕН</v>
      </c>
      <c r="R189" s="13">
        <f>IFERROR(VLOOKUP(P189,Лист1!A$1:B$20,2,FALSE),0)</f>
        <v>784</v>
      </c>
      <c r="S189" s="13">
        <f t="shared" si="20"/>
        <v>0</v>
      </c>
    </row>
    <row r="190" spans="1:19" x14ac:dyDescent="0.25">
      <c r="A190" t="s">
        <v>1382</v>
      </c>
      <c r="B190" s="4" t="s">
        <v>1190</v>
      </c>
      <c r="C190" s="3" t="s">
        <v>7</v>
      </c>
      <c r="G190" s="3" t="s">
        <v>1224</v>
      </c>
      <c r="I190" s="3" t="str">
        <f>IFERROR(VLOOKUP(C190,'Справочник соответствий'!A$2:D$2996,2,FALSE),IF(VALUE(C190)=0,1,VLOOKUP(C190,'Справочник соответствий'!A$2:D$2996,2,FALSE)))</f>
        <v>2</v>
      </c>
      <c r="J190" s="3">
        <f>IFERROR(VLOOKUP(D190,'Справочник соответствий'!A$2:D$2996,2,FALSE),IF(VALUE(D190)=0,0,VLOOKUP(D190,'Справочник соответствий'!A$2:D$2996,2,FALSE)))</f>
        <v>0</v>
      </c>
      <c r="K190" s="3" t="str">
        <f t="shared" si="14"/>
        <v>2</v>
      </c>
      <c r="L190" s="13" t="str">
        <f>IFERROR(VLOOKUP(C190,'Справочник соответствий'!A$2:D$2996,3,FALSE),IF(VALUE(C190)=0,"ЭТАЖ НЕ ОПРЕДЕЛЕН. ПРИНЯТ ПО ДОПУЩЕНИЮ 1",VLOOKUP(C190,'Справочник соответствий'!A$2:D$2996,3,FALSE)))</f>
        <v>ЭТАЖ ЗАДАН ЧИСЛОМ</v>
      </c>
      <c r="M190" s="13" t="b">
        <f t="shared" si="15"/>
        <v>0</v>
      </c>
      <c r="N190" s="13">
        <f t="shared" si="16"/>
        <v>2</v>
      </c>
      <c r="O190" s="13" t="str">
        <f t="shared" si="17"/>
        <v>ЭТАЖ ЗАДАН ЧИСЛОМ</v>
      </c>
      <c r="P190" s="13" t="str">
        <f t="shared" si="18"/>
        <v>ЭТАЖ ЗАДАН ЧИСЛОМ</v>
      </c>
      <c r="Q190" s="13" t="str">
        <f t="shared" si="19"/>
        <v>ГОТОВ_ИЗМЕНЕН</v>
      </c>
      <c r="R190" s="13">
        <f>IFERROR(VLOOKUP(P190,Лист1!A$1:B$20,2,FALSE),0)</f>
        <v>784</v>
      </c>
      <c r="S190" s="13">
        <f t="shared" si="20"/>
        <v>0</v>
      </c>
    </row>
    <row r="191" spans="1:19" x14ac:dyDescent="0.25">
      <c r="A191" t="s">
        <v>1383</v>
      </c>
      <c r="B191" s="4" t="s">
        <v>1182</v>
      </c>
      <c r="C191" s="3" t="s">
        <v>5</v>
      </c>
      <c r="G191" s="3" t="s">
        <v>1224</v>
      </c>
      <c r="I191" s="3" t="str">
        <f>IFERROR(VLOOKUP(C191,'Справочник соответствий'!A$2:D$2996,2,FALSE),IF(VALUE(C191)=0,1,VLOOKUP(C191,'Справочник соответствий'!A$2:D$2996,2,FALSE)))</f>
        <v>1</v>
      </c>
      <c r="J191" s="3">
        <f>IFERROR(VLOOKUP(D191,'Справочник соответствий'!A$2:D$2996,2,FALSE),IF(VALUE(D191)=0,0,VLOOKUP(D191,'Справочник соответствий'!A$2:D$2996,2,FALSE)))</f>
        <v>0</v>
      </c>
      <c r="K191" s="3" t="str">
        <f t="shared" si="14"/>
        <v>1</v>
      </c>
      <c r="L191" s="13" t="str">
        <f>IFERROR(VLOOKUP(C191,'Справочник соответствий'!A$2:D$2996,3,FALSE),IF(VALUE(C191)=0,"ЭТАЖ НЕ ОПРЕДЕЛЕН. ПРИНЯТ ПО ДОПУЩЕНИЮ 1",VLOOKUP(C191,'Справочник соответствий'!A$2:D$2996,3,FALSE)))</f>
        <v>ЭТАЖ ЗАДАН ЧИСЛОМ</v>
      </c>
      <c r="M191" s="13" t="b">
        <f t="shared" si="15"/>
        <v>0</v>
      </c>
      <c r="N191" s="13">
        <f t="shared" si="16"/>
        <v>1</v>
      </c>
      <c r="O191" s="13" t="str">
        <f t="shared" si="17"/>
        <v>ЭТАЖ ЗАДАН ЧИСЛОМ</v>
      </c>
      <c r="P191" s="13" t="str">
        <f t="shared" si="18"/>
        <v>ЭТАЖ ЗАДАН ЧИСЛОМ</v>
      </c>
      <c r="Q191" s="13" t="str">
        <f t="shared" si="19"/>
        <v>ГОТОВ_ИЗМЕНЕН</v>
      </c>
      <c r="R191" s="13">
        <f>IFERROR(VLOOKUP(P191,Лист1!A$1:B$20,2,FALSE),0)</f>
        <v>784</v>
      </c>
      <c r="S191" s="13">
        <f t="shared" si="20"/>
        <v>0</v>
      </c>
    </row>
    <row r="192" spans="1:19" x14ac:dyDescent="0.25">
      <c r="A192" t="s">
        <v>1384</v>
      </c>
      <c r="B192" s="4" t="s">
        <v>1190</v>
      </c>
      <c r="C192" s="3" t="s">
        <v>5</v>
      </c>
      <c r="G192" s="3" t="s">
        <v>1224</v>
      </c>
      <c r="I192" s="3" t="str">
        <f>IFERROR(VLOOKUP(C192,'Справочник соответствий'!A$2:D$2996,2,FALSE),IF(VALUE(C192)=0,1,VLOOKUP(C192,'Справочник соответствий'!A$2:D$2996,2,FALSE)))</f>
        <v>1</v>
      </c>
      <c r="J192" s="3">
        <f>IFERROR(VLOOKUP(D192,'Справочник соответствий'!A$2:D$2996,2,FALSE),IF(VALUE(D192)=0,0,VLOOKUP(D192,'Справочник соответствий'!A$2:D$2996,2,FALSE)))</f>
        <v>0</v>
      </c>
      <c r="K192" s="3" t="str">
        <f t="shared" si="14"/>
        <v>1</v>
      </c>
      <c r="L192" s="13" t="str">
        <f>IFERROR(VLOOKUP(C192,'Справочник соответствий'!A$2:D$2996,3,FALSE),IF(VALUE(C192)=0,"ЭТАЖ НЕ ОПРЕДЕЛЕН. ПРИНЯТ ПО ДОПУЩЕНИЮ 1",VLOOKUP(C192,'Справочник соответствий'!A$2:D$2996,3,FALSE)))</f>
        <v>ЭТАЖ ЗАДАН ЧИСЛОМ</v>
      </c>
      <c r="M192" s="13" t="b">
        <f t="shared" si="15"/>
        <v>0</v>
      </c>
      <c r="N192" s="13">
        <f t="shared" si="16"/>
        <v>1</v>
      </c>
      <c r="O192" s="13" t="str">
        <f t="shared" si="17"/>
        <v>ЭТАЖ ЗАДАН ЧИСЛОМ</v>
      </c>
      <c r="P192" s="13" t="str">
        <f t="shared" si="18"/>
        <v>ЭТАЖ ЗАДАН ЧИСЛОМ</v>
      </c>
      <c r="Q192" s="13" t="str">
        <f t="shared" si="19"/>
        <v>ГОТОВ_ИЗМЕНЕН</v>
      </c>
      <c r="R192" s="13">
        <f>IFERROR(VLOOKUP(P192,Лист1!A$1:B$20,2,FALSE),0)</f>
        <v>784</v>
      </c>
      <c r="S192" s="13">
        <f t="shared" si="20"/>
        <v>0</v>
      </c>
    </row>
    <row r="193" spans="1:19" x14ac:dyDescent="0.25">
      <c r="A193" t="s">
        <v>1385</v>
      </c>
      <c r="B193" s="4" t="s">
        <v>1190</v>
      </c>
      <c r="G193" s="3" t="s">
        <v>1224</v>
      </c>
      <c r="I193" s="3">
        <f>IFERROR(VLOOKUP(C193,'Справочник соответствий'!A$2:D$2996,2,FALSE),IF(VALUE(C193)=0,1,VLOOKUP(C193,'Справочник соответствий'!A$2:D$2996,2,FALSE)))</f>
        <v>1</v>
      </c>
      <c r="J193" s="3">
        <f>IFERROR(VLOOKUP(D193,'Справочник соответствий'!A$2:D$2996,2,FALSE),IF(VALUE(D193)=0,0,VLOOKUP(D193,'Справочник соответствий'!A$2:D$2996,2,FALSE)))</f>
        <v>0</v>
      </c>
      <c r="K193" s="3">
        <f t="shared" si="14"/>
        <v>1</v>
      </c>
      <c r="L193" s="13" t="str">
        <f>IFERROR(VLOOKUP(C193,'Справочник соответствий'!A$2:D$2996,3,FALSE),IF(VALUE(C193)=0,"ЭТАЖ НЕ ОПРЕДЕЛЕН. ПРИНЯТ ПО ДОПУЩЕНИЮ 1",VLOOKUP(C193,'Справочник соответствий'!A$2:D$2996,3,FALSE)))</f>
        <v>ЭТАЖ НЕ ОПРЕДЕЛЕН. ПРИНЯТ ПО ДОПУЩЕНИЮ 1</v>
      </c>
      <c r="M193" s="13" t="b">
        <f t="shared" si="15"/>
        <v>0</v>
      </c>
      <c r="N193" s="13">
        <f t="shared" si="16"/>
        <v>1</v>
      </c>
      <c r="O193" s="13" t="str">
        <f t="shared" si="17"/>
        <v>ЭТАЖ НЕ ОПРЕДЕЛЕН. ПРИНЯТ ПО ДОПУЩЕНИЮ 1</v>
      </c>
      <c r="P193" s="13" t="str">
        <f t="shared" si="18"/>
        <v>ЭТАЖ НЕ ОПРЕДЕЛЕН. ПРИНЯТ ПО ДОПУЩЕНИЮ 1</v>
      </c>
      <c r="Q193" s="13" t="str">
        <f t="shared" si="19"/>
        <v>ГОТОВ_ИЗМЕНЕН</v>
      </c>
      <c r="R193" s="13">
        <f>IFERROR(VLOOKUP(P193,Лист1!A$1:B$20,2,FALSE),0)</f>
        <v>788</v>
      </c>
      <c r="S193" s="13">
        <f t="shared" si="20"/>
        <v>0</v>
      </c>
    </row>
    <row r="194" spans="1:19" x14ac:dyDescent="0.25">
      <c r="A194" t="s">
        <v>1386</v>
      </c>
      <c r="B194" s="4" t="s">
        <v>1190</v>
      </c>
      <c r="C194" s="3" t="s">
        <v>5</v>
      </c>
      <c r="G194" s="3" t="s">
        <v>1224</v>
      </c>
      <c r="I194" s="3" t="str">
        <f>IFERROR(VLOOKUP(C194,'Справочник соответствий'!A$2:D$2996,2,FALSE),IF(VALUE(C194)=0,1,VLOOKUP(C194,'Справочник соответствий'!A$2:D$2996,2,FALSE)))</f>
        <v>1</v>
      </c>
      <c r="J194" s="3">
        <f>IFERROR(VLOOKUP(D194,'Справочник соответствий'!A$2:D$2996,2,FALSE),IF(VALUE(D194)=0,0,VLOOKUP(D194,'Справочник соответствий'!A$2:D$2996,2,FALSE)))</f>
        <v>0</v>
      </c>
      <c r="K194" s="3" t="str">
        <f t="shared" ref="K194:K257" si="21">IF(B194="Многоквартирный дом",IF(I194-J194&gt;0,I194-J194,1),I194)</f>
        <v>1</v>
      </c>
      <c r="L194" s="13" t="str">
        <f>IFERROR(VLOOKUP(C194,'Справочник соответствий'!A$2:D$2996,3,FALSE),IF(VALUE(C194)=0,"ЭТАЖ НЕ ОПРЕДЕЛЕН. ПРИНЯТ ПО ДОПУЩЕНИЮ 1",VLOOKUP(C194,'Справочник соответствий'!A$2:D$2996,3,FALSE)))</f>
        <v>ЭТАЖ ЗАДАН ЧИСЛОМ</v>
      </c>
      <c r="M194" s="13" t="b">
        <f t="shared" ref="M194:M257" si="22">I194=E194</f>
        <v>0</v>
      </c>
      <c r="N194" s="13">
        <f t="shared" ref="N194:N257" si="23">IF(VALUE(E194)=0,VALUE(K194),IF(L194="ЭТАЖ НЕ ОПРЕДЕЛЕН. ПРИНЯТ ПО ДОПУЩЕНИЮ 1",VALUE(E194),VALUE(K194)))</f>
        <v>1</v>
      </c>
      <c r="O194" s="13" t="str">
        <f t="shared" ref="O194:O257" si="24">IF(VALUE(E194)=0,L194,IF(L194="ЭТАЖ НЕ ОПРЕДЕЛЕН. ПРИНЯТ ПО ДОПУЩЕНИЮ 1",F194,L194))</f>
        <v>ЭТАЖ ЗАДАН ЧИСЛОМ</v>
      </c>
      <c r="P194" s="13" t="str">
        <f t="shared" ref="P194:P257" si="25">IF(B194="Многоквартирный дом",CONCATENATE("МКД_",O194),O194)</f>
        <v>ЭТАЖ ЗАДАН ЧИСЛОМ</v>
      </c>
      <c r="Q194" s="13" t="str">
        <f t="shared" ref="Q194:Q257" si="26">IFERROR(IF(N194&gt;0,IF(N194=VALUE(E194),"ГОТОВ","ГОТОВ_ИЗМЕНЕН"),"НЕ ГОТОВ"),"НЕ ГОТОВ")</f>
        <v>ГОТОВ_ИЗМЕНЕН</v>
      </c>
      <c r="R194" s="13">
        <f>IFERROR(VLOOKUP(P194,Лист1!A$1:B$20,2,FALSE),0)</f>
        <v>784</v>
      </c>
      <c r="S194" s="13">
        <f t="shared" ref="S194:S257" si="27">VALUE(E194)</f>
        <v>0</v>
      </c>
    </row>
    <row r="195" spans="1:19" x14ac:dyDescent="0.25">
      <c r="A195" t="s">
        <v>1387</v>
      </c>
      <c r="B195" s="4" t="s">
        <v>1182</v>
      </c>
      <c r="C195" s="3" t="s">
        <v>1388</v>
      </c>
      <c r="D195" s="3" t="s">
        <v>5</v>
      </c>
      <c r="E195" s="3" t="s">
        <v>5</v>
      </c>
      <c r="F195" t="s">
        <v>1186</v>
      </c>
      <c r="G195" s="3" t="s">
        <v>1191</v>
      </c>
      <c r="H195" s="7" t="s">
        <v>1184</v>
      </c>
      <c r="I195" s="3" t="str">
        <f>IFERROR(VLOOKUP(C195,'Справочник соответствий'!A$2:D$2996,2,FALSE),IF(VALUE(C195)=0,1,VLOOKUP(C195,'Справочник соответствий'!A$2:D$2996,2,FALSE)))</f>
        <v>1</v>
      </c>
      <c r="J195" s="3" t="str">
        <f>IFERROR(VLOOKUP(D195,'Справочник соответствий'!A$2:D$2996,2,FALSE),IF(VALUE(D195)=0,0,VLOOKUP(D195,'Справочник соответствий'!A$2:D$2996,2,FALSE)))</f>
        <v>1</v>
      </c>
      <c r="K195" s="3" t="str">
        <f t="shared" si="21"/>
        <v>1</v>
      </c>
      <c r="L195" s="13" t="str">
        <f>IFERROR(VLOOKUP(C195,'Справочник соответствий'!A$2:D$2996,3,FALSE),IF(VALUE(C195)=0,"ЭТАЖ НЕ ОПРЕДЕЛЕН. ПРИНЯТ ПО ДОПУЩЕНИЮ 1",VLOOKUP(C195,'Справочник соответствий'!A$2:D$2996,3,FALSE)))</f>
        <v>СПРАВОЧНИК ЭТАЖНОСТИ</v>
      </c>
      <c r="M195" s="13" t="b">
        <f t="shared" si="22"/>
        <v>1</v>
      </c>
      <c r="N195" s="13">
        <f t="shared" si="23"/>
        <v>1</v>
      </c>
      <c r="O195" s="13" t="str">
        <f t="shared" si="24"/>
        <v>СПРАВОЧНИК ЭТАЖНОСТИ</v>
      </c>
      <c r="P195" s="13" t="str">
        <f t="shared" si="25"/>
        <v>СПРАВОЧНИК ЭТАЖНОСТИ</v>
      </c>
      <c r="Q195" s="13" t="str">
        <f t="shared" si="26"/>
        <v>ГОТОВ</v>
      </c>
      <c r="R195" s="13">
        <f>IFERROR(VLOOKUP(P195,Лист1!A$1:B$20,2,FALSE),0)</f>
        <v>785</v>
      </c>
      <c r="S195" s="13">
        <f t="shared" si="27"/>
        <v>1</v>
      </c>
    </row>
    <row r="196" spans="1:19" x14ac:dyDescent="0.25">
      <c r="A196" t="s">
        <v>1389</v>
      </c>
      <c r="B196" s="4" t="s">
        <v>1182</v>
      </c>
      <c r="C196" s="3" t="s">
        <v>7</v>
      </c>
      <c r="D196" s="3" t="s">
        <v>5</v>
      </c>
      <c r="E196" s="3" t="s">
        <v>5</v>
      </c>
      <c r="F196" t="s">
        <v>1045</v>
      </c>
      <c r="G196" s="3" t="s">
        <v>1183</v>
      </c>
      <c r="H196" s="7" t="s">
        <v>1184</v>
      </c>
      <c r="I196" s="3" t="str">
        <f>IFERROR(VLOOKUP(C196,'Справочник соответствий'!A$2:D$2996,2,FALSE),IF(VALUE(C196)=0,1,VLOOKUP(C196,'Справочник соответствий'!A$2:D$2996,2,FALSE)))</f>
        <v>2</v>
      </c>
      <c r="J196" s="3" t="str">
        <f>IFERROR(VLOOKUP(D196,'Справочник соответствий'!A$2:D$2996,2,FALSE),IF(VALUE(D196)=0,0,VLOOKUP(D196,'Справочник соответствий'!A$2:D$2996,2,FALSE)))</f>
        <v>1</v>
      </c>
      <c r="K196" s="3" t="str">
        <f t="shared" si="21"/>
        <v>2</v>
      </c>
      <c r="L196" s="13" t="str">
        <f>IFERROR(VLOOKUP(C196,'Справочник соответствий'!A$2:D$2996,3,FALSE),IF(VALUE(C196)=0,"ЭТАЖ НЕ ОПРЕДЕЛЕН. ПРИНЯТ ПО ДОПУЩЕНИЮ 1",VLOOKUP(C196,'Справочник соответствий'!A$2:D$2996,3,FALSE)))</f>
        <v>ЭТАЖ ЗАДАН ЧИСЛОМ</v>
      </c>
      <c r="M196" s="13" t="b">
        <f t="shared" si="22"/>
        <v>0</v>
      </c>
      <c r="N196" s="13">
        <f t="shared" si="23"/>
        <v>2</v>
      </c>
      <c r="O196" s="13" t="str">
        <f t="shared" si="24"/>
        <v>ЭТАЖ ЗАДАН ЧИСЛОМ</v>
      </c>
      <c r="P196" s="13" t="str">
        <f t="shared" si="25"/>
        <v>ЭТАЖ ЗАДАН ЧИСЛОМ</v>
      </c>
      <c r="Q196" s="13" t="str">
        <f t="shared" si="26"/>
        <v>ГОТОВ_ИЗМЕНЕН</v>
      </c>
      <c r="R196" s="13">
        <f>IFERROR(VLOOKUP(P196,Лист1!A$1:B$20,2,FALSE),0)</f>
        <v>784</v>
      </c>
      <c r="S196" s="13">
        <f t="shared" si="27"/>
        <v>1</v>
      </c>
    </row>
    <row r="197" spans="1:19" x14ac:dyDescent="0.25">
      <c r="A197" t="s">
        <v>1390</v>
      </c>
      <c r="B197" s="4" t="s">
        <v>1190</v>
      </c>
      <c r="C197" s="3" t="s">
        <v>7</v>
      </c>
      <c r="E197" s="3" t="s">
        <v>5</v>
      </c>
      <c r="F197" t="s">
        <v>1391</v>
      </c>
      <c r="G197" s="3" t="s">
        <v>1187</v>
      </c>
      <c r="H197" s="7" t="s">
        <v>1184</v>
      </c>
      <c r="I197" s="3" t="str">
        <f>IFERROR(VLOOKUP(C197,'Справочник соответствий'!A$2:D$2996,2,FALSE),IF(VALUE(C197)=0,1,VLOOKUP(C197,'Справочник соответствий'!A$2:D$2996,2,FALSE)))</f>
        <v>2</v>
      </c>
      <c r="J197" s="3">
        <f>IFERROR(VLOOKUP(D197,'Справочник соответствий'!A$2:D$2996,2,FALSE),IF(VALUE(D197)=0,0,VLOOKUP(D197,'Справочник соответствий'!A$2:D$2996,2,FALSE)))</f>
        <v>0</v>
      </c>
      <c r="K197" s="3" t="str">
        <f t="shared" si="21"/>
        <v>2</v>
      </c>
      <c r="L197" s="13" t="str">
        <f>IFERROR(VLOOKUP(C197,'Справочник соответствий'!A$2:D$2996,3,FALSE),IF(VALUE(C197)=0,"ЭТАЖ НЕ ОПРЕДЕЛЕН. ПРИНЯТ ПО ДОПУЩЕНИЮ 1",VLOOKUP(C197,'Справочник соответствий'!A$2:D$2996,3,FALSE)))</f>
        <v>ЭТАЖ ЗАДАН ЧИСЛОМ</v>
      </c>
      <c r="M197" s="13" t="b">
        <f t="shared" si="22"/>
        <v>0</v>
      </c>
      <c r="N197" s="13">
        <f t="shared" si="23"/>
        <v>2</v>
      </c>
      <c r="O197" s="13" t="str">
        <f t="shared" si="24"/>
        <v>ЭТАЖ ЗАДАН ЧИСЛОМ</v>
      </c>
      <c r="P197" s="13" t="str">
        <f t="shared" si="25"/>
        <v>ЭТАЖ ЗАДАН ЧИСЛОМ</v>
      </c>
      <c r="Q197" s="13" t="str">
        <f t="shared" si="26"/>
        <v>ГОТОВ_ИЗМЕНЕН</v>
      </c>
      <c r="R197" s="13">
        <f>IFERROR(VLOOKUP(P197,Лист1!A$1:B$20,2,FALSE),0)</f>
        <v>784</v>
      </c>
      <c r="S197" s="13">
        <f t="shared" si="27"/>
        <v>1</v>
      </c>
    </row>
    <row r="198" spans="1:19" x14ac:dyDescent="0.25">
      <c r="A198" t="s">
        <v>1392</v>
      </c>
      <c r="B198" s="4" t="s">
        <v>1190</v>
      </c>
      <c r="C198" s="3" t="s">
        <v>7</v>
      </c>
      <c r="D198" s="3" t="s">
        <v>5</v>
      </c>
      <c r="E198" s="3" t="s">
        <v>7</v>
      </c>
      <c r="F198" t="s">
        <v>1045</v>
      </c>
      <c r="G198" s="3" t="s">
        <v>1191</v>
      </c>
      <c r="H198" s="7" t="s">
        <v>1184</v>
      </c>
      <c r="I198" s="3" t="str">
        <f>IFERROR(VLOOKUP(C198,'Справочник соответствий'!A$2:D$2996,2,FALSE),IF(VALUE(C198)=0,1,VLOOKUP(C198,'Справочник соответствий'!A$2:D$2996,2,FALSE)))</f>
        <v>2</v>
      </c>
      <c r="J198" s="3" t="str">
        <f>IFERROR(VLOOKUP(D198,'Справочник соответствий'!A$2:D$2996,2,FALSE),IF(VALUE(D198)=0,0,VLOOKUP(D198,'Справочник соответствий'!A$2:D$2996,2,FALSE)))</f>
        <v>1</v>
      </c>
      <c r="K198" s="3" t="str">
        <f t="shared" si="21"/>
        <v>2</v>
      </c>
      <c r="L198" s="13" t="str">
        <f>IFERROR(VLOOKUP(C198,'Справочник соответствий'!A$2:D$2996,3,FALSE),IF(VALUE(C198)=0,"ЭТАЖ НЕ ОПРЕДЕЛЕН. ПРИНЯТ ПО ДОПУЩЕНИЮ 1",VLOOKUP(C198,'Справочник соответствий'!A$2:D$2996,3,FALSE)))</f>
        <v>ЭТАЖ ЗАДАН ЧИСЛОМ</v>
      </c>
      <c r="M198" s="13" t="b">
        <f t="shared" si="22"/>
        <v>1</v>
      </c>
      <c r="N198" s="13">
        <f t="shared" si="23"/>
        <v>2</v>
      </c>
      <c r="O198" s="13" t="str">
        <f t="shared" si="24"/>
        <v>ЭТАЖ ЗАДАН ЧИСЛОМ</v>
      </c>
      <c r="P198" s="13" t="str">
        <f t="shared" si="25"/>
        <v>ЭТАЖ ЗАДАН ЧИСЛОМ</v>
      </c>
      <c r="Q198" s="13" t="str">
        <f t="shared" si="26"/>
        <v>ГОТОВ</v>
      </c>
      <c r="R198" s="13">
        <f>IFERROR(VLOOKUP(P198,Лист1!A$1:B$20,2,FALSE),0)</f>
        <v>784</v>
      </c>
      <c r="S198" s="13">
        <f t="shared" si="27"/>
        <v>2</v>
      </c>
    </row>
    <row r="199" spans="1:19" x14ac:dyDescent="0.25">
      <c r="A199" t="s">
        <v>1393</v>
      </c>
      <c r="B199" s="4" t="s">
        <v>1182</v>
      </c>
      <c r="C199" s="3" t="s">
        <v>5</v>
      </c>
      <c r="D199" s="3" t="s">
        <v>5</v>
      </c>
      <c r="E199" s="3" t="s">
        <v>5</v>
      </c>
      <c r="F199" t="s">
        <v>1045</v>
      </c>
      <c r="G199" s="3" t="s">
        <v>1187</v>
      </c>
      <c r="H199" s="7" t="s">
        <v>1184</v>
      </c>
      <c r="I199" s="3" t="str">
        <f>IFERROR(VLOOKUP(C199,'Справочник соответствий'!A$2:D$2996,2,FALSE),IF(VALUE(C199)=0,1,VLOOKUP(C199,'Справочник соответствий'!A$2:D$2996,2,FALSE)))</f>
        <v>1</v>
      </c>
      <c r="J199" s="3" t="str">
        <f>IFERROR(VLOOKUP(D199,'Справочник соответствий'!A$2:D$2996,2,FALSE),IF(VALUE(D199)=0,0,VLOOKUP(D199,'Справочник соответствий'!A$2:D$2996,2,FALSE)))</f>
        <v>1</v>
      </c>
      <c r="K199" s="3" t="str">
        <f t="shared" si="21"/>
        <v>1</v>
      </c>
      <c r="L199" s="13" t="str">
        <f>IFERROR(VLOOKUP(C199,'Справочник соответствий'!A$2:D$2996,3,FALSE),IF(VALUE(C199)=0,"ЭТАЖ НЕ ОПРЕДЕЛЕН. ПРИНЯТ ПО ДОПУЩЕНИЮ 1",VLOOKUP(C199,'Справочник соответствий'!A$2:D$2996,3,FALSE)))</f>
        <v>ЭТАЖ ЗАДАН ЧИСЛОМ</v>
      </c>
      <c r="M199" s="13" t="b">
        <f t="shared" si="22"/>
        <v>1</v>
      </c>
      <c r="N199" s="13">
        <f t="shared" si="23"/>
        <v>1</v>
      </c>
      <c r="O199" s="13" t="str">
        <f t="shared" si="24"/>
        <v>ЭТАЖ ЗАДАН ЧИСЛОМ</v>
      </c>
      <c r="P199" s="13" t="str">
        <f t="shared" si="25"/>
        <v>ЭТАЖ ЗАДАН ЧИСЛОМ</v>
      </c>
      <c r="Q199" s="13" t="str">
        <f t="shared" si="26"/>
        <v>ГОТОВ</v>
      </c>
      <c r="R199" s="13">
        <f>IFERROR(VLOOKUP(P199,Лист1!A$1:B$20,2,FALSE),0)</f>
        <v>784</v>
      </c>
      <c r="S199" s="13">
        <f t="shared" si="27"/>
        <v>1</v>
      </c>
    </row>
    <row r="200" spans="1:19" x14ac:dyDescent="0.25">
      <c r="A200" t="s">
        <v>1394</v>
      </c>
      <c r="B200" s="4" t="s">
        <v>1182</v>
      </c>
      <c r="C200" s="3" t="s">
        <v>5</v>
      </c>
      <c r="E200" s="3" t="s">
        <v>5</v>
      </c>
      <c r="F200" t="s">
        <v>1045</v>
      </c>
      <c r="G200" s="3" t="s">
        <v>1187</v>
      </c>
      <c r="H200" s="7" t="s">
        <v>1184</v>
      </c>
      <c r="I200" s="3" t="str">
        <f>IFERROR(VLOOKUP(C200,'Справочник соответствий'!A$2:D$2996,2,FALSE),IF(VALUE(C200)=0,1,VLOOKUP(C200,'Справочник соответствий'!A$2:D$2996,2,FALSE)))</f>
        <v>1</v>
      </c>
      <c r="J200" s="3">
        <f>IFERROR(VLOOKUP(D200,'Справочник соответствий'!A$2:D$2996,2,FALSE),IF(VALUE(D200)=0,0,VLOOKUP(D200,'Справочник соответствий'!A$2:D$2996,2,FALSE)))</f>
        <v>0</v>
      </c>
      <c r="K200" s="3" t="str">
        <f t="shared" si="21"/>
        <v>1</v>
      </c>
      <c r="L200" s="13" t="str">
        <f>IFERROR(VLOOKUP(C200,'Справочник соответствий'!A$2:D$2996,3,FALSE),IF(VALUE(C200)=0,"ЭТАЖ НЕ ОПРЕДЕЛЕН. ПРИНЯТ ПО ДОПУЩЕНИЮ 1",VLOOKUP(C200,'Справочник соответствий'!A$2:D$2996,3,FALSE)))</f>
        <v>ЭТАЖ ЗАДАН ЧИСЛОМ</v>
      </c>
      <c r="M200" s="13" t="b">
        <f t="shared" si="22"/>
        <v>1</v>
      </c>
      <c r="N200" s="13">
        <f t="shared" si="23"/>
        <v>1</v>
      </c>
      <c r="O200" s="13" t="str">
        <f t="shared" si="24"/>
        <v>ЭТАЖ ЗАДАН ЧИСЛОМ</v>
      </c>
      <c r="P200" s="13" t="str">
        <f t="shared" si="25"/>
        <v>ЭТАЖ ЗАДАН ЧИСЛОМ</v>
      </c>
      <c r="Q200" s="13" t="str">
        <f t="shared" si="26"/>
        <v>ГОТОВ</v>
      </c>
      <c r="R200" s="13">
        <f>IFERROR(VLOOKUP(P200,Лист1!A$1:B$20,2,FALSE),0)</f>
        <v>784</v>
      </c>
      <c r="S200" s="13">
        <f t="shared" si="27"/>
        <v>1</v>
      </c>
    </row>
    <row r="201" spans="1:19" x14ac:dyDescent="0.25">
      <c r="A201" t="s">
        <v>1395</v>
      </c>
      <c r="B201" s="4" t="s">
        <v>1182</v>
      </c>
      <c r="C201" s="3" t="s">
        <v>5</v>
      </c>
      <c r="E201" s="3" t="s">
        <v>5</v>
      </c>
      <c r="F201" t="s">
        <v>1186</v>
      </c>
      <c r="G201" s="3" t="s">
        <v>1187</v>
      </c>
      <c r="H201" s="7" t="s">
        <v>1184</v>
      </c>
      <c r="I201" s="3" t="str">
        <f>IFERROR(VLOOKUP(C201,'Справочник соответствий'!A$2:D$2996,2,FALSE),IF(VALUE(C201)=0,1,VLOOKUP(C201,'Справочник соответствий'!A$2:D$2996,2,FALSE)))</f>
        <v>1</v>
      </c>
      <c r="J201" s="3">
        <f>IFERROR(VLOOKUP(D201,'Справочник соответствий'!A$2:D$2996,2,FALSE),IF(VALUE(D201)=0,0,VLOOKUP(D201,'Справочник соответствий'!A$2:D$2996,2,FALSE)))</f>
        <v>0</v>
      </c>
      <c r="K201" s="3" t="str">
        <f t="shared" si="21"/>
        <v>1</v>
      </c>
      <c r="L201" s="13" t="str">
        <f>IFERROR(VLOOKUP(C201,'Справочник соответствий'!A$2:D$2996,3,FALSE),IF(VALUE(C201)=0,"ЭТАЖ НЕ ОПРЕДЕЛЕН. ПРИНЯТ ПО ДОПУЩЕНИЮ 1",VLOOKUP(C201,'Справочник соответствий'!A$2:D$2996,3,FALSE)))</f>
        <v>ЭТАЖ ЗАДАН ЧИСЛОМ</v>
      </c>
      <c r="M201" s="13" t="b">
        <f t="shared" si="22"/>
        <v>1</v>
      </c>
      <c r="N201" s="13">
        <f t="shared" si="23"/>
        <v>1</v>
      </c>
      <c r="O201" s="13" t="str">
        <f t="shared" si="24"/>
        <v>ЭТАЖ ЗАДАН ЧИСЛОМ</v>
      </c>
      <c r="P201" s="13" t="str">
        <f t="shared" si="25"/>
        <v>ЭТАЖ ЗАДАН ЧИСЛОМ</v>
      </c>
      <c r="Q201" s="13" t="str">
        <f t="shared" si="26"/>
        <v>ГОТОВ</v>
      </c>
      <c r="R201" s="13">
        <f>IFERROR(VLOOKUP(P201,Лист1!A$1:B$20,2,FALSE),0)</f>
        <v>784</v>
      </c>
      <c r="S201" s="13">
        <f t="shared" si="27"/>
        <v>1</v>
      </c>
    </row>
    <row r="202" spans="1:19" x14ac:dyDescent="0.25">
      <c r="A202" t="s">
        <v>1396</v>
      </c>
      <c r="B202" s="4" t="s">
        <v>1031</v>
      </c>
      <c r="C202" s="3" t="s">
        <v>16</v>
      </c>
      <c r="E202" s="3" t="s">
        <v>8</v>
      </c>
      <c r="F202" t="s">
        <v>1038</v>
      </c>
      <c r="G202" s="3" t="s">
        <v>1183</v>
      </c>
      <c r="H202" s="7" t="s">
        <v>1184</v>
      </c>
      <c r="I202" s="3" t="str">
        <f>IFERROR(VLOOKUP(C202,'Справочник соответствий'!A$2:D$2996,2,FALSE),IF(VALUE(C202)=0,1,VLOOKUP(C202,'Справочник соответствий'!A$2:D$2996,2,FALSE)))</f>
        <v>5</v>
      </c>
      <c r="J202" s="3">
        <f>IFERROR(VLOOKUP(D202,'Справочник соответствий'!A$2:D$2996,2,FALSE),IF(VALUE(D202)=0,0,VLOOKUP(D202,'Справочник соответствий'!A$2:D$2996,2,FALSE)))</f>
        <v>0</v>
      </c>
      <c r="K202" s="3">
        <f t="shared" si="21"/>
        <v>5</v>
      </c>
      <c r="L202" s="13" t="str">
        <f>IFERROR(VLOOKUP(C202,'Справочник соответствий'!A$2:D$2996,3,FALSE),IF(VALUE(C202)=0,"ЭТАЖ НЕ ОПРЕДЕЛЕН. ПРИНЯТ ПО ДОПУЩЕНИЮ 1",VLOOKUP(C202,'Справочник соответствий'!A$2:D$2996,3,FALSE)))</f>
        <v>ЭТАЖ ЗАДАН ЧИСЛОМ</v>
      </c>
      <c r="M202" s="13" t="b">
        <f t="shared" si="22"/>
        <v>0</v>
      </c>
      <c r="N202" s="13">
        <f t="shared" si="23"/>
        <v>5</v>
      </c>
      <c r="O202" s="13" t="str">
        <f t="shared" si="24"/>
        <v>ЭТАЖ ЗАДАН ЧИСЛОМ</v>
      </c>
      <c r="P202" s="13" t="str">
        <f t="shared" si="25"/>
        <v>МКД_ЭТАЖ ЗАДАН ЧИСЛОМ</v>
      </c>
      <c r="Q202" s="13" t="str">
        <f t="shared" si="26"/>
        <v>ГОТОВ_ИЗМЕНЕН</v>
      </c>
      <c r="R202" s="13">
        <f>IFERROR(VLOOKUP(P202,Лист1!A$1:B$20,2,FALSE),0)</f>
        <v>786</v>
      </c>
      <c r="S202" s="13">
        <f t="shared" si="27"/>
        <v>3</v>
      </c>
    </row>
    <row r="203" spans="1:19" x14ac:dyDescent="0.25">
      <c r="A203" t="s">
        <v>1397</v>
      </c>
      <c r="B203" s="4" t="s">
        <v>1190</v>
      </c>
      <c r="C203" s="3" t="s">
        <v>7</v>
      </c>
      <c r="D203" s="3" t="s">
        <v>5</v>
      </c>
      <c r="E203" s="3" t="s">
        <v>7</v>
      </c>
      <c r="F203" t="s">
        <v>1045</v>
      </c>
      <c r="G203" s="3" t="s">
        <v>1183</v>
      </c>
      <c r="H203" s="7" t="s">
        <v>1184</v>
      </c>
      <c r="I203" s="3" t="str">
        <f>IFERROR(VLOOKUP(C203,'Справочник соответствий'!A$2:D$2996,2,FALSE),IF(VALUE(C203)=0,1,VLOOKUP(C203,'Справочник соответствий'!A$2:D$2996,2,FALSE)))</f>
        <v>2</v>
      </c>
      <c r="J203" s="3" t="str">
        <f>IFERROR(VLOOKUP(D203,'Справочник соответствий'!A$2:D$2996,2,FALSE),IF(VALUE(D203)=0,0,VLOOKUP(D203,'Справочник соответствий'!A$2:D$2996,2,FALSE)))</f>
        <v>1</v>
      </c>
      <c r="K203" s="3" t="str">
        <f t="shared" si="21"/>
        <v>2</v>
      </c>
      <c r="L203" s="13" t="str">
        <f>IFERROR(VLOOKUP(C203,'Справочник соответствий'!A$2:D$2996,3,FALSE),IF(VALUE(C203)=0,"ЭТАЖ НЕ ОПРЕДЕЛЕН. ПРИНЯТ ПО ДОПУЩЕНИЮ 1",VLOOKUP(C203,'Справочник соответствий'!A$2:D$2996,3,FALSE)))</f>
        <v>ЭТАЖ ЗАДАН ЧИСЛОМ</v>
      </c>
      <c r="M203" s="13" t="b">
        <f t="shared" si="22"/>
        <v>1</v>
      </c>
      <c r="N203" s="13">
        <f t="shared" si="23"/>
        <v>2</v>
      </c>
      <c r="O203" s="13" t="str">
        <f t="shared" si="24"/>
        <v>ЭТАЖ ЗАДАН ЧИСЛОМ</v>
      </c>
      <c r="P203" s="13" t="str">
        <f t="shared" si="25"/>
        <v>ЭТАЖ ЗАДАН ЧИСЛОМ</v>
      </c>
      <c r="Q203" s="13" t="str">
        <f t="shared" si="26"/>
        <v>ГОТОВ</v>
      </c>
      <c r="R203" s="13">
        <f>IFERROR(VLOOKUP(P203,Лист1!A$1:B$20,2,FALSE),0)</f>
        <v>784</v>
      </c>
      <c r="S203" s="13">
        <f t="shared" si="27"/>
        <v>2</v>
      </c>
    </row>
    <row r="204" spans="1:19" x14ac:dyDescent="0.25">
      <c r="A204" t="s">
        <v>1398</v>
      </c>
      <c r="B204" s="4" t="s">
        <v>1182</v>
      </c>
      <c r="C204" s="3" t="s">
        <v>5</v>
      </c>
      <c r="E204" s="3" t="s">
        <v>5</v>
      </c>
      <c r="F204" t="s">
        <v>1045</v>
      </c>
      <c r="G204" s="3" t="s">
        <v>1183</v>
      </c>
      <c r="H204" s="7" t="s">
        <v>1184</v>
      </c>
      <c r="I204" s="3" t="str">
        <f>IFERROR(VLOOKUP(C204,'Справочник соответствий'!A$2:D$2996,2,FALSE),IF(VALUE(C204)=0,1,VLOOKUP(C204,'Справочник соответствий'!A$2:D$2996,2,FALSE)))</f>
        <v>1</v>
      </c>
      <c r="J204" s="3">
        <f>IFERROR(VLOOKUP(D204,'Справочник соответствий'!A$2:D$2996,2,FALSE),IF(VALUE(D204)=0,0,VLOOKUP(D204,'Справочник соответствий'!A$2:D$2996,2,FALSE)))</f>
        <v>0</v>
      </c>
      <c r="K204" s="3" t="str">
        <f t="shared" si="21"/>
        <v>1</v>
      </c>
      <c r="L204" s="13" t="str">
        <f>IFERROR(VLOOKUP(C204,'Справочник соответствий'!A$2:D$2996,3,FALSE),IF(VALUE(C204)=0,"ЭТАЖ НЕ ОПРЕДЕЛЕН. ПРИНЯТ ПО ДОПУЩЕНИЮ 1",VLOOKUP(C204,'Справочник соответствий'!A$2:D$2996,3,FALSE)))</f>
        <v>ЭТАЖ ЗАДАН ЧИСЛОМ</v>
      </c>
      <c r="M204" s="13" t="b">
        <f t="shared" si="22"/>
        <v>1</v>
      </c>
      <c r="N204" s="13">
        <f t="shared" si="23"/>
        <v>1</v>
      </c>
      <c r="O204" s="13" t="str">
        <f t="shared" si="24"/>
        <v>ЭТАЖ ЗАДАН ЧИСЛОМ</v>
      </c>
      <c r="P204" s="13" t="str">
        <f t="shared" si="25"/>
        <v>ЭТАЖ ЗАДАН ЧИСЛОМ</v>
      </c>
      <c r="Q204" s="13" t="str">
        <f t="shared" si="26"/>
        <v>ГОТОВ</v>
      </c>
      <c r="R204" s="13">
        <f>IFERROR(VLOOKUP(P204,Лист1!A$1:B$20,2,FALSE),0)</f>
        <v>784</v>
      </c>
      <c r="S204" s="13">
        <f t="shared" si="27"/>
        <v>1</v>
      </c>
    </row>
    <row r="205" spans="1:19" x14ac:dyDescent="0.25">
      <c r="A205" t="s">
        <v>1399</v>
      </c>
      <c r="B205" s="4" t="s">
        <v>1190</v>
      </c>
      <c r="C205" s="3" t="s">
        <v>7</v>
      </c>
      <c r="E205" s="3" t="s">
        <v>5</v>
      </c>
      <c r="F205" t="s">
        <v>1038</v>
      </c>
      <c r="G205" s="3" t="s">
        <v>1191</v>
      </c>
      <c r="H205" s="7" t="s">
        <v>1184</v>
      </c>
      <c r="I205" s="3" t="str">
        <f>IFERROR(VLOOKUP(C205,'Справочник соответствий'!A$2:D$2996,2,FALSE),IF(VALUE(C205)=0,1,VLOOKUP(C205,'Справочник соответствий'!A$2:D$2996,2,FALSE)))</f>
        <v>2</v>
      </c>
      <c r="J205" s="3">
        <f>IFERROR(VLOOKUP(D205,'Справочник соответствий'!A$2:D$2996,2,FALSE),IF(VALUE(D205)=0,0,VLOOKUP(D205,'Справочник соответствий'!A$2:D$2996,2,FALSE)))</f>
        <v>0</v>
      </c>
      <c r="K205" s="3" t="str">
        <f t="shared" si="21"/>
        <v>2</v>
      </c>
      <c r="L205" s="13" t="str">
        <f>IFERROR(VLOOKUP(C205,'Справочник соответствий'!A$2:D$2996,3,FALSE),IF(VALUE(C205)=0,"ЭТАЖ НЕ ОПРЕДЕЛЕН. ПРИНЯТ ПО ДОПУЩЕНИЮ 1",VLOOKUP(C205,'Справочник соответствий'!A$2:D$2996,3,FALSE)))</f>
        <v>ЭТАЖ ЗАДАН ЧИСЛОМ</v>
      </c>
      <c r="M205" s="13" t="b">
        <f t="shared" si="22"/>
        <v>0</v>
      </c>
      <c r="N205" s="13">
        <f t="shared" si="23"/>
        <v>2</v>
      </c>
      <c r="O205" s="13" t="str">
        <f t="shared" si="24"/>
        <v>ЭТАЖ ЗАДАН ЧИСЛОМ</v>
      </c>
      <c r="P205" s="13" t="str">
        <f t="shared" si="25"/>
        <v>ЭТАЖ ЗАДАН ЧИСЛОМ</v>
      </c>
      <c r="Q205" s="13" t="str">
        <f t="shared" si="26"/>
        <v>ГОТОВ_ИЗМЕНЕН</v>
      </c>
      <c r="R205" s="13">
        <f>IFERROR(VLOOKUP(P205,Лист1!A$1:B$20,2,FALSE),0)</f>
        <v>784</v>
      </c>
      <c r="S205" s="13">
        <f t="shared" si="27"/>
        <v>1</v>
      </c>
    </row>
    <row r="206" spans="1:19" x14ac:dyDescent="0.25">
      <c r="A206" t="s">
        <v>1400</v>
      </c>
      <c r="B206" s="4" t="s">
        <v>1190</v>
      </c>
      <c r="C206" s="3" t="s">
        <v>7</v>
      </c>
      <c r="E206" s="3" t="s">
        <v>5</v>
      </c>
      <c r="F206" t="s">
        <v>1045</v>
      </c>
      <c r="G206" s="3" t="s">
        <v>1198</v>
      </c>
      <c r="H206" s="7" t="s">
        <v>1184</v>
      </c>
      <c r="I206" s="3" t="str">
        <f>IFERROR(VLOOKUP(C206,'Справочник соответствий'!A$2:D$2996,2,FALSE),IF(VALUE(C206)=0,1,VLOOKUP(C206,'Справочник соответствий'!A$2:D$2996,2,FALSE)))</f>
        <v>2</v>
      </c>
      <c r="J206" s="3">
        <f>IFERROR(VLOOKUP(D206,'Справочник соответствий'!A$2:D$2996,2,FALSE),IF(VALUE(D206)=0,0,VLOOKUP(D206,'Справочник соответствий'!A$2:D$2996,2,FALSE)))</f>
        <v>0</v>
      </c>
      <c r="K206" s="3" t="str">
        <f t="shared" si="21"/>
        <v>2</v>
      </c>
      <c r="L206" s="13" t="str">
        <f>IFERROR(VLOOKUP(C206,'Справочник соответствий'!A$2:D$2996,3,FALSE),IF(VALUE(C206)=0,"ЭТАЖ НЕ ОПРЕДЕЛЕН. ПРИНЯТ ПО ДОПУЩЕНИЮ 1",VLOOKUP(C206,'Справочник соответствий'!A$2:D$2996,3,FALSE)))</f>
        <v>ЭТАЖ ЗАДАН ЧИСЛОМ</v>
      </c>
      <c r="M206" s="13" t="b">
        <f t="shared" si="22"/>
        <v>0</v>
      </c>
      <c r="N206" s="13">
        <f t="shared" si="23"/>
        <v>2</v>
      </c>
      <c r="O206" s="13" t="str">
        <f t="shared" si="24"/>
        <v>ЭТАЖ ЗАДАН ЧИСЛОМ</v>
      </c>
      <c r="P206" s="13" t="str">
        <f t="shared" si="25"/>
        <v>ЭТАЖ ЗАДАН ЧИСЛОМ</v>
      </c>
      <c r="Q206" s="13" t="str">
        <f t="shared" si="26"/>
        <v>ГОТОВ_ИЗМЕНЕН</v>
      </c>
      <c r="R206" s="13">
        <f>IFERROR(VLOOKUP(P206,Лист1!A$1:B$20,2,FALSE),0)</f>
        <v>784</v>
      </c>
      <c r="S206" s="13">
        <f t="shared" si="27"/>
        <v>1</v>
      </c>
    </row>
    <row r="207" spans="1:19" x14ac:dyDescent="0.25">
      <c r="A207" t="s">
        <v>1401</v>
      </c>
      <c r="B207" s="4" t="s">
        <v>1190</v>
      </c>
      <c r="C207" s="3" t="s">
        <v>7</v>
      </c>
      <c r="G207" s="3" t="s">
        <v>1187</v>
      </c>
      <c r="I207" s="3" t="str">
        <f>IFERROR(VLOOKUP(C207,'Справочник соответствий'!A$2:D$2996,2,FALSE),IF(VALUE(C207)=0,1,VLOOKUP(C207,'Справочник соответствий'!A$2:D$2996,2,FALSE)))</f>
        <v>2</v>
      </c>
      <c r="J207" s="3">
        <f>IFERROR(VLOOKUP(D207,'Справочник соответствий'!A$2:D$2996,2,FALSE),IF(VALUE(D207)=0,0,VLOOKUP(D207,'Справочник соответствий'!A$2:D$2996,2,FALSE)))</f>
        <v>0</v>
      </c>
      <c r="K207" s="3" t="str">
        <f t="shared" si="21"/>
        <v>2</v>
      </c>
      <c r="L207" s="13" t="str">
        <f>IFERROR(VLOOKUP(C207,'Справочник соответствий'!A$2:D$2996,3,FALSE),IF(VALUE(C207)=0,"ЭТАЖ НЕ ОПРЕДЕЛЕН. ПРИНЯТ ПО ДОПУЩЕНИЮ 1",VLOOKUP(C207,'Справочник соответствий'!A$2:D$2996,3,FALSE)))</f>
        <v>ЭТАЖ ЗАДАН ЧИСЛОМ</v>
      </c>
      <c r="M207" s="13" t="b">
        <f t="shared" si="22"/>
        <v>0</v>
      </c>
      <c r="N207" s="13">
        <f t="shared" si="23"/>
        <v>2</v>
      </c>
      <c r="O207" s="13" t="str">
        <f t="shared" si="24"/>
        <v>ЭТАЖ ЗАДАН ЧИСЛОМ</v>
      </c>
      <c r="P207" s="13" t="str">
        <f t="shared" si="25"/>
        <v>ЭТАЖ ЗАДАН ЧИСЛОМ</v>
      </c>
      <c r="Q207" s="13" t="str">
        <f t="shared" si="26"/>
        <v>ГОТОВ_ИЗМЕНЕН</v>
      </c>
      <c r="R207" s="13">
        <f>IFERROR(VLOOKUP(P207,Лист1!A$1:B$20,2,FALSE),0)</f>
        <v>784</v>
      </c>
      <c r="S207" s="13">
        <f t="shared" si="27"/>
        <v>0</v>
      </c>
    </row>
    <row r="208" spans="1:19" x14ac:dyDescent="0.25">
      <c r="A208" t="s">
        <v>1402</v>
      </c>
      <c r="B208" s="4" t="s">
        <v>1190</v>
      </c>
      <c r="C208" s="3" t="s">
        <v>5</v>
      </c>
      <c r="G208" s="3" t="s">
        <v>1187</v>
      </c>
      <c r="I208" s="3" t="str">
        <f>IFERROR(VLOOKUP(C208,'Справочник соответствий'!A$2:D$2996,2,FALSE),IF(VALUE(C208)=0,1,VLOOKUP(C208,'Справочник соответствий'!A$2:D$2996,2,FALSE)))</f>
        <v>1</v>
      </c>
      <c r="J208" s="3">
        <f>IFERROR(VLOOKUP(D208,'Справочник соответствий'!A$2:D$2996,2,FALSE),IF(VALUE(D208)=0,0,VLOOKUP(D208,'Справочник соответствий'!A$2:D$2996,2,FALSE)))</f>
        <v>0</v>
      </c>
      <c r="K208" s="3" t="str">
        <f t="shared" si="21"/>
        <v>1</v>
      </c>
      <c r="L208" s="13" t="str">
        <f>IFERROR(VLOOKUP(C208,'Справочник соответствий'!A$2:D$2996,3,FALSE),IF(VALUE(C208)=0,"ЭТАЖ НЕ ОПРЕДЕЛЕН. ПРИНЯТ ПО ДОПУЩЕНИЮ 1",VLOOKUP(C208,'Справочник соответствий'!A$2:D$2996,3,FALSE)))</f>
        <v>ЭТАЖ ЗАДАН ЧИСЛОМ</v>
      </c>
      <c r="M208" s="13" t="b">
        <f t="shared" si="22"/>
        <v>0</v>
      </c>
      <c r="N208" s="13">
        <f t="shared" si="23"/>
        <v>1</v>
      </c>
      <c r="O208" s="13" t="str">
        <f t="shared" si="24"/>
        <v>ЭТАЖ ЗАДАН ЧИСЛОМ</v>
      </c>
      <c r="P208" s="13" t="str">
        <f t="shared" si="25"/>
        <v>ЭТАЖ ЗАДАН ЧИСЛОМ</v>
      </c>
      <c r="Q208" s="13" t="str">
        <f t="shared" si="26"/>
        <v>ГОТОВ_ИЗМЕНЕН</v>
      </c>
      <c r="R208" s="13">
        <f>IFERROR(VLOOKUP(P208,Лист1!A$1:B$20,2,FALSE),0)</f>
        <v>784</v>
      </c>
      <c r="S208" s="13">
        <f t="shared" si="27"/>
        <v>0</v>
      </c>
    </row>
    <row r="209" spans="1:19" x14ac:dyDescent="0.25">
      <c r="A209" t="s">
        <v>1403</v>
      </c>
      <c r="B209" s="4" t="s">
        <v>1190</v>
      </c>
      <c r="C209" s="3" t="s">
        <v>7</v>
      </c>
      <c r="G209" s="3" t="s">
        <v>1187</v>
      </c>
      <c r="I209" s="3" t="str">
        <f>IFERROR(VLOOKUP(C209,'Справочник соответствий'!A$2:D$2996,2,FALSE),IF(VALUE(C209)=0,1,VLOOKUP(C209,'Справочник соответствий'!A$2:D$2996,2,FALSE)))</f>
        <v>2</v>
      </c>
      <c r="J209" s="3">
        <f>IFERROR(VLOOKUP(D209,'Справочник соответствий'!A$2:D$2996,2,FALSE),IF(VALUE(D209)=0,0,VLOOKUP(D209,'Справочник соответствий'!A$2:D$2996,2,FALSE)))</f>
        <v>0</v>
      </c>
      <c r="K209" s="3" t="str">
        <f t="shared" si="21"/>
        <v>2</v>
      </c>
      <c r="L209" s="13" t="str">
        <f>IFERROR(VLOOKUP(C209,'Справочник соответствий'!A$2:D$2996,3,FALSE),IF(VALUE(C209)=0,"ЭТАЖ НЕ ОПРЕДЕЛЕН. ПРИНЯТ ПО ДОПУЩЕНИЮ 1",VLOOKUP(C209,'Справочник соответствий'!A$2:D$2996,3,FALSE)))</f>
        <v>ЭТАЖ ЗАДАН ЧИСЛОМ</v>
      </c>
      <c r="M209" s="13" t="b">
        <f t="shared" si="22"/>
        <v>0</v>
      </c>
      <c r="N209" s="13">
        <f t="shared" si="23"/>
        <v>2</v>
      </c>
      <c r="O209" s="13" t="str">
        <f t="shared" si="24"/>
        <v>ЭТАЖ ЗАДАН ЧИСЛОМ</v>
      </c>
      <c r="P209" s="13" t="str">
        <f t="shared" si="25"/>
        <v>ЭТАЖ ЗАДАН ЧИСЛОМ</v>
      </c>
      <c r="Q209" s="13" t="str">
        <f t="shared" si="26"/>
        <v>ГОТОВ_ИЗМЕНЕН</v>
      </c>
      <c r="R209" s="13">
        <f>IFERROR(VLOOKUP(P209,Лист1!A$1:B$20,2,FALSE),0)</f>
        <v>784</v>
      </c>
      <c r="S209" s="13">
        <f t="shared" si="27"/>
        <v>0</v>
      </c>
    </row>
    <row r="210" spans="1:19" x14ac:dyDescent="0.25">
      <c r="A210" t="s">
        <v>1404</v>
      </c>
      <c r="B210" s="4" t="s">
        <v>1190</v>
      </c>
      <c r="C210" s="3" t="s">
        <v>7</v>
      </c>
      <c r="G210" s="3" t="s">
        <v>1187</v>
      </c>
      <c r="I210" s="3" t="str">
        <f>IFERROR(VLOOKUP(C210,'Справочник соответствий'!A$2:D$2996,2,FALSE),IF(VALUE(C210)=0,1,VLOOKUP(C210,'Справочник соответствий'!A$2:D$2996,2,FALSE)))</f>
        <v>2</v>
      </c>
      <c r="J210" s="3">
        <f>IFERROR(VLOOKUP(D210,'Справочник соответствий'!A$2:D$2996,2,FALSE),IF(VALUE(D210)=0,0,VLOOKUP(D210,'Справочник соответствий'!A$2:D$2996,2,FALSE)))</f>
        <v>0</v>
      </c>
      <c r="K210" s="3" t="str">
        <f t="shared" si="21"/>
        <v>2</v>
      </c>
      <c r="L210" s="13" t="str">
        <f>IFERROR(VLOOKUP(C210,'Справочник соответствий'!A$2:D$2996,3,FALSE),IF(VALUE(C210)=0,"ЭТАЖ НЕ ОПРЕДЕЛЕН. ПРИНЯТ ПО ДОПУЩЕНИЮ 1",VLOOKUP(C210,'Справочник соответствий'!A$2:D$2996,3,FALSE)))</f>
        <v>ЭТАЖ ЗАДАН ЧИСЛОМ</v>
      </c>
      <c r="M210" s="13" t="b">
        <f t="shared" si="22"/>
        <v>0</v>
      </c>
      <c r="N210" s="13">
        <f t="shared" si="23"/>
        <v>2</v>
      </c>
      <c r="O210" s="13" t="str">
        <f t="shared" si="24"/>
        <v>ЭТАЖ ЗАДАН ЧИСЛОМ</v>
      </c>
      <c r="P210" s="13" t="str">
        <f t="shared" si="25"/>
        <v>ЭТАЖ ЗАДАН ЧИСЛОМ</v>
      </c>
      <c r="Q210" s="13" t="str">
        <f t="shared" si="26"/>
        <v>ГОТОВ_ИЗМЕНЕН</v>
      </c>
      <c r="R210" s="13">
        <f>IFERROR(VLOOKUP(P210,Лист1!A$1:B$20,2,FALSE),0)</f>
        <v>784</v>
      </c>
      <c r="S210" s="13">
        <f t="shared" si="27"/>
        <v>0</v>
      </c>
    </row>
    <row r="211" spans="1:19" x14ac:dyDescent="0.25">
      <c r="A211" t="s">
        <v>1405</v>
      </c>
      <c r="B211" s="4" t="s">
        <v>1190</v>
      </c>
      <c r="C211" s="3" t="s">
        <v>7</v>
      </c>
      <c r="G211" s="3" t="s">
        <v>1187</v>
      </c>
      <c r="I211" s="3" t="str">
        <f>IFERROR(VLOOKUP(C211,'Справочник соответствий'!A$2:D$2996,2,FALSE),IF(VALUE(C211)=0,1,VLOOKUP(C211,'Справочник соответствий'!A$2:D$2996,2,FALSE)))</f>
        <v>2</v>
      </c>
      <c r="J211" s="3">
        <f>IFERROR(VLOOKUP(D211,'Справочник соответствий'!A$2:D$2996,2,FALSE),IF(VALUE(D211)=0,0,VLOOKUP(D211,'Справочник соответствий'!A$2:D$2996,2,FALSE)))</f>
        <v>0</v>
      </c>
      <c r="K211" s="3" t="str">
        <f t="shared" si="21"/>
        <v>2</v>
      </c>
      <c r="L211" s="13" t="str">
        <f>IFERROR(VLOOKUP(C211,'Справочник соответствий'!A$2:D$2996,3,FALSE),IF(VALUE(C211)=0,"ЭТАЖ НЕ ОПРЕДЕЛЕН. ПРИНЯТ ПО ДОПУЩЕНИЮ 1",VLOOKUP(C211,'Справочник соответствий'!A$2:D$2996,3,FALSE)))</f>
        <v>ЭТАЖ ЗАДАН ЧИСЛОМ</v>
      </c>
      <c r="M211" s="13" t="b">
        <f t="shared" si="22"/>
        <v>0</v>
      </c>
      <c r="N211" s="13">
        <f t="shared" si="23"/>
        <v>2</v>
      </c>
      <c r="O211" s="13" t="str">
        <f t="shared" si="24"/>
        <v>ЭТАЖ ЗАДАН ЧИСЛОМ</v>
      </c>
      <c r="P211" s="13" t="str">
        <f t="shared" si="25"/>
        <v>ЭТАЖ ЗАДАН ЧИСЛОМ</v>
      </c>
      <c r="Q211" s="13" t="str">
        <f t="shared" si="26"/>
        <v>ГОТОВ_ИЗМЕНЕН</v>
      </c>
      <c r="R211" s="13">
        <f>IFERROR(VLOOKUP(P211,Лист1!A$1:B$20,2,FALSE),0)</f>
        <v>784</v>
      </c>
      <c r="S211" s="13">
        <f t="shared" si="27"/>
        <v>0</v>
      </c>
    </row>
    <row r="212" spans="1:19" x14ac:dyDescent="0.25">
      <c r="A212" t="s">
        <v>1406</v>
      </c>
      <c r="B212" s="4" t="s">
        <v>1190</v>
      </c>
      <c r="C212" s="3" t="s">
        <v>5</v>
      </c>
      <c r="D212" s="3" t="s">
        <v>1200</v>
      </c>
      <c r="E212" s="3" t="s">
        <v>5</v>
      </c>
      <c r="F212" t="s">
        <v>1045</v>
      </c>
      <c r="G212" s="3" t="s">
        <v>1183</v>
      </c>
      <c r="H212" s="7" t="s">
        <v>1184</v>
      </c>
      <c r="I212" s="3" t="str">
        <f>IFERROR(VLOOKUP(C212,'Справочник соответствий'!A$2:D$2996,2,FALSE),IF(VALUE(C212)=0,1,VLOOKUP(C212,'Справочник соответствий'!A$2:D$2996,2,FALSE)))</f>
        <v>1</v>
      </c>
      <c r="J212" s="3" t="e">
        <f>IFERROR(VLOOKUP(D212,'Справочник соответствий'!A$2:D$2996,2,FALSE),IF(VALUE(D212)=0,0,VLOOKUP(D212,'Справочник соответствий'!A$2:D$2996,2,FALSE)))</f>
        <v>#N/A</v>
      </c>
      <c r="K212" s="3" t="str">
        <f t="shared" si="21"/>
        <v>1</v>
      </c>
      <c r="L212" s="13" t="str">
        <f>IFERROR(VLOOKUP(C212,'Справочник соответствий'!A$2:D$2996,3,FALSE),IF(VALUE(C212)=0,"ЭТАЖ НЕ ОПРЕДЕЛЕН. ПРИНЯТ ПО ДОПУЩЕНИЮ 1",VLOOKUP(C212,'Справочник соответствий'!A$2:D$2996,3,FALSE)))</f>
        <v>ЭТАЖ ЗАДАН ЧИСЛОМ</v>
      </c>
      <c r="M212" s="13" t="b">
        <f t="shared" si="22"/>
        <v>1</v>
      </c>
      <c r="N212" s="13">
        <f t="shared" si="23"/>
        <v>1</v>
      </c>
      <c r="O212" s="13" t="str">
        <f t="shared" si="24"/>
        <v>ЭТАЖ ЗАДАН ЧИСЛОМ</v>
      </c>
      <c r="P212" s="13" t="str">
        <f t="shared" si="25"/>
        <v>ЭТАЖ ЗАДАН ЧИСЛОМ</v>
      </c>
      <c r="Q212" s="13" t="str">
        <f t="shared" si="26"/>
        <v>ГОТОВ</v>
      </c>
      <c r="R212" s="13">
        <f>IFERROR(VLOOKUP(P212,Лист1!A$1:B$20,2,FALSE),0)</f>
        <v>784</v>
      </c>
      <c r="S212" s="13">
        <f t="shared" si="27"/>
        <v>1</v>
      </c>
    </row>
    <row r="213" spans="1:19" x14ac:dyDescent="0.25">
      <c r="A213" t="s">
        <v>1407</v>
      </c>
      <c r="B213" s="4" t="s">
        <v>1190</v>
      </c>
      <c r="C213" s="3" t="s">
        <v>5</v>
      </c>
      <c r="G213" s="3" t="s">
        <v>1191</v>
      </c>
      <c r="I213" s="3" t="str">
        <f>IFERROR(VLOOKUP(C213,'Справочник соответствий'!A$2:D$2996,2,FALSE),IF(VALUE(C213)=0,1,VLOOKUP(C213,'Справочник соответствий'!A$2:D$2996,2,FALSE)))</f>
        <v>1</v>
      </c>
      <c r="J213" s="3">
        <f>IFERROR(VLOOKUP(D213,'Справочник соответствий'!A$2:D$2996,2,FALSE),IF(VALUE(D213)=0,0,VLOOKUP(D213,'Справочник соответствий'!A$2:D$2996,2,FALSE)))</f>
        <v>0</v>
      </c>
      <c r="K213" s="3" t="str">
        <f t="shared" si="21"/>
        <v>1</v>
      </c>
      <c r="L213" s="13" t="str">
        <f>IFERROR(VLOOKUP(C213,'Справочник соответствий'!A$2:D$2996,3,FALSE),IF(VALUE(C213)=0,"ЭТАЖ НЕ ОПРЕДЕЛЕН. ПРИНЯТ ПО ДОПУЩЕНИЮ 1",VLOOKUP(C213,'Справочник соответствий'!A$2:D$2996,3,FALSE)))</f>
        <v>ЭТАЖ ЗАДАН ЧИСЛОМ</v>
      </c>
      <c r="M213" s="13" t="b">
        <f t="shared" si="22"/>
        <v>0</v>
      </c>
      <c r="N213" s="13">
        <f t="shared" si="23"/>
        <v>1</v>
      </c>
      <c r="O213" s="13" t="str">
        <f t="shared" si="24"/>
        <v>ЭТАЖ ЗАДАН ЧИСЛОМ</v>
      </c>
      <c r="P213" s="13" t="str">
        <f t="shared" si="25"/>
        <v>ЭТАЖ ЗАДАН ЧИСЛОМ</v>
      </c>
      <c r="Q213" s="13" t="str">
        <f t="shared" si="26"/>
        <v>ГОТОВ_ИЗМЕНЕН</v>
      </c>
      <c r="R213" s="13">
        <f>IFERROR(VLOOKUP(P213,Лист1!A$1:B$20,2,FALSE),0)</f>
        <v>784</v>
      </c>
      <c r="S213" s="13">
        <f t="shared" si="27"/>
        <v>0</v>
      </c>
    </row>
    <row r="214" spans="1:19" x14ac:dyDescent="0.25">
      <c r="A214" t="s">
        <v>1408</v>
      </c>
      <c r="B214" s="4" t="s">
        <v>1190</v>
      </c>
      <c r="C214" s="3" t="s">
        <v>5</v>
      </c>
      <c r="G214" s="3" t="s">
        <v>1191</v>
      </c>
      <c r="I214" s="3" t="str">
        <f>IFERROR(VLOOKUP(C214,'Справочник соответствий'!A$2:D$2996,2,FALSE),IF(VALUE(C214)=0,1,VLOOKUP(C214,'Справочник соответствий'!A$2:D$2996,2,FALSE)))</f>
        <v>1</v>
      </c>
      <c r="J214" s="3">
        <f>IFERROR(VLOOKUP(D214,'Справочник соответствий'!A$2:D$2996,2,FALSE),IF(VALUE(D214)=0,0,VLOOKUP(D214,'Справочник соответствий'!A$2:D$2996,2,FALSE)))</f>
        <v>0</v>
      </c>
      <c r="K214" s="3" t="str">
        <f t="shared" si="21"/>
        <v>1</v>
      </c>
      <c r="L214" s="13" t="str">
        <f>IFERROR(VLOOKUP(C214,'Справочник соответствий'!A$2:D$2996,3,FALSE),IF(VALUE(C214)=0,"ЭТАЖ НЕ ОПРЕДЕЛЕН. ПРИНЯТ ПО ДОПУЩЕНИЮ 1",VLOOKUP(C214,'Справочник соответствий'!A$2:D$2996,3,FALSE)))</f>
        <v>ЭТАЖ ЗАДАН ЧИСЛОМ</v>
      </c>
      <c r="M214" s="13" t="b">
        <f t="shared" si="22"/>
        <v>0</v>
      </c>
      <c r="N214" s="13">
        <f t="shared" si="23"/>
        <v>1</v>
      </c>
      <c r="O214" s="13" t="str">
        <f t="shared" si="24"/>
        <v>ЭТАЖ ЗАДАН ЧИСЛОМ</v>
      </c>
      <c r="P214" s="13" t="str">
        <f t="shared" si="25"/>
        <v>ЭТАЖ ЗАДАН ЧИСЛОМ</v>
      </c>
      <c r="Q214" s="13" t="str">
        <f t="shared" si="26"/>
        <v>ГОТОВ_ИЗМЕНЕН</v>
      </c>
      <c r="R214" s="13">
        <f>IFERROR(VLOOKUP(P214,Лист1!A$1:B$20,2,FALSE),0)</f>
        <v>784</v>
      </c>
      <c r="S214" s="13">
        <f t="shared" si="27"/>
        <v>0</v>
      </c>
    </row>
    <row r="215" spans="1:19" x14ac:dyDescent="0.25">
      <c r="A215" t="s">
        <v>1409</v>
      </c>
      <c r="B215" s="4" t="s">
        <v>1190</v>
      </c>
      <c r="C215" s="3" t="s">
        <v>8</v>
      </c>
      <c r="D215" s="3" t="s">
        <v>5</v>
      </c>
      <c r="G215" s="3" t="s">
        <v>1191</v>
      </c>
      <c r="I215" s="3" t="str">
        <f>IFERROR(VLOOKUP(C215,'Справочник соответствий'!A$2:D$2996,2,FALSE),IF(VALUE(C215)=0,1,VLOOKUP(C215,'Справочник соответствий'!A$2:D$2996,2,FALSE)))</f>
        <v>3</v>
      </c>
      <c r="J215" s="3" t="str">
        <f>IFERROR(VLOOKUP(D215,'Справочник соответствий'!A$2:D$2996,2,FALSE),IF(VALUE(D215)=0,0,VLOOKUP(D215,'Справочник соответствий'!A$2:D$2996,2,FALSE)))</f>
        <v>1</v>
      </c>
      <c r="K215" s="3" t="str">
        <f t="shared" si="21"/>
        <v>3</v>
      </c>
      <c r="L215" s="13" t="str">
        <f>IFERROR(VLOOKUP(C215,'Справочник соответствий'!A$2:D$2996,3,FALSE),IF(VALUE(C215)=0,"ЭТАЖ НЕ ОПРЕДЕЛЕН. ПРИНЯТ ПО ДОПУЩЕНИЮ 1",VLOOKUP(C215,'Справочник соответствий'!A$2:D$2996,3,FALSE)))</f>
        <v>ЭТАЖ ЗАДАН ЧИСЛОМ</v>
      </c>
      <c r="M215" s="13" t="b">
        <f t="shared" si="22"/>
        <v>0</v>
      </c>
      <c r="N215" s="13">
        <f t="shared" si="23"/>
        <v>3</v>
      </c>
      <c r="O215" s="13" t="str">
        <f t="shared" si="24"/>
        <v>ЭТАЖ ЗАДАН ЧИСЛОМ</v>
      </c>
      <c r="P215" s="13" t="str">
        <f t="shared" si="25"/>
        <v>ЭТАЖ ЗАДАН ЧИСЛОМ</v>
      </c>
      <c r="Q215" s="13" t="str">
        <f t="shared" si="26"/>
        <v>ГОТОВ_ИЗМЕНЕН</v>
      </c>
      <c r="R215" s="13">
        <f>IFERROR(VLOOKUP(P215,Лист1!A$1:B$20,2,FALSE),0)</f>
        <v>784</v>
      </c>
      <c r="S215" s="13">
        <f t="shared" si="27"/>
        <v>0</v>
      </c>
    </row>
    <row r="216" spans="1:19" x14ac:dyDescent="0.25">
      <c r="A216" t="s">
        <v>1410</v>
      </c>
      <c r="B216" s="4" t="s">
        <v>1182</v>
      </c>
      <c r="C216" s="3" t="s">
        <v>5</v>
      </c>
      <c r="G216" s="3" t="s">
        <v>1191</v>
      </c>
      <c r="I216" s="3" t="str">
        <f>IFERROR(VLOOKUP(C216,'Справочник соответствий'!A$2:D$2996,2,FALSE),IF(VALUE(C216)=0,1,VLOOKUP(C216,'Справочник соответствий'!A$2:D$2996,2,FALSE)))</f>
        <v>1</v>
      </c>
      <c r="J216" s="3">
        <f>IFERROR(VLOOKUP(D216,'Справочник соответствий'!A$2:D$2996,2,FALSE),IF(VALUE(D216)=0,0,VLOOKUP(D216,'Справочник соответствий'!A$2:D$2996,2,FALSE)))</f>
        <v>0</v>
      </c>
      <c r="K216" s="3" t="str">
        <f t="shared" si="21"/>
        <v>1</v>
      </c>
      <c r="L216" s="13" t="str">
        <f>IFERROR(VLOOKUP(C216,'Справочник соответствий'!A$2:D$2996,3,FALSE),IF(VALUE(C216)=0,"ЭТАЖ НЕ ОПРЕДЕЛЕН. ПРИНЯТ ПО ДОПУЩЕНИЮ 1",VLOOKUP(C216,'Справочник соответствий'!A$2:D$2996,3,FALSE)))</f>
        <v>ЭТАЖ ЗАДАН ЧИСЛОМ</v>
      </c>
      <c r="M216" s="13" t="b">
        <f t="shared" si="22"/>
        <v>0</v>
      </c>
      <c r="N216" s="13">
        <f t="shared" si="23"/>
        <v>1</v>
      </c>
      <c r="O216" s="13" t="str">
        <f t="shared" si="24"/>
        <v>ЭТАЖ ЗАДАН ЧИСЛОМ</v>
      </c>
      <c r="P216" s="13" t="str">
        <f t="shared" si="25"/>
        <v>ЭТАЖ ЗАДАН ЧИСЛОМ</v>
      </c>
      <c r="Q216" s="13" t="str">
        <f t="shared" si="26"/>
        <v>ГОТОВ_ИЗМЕНЕН</v>
      </c>
      <c r="R216" s="13">
        <f>IFERROR(VLOOKUP(P216,Лист1!A$1:B$20,2,FALSE),0)</f>
        <v>784</v>
      </c>
      <c r="S216" s="13">
        <f t="shared" si="27"/>
        <v>0</v>
      </c>
    </row>
    <row r="217" spans="1:19" x14ac:dyDescent="0.25">
      <c r="A217" t="s">
        <v>1411</v>
      </c>
      <c r="B217" s="4" t="s">
        <v>1190</v>
      </c>
      <c r="C217" s="3" t="s">
        <v>7</v>
      </c>
      <c r="G217" s="3" t="s">
        <v>1191</v>
      </c>
      <c r="I217" s="3" t="str">
        <f>IFERROR(VLOOKUP(C217,'Справочник соответствий'!A$2:D$2996,2,FALSE),IF(VALUE(C217)=0,1,VLOOKUP(C217,'Справочник соответствий'!A$2:D$2996,2,FALSE)))</f>
        <v>2</v>
      </c>
      <c r="J217" s="3">
        <f>IFERROR(VLOOKUP(D217,'Справочник соответствий'!A$2:D$2996,2,FALSE),IF(VALUE(D217)=0,0,VLOOKUP(D217,'Справочник соответствий'!A$2:D$2996,2,FALSE)))</f>
        <v>0</v>
      </c>
      <c r="K217" s="3" t="str">
        <f t="shared" si="21"/>
        <v>2</v>
      </c>
      <c r="L217" s="13" t="str">
        <f>IFERROR(VLOOKUP(C217,'Справочник соответствий'!A$2:D$2996,3,FALSE),IF(VALUE(C217)=0,"ЭТАЖ НЕ ОПРЕДЕЛЕН. ПРИНЯТ ПО ДОПУЩЕНИЮ 1",VLOOKUP(C217,'Справочник соответствий'!A$2:D$2996,3,FALSE)))</f>
        <v>ЭТАЖ ЗАДАН ЧИСЛОМ</v>
      </c>
      <c r="M217" s="13" t="b">
        <f t="shared" si="22"/>
        <v>0</v>
      </c>
      <c r="N217" s="13">
        <f t="shared" si="23"/>
        <v>2</v>
      </c>
      <c r="O217" s="13" t="str">
        <f t="shared" si="24"/>
        <v>ЭТАЖ ЗАДАН ЧИСЛОМ</v>
      </c>
      <c r="P217" s="13" t="str">
        <f t="shared" si="25"/>
        <v>ЭТАЖ ЗАДАН ЧИСЛОМ</v>
      </c>
      <c r="Q217" s="13" t="str">
        <f t="shared" si="26"/>
        <v>ГОТОВ_ИЗМЕНЕН</v>
      </c>
      <c r="R217" s="13">
        <f>IFERROR(VLOOKUP(P217,Лист1!A$1:B$20,2,FALSE),0)</f>
        <v>784</v>
      </c>
      <c r="S217" s="13">
        <f t="shared" si="27"/>
        <v>0</v>
      </c>
    </row>
    <row r="218" spans="1:19" x14ac:dyDescent="0.25">
      <c r="A218" t="s">
        <v>1412</v>
      </c>
      <c r="B218" s="4" t="s">
        <v>1190</v>
      </c>
      <c r="C218" s="3" t="s">
        <v>5</v>
      </c>
      <c r="G218" s="3" t="s">
        <v>1191</v>
      </c>
      <c r="I218" s="3" t="str">
        <f>IFERROR(VLOOKUP(C218,'Справочник соответствий'!A$2:D$2996,2,FALSE),IF(VALUE(C218)=0,1,VLOOKUP(C218,'Справочник соответствий'!A$2:D$2996,2,FALSE)))</f>
        <v>1</v>
      </c>
      <c r="J218" s="3">
        <f>IFERROR(VLOOKUP(D218,'Справочник соответствий'!A$2:D$2996,2,FALSE),IF(VALUE(D218)=0,0,VLOOKUP(D218,'Справочник соответствий'!A$2:D$2996,2,FALSE)))</f>
        <v>0</v>
      </c>
      <c r="K218" s="3" t="str">
        <f t="shared" si="21"/>
        <v>1</v>
      </c>
      <c r="L218" s="13" t="str">
        <f>IFERROR(VLOOKUP(C218,'Справочник соответствий'!A$2:D$2996,3,FALSE),IF(VALUE(C218)=0,"ЭТАЖ НЕ ОПРЕДЕЛЕН. ПРИНЯТ ПО ДОПУЩЕНИЮ 1",VLOOKUP(C218,'Справочник соответствий'!A$2:D$2996,3,FALSE)))</f>
        <v>ЭТАЖ ЗАДАН ЧИСЛОМ</v>
      </c>
      <c r="M218" s="13" t="b">
        <f t="shared" si="22"/>
        <v>0</v>
      </c>
      <c r="N218" s="13">
        <f t="shared" si="23"/>
        <v>1</v>
      </c>
      <c r="O218" s="13" t="str">
        <f t="shared" si="24"/>
        <v>ЭТАЖ ЗАДАН ЧИСЛОМ</v>
      </c>
      <c r="P218" s="13" t="str">
        <f t="shared" si="25"/>
        <v>ЭТАЖ ЗАДАН ЧИСЛОМ</v>
      </c>
      <c r="Q218" s="13" t="str">
        <f t="shared" si="26"/>
        <v>ГОТОВ_ИЗМЕНЕН</v>
      </c>
      <c r="R218" s="13">
        <f>IFERROR(VLOOKUP(P218,Лист1!A$1:B$20,2,FALSE),0)</f>
        <v>784</v>
      </c>
      <c r="S218" s="13">
        <f t="shared" si="27"/>
        <v>0</v>
      </c>
    </row>
    <row r="219" spans="1:19" x14ac:dyDescent="0.25">
      <c r="A219" t="s">
        <v>1413</v>
      </c>
      <c r="B219" s="4" t="s">
        <v>1190</v>
      </c>
      <c r="C219" s="3" t="s">
        <v>7</v>
      </c>
      <c r="G219" s="3" t="s">
        <v>1183</v>
      </c>
      <c r="I219" s="3" t="str">
        <f>IFERROR(VLOOKUP(C219,'Справочник соответствий'!A$2:D$2996,2,FALSE),IF(VALUE(C219)=0,1,VLOOKUP(C219,'Справочник соответствий'!A$2:D$2996,2,FALSE)))</f>
        <v>2</v>
      </c>
      <c r="J219" s="3">
        <f>IFERROR(VLOOKUP(D219,'Справочник соответствий'!A$2:D$2996,2,FALSE),IF(VALUE(D219)=0,0,VLOOKUP(D219,'Справочник соответствий'!A$2:D$2996,2,FALSE)))</f>
        <v>0</v>
      </c>
      <c r="K219" s="3" t="str">
        <f t="shared" si="21"/>
        <v>2</v>
      </c>
      <c r="L219" s="13" t="str">
        <f>IFERROR(VLOOKUP(C219,'Справочник соответствий'!A$2:D$2996,3,FALSE),IF(VALUE(C219)=0,"ЭТАЖ НЕ ОПРЕДЕЛЕН. ПРИНЯТ ПО ДОПУЩЕНИЮ 1",VLOOKUP(C219,'Справочник соответствий'!A$2:D$2996,3,FALSE)))</f>
        <v>ЭТАЖ ЗАДАН ЧИСЛОМ</v>
      </c>
      <c r="M219" s="13" t="b">
        <f t="shared" si="22"/>
        <v>0</v>
      </c>
      <c r="N219" s="13">
        <f t="shared" si="23"/>
        <v>2</v>
      </c>
      <c r="O219" s="13" t="str">
        <f t="shared" si="24"/>
        <v>ЭТАЖ ЗАДАН ЧИСЛОМ</v>
      </c>
      <c r="P219" s="13" t="str">
        <f t="shared" si="25"/>
        <v>ЭТАЖ ЗАДАН ЧИСЛОМ</v>
      </c>
      <c r="Q219" s="13" t="str">
        <f t="shared" si="26"/>
        <v>ГОТОВ_ИЗМЕНЕН</v>
      </c>
      <c r="R219" s="13">
        <f>IFERROR(VLOOKUP(P219,Лист1!A$1:B$20,2,FALSE),0)</f>
        <v>784</v>
      </c>
      <c r="S219" s="13">
        <f t="shared" si="27"/>
        <v>0</v>
      </c>
    </row>
    <row r="220" spans="1:19" x14ac:dyDescent="0.25">
      <c r="A220" t="s">
        <v>1414</v>
      </c>
      <c r="B220" s="4" t="s">
        <v>1182</v>
      </c>
      <c r="C220" s="3" t="s">
        <v>5</v>
      </c>
      <c r="G220" s="3" t="s">
        <v>1183</v>
      </c>
      <c r="I220" s="3" t="str">
        <f>IFERROR(VLOOKUP(C220,'Справочник соответствий'!A$2:D$2996,2,FALSE),IF(VALUE(C220)=0,1,VLOOKUP(C220,'Справочник соответствий'!A$2:D$2996,2,FALSE)))</f>
        <v>1</v>
      </c>
      <c r="J220" s="3">
        <f>IFERROR(VLOOKUP(D220,'Справочник соответствий'!A$2:D$2996,2,FALSE),IF(VALUE(D220)=0,0,VLOOKUP(D220,'Справочник соответствий'!A$2:D$2996,2,FALSE)))</f>
        <v>0</v>
      </c>
      <c r="K220" s="3" t="str">
        <f t="shared" si="21"/>
        <v>1</v>
      </c>
      <c r="L220" s="13" t="str">
        <f>IFERROR(VLOOKUP(C220,'Справочник соответствий'!A$2:D$2996,3,FALSE),IF(VALUE(C220)=0,"ЭТАЖ НЕ ОПРЕДЕЛЕН. ПРИНЯТ ПО ДОПУЩЕНИЮ 1",VLOOKUP(C220,'Справочник соответствий'!A$2:D$2996,3,FALSE)))</f>
        <v>ЭТАЖ ЗАДАН ЧИСЛОМ</v>
      </c>
      <c r="M220" s="13" t="b">
        <f t="shared" si="22"/>
        <v>0</v>
      </c>
      <c r="N220" s="13">
        <f t="shared" si="23"/>
        <v>1</v>
      </c>
      <c r="O220" s="13" t="str">
        <f t="shared" si="24"/>
        <v>ЭТАЖ ЗАДАН ЧИСЛОМ</v>
      </c>
      <c r="P220" s="13" t="str">
        <f t="shared" si="25"/>
        <v>ЭТАЖ ЗАДАН ЧИСЛОМ</v>
      </c>
      <c r="Q220" s="13" t="str">
        <f t="shared" si="26"/>
        <v>ГОТОВ_ИЗМЕНЕН</v>
      </c>
      <c r="R220" s="13">
        <f>IFERROR(VLOOKUP(P220,Лист1!A$1:B$20,2,FALSE),0)</f>
        <v>784</v>
      </c>
      <c r="S220" s="13">
        <f t="shared" si="27"/>
        <v>0</v>
      </c>
    </row>
    <row r="221" spans="1:19" x14ac:dyDescent="0.25">
      <c r="A221" t="s">
        <v>1415</v>
      </c>
      <c r="B221" s="4" t="s">
        <v>1190</v>
      </c>
      <c r="C221" s="3" t="s">
        <v>7</v>
      </c>
      <c r="G221" s="3" t="s">
        <v>1183</v>
      </c>
      <c r="I221" s="3" t="str">
        <f>IFERROR(VLOOKUP(C221,'Справочник соответствий'!A$2:D$2996,2,FALSE),IF(VALUE(C221)=0,1,VLOOKUP(C221,'Справочник соответствий'!A$2:D$2996,2,FALSE)))</f>
        <v>2</v>
      </c>
      <c r="J221" s="3">
        <f>IFERROR(VLOOKUP(D221,'Справочник соответствий'!A$2:D$2996,2,FALSE),IF(VALUE(D221)=0,0,VLOOKUP(D221,'Справочник соответствий'!A$2:D$2996,2,FALSE)))</f>
        <v>0</v>
      </c>
      <c r="K221" s="3" t="str">
        <f t="shared" si="21"/>
        <v>2</v>
      </c>
      <c r="L221" s="13" t="str">
        <f>IFERROR(VLOOKUP(C221,'Справочник соответствий'!A$2:D$2996,3,FALSE),IF(VALUE(C221)=0,"ЭТАЖ НЕ ОПРЕДЕЛЕН. ПРИНЯТ ПО ДОПУЩЕНИЮ 1",VLOOKUP(C221,'Справочник соответствий'!A$2:D$2996,3,FALSE)))</f>
        <v>ЭТАЖ ЗАДАН ЧИСЛОМ</v>
      </c>
      <c r="M221" s="13" t="b">
        <f t="shared" si="22"/>
        <v>0</v>
      </c>
      <c r="N221" s="13">
        <f t="shared" si="23"/>
        <v>2</v>
      </c>
      <c r="O221" s="13" t="str">
        <f t="shared" si="24"/>
        <v>ЭТАЖ ЗАДАН ЧИСЛОМ</v>
      </c>
      <c r="P221" s="13" t="str">
        <f t="shared" si="25"/>
        <v>ЭТАЖ ЗАДАН ЧИСЛОМ</v>
      </c>
      <c r="Q221" s="13" t="str">
        <f t="shared" si="26"/>
        <v>ГОТОВ_ИЗМЕНЕН</v>
      </c>
      <c r="R221" s="13">
        <f>IFERROR(VLOOKUP(P221,Лист1!A$1:B$20,2,FALSE),0)</f>
        <v>784</v>
      </c>
      <c r="S221" s="13">
        <f t="shared" si="27"/>
        <v>0</v>
      </c>
    </row>
    <row r="222" spans="1:19" x14ac:dyDescent="0.25">
      <c r="A222" t="s">
        <v>1416</v>
      </c>
      <c r="B222" s="4" t="s">
        <v>1190</v>
      </c>
      <c r="C222" s="3" t="s">
        <v>5</v>
      </c>
      <c r="G222" s="3" t="s">
        <v>1183</v>
      </c>
      <c r="I222" s="3" t="str">
        <f>IFERROR(VLOOKUP(C222,'Справочник соответствий'!A$2:D$2996,2,FALSE),IF(VALUE(C222)=0,1,VLOOKUP(C222,'Справочник соответствий'!A$2:D$2996,2,FALSE)))</f>
        <v>1</v>
      </c>
      <c r="J222" s="3">
        <f>IFERROR(VLOOKUP(D222,'Справочник соответствий'!A$2:D$2996,2,FALSE),IF(VALUE(D222)=0,0,VLOOKUP(D222,'Справочник соответствий'!A$2:D$2996,2,FALSE)))</f>
        <v>0</v>
      </c>
      <c r="K222" s="3" t="str">
        <f t="shared" si="21"/>
        <v>1</v>
      </c>
      <c r="L222" s="13" t="str">
        <f>IFERROR(VLOOKUP(C222,'Справочник соответствий'!A$2:D$2996,3,FALSE),IF(VALUE(C222)=0,"ЭТАЖ НЕ ОПРЕДЕЛЕН. ПРИНЯТ ПО ДОПУЩЕНИЮ 1",VLOOKUP(C222,'Справочник соответствий'!A$2:D$2996,3,FALSE)))</f>
        <v>ЭТАЖ ЗАДАН ЧИСЛОМ</v>
      </c>
      <c r="M222" s="13" t="b">
        <f t="shared" si="22"/>
        <v>0</v>
      </c>
      <c r="N222" s="13">
        <f t="shared" si="23"/>
        <v>1</v>
      </c>
      <c r="O222" s="13" t="str">
        <f t="shared" si="24"/>
        <v>ЭТАЖ ЗАДАН ЧИСЛОМ</v>
      </c>
      <c r="P222" s="13" t="str">
        <f t="shared" si="25"/>
        <v>ЭТАЖ ЗАДАН ЧИСЛОМ</v>
      </c>
      <c r="Q222" s="13" t="str">
        <f t="shared" si="26"/>
        <v>ГОТОВ_ИЗМЕНЕН</v>
      </c>
      <c r="R222" s="13">
        <f>IFERROR(VLOOKUP(P222,Лист1!A$1:B$20,2,FALSE),0)</f>
        <v>784</v>
      </c>
      <c r="S222" s="13">
        <f t="shared" si="27"/>
        <v>0</v>
      </c>
    </row>
    <row r="223" spans="1:19" x14ac:dyDescent="0.25">
      <c r="A223" t="s">
        <v>1417</v>
      </c>
      <c r="B223" s="4" t="s">
        <v>1190</v>
      </c>
      <c r="C223" s="3" t="s">
        <v>7</v>
      </c>
      <c r="G223" s="3" t="s">
        <v>1183</v>
      </c>
      <c r="I223" s="3" t="str">
        <f>IFERROR(VLOOKUP(C223,'Справочник соответствий'!A$2:D$2996,2,FALSE),IF(VALUE(C223)=0,1,VLOOKUP(C223,'Справочник соответствий'!A$2:D$2996,2,FALSE)))</f>
        <v>2</v>
      </c>
      <c r="J223" s="3">
        <f>IFERROR(VLOOKUP(D223,'Справочник соответствий'!A$2:D$2996,2,FALSE),IF(VALUE(D223)=0,0,VLOOKUP(D223,'Справочник соответствий'!A$2:D$2996,2,FALSE)))</f>
        <v>0</v>
      </c>
      <c r="K223" s="3" t="str">
        <f t="shared" si="21"/>
        <v>2</v>
      </c>
      <c r="L223" s="13" t="str">
        <f>IFERROR(VLOOKUP(C223,'Справочник соответствий'!A$2:D$2996,3,FALSE),IF(VALUE(C223)=0,"ЭТАЖ НЕ ОПРЕДЕЛЕН. ПРИНЯТ ПО ДОПУЩЕНИЮ 1",VLOOKUP(C223,'Справочник соответствий'!A$2:D$2996,3,FALSE)))</f>
        <v>ЭТАЖ ЗАДАН ЧИСЛОМ</v>
      </c>
      <c r="M223" s="13" t="b">
        <f t="shared" si="22"/>
        <v>0</v>
      </c>
      <c r="N223" s="13">
        <f t="shared" si="23"/>
        <v>2</v>
      </c>
      <c r="O223" s="13" t="str">
        <f t="shared" si="24"/>
        <v>ЭТАЖ ЗАДАН ЧИСЛОМ</v>
      </c>
      <c r="P223" s="13" t="str">
        <f t="shared" si="25"/>
        <v>ЭТАЖ ЗАДАН ЧИСЛОМ</v>
      </c>
      <c r="Q223" s="13" t="str">
        <f t="shared" si="26"/>
        <v>ГОТОВ_ИЗМЕНЕН</v>
      </c>
      <c r="R223" s="13">
        <f>IFERROR(VLOOKUP(P223,Лист1!A$1:B$20,2,FALSE),0)</f>
        <v>784</v>
      </c>
      <c r="S223" s="13">
        <f t="shared" si="27"/>
        <v>0</v>
      </c>
    </row>
    <row r="224" spans="1:19" x14ac:dyDescent="0.25">
      <c r="A224" t="s">
        <v>1418</v>
      </c>
      <c r="B224" s="4" t="s">
        <v>1190</v>
      </c>
      <c r="C224" s="3" t="s">
        <v>5</v>
      </c>
      <c r="G224" s="3" t="s">
        <v>1198</v>
      </c>
      <c r="I224" s="3" t="str">
        <f>IFERROR(VLOOKUP(C224,'Справочник соответствий'!A$2:D$2996,2,FALSE),IF(VALUE(C224)=0,1,VLOOKUP(C224,'Справочник соответствий'!A$2:D$2996,2,FALSE)))</f>
        <v>1</v>
      </c>
      <c r="J224" s="3">
        <f>IFERROR(VLOOKUP(D224,'Справочник соответствий'!A$2:D$2996,2,FALSE),IF(VALUE(D224)=0,0,VLOOKUP(D224,'Справочник соответствий'!A$2:D$2996,2,FALSE)))</f>
        <v>0</v>
      </c>
      <c r="K224" s="3" t="str">
        <f t="shared" si="21"/>
        <v>1</v>
      </c>
      <c r="L224" s="13" t="str">
        <f>IFERROR(VLOOKUP(C224,'Справочник соответствий'!A$2:D$2996,3,FALSE),IF(VALUE(C224)=0,"ЭТАЖ НЕ ОПРЕДЕЛЕН. ПРИНЯТ ПО ДОПУЩЕНИЮ 1",VLOOKUP(C224,'Справочник соответствий'!A$2:D$2996,3,FALSE)))</f>
        <v>ЭТАЖ ЗАДАН ЧИСЛОМ</v>
      </c>
      <c r="M224" s="13" t="b">
        <f t="shared" si="22"/>
        <v>0</v>
      </c>
      <c r="N224" s="13">
        <f t="shared" si="23"/>
        <v>1</v>
      </c>
      <c r="O224" s="13" t="str">
        <f t="shared" si="24"/>
        <v>ЭТАЖ ЗАДАН ЧИСЛОМ</v>
      </c>
      <c r="P224" s="13" t="str">
        <f t="shared" si="25"/>
        <v>ЭТАЖ ЗАДАН ЧИСЛОМ</v>
      </c>
      <c r="Q224" s="13" t="str">
        <f t="shared" si="26"/>
        <v>ГОТОВ_ИЗМЕНЕН</v>
      </c>
      <c r="R224" s="13">
        <f>IFERROR(VLOOKUP(P224,Лист1!A$1:B$20,2,FALSE),0)</f>
        <v>784</v>
      </c>
      <c r="S224" s="13">
        <f t="shared" si="27"/>
        <v>0</v>
      </c>
    </row>
    <row r="225" spans="1:19" x14ac:dyDescent="0.25">
      <c r="A225" t="s">
        <v>1419</v>
      </c>
      <c r="B225" s="4" t="s">
        <v>1190</v>
      </c>
      <c r="C225" s="3" t="s">
        <v>5</v>
      </c>
      <c r="G225" s="3" t="s">
        <v>1198</v>
      </c>
      <c r="I225" s="3" t="str">
        <f>IFERROR(VLOOKUP(C225,'Справочник соответствий'!A$2:D$2996,2,FALSE),IF(VALUE(C225)=0,1,VLOOKUP(C225,'Справочник соответствий'!A$2:D$2996,2,FALSE)))</f>
        <v>1</v>
      </c>
      <c r="J225" s="3">
        <f>IFERROR(VLOOKUP(D225,'Справочник соответствий'!A$2:D$2996,2,FALSE),IF(VALUE(D225)=0,0,VLOOKUP(D225,'Справочник соответствий'!A$2:D$2996,2,FALSE)))</f>
        <v>0</v>
      </c>
      <c r="K225" s="3" t="str">
        <f t="shared" si="21"/>
        <v>1</v>
      </c>
      <c r="L225" s="13" t="str">
        <f>IFERROR(VLOOKUP(C225,'Справочник соответствий'!A$2:D$2996,3,FALSE),IF(VALUE(C225)=0,"ЭТАЖ НЕ ОПРЕДЕЛЕН. ПРИНЯТ ПО ДОПУЩЕНИЮ 1",VLOOKUP(C225,'Справочник соответствий'!A$2:D$2996,3,FALSE)))</f>
        <v>ЭТАЖ ЗАДАН ЧИСЛОМ</v>
      </c>
      <c r="M225" s="13" t="b">
        <f t="shared" si="22"/>
        <v>0</v>
      </c>
      <c r="N225" s="13">
        <f t="shared" si="23"/>
        <v>1</v>
      </c>
      <c r="O225" s="13" t="str">
        <f t="shared" si="24"/>
        <v>ЭТАЖ ЗАДАН ЧИСЛОМ</v>
      </c>
      <c r="P225" s="13" t="str">
        <f t="shared" si="25"/>
        <v>ЭТАЖ ЗАДАН ЧИСЛОМ</v>
      </c>
      <c r="Q225" s="13" t="str">
        <f t="shared" si="26"/>
        <v>ГОТОВ_ИЗМЕНЕН</v>
      </c>
      <c r="R225" s="13">
        <f>IFERROR(VLOOKUP(P225,Лист1!A$1:B$20,2,FALSE),0)</f>
        <v>784</v>
      </c>
      <c r="S225" s="13">
        <f t="shared" si="27"/>
        <v>0</v>
      </c>
    </row>
    <row r="226" spans="1:19" x14ac:dyDescent="0.25">
      <c r="A226" t="s">
        <v>1420</v>
      </c>
      <c r="B226" s="4" t="s">
        <v>1190</v>
      </c>
      <c r="G226" s="3" t="s">
        <v>1198</v>
      </c>
      <c r="I226" s="3">
        <f>IFERROR(VLOOKUP(C226,'Справочник соответствий'!A$2:D$2996,2,FALSE),IF(VALUE(C226)=0,1,VLOOKUP(C226,'Справочник соответствий'!A$2:D$2996,2,FALSE)))</f>
        <v>1</v>
      </c>
      <c r="J226" s="3">
        <f>IFERROR(VLOOKUP(D226,'Справочник соответствий'!A$2:D$2996,2,FALSE),IF(VALUE(D226)=0,0,VLOOKUP(D226,'Справочник соответствий'!A$2:D$2996,2,FALSE)))</f>
        <v>0</v>
      </c>
      <c r="K226" s="3">
        <f t="shared" si="21"/>
        <v>1</v>
      </c>
      <c r="L226" s="13" t="str">
        <f>IFERROR(VLOOKUP(C226,'Справочник соответствий'!A$2:D$2996,3,FALSE),IF(VALUE(C226)=0,"ЭТАЖ НЕ ОПРЕДЕЛЕН. ПРИНЯТ ПО ДОПУЩЕНИЮ 1",VLOOKUP(C226,'Справочник соответствий'!A$2:D$2996,3,FALSE)))</f>
        <v>ЭТАЖ НЕ ОПРЕДЕЛЕН. ПРИНЯТ ПО ДОПУЩЕНИЮ 1</v>
      </c>
      <c r="M226" s="13" t="b">
        <f t="shared" si="22"/>
        <v>0</v>
      </c>
      <c r="N226" s="13">
        <f t="shared" si="23"/>
        <v>1</v>
      </c>
      <c r="O226" s="13" t="str">
        <f t="shared" si="24"/>
        <v>ЭТАЖ НЕ ОПРЕДЕЛЕН. ПРИНЯТ ПО ДОПУЩЕНИЮ 1</v>
      </c>
      <c r="P226" s="13" t="str">
        <f t="shared" si="25"/>
        <v>ЭТАЖ НЕ ОПРЕДЕЛЕН. ПРИНЯТ ПО ДОПУЩЕНИЮ 1</v>
      </c>
      <c r="Q226" s="13" t="str">
        <f t="shared" si="26"/>
        <v>ГОТОВ_ИЗМЕНЕН</v>
      </c>
      <c r="R226" s="13">
        <f>IFERROR(VLOOKUP(P226,Лист1!A$1:B$20,2,FALSE),0)</f>
        <v>788</v>
      </c>
      <c r="S226" s="13">
        <f t="shared" si="27"/>
        <v>0</v>
      </c>
    </row>
    <row r="227" spans="1:19" x14ac:dyDescent="0.25">
      <c r="A227" t="s">
        <v>1421</v>
      </c>
      <c r="B227" s="4" t="s">
        <v>1190</v>
      </c>
      <c r="C227" s="3" t="s">
        <v>5</v>
      </c>
      <c r="G227" s="3" t="s">
        <v>1198</v>
      </c>
      <c r="I227" s="3" t="str">
        <f>IFERROR(VLOOKUP(C227,'Справочник соответствий'!A$2:D$2996,2,FALSE),IF(VALUE(C227)=0,1,VLOOKUP(C227,'Справочник соответствий'!A$2:D$2996,2,FALSE)))</f>
        <v>1</v>
      </c>
      <c r="J227" s="3">
        <f>IFERROR(VLOOKUP(D227,'Справочник соответствий'!A$2:D$2996,2,FALSE),IF(VALUE(D227)=0,0,VLOOKUP(D227,'Справочник соответствий'!A$2:D$2996,2,FALSE)))</f>
        <v>0</v>
      </c>
      <c r="K227" s="3" t="str">
        <f t="shared" si="21"/>
        <v>1</v>
      </c>
      <c r="L227" s="13" t="str">
        <f>IFERROR(VLOOKUP(C227,'Справочник соответствий'!A$2:D$2996,3,FALSE),IF(VALUE(C227)=0,"ЭТАЖ НЕ ОПРЕДЕЛЕН. ПРИНЯТ ПО ДОПУЩЕНИЮ 1",VLOOKUP(C227,'Справочник соответствий'!A$2:D$2996,3,FALSE)))</f>
        <v>ЭТАЖ ЗАДАН ЧИСЛОМ</v>
      </c>
      <c r="M227" s="13" t="b">
        <f t="shared" si="22"/>
        <v>0</v>
      </c>
      <c r="N227" s="13">
        <f t="shared" si="23"/>
        <v>1</v>
      </c>
      <c r="O227" s="13" t="str">
        <f t="shared" si="24"/>
        <v>ЭТАЖ ЗАДАН ЧИСЛОМ</v>
      </c>
      <c r="P227" s="13" t="str">
        <f t="shared" si="25"/>
        <v>ЭТАЖ ЗАДАН ЧИСЛОМ</v>
      </c>
      <c r="Q227" s="13" t="str">
        <f t="shared" si="26"/>
        <v>ГОТОВ_ИЗМЕНЕН</v>
      </c>
      <c r="R227" s="13">
        <f>IFERROR(VLOOKUP(P227,Лист1!A$1:B$20,2,FALSE),0)</f>
        <v>784</v>
      </c>
      <c r="S227" s="13">
        <f t="shared" si="27"/>
        <v>0</v>
      </c>
    </row>
    <row r="228" spans="1:19" x14ac:dyDescent="0.25">
      <c r="A228" t="s">
        <v>1422</v>
      </c>
      <c r="B228" s="4" t="s">
        <v>1182</v>
      </c>
      <c r="C228" s="3" t="s">
        <v>5</v>
      </c>
      <c r="G228" s="3" t="s">
        <v>1198</v>
      </c>
      <c r="I228" s="3" t="str">
        <f>IFERROR(VLOOKUP(C228,'Справочник соответствий'!A$2:D$2996,2,FALSE),IF(VALUE(C228)=0,1,VLOOKUP(C228,'Справочник соответствий'!A$2:D$2996,2,FALSE)))</f>
        <v>1</v>
      </c>
      <c r="J228" s="3">
        <f>IFERROR(VLOOKUP(D228,'Справочник соответствий'!A$2:D$2996,2,FALSE),IF(VALUE(D228)=0,0,VLOOKUP(D228,'Справочник соответствий'!A$2:D$2996,2,FALSE)))</f>
        <v>0</v>
      </c>
      <c r="K228" s="3" t="str">
        <f t="shared" si="21"/>
        <v>1</v>
      </c>
      <c r="L228" s="13" t="str">
        <f>IFERROR(VLOOKUP(C228,'Справочник соответствий'!A$2:D$2996,3,FALSE),IF(VALUE(C228)=0,"ЭТАЖ НЕ ОПРЕДЕЛЕН. ПРИНЯТ ПО ДОПУЩЕНИЮ 1",VLOOKUP(C228,'Справочник соответствий'!A$2:D$2996,3,FALSE)))</f>
        <v>ЭТАЖ ЗАДАН ЧИСЛОМ</v>
      </c>
      <c r="M228" s="13" t="b">
        <f t="shared" si="22"/>
        <v>0</v>
      </c>
      <c r="N228" s="13">
        <f t="shared" si="23"/>
        <v>1</v>
      </c>
      <c r="O228" s="13" t="str">
        <f t="shared" si="24"/>
        <v>ЭТАЖ ЗАДАН ЧИСЛОМ</v>
      </c>
      <c r="P228" s="13" t="str">
        <f t="shared" si="25"/>
        <v>ЭТАЖ ЗАДАН ЧИСЛОМ</v>
      </c>
      <c r="Q228" s="13" t="str">
        <f t="shared" si="26"/>
        <v>ГОТОВ_ИЗМЕНЕН</v>
      </c>
      <c r="R228" s="13">
        <f>IFERROR(VLOOKUP(P228,Лист1!A$1:B$20,2,FALSE),0)</f>
        <v>784</v>
      </c>
      <c r="S228" s="13">
        <f t="shared" si="27"/>
        <v>0</v>
      </c>
    </row>
    <row r="229" spans="1:19" x14ac:dyDescent="0.25">
      <c r="A229" t="s">
        <v>1423</v>
      </c>
      <c r="B229" s="4" t="s">
        <v>1190</v>
      </c>
      <c r="C229" s="3" t="s">
        <v>8</v>
      </c>
      <c r="D229" s="3" t="s">
        <v>5</v>
      </c>
      <c r="G229" s="3" t="s">
        <v>1224</v>
      </c>
      <c r="I229" s="3" t="str">
        <f>IFERROR(VLOOKUP(C229,'Справочник соответствий'!A$2:D$2996,2,FALSE),IF(VALUE(C229)=0,1,VLOOKUP(C229,'Справочник соответствий'!A$2:D$2996,2,FALSE)))</f>
        <v>3</v>
      </c>
      <c r="J229" s="3" t="str">
        <f>IFERROR(VLOOKUP(D229,'Справочник соответствий'!A$2:D$2996,2,FALSE),IF(VALUE(D229)=0,0,VLOOKUP(D229,'Справочник соответствий'!A$2:D$2996,2,FALSE)))</f>
        <v>1</v>
      </c>
      <c r="K229" s="3" t="str">
        <f t="shared" si="21"/>
        <v>3</v>
      </c>
      <c r="L229" s="13" t="str">
        <f>IFERROR(VLOOKUP(C229,'Справочник соответствий'!A$2:D$2996,3,FALSE),IF(VALUE(C229)=0,"ЭТАЖ НЕ ОПРЕДЕЛЕН. ПРИНЯТ ПО ДОПУЩЕНИЮ 1",VLOOKUP(C229,'Справочник соответствий'!A$2:D$2996,3,FALSE)))</f>
        <v>ЭТАЖ ЗАДАН ЧИСЛОМ</v>
      </c>
      <c r="M229" s="13" t="b">
        <f t="shared" si="22"/>
        <v>0</v>
      </c>
      <c r="N229" s="13">
        <f t="shared" si="23"/>
        <v>3</v>
      </c>
      <c r="O229" s="13" t="str">
        <f t="shared" si="24"/>
        <v>ЭТАЖ ЗАДАН ЧИСЛОМ</v>
      </c>
      <c r="P229" s="13" t="str">
        <f t="shared" si="25"/>
        <v>ЭТАЖ ЗАДАН ЧИСЛОМ</v>
      </c>
      <c r="Q229" s="13" t="str">
        <f t="shared" si="26"/>
        <v>ГОТОВ_ИЗМЕНЕН</v>
      </c>
      <c r="R229" s="13">
        <f>IFERROR(VLOOKUP(P229,Лист1!A$1:B$20,2,FALSE),0)</f>
        <v>784</v>
      </c>
      <c r="S229" s="13">
        <f t="shared" si="27"/>
        <v>0</v>
      </c>
    </row>
    <row r="230" spans="1:19" x14ac:dyDescent="0.25">
      <c r="A230" t="s">
        <v>1424</v>
      </c>
      <c r="B230" s="4" t="s">
        <v>1190</v>
      </c>
      <c r="C230" s="3" t="s">
        <v>7</v>
      </c>
      <c r="G230" s="3" t="s">
        <v>1224</v>
      </c>
      <c r="I230" s="3" t="str">
        <f>IFERROR(VLOOKUP(C230,'Справочник соответствий'!A$2:D$2996,2,FALSE),IF(VALUE(C230)=0,1,VLOOKUP(C230,'Справочник соответствий'!A$2:D$2996,2,FALSE)))</f>
        <v>2</v>
      </c>
      <c r="J230" s="3">
        <f>IFERROR(VLOOKUP(D230,'Справочник соответствий'!A$2:D$2996,2,FALSE),IF(VALUE(D230)=0,0,VLOOKUP(D230,'Справочник соответствий'!A$2:D$2996,2,FALSE)))</f>
        <v>0</v>
      </c>
      <c r="K230" s="3" t="str">
        <f t="shared" si="21"/>
        <v>2</v>
      </c>
      <c r="L230" s="13" t="str">
        <f>IFERROR(VLOOKUP(C230,'Справочник соответствий'!A$2:D$2996,3,FALSE),IF(VALUE(C230)=0,"ЭТАЖ НЕ ОПРЕДЕЛЕН. ПРИНЯТ ПО ДОПУЩЕНИЮ 1",VLOOKUP(C230,'Справочник соответствий'!A$2:D$2996,3,FALSE)))</f>
        <v>ЭТАЖ ЗАДАН ЧИСЛОМ</v>
      </c>
      <c r="M230" s="13" t="b">
        <f t="shared" si="22"/>
        <v>0</v>
      </c>
      <c r="N230" s="13">
        <f t="shared" si="23"/>
        <v>2</v>
      </c>
      <c r="O230" s="13" t="str">
        <f t="shared" si="24"/>
        <v>ЭТАЖ ЗАДАН ЧИСЛОМ</v>
      </c>
      <c r="P230" s="13" t="str">
        <f t="shared" si="25"/>
        <v>ЭТАЖ ЗАДАН ЧИСЛОМ</v>
      </c>
      <c r="Q230" s="13" t="str">
        <f t="shared" si="26"/>
        <v>ГОТОВ_ИЗМЕНЕН</v>
      </c>
      <c r="R230" s="13">
        <f>IFERROR(VLOOKUP(P230,Лист1!A$1:B$20,2,FALSE),0)</f>
        <v>784</v>
      </c>
      <c r="S230" s="13">
        <f t="shared" si="27"/>
        <v>0</v>
      </c>
    </row>
    <row r="231" spans="1:19" x14ac:dyDescent="0.25">
      <c r="A231" t="s">
        <v>1425</v>
      </c>
      <c r="B231" s="4" t="s">
        <v>1190</v>
      </c>
      <c r="C231" s="3" t="s">
        <v>7</v>
      </c>
      <c r="G231" s="3" t="s">
        <v>1224</v>
      </c>
      <c r="I231" s="3" t="str">
        <f>IFERROR(VLOOKUP(C231,'Справочник соответствий'!A$2:D$2996,2,FALSE),IF(VALUE(C231)=0,1,VLOOKUP(C231,'Справочник соответствий'!A$2:D$2996,2,FALSE)))</f>
        <v>2</v>
      </c>
      <c r="J231" s="3">
        <f>IFERROR(VLOOKUP(D231,'Справочник соответствий'!A$2:D$2996,2,FALSE),IF(VALUE(D231)=0,0,VLOOKUP(D231,'Справочник соответствий'!A$2:D$2996,2,FALSE)))</f>
        <v>0</v>
      </c>
      <c r="K231" s="3" t="str">
        <f t="shared" si="21"/>
        <v>2</v>
      </c>
      <c r="L231" s="13" t="str">
        <f>IFERROR(VLOOKUP(C231,'Справочник соответствий'!A$2:D$2996,3,FALSE),IF(VALUE(C231)=0,"ЭТАЖ НЕ ОПРЕДЕЛЕН. ПРИНЯТ ПО ДОПУЩЕНИЮ 1",VLOOKUP(C231,'Справочник соответствий'!A$2:D$2996,3,FALSE)))</f>
        <v>ЭТАЖ ЗАДАН ЧИСЛОМ</v>
      </c>
      <c r="M231" s="13" t="b">
        <f t="shared" si="22"/>
        <v>0</v>
      </c>
      <c r="N231" s="13">
        <f t="shared" si="23"/>
        <v>2</v>
      </c>
      <c r="O231" s="13" t="str">
        <f t="shared" si="24"/>
        <v>ЭТАЖ ЗАДАН ЧИСЛОМ</v>
      </c>
      <c r="P231" s="13" t="str">
        <f t="shared" si="25"/>
        <v>ЭТАЖ ЗАДАН ЧИСЛОМ</v>
      </c>
      <c r="Q231" s="13" t="str">
        <f t="shared" si="26"/>
        <v>ГОТОВ_ИЗМЕНЕН</v>
      </c>
      <c r="R231" s="13">
        <f>IFERROR(VLOOKUP(P231,Лист1!A$1:B$20,2,FALSE),0)</f>
        <v>784</v>
      </c>
      <c r="S231" s="13">
        <f t="shared" si="27"/>
        <v>0</v>
      </c>
    </row>
    <row r="232" spans="1:19" x14ac:dyDescent="0.25">
      <c r="A232" t="s">
        <v>1426</v>
      </c>
      <c r="B232" s="4" t="s">
        <v>1182</v>
      </c>
      <c r="G232" s="3" t="s">
        <v>1224</v>
      </c>
      <c r="I232" s="3">
        <f>IFERROR(VLOOKUP(C232,'Справочник соответствий'!A$2:D$2996,2,FALSE),IF(VALUE(C232)=0,1,VLOOKUP(C232,'Справочник соответствий'!A$2:D$2996,2,FALSE)))</f>
        <v>1</v>
      </c>
      <c r="J232" s="3">
        <f>IFERROR(VLOOKUP(D232,'Справочник соответствий'!A$2:D$2996,2,FALSE),IF(VALUE(D232)=0,0,VLOOKUP(D232,'Справочник соответствий'!A$2:D$2996,2,FALSE)))</f>
        <v>0</v>
      </c>
      <c r="K232" s="3">
        <f t="shared" si="21"/>
        <v>1</v>
      </c>
      <c r="L232" s="13" t="str">
        <f>IFERROR(VLOOKUP(C232,'Справочник соответствий'!A$2:D$2996,3,FALSE),IF(VALUE(C232)=0,"ЭТАЖ НЕ ОПРЕДЕЛЕН. ПРИНЯТ ПО ДОПУЩЕНИЮ 1",VLOOKUP(C232,'Справочник соответствий'!A$2:D$2996,3,FALSE)))</f>
        <v>ЭТАЖ НЕ ОПРЕДЕЛЕН. ПРИНЯТ ПО ДОПУЩЕНИЮ 1</v>
      </c>
      <c r="M232" s="13" t="b">
        <f t="shared" si="22"/>
        <v>0</v>
      </c>
      <c r="N232" s="13">
        <f t="shared" si="23"/>
        <v>1</v>
      </c>
      <c r="O232" s="13" t="str">
        <f t="shared" si="24"/>
        <v>ЭТАЖ НЕ ОПРЕДЕЛЕН. ПРИНЯТ ПО ДОПУЩЕНИЮ 1</v>
      </c>
      <c r="P232" s="13" t="str">
        <f t="shared" si="25"/>
        <v>ЭТАЖ НЕ ОПРЕДЕЛЕН. ПРИНЯТ ПО ДОПУЩЕНИЮ 1</v>
      </c>
      <c r="Q232" s="13" t="str">
        <f t="shared" si="26"/>
        <v>ГОТОВ_ИЗМЕНЕН</v>
      </c>
      <c r="R232" s="13">
        <f>IFERROR(VLOOKUP(P232,Лист1!A$1:B$20,2,FALSE),0)</f>
        <v>788</v>
      </c>
      <c r="S232" s="13">
        <f t="shared" si="27"/>
        <v>0</v>
      </c>
    </row>
    <row r="233" spans="1:19" x14ac:dyDescent="0.25">
      <c r="A233" t="s">
        <v>1427</v>
      </c>
      <c r="B233" s="4" t="s">
        <v>1190</v>
      </c>
      <c r="C233" s="3" t="s">
        <v>5</v>
      </c>
      <c r="G233" s="3" t="s">
        <v>1224</v>
      </c>
      <c r="I233" s="3" t="str">
        <f>IFERROR(VLOOKUP(C233,'Справочник соответствий'!A$2:D$2996,2,FALSE),IF(VALUE(C233)=0,1,VLOOKUP(C233,'Справочник соответствий'!A$2:D$2996,2,FALSE)))</f>
        <v>1</v>
      </c>
      <c r="J233" s="3">
        <f>IFERROR(VLOOKUP(D233,'Справочник соответствий'!A$2:D$2996,2,FALSE),IF(VALUE(D233)=0,0,VLOOKUP(D233,'Справочник соответствий'!A$2:D$2996,2,FALSE)))</f>
        <v>0</v>
      </c>
      <c r="K233" s="3" t="str">
        <f t="shared" si="21"/>
        <v>1</v>
      </c>
      <c r="L233" s="13" t="str">
        <f>IFERROR(VLOOKUP(C233,'Справочник соответствий'!A$2:D$2996,3,FALSE),IF(VALUE(C233)=0,"ЭТАЖ НЕ ОПРЕДЕЛЕН. ПРИНЯТ ПО ДОПУЩЕНИЮ 1",VLOOKUP(C233,'Справочник соответствий'!A$2:D$2996,3,FALSE)))</f>
        <v>ЭТАЖ ЗАДАН ЧИСЛОМ</v>
      </c>
      <c r="M233" s="13" t="b">
        <f t="shared" si="22"/>
        <v>0</v>
      </c>
      <c r="N233" s="13">
        <f t="shared" si="23"/>
        <v>1</v>
      </c>
      <c r="O233" s="13" t="str">
        <f t="shared" si="24"/>
        <v>ЭТАЖ ЗАДАН ЧИСЛОМ</v>
      </c>
      <c r="P233" s="13" t="str">
        <f t="shared" si="25"/>
        <v>ЭТАЖ ЗАДАН ЧИСЛОМ</v>
      </c>
      <c r="Q233" s="13" t="str">
        <f t="shared" si="26"/>
        <v>ГОТОВ_ИЗМЕНЕН</v>
      </c>
      <c r="R233" s="13">
        <f>IFERROR(VLOOKUP(P233,Лист1!A$1:B$20,2,FALSE),0)</f>
        <v>784</v>
      </c>
      <c r="S233" s="13">
        <f t="shared" si="27"/>
        <v>0</v>
      </c>
    </row>
    <row r="234" spans="1:19" x14ac:dyDescent="0.25">
      <c r="A234" t="s">
        <v>1428</v>
      </c>
      <c r="B234" s="4" t="s">
        <v>1190</v>
      </c>
      <c r="G234" s="3" t="s">
        <v>1224</v>
      </c>
      <c r="I234" s="3">
        <f>IFERROR(VLOOKUP(C234,'Справочник соответствий'!A$2:D$2996,2,FALSE),IF(VALUE(C234)=0,1,VLOOKUP(C234,'Справочник соответствий'!A$2:D$2996,2,FALSE)))</f>
        <v>1</v>
      </c>
      <c r="J234" s="3">
        <f>IFERROR(VLOOKUP(D234,'Справочник соответствий'!A$2:D$2996,2,FALSE),IF(VALUE(D234)=0,0,VLOOKUP(D234,'Справочник соответствий'!A$2:D$2996,2,FALSE)))</f>
        <v>0</v>
      </c>
      <c r="K234" s="3">
        <f t="shared" si="21"/>
        <v>1</v>
      </c>
      <c r="L234" s="13" t="str">
        <f>IFERROR(VLOOKUP(C234,'Справочник соответствий'!A$2:D$2996,3,FALSE),IF(VALUE(C234)=0,"ЭТАЖ НЕ ОПРЕДЕЛЕН. ПРИНЯТ ПО ДОПУЩЕНИЮ 1",VLOOKUP(C234,'Справочник соответствий'!A$2:D$2996,3,FALSE)))</f>
        <v>ЭТАЖ НЕ ОПРЕДЕЛЕН. ПРИНЯТ ПО ДОПУЩЕНИЮ 1</v>
      </c>
      <c r="M234" s="13" t="b">
        <f t="shared" si="22"/>
        <v>0</v>
      </c>
      <c r="N234" s="13">
        <f t="shared" si="23"/>
        <v>1</v>
      </c>
      <c r="O234" s="13" t="str">
        <f t="shared" si="24"/>
        <v>ЭТАЖ НЕ ОПРЕДЕЛЕН. ПРИНЯТ ПО ДОПУЩЕНИЮ 1</v>
      </c>
      <c r="P234" s="13" t="str">
        <f t="shared" si="25"/>
        <v>ЭТАЖ НЕ ОПРЕДЕЛЕН. ПРИНЯТ ПО ДОПУЩЕНИЮ 1</v>
      </c>
      <c r="Q234" s="13" t="str">
        <f t="shared" si="26"/>
        <v>ГОТОВ_ИЗМЕНЕН</v>
      </c>
      <c r="R234" s="13">
        <f>IFERROR(VLOOKUP(P234,Лист1!A$1:B$20,2,FALSE),0)</f>
        <v>788</v>
      </c>
      <c r="S234" s="13">
        <f t="shared" si="27"/>
        <v>0</v>
      </c>
    </row>
    <row r="235" spans="1:19" x14ac:dyDescent="0.25">
      <c r="A235" t="s">
        <v>1429</v>
      </c>
      <c r="B235" s="4" t="s">
        <v>1182</v>
      </c>
      <c r="C235" s="3" t="s">
        <v>5</v>
      </c>
      <c r="G235" s="3" t="s">
        <v>1224</v>
      </c>
      <c r="I235" s="3" t="str">
        <f>IFERROR(VLOOKUP(C235,'Справочник соответствий'!A$2:D$2996,2,FALSE),IF(VALUE(C235)=0,1,VLOOKUP(C235,'Справочник соответствий'!A$2:D$2996,2,FALSE)))</f>
        <v>1</v>
      </c>
      <c r="J235" s="3">
        <f>IFERROR(VLOOKUP(D235,'Справочник соответствий'!A$2:D$2996,2,FALSE),IF(VALUE(D235)=0,0,VLOOKUP(D235,'Справочник соответствий'!A$2:D$2996,2,FALSE)))</f>
        <v>0</v>
      </c>
      <c r="K235" s="3" t="str">
        <f t="shared" si="21"/>
        <v>1</v>
      </c>
      <c r="L235" s="13" t="str">
        <f>IFERROR(VLOOKUP(C235,'Справочник соответствий'!A$2:D$2996,3,FALSE),IF(VALUE(C235)=0,"ЭТАЖ НЕ ОПРЕДЕЛЕН. ПРИНЯТ ПО ДОПУЩЕНИЮ 1",VLOOKUP(C235,'Справочник соответствий'!A$2:D$2996,3,FALSE)))</f>
        <v>ЭТАЖ ЗАДАН ЧИСЛОМ</v>
      </c>
      <c r="M235" s="13" t="b">
        <f t="shared" si="22"/>
        <v>0</v>
      </c>
      <c r="N235" s="13">
        <f t="shared" si="23"/>
        <v>1</v>
      </c>
      <c r="O235" s="13" t="str">
        <f t="shared" si="24"/>
        <v>ЭТАЖ ЗАДАН ЧИСЛОМ</v>
      </c>
      <c r="P235" s="13" t="str">
        <f t="shared" si="25"/>
        <v>ЭТАЖ ЗАДАН ЧИСЛОМ</v>
      </c>
      <c r="Q235" s="13" t="str">
        <f t="shared" si="26"/>
        <v>ГОТОВ_ИЗМЕНЕН</v>
      </c>
      <c r="R235" s="13">
        <f>IFERROR(VLOOKUP(P235,Лист1!A$1:B$20,2,FALSE),0)</f>
        <v>784</v>
      </c>
      <c r="S235" s="13">
        <f t="shared" si="27"/>
        <v>0</v>
      </c>
    </row>
    <row r="236" spans="1:19" x14ac:dyDescent="0.25">
      <c r="A236" t="s">
        <v>1430</v>
      </c>
      <c r="B236" s="4" t="s">
        <v>1190</v>
      </c>
      <c r="C236" s="3" t="s">
        <v>5</v>
      </c>
      <c r="E236" s="3" t="s">
        <v>5</v>
      </c>
      <c r="F236" t="s">
        <v>1045</v>
      </c>
      <c r="G236" s="3" t="s">
        <v>1198</v>
      </c>
      <c r="H236" s="7" t="s">
        <v>1184</v>
      </c>
      <c r="I236" s="3" t="str">
        <f>IFERROR(VLOOKUP(C236,'Справочник соответствий'!A$2:D$2996,2,FALSE),IF(VALUE(C236)=0,1,VLOOKUP(C236,'Справочник соответствий'!A$2:D$2996,2,FALSE)))</f>
        <v>1</v>
      </c>
      <c r="J236" s="3">
        <f>IFERROR(VLOOKUP(D236,'Справочник соответствий'!A$2:D$2996,2,FALSE),IF(VALUE(D236)=0,0,VLOOKUP(D236,'Справочник соответствий'!A$2:D$2996,2,FALSE)))</f>
        <v>0</v>
      </c>
      <c r="K236" s="3" t="str">
        <f t="shared" si="21"/>
        <v>1</v>
      </c>
      <c r="L236" s="13" t="str">
        <f>IFERROR(VLOOKUP(C236,'Справочник соответствий'!A$2:D$2996,3,FALSE),IF(VALUE(C236)=0,"ЭТАЖ НЕ ОПРЕДЕЛЕН. ПРИНЯТ ПО ДОПУЩЕНИЮ 1",VLOOKUP(C236,'Справочник соответствий'!A$2:D$2996,3,FALSE)))</f>
        <v>ЭТАЖ ЗАДАН ЧИСЛОМ</v>
      </c>
      <c r="M236" s="13" t="b">
        <f t="shared" si="22"/>
        <v>1</v>
      </c>
      <c r="N236" s="13">
        <f t="shared" si="23"/>
        <v>1</v>
      </c>
      <c r="O236" s="13" t="str">
        <f t="shared" si="24"/>
        <v>ЭТАЖ ЗАДАН ЧИСЛОМ</v>
      </c>
      <c r="P236" s="13" t="str">
        <f t="shared" si="25"/>
        <v>ЭТАЖ ЗАДАН ЧИСЛОМ</v>
      </c>
      <c r="Q236" s="13" t="str">
        <f t="shared" si="26"/>
        <v>ГОТОВ</v>
      </c>
      <c r="R236" s="13">
        <f>IFERROR(VLOOKUP(P236,Лист1!A$1:B$20,2,FALSE),0)</f>
        <v>784</v>
      </c>
      <c r="S236" s="13">
        <f t="shared" si="27"/>
        <v>1</v>
      </c>
    </row>
    <row r="237" spans="1:19" x14ac:dyDescent="0.25">
      <c r="A237" t="s">
        <v>1431</v>
      </c>
      <c r="B237" s="4" t="s">
        <v>1190</v>
      </c>
      <c r="C237" s="3" t="s">
        <v>7</v>
      </c>
      <c r="D237" s="3" t="s">
        <v>5</v>
      </c>
      <c r="E237" s="3" t="s">
        <v>5</v>
      </c>
      <c r="F237" t="s">
        <v>1045</v>
      </c>
      <c r="G237" s="3" t="s">
        <v>1191</v>
      </c>
      <c r="H237" s="7" t="s">
        <v>1184</v>
      </c>
      <c r="I237" s="3" t="str">
        <f>IFERROR(VLOOKUP(C237,'Справочник соответствий'!A$2:D$2996,2,FALSE),IF(VALUE(C237)=0,1,VLOOKUP(C237,'Справочник соответствий'!A$2:D$2996,2,FALSE)))</f>
        <v>2</v>
      </c>
      <c r="J237" s="3" t="str">
        <f>IFERROR(VLOOKUP(D237,'Справочник соответствий'!A$2:D$2996,2,FALSE),IF(VALUE(D237)=0,0,VLOOKUP(D237,'Справочник соответствий'!A$2:D$2996,2,FALSE)))</f>
        <v>1</v>
      </c>
      <c r="K237" s="3" t="str">
        <f t="shared" si="21"/>
        <v>2</v>
      </c>
      <c r="L237" s="13" t="str">
        <f>IFERROR(VLOOKUP(C237,'Справочник соответствий'!A$2:D$2996,3,FALSE),IF(VALUE(C237)=0,"ЭТАЖ НЕ ОПРЕДЕЛЕН. ПРИНЯТ ПО ДОПУЩЕНИЮ 1",VLOOKUP(C237,'Справочник соответствий'!A$2:D$2996,3,FALSE)))</f>
        <v>ЭТАЖ ЗАДАН ЧИСЛОМ</v>
      </c>
      <c r="M237" s="13" t="b">
        <f t="shared" si="22"/>
        <v>0</v>
      </c>
      <c r="N237" s="13">
        <f t="shared" si="23"/>
        <v>2</v>
      </c>
      <c r="O237" s="13" t="str">
        <f t="shared" si="24"/>
        <v>ЭТАЖ ЗАДАН ЧИСЛОМ</v>
      </c>
      <c r="P237" s="13" t="str">
        <f t="shared" si="25"/>
        <v>ЭТАЖ ЗАДАН ЧИСЛОМ</v>
      </c>
      <c r="Q237" s="13" t="str">
        <f t="shared" si="26"/>
        <v>ГОТОВ_ИЗМЕНЕН</v>
      </c>
      <c r="R237" s="13">
        <f>IFERROR(VLOOKUP(P237,Лист1!A$1:B$20,2,FALSE),0)</f>
        <v>784</v>
      </c>
      <c r="S237" s="13">
        <f t="shared" si="27"/>
        <v>1</v>
      </c>
    </row>
    <row r="238" spans="1:19" x14ac:dyDescent="0.25">
      <c r="A238" t="s">
        <v>1432</v>
      </c>
      <c r="B238" s="4" t="s">
        <v>1182</v>
      </c>
      <c r="C238" s="3" t="s">
        <v>5</v>
      </c>
      <c r="E238" s="3" t="s">
        <v>5</v>
      </c>
      <c r="F238" t="s">
        <v>1186</v>
      </c>
      <c r="G238" s="3" t="s">
        <v>1187</v>
      </c>
      <c r="H238" s="7" t="s">
        <v>1184</v>
      </c>
      <c r="I238" s="3" t="str">
        <f>IFERROR(VLOOKUP(C238,'Справочник соответствий'!A$2:D$2996,2,FALSE),IF(VALUE(C238)=0,1,VLOOKUP(C238,'Справочник соответствий'!A$2:D$2996,2,FALSE)))</f>
        <v>1</v>
      </c>
      <c r="J238" s="3">
        <f>IFERROR(VLOOKUP(D238,'Справочник соответствий'!A$2:D$2996,2,FALSE),IF(VALUE(D238)=0,0,VLOOKUP(D238,'Справочник соответствий'!A$2:D$2996,2,FALSE)))</f>
        <v>0</v>
      </c>
      <c r="K238" s="3" t="str">
        <f t="shared" si="21"/>
        <v>1</v>
      </c>
      <c r="L238" s="13" t="str">
        <f>IFERROR(VLOOKUP(C238,'Справочник соответствий'!A$2:D$2996,3,FALSE),IF(VALUE(C238)=0,"ЭТАЖ НЕ ОПРЕДЕЛЕН. ПРИНЯТ ПО ДОПУЩЕНИЮ 1",VLOOKUP(C238,'Справочник соответствий'!A$2:D$2996,3,FALSE)))</f>
        <v>ЭТАЖ ЗАДАН ЧИСЛОМ</v>
      </c>
      <c r="M238" s="13" t="b">
        <f t="shared" si="22"/>
        <v>1</v>
      </c>
      <c r="N238" s="13">
        <f t="shared" si="23"/>
        <v>1</v>
      </c>
      <c r="O238" s="13" t="str">
        <f t="shared" si="24"/>
        <v>ЭТАЖ ЗАДАН ЧИСЛОМ</v>
      </c>
      <c r="P238" s="13" t="str">
        <f t="shared" si="25"/>
        <v>ЭТАЖ ЗАДАН ЧИСЛОМ</v>
      </c>
      <c r="Q238" s="13" t="str">
        <f t="shared" si="26"/>
        <v>ГОТОВ</v>
      </c>
      <c r="R238" s="13">
        <f>IFERROR(VLOOKUP(P238,Лист1!A$1:B$20,2,FALSE),0)</f>
        <v>784</v>
      </c>
      <c r="S238" s="13">
        <f t="shared" si="27"/>
        <v>1</v>
      </c>
    </row>
    <row r="239" spans="1:19" x14ac:dyDescent="0.25">
      <c r="A239" t="s">
        <v>1433</v>
      </c>
      <c r="B239" s="4" t="s">
        <v>1182</v>
      </c>
      <c r="C239" s="3" t="s">
        <v>5</v>
      </c>
      <c r="E239" s="3" t="s">
        <v>5</v>
      </c>
      <c r="F239" t="s">
        <v>1186</v>
      </c>
      <c r="G239" s="3" t="s">
        <v>1191</v>
      </c>
      <c r="H239" s="7" t="s">
        <v>1184</v>
      </c>
      <c r="I239" s="3" t="str">
        <f>IFERROR(VLOOKUP(C239,'Справочник соответствий'!A$2:D$2996,2,FALSE),IF(VALUE(C239)=0,1,VLOOKUP(C239,'Справочник соответствий'!A$2:D$2996,2,FALSE)))</f>
        <v>1</v>
      </c>
      <c r="J239" s="3">
        <f>IFERROR(VLOOKUP(D239,'Справочник соответствий'!A$2:D$2996,2,FALSE),IF(VALUE(D239)=0,0,VLOOKUP(D239,'Справочник соответствий'!A$2:D$2996,2,FALSE)))</f>
        <v>0</v>
      </c>
      <c r="K239" s="3" t="str">
        <f t="shared" si="21"/>
        <v>1</v>
      </c>
      <c r="L239" s="13" t="str">
        <f>IFERROR(VLOOKUP(C239,'Справочник соответствий'!A$2:D$2996,3,FALSE),IF(VALUE(C239)=0,"ЭТАЖ НЕ ОПРЕДЕЛЕН. ПРИНЯТ ПО ДОПУЩЕНИЮ 1",VLOOKUP(C239,'Справочник соответствий'!A$2:D$2996,3,FALSE)))</f>
        <v>ЭТАЖ ЗАДАН ЧИСЛОМ</v>
      </c>
      <c r="M239" s="13" t="b">
        <f t="shared" si="22"/>
        <v>1</v>
      </c>
      <c r="N239" s="13">
        <f t="shared" si="23"/>
        <v>1</v>
      </c>
      <c r="O239" s="13" t="str">
        <f t="shared" si="24"/>
        <v>ЭТАЖ ЗАДАН ЧИСЛОМ</v>
      </c>
      <c r="P239" s="13" t="str">
        <f t="shared" si="25"/>
        <v>ЭТАЖ ЗАДАН ЧИСЛОМ</v>
      </c>
      <c r="Q239" s="13" t="str">
        <f t="shared" si="26"/>
        <v>ГОТОВ</v>
      </c>
      <c r="R239" s="13">
        <f>IFERROR(VLOOKUP(P239,Лист1!A$1:B$20,2,FALSE),0)</f>
        <v>784</v>
      </c>
      <c r="S239" s="13">
        <f t="shared" si="27"/>
        <v>1</v>
      </c>
    </row>
    <row r="240" spans="1:19" x14ac:dyDescent="0.25">
      <c r="A240" t="s">
        <v>1434</v>
      </c>
      <c r="B240" s="4" t="s">
        <v>1190</v>
      </c>
      <c r="C240" s="3" t="s">
        <v>7</v>
      </c>
      <c r="D240" s="3" t="s">
        <v>5</v>
      </c>
      <c r="E240" s="3" t="s">
        <v>7</v>
      </c>
      <c r="F240" t="s">
        <v>1045</v>
      </c>
      <c r="G240" s="3" t="s">
        <v>1198</v>
      </c>
      <c r="H240" s="7" t="s">
        <v>1184</v>
      </c>
      <c r="I240" s="3" t="str">
        <f>IFERROR(VLOOKUP(C240,'Справочник соответствий'!A$2:D$2996,2,FALSE),IF(VALUE(C240)=0,1,VLOOKUP(C240,'Справочник соответствий'!A$2:D$2996,2,FALSE)))</f>
        <v>2</v>
      </c>
      <c r="J240" s="3" t="str">
        <f>IFERROR(VLOOKUP(D240,'Справочник соответствий'!A$2:D$2996,2,FALSE),IF(VALUE(D240)=0,0,VLOOKUP(D240,'Справочник соответствий'!A$2:D$2996,2,FALSE)))</f>
        <v>1</v>
      </c>
      <c r="K240" s="3" t="str">
        <f t="shared" si="21"/>
        <v>2</v>
      </c>
      <c r="L240" s="13" t="str">
        <f>IFERROR(VLOOKUP(C240,'Справочник соответствий'!A$2:D$2996,3,FALSE),IF(VALUE(C240)=0,"ЭТАЖ НЕ ОПРЕДЕЛЕН. ПРИНЯТ ПО ДОПУЩЕНИЮ 1",VLOOKUP(C240,'Справочник соответствий'!A$2:D$2996,3,FALSE)))</f>
        <v>ЭТАЖ ЗАДАН ЧИСЛОМ</v>
      </c>
      <c r="M240" s="13" t="b">
        <f t="shared" si="22"/>
        <v>1</v>
      </c>
      <c r="N240" s="13">
        <f t="shared" si="23"/>
        <v>2</v>
      </c>
      <c r="O240" s="13" t="str">
        <f t="shared" si="24"/>
        <v>ЭТАЖ ЗАДАН ЧИСЛОМ</v>
      </c>
      <c r="P240" s="13" t="str">
        <f t="shared" si="25"/>
        <v>ЭТАЖ ЗАДАН ЧИСЛОМ</v>
      </c>
      <c r="Q240" s="13" t="str">
        <f t="shared" si="26"/>
        <v>ГОТОВ</v>
      </c>
      <c r="R240" s="13">
        <f>IFERROR(VLOOKUP(P240,Лист1!A$1:B$20,2,FALSE),0)</f>
        <v>784</v>
      </c>
      <c r="S240" s="13">
        <f t="shared" si="27"/>
        <v>2</v>
      </c>
    </row>
    <row r="241" spans="1:19" x14ac:dyDescent="0.25">
      <c r="A241" t="s">
        <v>1435</v>
      </c>
      <c r="B241" s="4" t="s">
        <v>1182</v>
      </c>
      <c r="C241" s="3" t="s">
        <v>5</v>
      </c>
      <c r="E241" s="3" t="s">
        <v>5</v>
      </c>
      <c r="F241" t="s">
        <v>1186</v>
      </c>
      <c r="G241" s="3" t="s">
        <v>1187</v>
      </c>
      <c r="H241" s="7" t="s">
        <v>1184</v>
      </c>
      <c r="I241" s="3" t="str">
        <f>IFERROR(VLOOKUP(C241,'Справочник соответствий'!A$2:D$2996,2,FALSE),IF(VALUE(C241)=0,1,VLOOKUP(C241,'Справочник соответствий'!A$2:D$2996,2,FALSE)))</f>
        <v>1</v>
      </c>
      <c r="J241" s="3">
        <f>IFERROR(VLOOKUP(D241,'Справочник соответствий'!A$2:D$2996,2,FALSE),IF(VALUE(D241)=0,0,VLOOKUP(D241,'Справочник соответствий'!A$2:D$2996,2,FALSE)))</f>
        <v>0</v>
      </c>
      <c r="K241" s="3" t="str">
        <f t="shared" si="21"/>
        <v>1</v>
      </c>
      <c r="L241" s="13" t="str">
        <f>IFERROR(VLOOKUP(C241,'Справочник соответствий'!A$2:D$2996,3,FALSE),IF(VALUE(C241)=0,"ЭТАЖ НЕ ОПРЕДЕЛЕН. ПРИНЯТ ПО ДОПУЩЕНИЮ 1",VLOOKUP(C241,'Справочник соответствий'!A$2:D$2996,3,FALSE)))</f>
        <v>ЭТАЖ ЗАДАН ЧИСЛОМ</v>
      </c>
      <c r="M241" s="13" t="b">
        <f t="shared" si="22"/>
        <v>1</v>
      </c>
      <c r="N241" s="13">
        <f t="shared" si="23"/>
        <v>1</v>
      </c>
      <c r="O241" s="13" t="str">
        <f t="shared" si="24"/>
        <v>ЭТАЖ ЗАДАН ЧИСЛОМ</v>
      </c>
      <c r="P241" s="13" t="str">
        <f t="shared" si="25"/>
        <v>ЭТАЖ ЗАДАН ЧИСЛОМ</v>
      </c>
      <c r="Q241" s="13" t="str">
        <f t="shared" si="26"/>
        <v>ГОТОВ</v>
      </c>
      <c r="R241" s="13">
        <f>IFERROR(VLOOKUP(P241,Лист1!A$1:B$20,2,FALSE),0)</f>
        <v>784</v>
      </c>
      <c r="S241" s="13">
        <f t="shared" si="27"/>
        <v>1</v>
      </c>
    </row>
    <row r="242" spans="1:19" x14ac:dyDescent="0.25">
      <c r="A242" t="s">
        <v>1436</v>
      </c>
      <c r="B242" s="4" t="s">
        <v>1182</v>
      </c>
      <c r="C242" s="3" t="s">
        <v>5</v>
      </c>
      <c r="E242" s="3" t="s">
        <v>5</v>
      </c>
      <c r="F242" t="s">
        <v>1186</v>
      </c>
      <c r="G242" s="3" t="s">
        <v>1191</v>
      </c>
      <c r="H242" s="7" t="s">
        <v>1184</v>
      </c>
      <c r="I242" s="3" t="str">
        <f>IFERROR(VLOOKUP(C242,'Справочник соответствий'!A$2:D$2996,2,FALSE),IF(VALUE(C242)=0,1,VLOOKUP(C242,'Справочник соответствий'!A$2:D$2996,2,FALSE)))</f>
        <v>1</v>
      </c>
      <c r="J242" s="3">
        <f>IFERROR(VLOOKUP(D242,'Справочник соответствий'!A$2:D$2996,2,FALSE),IF(VALUE(D242)=0,0,VLOOKUP(D242,'Справочник соответствий'!A$2:D$2996,2,FALSE)))</f>
        <v>0</v>
      </c>
      <c r="K242" s="3" t="str">
        <f t="shared" si="21"/>
        <v>1</v>
      </c>
      <c r="L242" s="13" t="str">
        <f>IFERROR(VLOOKUP(C242,'Справочник соответствий'!A$2:D$2996,3,FALSE),IF(VALUE(C242)=0,"ЭТАЖ НЕ ОПРЕДЕЛЕН. ПРИНЯТ ПО ДОПУЩЕНИЮ 1",VLOOKUP(C242,'Справочник соответствий'!A$2:D$2996,3,FALSE)))</f>
        <v>ЭТАЖ ЗАДАН ЧИСЛОМ</v>
      </c>
      <c r="M242" s="13" t="b">
        <f t="shared" si="22"/>
        <v>1</v>
      </c>
      <c r="N242" s="13">
        <f t="shared" si="23"/>
        <v>1</v>
      </c>
      <c r="O242" s="13" t="str">
        <f t="shared" si="24"/>
        <v>ЭТАЖ ЗАДАН ЧИСЛОМ</v>
      </c>
      <c r="P242" s="13" t="str">
        <f t="shared" si="25"/>
        <v>ЭТАЖ ЗАДАН ЧИСЛОМ</v>
      </c>
      <c r="Q242" s="13" t="str">
        <f t="shared" si="26"/>
        <v>ГОТОВ</v>
      </c>
      <c r="R242" s="13">
        <f>IFERROR(VLOOKUP(P242,Лист1!A$1:B$20,2,FALSE),0)</f>
        <v>784</v>
      </c>
      <c r="S242" s="13">
        <f t="shared" si="27"/>
        <v>1</v>
      </c>
    </row>
    <row r="243" spans="1:19" x14ac:dyDescent="0.25">
      <c r="A243" t="s">
        <v>1437</v>
      </c>
      <c r="B243" s="4" t="s">
        <v>1190</v>
      </c>
      <c r="C243" s="3" t="s">
        <v>7</v>
      </c>
      <c r="D243" s="3" t="s">
        <v>5</v>
      </c>
      <c r="E243" s="3" t="s">
        <v>7</v>
      </c>
      <c r="F243" t="s">
        <v>1045</v>
      </c>
      <c r="G243" s="3" t="s">
        <v>1198</v>
      </c>
      <c r="H243" s="7" t="s">
        <v>1184</v>
      </c>
      <c r="I243" s="3" t="str">
        <f>IFERROR(VLOOKUP(C243,'Справочник соответствий'!A$2:D$2996,2,FALSE),IF(VALUE(C243)=0,1,VLOOKUP(C243,'Справочник соответствий'!A$2:D$2996,2,FALSE)))</f>
        <v>2</v>
      </c>
      <c r="J243" s="3" t="str">
        <f>IFERROR(VLOOKUP(D243,'Справочник соответствий'!A$2:D$2996,2,FALSE),IF(VALUE(D243)=0,0,VLOOKUP(D243,'Справочник соответствий'!A$2:D$2996,2,FALSE)))</f>
        <v>1</v>
      </c>
      <c r="K243" s="3" t="str">
        <f t="shared" si="21"/>
        <v>2</v>
      </c>
      <c r="L243" s="13" t="str">
        <f>IFERROR(VLOOKUP(C243,'Справочник соответствий'!A$2:D$2996,3,FALSE),IF(VALUE(C243)=0,"ЭТАЖ НЕ ОПРЕДЕЛЕН. ПРИНЯТ ПО ДОПУЩЕНИЮ 1",VLOOKUP(C243,'Справочник соответствий'!A$2:D$2996,3,FALSE)))</f>
        <v>ЭТАЖ ЗАДАН ЧИСЛОМ</v>
      </c>
      <c r="M243" s="13" t="b">
        <f t="shared" si="22"/>
        <v>1</v>
      </c>
      <c r="N243" s="13">
        <f t="shared" si="23"/>
        <v>2</v>
      </c>
      <c r="O243" s="13" t="str">
        <f t="shared" si="24"/>
        <v>ЭТАЖ ЗАДАН ЧИСЛОМ</v>
      </c>
      <c r="P243" s="13" t="str">
        <f t="shared" si="25"/>
        <v>ЭТАЖ ЗАДАН ЧИСЛОМ</v>
      </c>
      <c r="Q243" s="13" t="str">
        <f t="shared" si="26"/>
        <v>ГОТОВ</v>
      </c>
      <c r="R243" s="13">
        <f>IFERROR(VLOOKUP(P243,Лист1!A$1:B$20,2,FALSE),0)</f>
        <v>784</v>
      </c>
      <c r="S243" s="13">
        <f t="shared" si="27"/>
        <v>2</v>
      </c>
    </row>
    <row r="244" spans="1:19" x14ac:dyDescent="0.25">
      <c r="A244" t="s">
        <v>1438</v>
      </c>
      <c r="B244" s="4" t="s">
        <v>1190</v>
      </c>
      <c r="C244" s="3" t="s">
        <v>7</v>
      </c>
      <c r="D244" s="3" t="s">
        <v>17</v>
      </c>
      <c r="E244" s="3" t="s">
        <v>7</v>
      </c>
      <c r="F244" t="s">
        <v>1045</v>
      </c>
      <c r="G244" s="3" t="s">
        <v>1198</v>
      </c>
      <c r="H244" s="7" t="s">
        <v>1184</v>
      </c>
      <c r="I244" s="3" t="str">
        <f>IFERROR(VLOOKUP(C244,'Справочник соответствий'!A$2:D$2996,2,FALSE),IF(VALUE(C244)=0,1,VLOOKUP(C244,'Справочник соответствий'!A$2:D$2996,2,FALSE)))</f>
        <v>2</v>
      </c>
      <c r="J244" s="3" t="str">
        <f>IFERROR(VLOOKUP(D244,'Справочник соответствий'!A$2:D$2996,2,FALSE),IF(VALUE(D244)=0,0,VLOOKUP(D244,'Справочник соответствий'!A$2:D$2996,2,FALSE)))</f>
        <v>0</v>
      </c>
      <c r="K244" s="3" t="str">
        <f t="shared" si="21"/>
        <v>2</v>
      </c>
      <c r="L244" s="13" t="str">
        <f>IFERROR(VLOOKUP(C244,'Справочник соответствий'!A$2:D$2996,3,FALSE),IF(VALUE(C244)=0,"ЭТАЖ НЕ ОПРЕДЕЛЕН. ПРИНЯТ ПО ДОПУЩЕНИЮ 1",VLOOKUP(C244,'Справочник соответствий'!A$2:D$2996,3,FALSE)))</f>
        <v>ЭТАЖ ЗАДАН ЧИСЛОМ</v>
      </c>
      <c r="M244" s="13" t="b">
        <f t="shared" si="22"/>
        <v>1</v>
      </c>
      <c r="N244" s="13">
        <f t="shared" si="23"/>
        <v>2</v>
      </c>
      <c r="O244" s="13" t="str">
        <f t="shared" si="24"/>
        <v>ЭТАЖ ЗАДАН ЧИСЛОМ</v>
      </c>
      <c r="P244" s="13" t="str">
        <f t="shared" si="25"/>
        <v>ЭТАЖ ЗАДАН ЧИСЛОМ</v>
      </c>
      <c r="Q244" s="13" t="str">
        <f t="shared" si="26"/>
        <v>ГОТОВ</v>
      </c>
      <c r="R244" s="13">
        <f>IFERROR(VLOOKUP(P244,Лист1!A$1:B$20,2,FALSE),0)</f>
        <v>784</v>
      </c>
      <c r="S244" s="13">
        <f t="shared" si="27"/>
        <v>2</v>
      </c>
    </row>
    <row r="245" spans="1:19" x14ac:dyDescent="0.25">
      <c r="A245" t="s">
        <v>1439</v>
      </c>
      <c r="B245" s="4" t="s">
        <v>1190</v>
      </c>
      <c r="C245" s="3" t="s">
        <v>7</v>
      </c>
      <c r="D245" s="3" t="s">
        <v>5</v>
      </c>
      <c r="E245" s="3" t="s">
        <v>7</v>
      </c>
      <c r="F245" t="s">
        <v>1045</v>
      </c>
      <c r="G245" s="3" t="s">
        <v>1198</v>
      </c>
      <c r="H245" s="7" t="s">
        <v>1184</v>
      </c>
      <c r="I245" s="3" t="str">
        <f>IFERROR(VLOOKUP(C245,'Справочник соответствий'!A$2:D$2996,2,FALSE),IF(VALUE(C245)=0,1,VLOOKUP(C245,'Справочник соответствий'!A$2:D$2996,2,FALSE)))</f>
        <v>2</v>
      </c>
      <c r="J245" s="3" t="str">
        <f>IFERROR(VLOOKUP(D245,'Справочник соответствий'!A$2:D$2996,2,FALSE),IF(VALUE(D245)=0,0,VLOOKUP(D245,'Справочник соответствий'!A$2:D$2996,2,FALSE)))</f>
        <v>1</v>
      </c>
      <c r="K245" s="3" t="str">
        <f t="shared" si="21"/>
        <v>2</v>
      </c>
      <c r="L245" s="13" t="str">
        <f>IFERROR(VLOOKUP(C245,'Справочник соответствий'!A$2:D$2996,3,FALSE),IF(VALUE(C245)=0,"ЭТАЖ НЕ ОПРЕДЕЛЕН. ПРИНЯТ ПО ДОПУЩЕНИЮ 1",VLOOKUP(C245,'Справочник соответствий'!A$2:D$2996,3,FALSE)))</f>
        <v>ЭТАЖ ЗАДАН ЧИСЛОМ</v>
      </c>
      <c r="M245" s="13" t="b">
        <f t="shared" si="22"/>
        <v>1</v>
      </c>
      <c r="N245" s="13">
        <f t="shared" si="23"/>
        <v>2</v>
      </c>
      <c r="O245" s="13" t="str">
        <f t="shared" si="24"/>
        <v>ЭТАЖ ЗАДАН ЧИСЛОМ</v>
      </c>
      <c r="P245" s="13" t="str">
        <f t="shared" si="25"/>
        <v>ЭТАЖ ЗАДАН ЧИСЛОМ</v>
      </c>
      <c r="Q245" s="13" t="str">
        <f t="shared" si="26"/>
        <v>ГОТОВ</v>
      </c>
      <c r="R245" s="13">
        <f>IFERROR(VLOOKUP(P245,Лист1!A$1:B$20,2,FALSE),0)</f>
        <v>784</v>
      </c>
      <c r="S245" s="13">
        <f t="shared" si="27"/>
        <v>2</v>
      </c>
    </row>
    <row r="246" spans="1:19" x14ac:dyDescent="0.25">
      <c r="A246" t="s">
        <v>1440</v>
      </c>
      <c r="B246" s="4" t="s">
        <v>1182</v>
      </c>
      <c r="C246" s="3" t="s">
        <v>16</v>
      </c>
      <c r="D246" s="3" t="s">
        <v>5</v>
      </c>
      <c r="E246" s="3" t="s">
        <v>7</v>
      </c>
      <c r="F246" t="s">
        <v>1441</v>
      </c>
      <c r="G246" s="3" t="s">
        <v>1224</v>
      </c>
      <c r="H246" s="7" t="s">
        <v>1184</v>
      </c>
      <c r="I246" s="3" t="str">
        <f>IFERROR(VLOOKUP(C246,'Справочник соответствий'!A$2:D$2996,2,FALSE),IF(VALUE(C246)=0,1,VLOOKUP(C246,'Справочник соответствий'!A$2:D$2996,2,FALSE)))</f>
        <v>5</v>
      </c>
      <c r="J246" s="3" t="str">
        <f>IFERROR(VLOOKUP(D246,'Справочник соответствий'!A$2:D$2996,2,FALSE),IF(VALUE(D246)=0,0,VLOOKUP(D246,'Справочник соответствий'!A$2:D$2996,2,FALSE)))</f>
        <v>1</v>
      </c>
      <c r="K246" s="3" t="str">
        <f t="shared" si="21"/>
        <v>5</v>
      </c>
      <c r="L246" s="13" t="str">
        <f>IFERROR(VLOOKUP(C246,'Справочник соответствий'!A$2:D$2996,3,FALSE),IF(VALUE(C246)=0,"ЭТАЖ НЕ ОПРЕДЕЛЕН. ПРИНЯТ ПО ДОПУЩЕНИЮ 1",VLOOKUP(C246,'Справочник соответствий'!A$2:D$2996,3,FALSE)))</f>
        <v>ЭТАЖ ЗАДАН ЧИСЛОМ</v>
      </c>
      <c r="M246" s="13" t="b">
        <f t="shared" si="22"/>
        <v>0</v>
      </c>
      <c r="N246" s="13">
        <f t="shared" si="23"/>
        <v>5</v>
      </c>
      <c r="O246" s="13" t="str">
        <f t="shared" si="24"/>
        <v>ЭТАЖ ЗАДАН ЧИСЛОМ</v>
      </c>
      <c r="P246" s="13" t="str">
        <f t="shared" si="25"/>
        <v>ЭТАЖ ЗАДАН ЧИСЛОМ</v>
      </c>
      <c r="Q246" s="13" t="str">
        <f t="shared" si="26"/>
        <v>ГОТОВ_ИЗМЕНЕН</v>
      </c>
      <c r="R246" s="13">
        <f>IFERROR(VLOOKUP(P246,Лист1!A$1:B$20,2,FALSE),0)</f>
        <v>784</v>
      </c>
      <c r="S246" s="13">
        <f t="shared" si="27"/>
        <v>2</v>
      </c>
    </row>
    <row r="247" spans="1:19" x14ac:dyDescent="0.25">
      <c r="A247" t="s">
        <v>1442</v>
      </c>
      <c r="B247" s="4" t="s">
        <v>1190</v>
      </c>
      <c r="C247" s="3" t="s">
        <v>5</v>
      </c>
      <c r="G247" s="3" t="s">
        <v>1187</v>
      </c>
      <c r="I247" s="3" t="str">
        <f>IFERROR(VLOOKUP(C247,'Справочник соответствий'!A$2:D$2996,2,FALSE),IF(VALUE(C247)=0,1,VLOOKUP(C247,'Справочник соответствий'!A$2:D$2996,2,FALSE)))</f>
        <v>1</v>
      </c>
      <c r="J247" s="3">
        <f>IFERROR(VLOOKUP(D247,'Справочник соответствий'!A$2:D$2996,2,FALSE),IF(VALUE(D247)=0,0,VLOOKUP(D247,'Справочник соответствий'!A$2:D$2996,2,FALSE)))</f>
        <v>0</v>
      </c>
      <c r="K247" s="3" t="str">
        <f t="shared" si="21"/>
        <v>1</v>
      </c>
      <c r="L247" s="13" t="str">
        <f>IFERROR(VLOOKUP(C247,'Справочник соответствий'!A$2:D$2996,3,FALSE),IF(VALUE(C247)=0,"ЭТАЖ НЕ ОПРЕДЕЛЕН. ПРИНЯТ ПО ДОПУЩЕНИЮ 1",VLOOKUP(C247,'Справочник соответствий'!A$2:D$2996,3,FALSE)))</f>
        <v>ЭТАЖ ЗАДАН ЧИСЛОМ</v>
      </c>
      <c r="M247" s="13" t="b">
        <f t="shared" si="22"/>
        <v>0</v>
      </c>
      <c r="N247" s="13">
        <f t="shared" si="23"/>
        <v>1</v>
      </c>
      <c r="O247" s="13" t="str">
        <f t="shared" si="24"/>
        <v>ЭТАЖ ЗАДАН ЧИСЛОМ</v>
      </c>
      <c r="P247" s="13" t="str">
        <f t="shared" si="25"/>
        <v>ЭТАЖ ЗАДАН ЧИСЛОМ</v>
      </c>
      <c r="Q247" s="13" t="str">
        <f t="shared" si="26"/>
        <v>ГОТОВ_ИЗМЕНЕН</v>
      </c>
      <c r="R247" s="13">
        <f>IFERROR(VLOOKUP(P247,Лист1!A$1:B$20,2,FALSE),0)</f>
        <v>784</v>
      </c>
      <c r="S247" s="13">
        <f t="shared" si="27"/>
        <v>0</v>
      </c>
    </row>
    <row r="248" spans="1:19" x14ac:dyDescent="0.25">
      <c r="A248" t="s">
        <v>1443</v>
      </c>
      <c r="B248" s="4" t="s">
        <v>1190</v>
      </c>
      <c r="C248" s="3" t="s">
        <v>7</v>
      </c>
      <c r="G248" s="3" t="s">
        <v>1187</v>
      </c>
      <c r="I248" s="3" t="str">
        <f>IFERROR(VLOOKUP(C248,'Справочник соответствий'!A$2:D$2996,2,FALSE),IF(VALUE(C248)=0,1,VLOOKUP(C248,'Справочник соответствий'!A$2:D$2996,2,FALSE)))</f>
        <v>2</v>
      </c>
      <c r="J248" s="3">
        <f>IFERROR(VLOOKUP(D248,'Справочник соответствий'!A$2:D$2996,2,FALSE),IF(VALUE(D248)=0,0,VLOOKUP(D248,'Справочник соответствий'!A$2:D$2996,2,FALSE)))</f>
        <v>0</v>
      </c>
      <c r="K248" s="3" t="str">
        <f t="shared" si="21"/>
        <v>2</v>
      </c>
      <c r="L248" s="13" t="str">
        <f>IFERROR(VLOOKUP(C248,'Справочник соответствий'!A$2:D$2996,3,FALSE),IF(VALUE(C248)=0,"ЭТАЖ НЕ ОПРЕДЕЛЕН. ПРИНЯТ ПО ДОПУЩЕНИЮ 1",VLOOKUP(C248,'Справочник соответствий'!A$2:D$2996,3,FALSE)))</f>
        <v>ЭТАЖ ЗАДАН ЧИСЛОМ</v>
      </c>
      <c r="M248" s="13" t="b">
        <f t="shared" si="22"/>
        <v>0</v>
      </c>
      <c r="N248" s="13">
        <f t="shared" si="23"/>
        <v>2</v>
      </c>
      <c r="O248" s="13" t="str">
        <f t="shared" si="24"/>
        <v>ЭТАЖ ЗАДАН ЧИСЛОМ</v>
      </c>
      <c r="P248" s="13" t="str">
        <f t="shared" si="25"/>
        <v>ЭТАЖ ЗАДАН ЧИСЛОМ</v>
      </c>
      <c r="Q248" s="13" t="str">
        <f t="shared" si="26"/>
        <v>ГОТОВ_ИЗМЕНЕН</v>
      </c>
      <c r="R248" s="13">
        <f>IFERROR(VLOOKUP(P248,Лист1!A$1:B$20,2,FALSE),0)</f>
        <v>784</v>
      </c>
      <c r="S248" s="13">
        <f t="shared" si="27"/>
        <v>0</v>
      </c>
    </row>
    <row r="249" spans="1:19" x14ac:dyDescent="0.25">
      <c r="A249" t="s">
        <v>1444</v>
      </c>
      <c r="B249" s="4" t="s">
        <v>1190</v>
      </c>
      <c r="C249" s="3" t="s">
        <v>8</v>
      </c>
      <c r="G249" s="3" t="s">
        <v>1187</v>
      </c>
      <c r="I249" s="3" t="str">
        <f>IFERROR(VLOOKUP(C249,'Справочник соответствий'!A$2:D$2996,2,FALSE),IF(VALUE(C249)=0,1,VLOOKUP(C249,'Справочник соответствий'!A$2:D$2996,2,FALSE)))</f>
        <v>3</v>
      </c>
      <c r="J249" s="3">
        <f>IFERROR(VLOOKUP(D249,'Справочник соответствий'!A$2:D$2996,2,FALSE),IF(VALUE(D249)=0,0,VLOOKUP(D249,'Справочник соответствий'!A$2:D$2996,2,FALSE)))</f>
        <v>0</v>
      </c>
      <c r="K249" s="3" t="str">
        <f t="shared" si="21"/>
        <v>3</v>
      </c>
      <c r="L249" s="13" t="str">
        <f>IFERROR(VLOOKUP(C249,'Справочник соответствий'!A$2:D$2996,3,FALSE),IF(VALUE(C249)=0,"ЭТАЖ НЕ ОПРЕДЕЛЕН. ПРИНЯТ ПО ДОПУЩЕНИЮ 1",VLOOKUP(C249,'Справочник соответствий'!A$2:D$2996,3,FALSE)))</f>
        <v>ЭТАЖ ЗАДАН ЧИСЛОМ</v>
      </c>
      <c r="M249" s="13" t="b">
        <f t="shared" si="22"/>
        <v>0</v>
      </c>
      <c r="N249" s="13">
        <f t="shared" si="23"/>
        <v>3</v>
      </c>
      <c r="O249" s="13" t="str">
        <f t="shared" si="24"/>
        <v>ЭТАЖ ЗАДАН ЧИСЛОМ</v>
      </c>
      <c r="P249" s="13" t="str">
        <f t="shared" si="25"/>
        <v>ЭТАЖ ЗАДАН ЧИСЛОМ</v>
      </c>
      <c r="Q249" s="13" t="str">
        <f t="shared" si="26"/>
        <v>ГОТОВ_ИЗМЕНЕН</v>
      </c>
      <c r="R249" s="13">
        <f>IFERROR(VLOOKUP(P249,Лист1!A$1:B$20,2,FALSE),0)</f>
        <v>784</v>
      </c>
      <c r="S249" s="13">
        <f t="shared" si="27"/>
        <v>0</v>
      </c>
    </row>
    <row r="250" spans="1:19" x14ac:dyDescent="0.25">
      <c r="A250" t="s">
        <v>1445</v>
      </c>
      <c r="B250" s="4" t="s">
        <v>1182</v>
      </c>
      <c r="G250" s="3" t="s">
        <v>1187</v>
      </c>
      <c r="I250" s="3">
        <f>IFERROR(VLOOKUP(C250,'Справочник соответствий'!A$2:D$2996,2,FALSE),IF(VALUE(C250)=0,1,VLOOKUP(C250,'Справочник соответствий'!A$2:D$2996,2,FALSE)))</f>
        <v>1</v>
      </c>
      <c r="J250" s="3">
        <f>IFERROR(VLOOKUP(D250,'Справочник соответствий'!A$2:D$2996,2,FALSE),IF(VALUE(D250)=0,0,VLOOKUP(D250,'Справочник соответствий'!A$2:D$2996,2,FALSE)))</f>
        <v>0</v>
      </c>
      <c r="K250" s="3">
        <f t="shared" si="21"/>
        <v>1</v>
      </c>
      <c r="L250" s="13" t="str">
        <f>IFERROR(VLOOKUP(C250,'Справочник соответствий'!A$2:D$2996,3,FALSE),IF(VALUE(C250)=0,"ЭТАЖ НЕ ОПРЕДЕЛЕН. ПРИНЯТ ПО ДОПУЩЕНИЮ 1",VLOOKUP(C250,'Справочник соответствий'!A$2:D$2996,3,FALSE)))</f>
        <v>ЭТАЖ НЕ ОПРЕДЕЛЕН. ПРИНЯТ ПО ДОПУЩЕНИЮ 1</v>
      </c>
      <c r="M250" s="13" t="b">
        <f t="shared" si="22"/>
        <v>0</v>
      </c>
      <c r="N250" s="13">
        <f t="shared" si="23"/>
        <v>1</v>
      </c>
      <c r="O250" s="13" t="str">
        <f t="shared" si="24"/>
        <v>ЭТАЖ НЕ ОПРЕДЕЛЕН. ПРИНЯТ ПО ДОПУЩЕНИЮ 1</v>
      </c>
      <c r="P250" s="13" t="str">
        <f t="shared" si="25"/>
        <v>ЭТАЖ НЕ ОПРЕДЕЛЕН. ПРИНЯТ ПО ДОПУЩЕНИЮ 1</v>
      </c>
      <c r="Q250" s="13" t="str">
        <f t="shared" si="26"/>
        <v>ГОТОВ_ИЗМЕНЕН</v>
      </c>
      <c r="R250" s="13">
        <f>IFERROR(VLOOKUP(P250,Лист1!A$1:B$20,2,FALSE),0)</f>
        <v>788</v>
      </c>
      <c r="S250" s="13">
        <f t="shared" si="27"/>
        <v>0</v>
      </c>
    </row>
    <row r="251" spans="1:19" x14ac:dyDescent="0.25">
      <c r="A251" t="s">
        <v>1446</v>
      </c>
      <c r="B251" s="4" t="s">
        <v>1182</v>
      </c>
      <c r="C251" s="3" t="s">
        <v>1006</v>
      </c>
      <c r="E251" s="3" t="s">
        <v>5</v>
      </c>
      <c r="F251" t="s">
        <v>1045</v>
      </c>
      <c r="G251" s="3" t="s">
        <v>1198</v>
      </c>
      <c r="H251" s="7" t="s">
        <v>1184</v>
      </c>
      <c r="I251" s="3" t="str">
        <f>IFERROR(VLOOKUP(C251,'Справочник соответствий'!A$2:D$2996,2,FALSE),IF(VALUE(C251)=0,1,VLOOKUP(C251,'Справочник соответствий'!A$2:D$2996,2,FALSE)))</f>
        <v>1</v>
      </c>
      <c r="J251" s="3">
        <f>IFERROR(VLOOKUP(D251,'Справочник соответствий'!A$2:D$2996,2,FALSE),IF(VALUE(D251)=0,0,VLOOKUP(D251,'Справочник соответствий'!A$2:D$2996,2,FALSE)))</f>
        <v>0</v>
      </c>
      <c r="K251" s="3" t="str">
        <f t="shared" si="21"/>
        <v>1</v>
      </c>
      <c r="L251" s="13" t="str">
        <f>IFERROR(VLOOKUP(C251,'Справочник соответствий'!A$2:D$2996,3,FALSE),IF(VALUE(C251)=0,"ЭТАЖ НЕ ОПРЕДЕЛЕН. ПРИНЯТ ПО ДОПУЩЕНИЮ 1",VLOOKUP(C251,'Справочник соответствий'!A$2:D$2996,3,FALSE)))</f>
        <v>СПРАВОЧНИК ЭТАЖНОСТИ</v>
      </c>
      <c r="M251" s="13" t="b">
        <f t="shared" si="22"/>
        <v>1</v>
      </c>
      <c r="N251" s="13">
        <f t="shared" si="23"/>
        <v>1</v>
      </c>
      <c r="O251" s="13" t="str">
        <f t="shared" si="24"/>
        <v>СПРАВОЧНИК ЭТАЖНОСТИ</v>
      </c>
      <c r="P251" s="13" t="str">
        <f t="shared" si="25"/>
        <v>СПРАВОЧНИК ЭТАЖНОСТИ</v>
      </c>
      <c r="Q251" s="13" t="str">
        <f t="shared" si="26"/>
        <v>ГОТОВ</v>
      </c>
      <c r="R251" s="13">
        <f>IFERROR(VLOOKUP(P251,Лист1!A$1:B$20,2,FALSE),0)</f>
        <v>785</v>
      </c>
      <c r="S251" s="13">
        <f t="shared" si="27"/>
        <v>1</v>
      </c>
    </row>
    <row r="252" spans="1:19" x14ac:dyDescent="0.25">
      <c r="A252" t="s">
        <v>1447</v>
      </c>
      <c r="B252" s="4" t="s">
        <v>1190</v>
      </c>
      <c r="C252" s="3" t="s">
        <v>7</v>
      </c>
      <c r="G252" s="3" t="s">
        <v>1191</v>
      </c>
      <c r="I252" s="3" t="str">
        <f>IFERROR(VLOOKUP(C252,'Справочник соответствий'!A$2:D$2996,2,FALSE),IF(VALUE(C252)=0,1,VLOOKUP(C252,'Справочник соответствий'!A$2:D$2996,2,FALSE)))</f>
        <v>2</v>
      </c>
      <c r="J252" s="3">
        <f>IFERROR(VLOOKUP(D252,'Справочник соответствий'!A$2:D$2996,2,FALSE),IF(VALUE(D252)=0,0,VLOOKUP(D252,'Справочник соответствий'!A$2:D$2996,2,FALSE)))</f>
        <v>0</v>
      </c>
      <c r="K252" s="3" t="str">
        <f t="shared" si="21"/>
        <v>2</v>
      </c>
      <c r="L252" s="13" t="str">
        <f>IFERROR(VLOOKUP(C252,'Справочник соответствий'!A$2:D$2996,3,FALSE),IF(VALUE(C252)=0,"ЭТАЖ НЕ ОПРЕДЕЛЕН. ПРИНЯТ ПО ДОПУЩЕНИЮ 1",VLOOKUP(C252,'Справочник соответствий'!A$2:D$2996,3,FALSE)))</f>
        <v>ЭТАЖ ЗАДАН ЧИСЛОМ</v>
      </c>
      <c r="M252" s="13" t="b">
        <f t="shared" si="22"/>
        <v>0</v>
      </c>
      <c r="N252" s="13">
        <f t="shared" si="23"/>
        <v>2</v>
      </c>
      <c r="O252" s="13" t="str">
        <f t="shared" si="24"/>
        <v>ЭТАЖ ЗАДАН ЧИСЛОМ</v>
      </c>
      <c r="P252" s="13" t="str">
        <f t="shared" si="25"/>
        <v>ЭТАЖ ЗАДАН ЧИСЛОМ</v>
      </c>
      <c r="Q252" s="13" t="str">
        <f t="shared" si="26"/>
        <v>ГОТОВ_ИЗМЕНЕН</v>
      </c>
      <c r="R252" s="13">
        <f>IFERROR(VLOOKUP(P252,Лист1!A$1:B$20,2,FALSE),0)</f>
        <v>784</v>
      </c>
      <c r="S252" s="13">
        <f t="shared" si="27"/>
        <v>0</v>
      </c>
    </row>
    <row r="253" spans="1:19" x14ac:dyDescent="0.25">
      <c r="A253" t="s">
        <v>1448</v>
      </c>
      <c r="B253" s="4" t="s">
        <v>1190</v>
      </c>
      <c r="C253" s="3" t="s">
        <v>7</v>
      </c>
      <c r="G253" s="3" t="s">
        <v>1191</v>
      </c>
      <c r="I253" s="3" t="str">
        <f>IFERROR(VLOOKUP(C253,'Справочник соответствий'!A$2:D$2996,2,FALSE),IF(VALUE(C253)=0,1,VLOOKUP(C253,'Справочник соответствий'!A$2:D$2996,2,FALSE)))</f>
        <v>2</v>
      </c>
      <c r="J253" s="3">
        <f>IFERROR(VLOOKUP(D253,'Справочник соответствий'!A$2:D$2996,2,FALSE),IF(VALUE(D253)=0,0,VLOOKUP(D253,'Справочник соответствий'!A$2:D$2996,2,FALSE)))</f>
        <v>0</v>
      </c>
      <c r="K253" s="3" t="str">
        <f t="shared" si="21"/>
        <v>2</v>
      </c>
      <c r="L253" s="13" t="str">
        <f>IFERROR(VLOOKUP(C253,'Справочник соответствий'!A$2:D$2996,3,FALSE),IF(VALUE(C253)=0,"ЭТАЖ НЕ ОПРЕДЕЛЕН. ПРИНЯТ ПО ДОПУЩЕНИЮ 1",VLOOKUP(C253,'Справочник соответствий'!A$2:D$2996,3,FALSE)))</f>
        <v>ЭТАЖ ЗАДАН ЧИСЛОМ</v>
      </c>
      <c r="M253" s="13" t="b">
        <f t="shared" si="22"/>
        <v>0</v>
      </c>
      <c r="N253" s="13">
        <f t="shared" si="23"/>
        <v>2</v>
      </c>
      <c r="O253" s="13" t="str">
        <f t="shared" si="24"/>
        <v>ЭТАЖ ЗАДАН ЧИСЛОМ</v>
      </c>
      <c r="P253" s="13" t="str">
        <f t="shared" si="25"/>
        <v>ЭТАЖ ЗАДАН ЧИСЛОМ</v>
      </c>
      <c r="Q253" s="13" t="str">
        <f t="shared" si="26"/>
        <v>ГОТОВ_ИЗМЕНЕН</v>
      </c>
      <c r="R253" s="13">
        <f>IFERROR(VLOOKUP(P253,Лист1!A$1:B$20,2,FALSE),0)</f>
        <v>784</v>
      </c>
      <c r="S253" s="13">
        <f t="shared" si="27"/>
        <v>0</v>
      </c>
    </row>
    <row r="254" spans="1:19" x14ac:dyDescent="0.25">
      <c r="A254" t="s">
        <v>1449</v>
      </c>
      <c r="B254" s="4" t="s">
        <v>1190</v>
      </c>
      <c r="C254" s="3" t="s">
        <v>7</v>
      </c>
      <c r="G254" s="3" t="s">
        <v>1191</v>
      </c>
      <c r="I254" s="3" t="str">
        <f>IFERROR(VLOOKUP(C254,'Справочник соответствий'!A$2:D$2996,2,FALSE),IF(VALUE(C254)=0,1,VLOOKUP(C254,'Справочник соответствий'!A$2:D$2996,2,FALSE)))</f>
        <v>2</v>
      </c>
      <c r="J254" s="3">
        <f>IFERROR(VLOOKUP(D254,'Справочник соответствий'!A$2:D$2996,2,FALSE),IF(VALUE(D254)=0,0,VLOOKUP(D254,'Справочник соответствий'!A$2:D$2996,2,FALSE)))</f>
        <v>0</v>
      </c>
      <c r="K254" s="3" t="str">
        <f t="shared" si="21"/>
        <v>2</v>
      </c>
      <c r="L254" s="13" t="str">
        <f>IFERROR(VLOOKUP(C254,'Справочник соответствий'!A$2:D$2996,3,FALSE),IF(VALUE(C254)=0,"ЭТАЖ НЕ ОПРЕДЕЛЕН. ПРИНЯТ ПО ДОПУЩЕНИЮ 1",VLOOKUP(C254,'Справочник соответствий'!A$2:D$2996,3,FALSE)))</f>
        <v>ЭТАЖ ЗАДАН ЧИСЛОМ</v>
      </c>
      <c r="M254" s="13" t="b">
        <f t="shared" si="22"/>
        <v>0</v>
      </c>
      <c r="N254" s="13">
        <f t="shared" si="23"/>
        <v>2</v>
      </c>
      <c r="O254" s="13" t="str">
        <f t="shared" si="24"/>
        <v>ЭТАЖ ЗАДАН ЧИСЛОМ</v>
      </c>
      <c r="P254" s="13" t="str">
        <f t="shared" si="25"/>
        <v>ЭТАЖ ЗАДАН ЧИСЛОМ</v>
      </c>
      <c r="Q254" s="13" t="str">
        <f t="shared" si="26"/>
        <v>ГОТОВ_ИЗМЕНЕН</v>
      </c>
      <c r="R254" s="13">
        <f>IFERROR(VLOOKUP(P254,Лист1!A$1:B$20,2,FALSE),0)</f>
        <v>784</v>
      </c>
      <c r="S254" s="13">
        <f t="shared" si="27"/>
        <v>0</v>
      </c>
    </row>
    <row r="255" spans="1:19" x14ac:dyDescent="0.25">
      <c r="A255" t="s">
        <v>1450</v>
      </c>
      <c r="B255" s="4" t="s">
        <v>1182</v>
      </c>
      <c r="C255" s="3" t="s">
        <v>5</v>
      </c>
      <c r="G255" s="3" t="s">
        <v>1191</v>
      </c>
      <c r="I255" s="3" t="str">
        <f>IFERROR(VLOOKUP(C255,'Справочник соответствий'!A$2:D$2996,2,FALSE),IF(VALUE(C255)=0,1,VLOOKUP(C255,'Справочник соответствий'!A$2:D$2996,2,FALSE)))</f>
        <v>1</v>
      </c>
      <c r="J255" s="3">
        <f>IFERROR(VLOOKUP(D255,'Справочник соответствий'!A$2:D$2996,2,FALSE),IF(VALUE(D255)=0,0,VLOOKUP(D255,'Справочник соответствий'!A$2:D$2996,2,FALSE)))</f>
        <v>0</v>
      </c>
      <c r="K255" s="3" t="str">
        <f t="shared" si="21"/>
        <v>1</v>
      </c>
      <c r="L255" s="13" t="str">
        <f>IFERROR(VLOOKUP(C255,'Справочник соответствий'!A$2:D$2996,3,FALSE),IF(VALUE(C255)=0,"ЭТАЖ НЕ ОПРЕДЕЛЕН. ПРИНЯТ ПО ДОПУЩЕНИЮ 1",VLOOKUP(C255,'Справочник соответствий'!A$2:D$2996,3,FALSE)))</f>
        <v>ЭТАЖ ЗАДАН ЧИСЛОМ</v>
      </c>
      <c r="M255" s="13" t="b">
        <f t="shared" si="22"/>
        <v>0</v>
      </c>
      <c r="N255" s="13">
        <f t="shared" si="23"/>
        <v>1</v>
      </c>
      <c r="O255" s="13" t="str">
        <f t="shared" si="24"/>
        <v>ЭТАЖ ЗАДАН ЧИСЛОМ</v>
      </c>
      <c r="P255" s="13" t="str">
        <f t="shared" si="25"/>
        <v>ЭТАЖ ЗАДАН ЧИСЛОМ</v>
      </c>
      <c r="Q255" s="13" t="str">
        <f t="shared" si="26"/>
        <v>ГОТОВ_ИЗМЕНЕН</v>
      </c>
      <c r="R255" s="13">
        <f>IFERROR(VLOOKUP(P255,Лист1!A$1:B$20,2,FALSE),0)</f>
        <v>784</v>
      </c>
      <c r="S255" s="13">
        <f t="shared" si="27"/>
        <v>0</v>
      </c>
    </row>
    <row r="256" spans="1:19" x14ac:dyDescent="0.25">
      <c r="A256" t="s">
        <v>1451</v>
      </c>
      <c r="B256" s="4" t="s">
        <v>1182</v>
      </c>
      <c r="G256" s="3" t="s">
        <v>1191</v>
      </c>
      <c r="I256" s="3">
        <f>IFERROR(VLOOKUP(C256,'Справочник соответствий'!A$2:D$2996,2,FALSE),IF(VALUE(C256)=0,1,VLOOKUP(C256,'Справочник соответствий'!A$2:D$2996,2,FALSE)))</f>
        <v>1</v>
      </c>
      <c r="J256" s="3">
        <f>IFERROR(VLOOKUP(D256,'Справочник соответствий'!A$2:D$2996,2,FALSE),IF(VALUE(D256)=0,0,VLOOKUP(D256,'Справочник соответствий'!A$2:D$2996,2,FALSE)))</f>
        <v>0</v>
      </c>
      <c r="K256" s="3">
        <f t="shared" si="21"/>
        <v>1</v>
      </c>
      <c r="L256" s="13" t="str">
        <f>IFERROR(VLOOKUP(C256,'Справочник соответствий'!A$2:D$2996,3,FALSE),IF(VALUE(C256)=0,"ЭТАЖ НЕ ОПРЕДЕЛЕН. ПРИНЯТ ПО ДОПУЩЕНИЮ 1",VLOOKUP(C256,'Справочник соответствий'!A$2:D$2996,3,FALSE)))</f>
        <v>ЭТАЖ НЕ ОПРЕДЕЛЕН. ПРИНЯТ ПО ДОПУЩЕНИЮ 1</v>
      </c>
      <c r="M256" s="13" t="b">
        <f t="shared" si="22"/>
        <v>0</v>
      </c>
      <c r="N256" s="13">
        <f t="shared" si="23"/>
        <v>1</v>
      </c>
      <c r="O256" s="13" t="str">
        <f t="shared" si="24"/>
        <v>ЭТАЖ НЕ ОПРЕДЕЛЕН. ПРИНЯТ ПО ДОПУЩЕНИЮ 1</v>
      </c>
      <c r="P256" s="13" t="str">
        <f t="shared" si="25"/>
        <v>ЭТАЖ НЕ ОПРЕДЕЛЕН. ПРИНЯТ ПО ДОПУЩЕНИЮ 1</v>
      </c>
      <c r="Q256" s="13" t="str">
        <f t="shared" si="26"/>
        <v>ГОТОВ_ИЗМЕНЕН</v>
      </c>
      <c r="R256" s="13">
        <f>IFERROR(VLOOKUP(P256,Лист1!A$1:B$20,2,FALSE),0)</f>
        <v>788</v>
      </c>
      <c r="S256" s="13">
        <f t="shared" si="27"/>
        <v>0</v>
      </c>
    </row>
    <row r="257" spans="1:19" x14ac:dyDescent="0.25">
      <c r="A257" t="s">
        <v>1452</v>
      </c>
      <c r="B257" s="4" t="s">
        <v>1190</v>
      </c>
      <c r="C257" s="3" t="s">
        <v>5</v>
      </c>
      <c r="G257" s="3" t="s">
        <v>1191</v>
      </c>
      <c r="I257" s="3" t="str">
        <f>IFERROR(VLOOKUP(C257,'Справочник соответствий'!A$2:D$2996,2,FALSE),IF(VALUE(C257)=0,1,VLOOKUP(C257,'Справочник соответствий'!A$2:D$2996,2,FALSE)))</f>
        <v>1</v>
      </c>
      <c r="J257" s="3">
        <f>IFERROR(VLOOKUP(D257,'Справочник соответствий'!A$2:D$2996,2,FALSE),IF(VALUE(D257)=0,0,VLOOKUP(D257,'Справочник соответствий'!A$2:D$2996,2,FALSE)))</f>
        <v>0</v>
      </c>
      <c r="K257" s="3" t="str">
        <f t="shared" si="21"/>
        <v>1</v>
      </c>
      <c r="L257" s="13" t="str">
        <f>IFERROR(VLOOKUP(C257,'Справочник соответствий'!A$2:D$2996,3,FALSE),IF(VALUE(C257)=0,"ЭТАЖ НЕ ОПРЕДЕЛЕН. ПРИНЯТ ПО ДОПУЩЕНИЮ 1",VLOOKUP(C257,'Справочник соответствий'!A$2:D$2996,3,FALSE)))</f>
        <v>ЭТАЖ ЗАДАН ЧИСЛОМ</v>
      </c>
      <c r="M257" s="13" t="b">
        <f t="shared" si="22"/>
        <v>0</v>
      </c>
      <c r="N257" s="13">
        <f t="shared" si="23"/>
        <v>1</v>
      </c>
      <c r="O257" s="13" t="str">
        <f t="shared" si="24"/>
        <v>ЭТАЖ ЗАДАН ЧИСЛОМ</v>
      </c>
      <c r="P257" s="13" t="str">
        <f t="shared" si="25"/>
        <v>ЭТАЖ ЗАДАН ЧИСЛОМ</v>
      </c>
      <c r="Q257" s="13" t="str">
        <f t="shared" si="26"/>
        <v>ГОТОВ_ИЗМЕНЕН</v>
      </c>
      <c r="R257" s="13">
        <f>IFERROR(VLOOKUP(P257,Лист1!A$1:B$20,2,FALSE),0)</f>
        <v>784</v>
      </c>
      <c r="S257" s="13">
        <f t="shared" si="27"/>
        <v>0</v>
      </c>
    </row>
    <row r="258" spans="1:19" x14ac:dyDescent="0.25">
      <c r="A258" t="s">
        <v>1453</v>
      </c>
      <c r="B258" s="4" t="s">
        <v>1190</v>
      </c>
      <c r="C258" s="3" t="s">
        <v>7</v>
      </c>
      <c r="G258" s="3" t="s">
        <v>1183</v>
      </c>
      <c r="I258" s="3" t="str">
        <f>IFERROR(VLOOKUP(C258,'Справочник соответствий'!A$2:D$2996,2,FALSE),IF(VALUE(C258)=0,1,VLOOKUP(C258,'Справочник соответствий'!A$2:D$2996,2,FALSE)))</f>
        <v>2</v>
      </c>
      <c r="J258" s="3">
        <f>IFERROR(VLOOKUP(D258,'Справочник соответствий'!A$2:D$2996,2,FALSE),IF(VALUE(D258)=0,0,VLOOKUP(D258,'Справочник соответствий'!A$2:D$2996,2,FALSE)))</f>
        <v>0</v>
      </c>
      <c r="K258" s="3" t="str">
        <f t="shared" ref="K258:K321" si="28">IF(B258="Многоквартирный дом",IF(I258-J258&gt;0,I258-J258,1),I258)</f>
        <v>2</v>
      </c>
      <c r="L258" s="13" t="str">
        <f>IFERROR(VLOOKUP(C258,'Справочник соответствий'!A$2:D$2996,3,FALSE),IF(VALUE(C258)=0,"ЭТАЖ НЕ ОПРЕДЕЛЕН. ПРИНЯТ ПО ДОПУЩЕНИЮ 1",VLOOKUP(C258,'Справочник соответствий'!A$2:D$2996,3,FALSE)))</f>
        <v>ЭТАЖ ЗАДАН ЧИСЛОМ</v>
      </c>
      <c r="M258" s="13" t="b">
        <f t="shared" ref="M258:M321" si="29">I258=E258</f>
        <v>0</v>
      </c>
      <c r="N258" s="13">
        <f t="shared" ref="N258:N321" si="30">IF(VALUE(E258)=0,VALUE(K258),IF(L258="ЭТАЖ НЕ ОПРЕДЕЛЕН. ПРИНЯТ ПО ДОПУЩЕНИЮ 1",VALUE(E258),VALUE(K258)))</f>
        <v>2</v>
      </c>
      <c r="O258" s="13" t="str">
        <f t="shared" ref="O258:O321" si="31">IF(VALUE(E258)=0,L258,IF(L258="ЭТАЖ НЕ ОПРЕДЕЛЕН. ПРИНЯТ ПО ДОПУЩЕНИЮ 1",F258,L258))</f>
        <v>ЭТАЖ ЗАДАН ЧИСЛОМ</v>
      </c>
      <c r="P258" s="13" t="str">
        <f t="shared" ref="P258:P321" si="32">IF(B258="Многоквартирный дом",CONCATENATE("МКД_",O258),O258)</f>
        <v>ЭТАЖ ЗАДАН ЧИСЛОМ</v>
      </c>
      <c r="Q258" s="13" t="str">
        <f t="shared" ref="Q258:Q321" si="33">IFERROR(IF(N258&gt;0,IF(N258=VALUE(E258),"ГОТОВ","ГОТОВ_ИЗМЕНЕН"),"НЕ ГОТОВ"),"НЕ ГОТОВ")</f>
        <v>ГОТОВ_ИЗМЕНЕН</v>
      </c>
      <c r="R258" s="13">
        <f>IFERROR(VLOOKUP(P258,Лист1!A$1:B$20,2,FALSE),0)</f>
        <v>784</v>
      </c>
      <c r="S258" s="13">
        <f t="shared" ref="S258:S321" si="34">VALUE(E258)</f>
        <v>0</v>
      </c>
    </row>
    <row r="259" spans="1:19" x14ac:dyDescent="0.25">
      <c r="A259" t="s">
        <v>1454</v>
      </c>
      <c r="B259" s="4" t="s">
        <v>1190</v>
      </c>
      <c r="C259" s="3" t="s">
        <v>8</v>
      </c>
      <c r="D259" s="3" t="s">
        <v>5</v>
      </c>
      <c r="G259" s="3" t="s">
        <v>1183</v>
      </c>
      <c r="I259" s="3" t="str">
        <f>IFERROR(VLOOKUP(C259,'Справочник соответствий'!A$2:D$2996,2,FALSE),IF(VALUE(C259)=0,1,VLOOKUP(C259,'Справочник соответствий'!A$2:D$2996,2,FALSE)))</f>
        <v>3</v>
      </c>
      <c r="J259" s="3" t="str">
        <f>IFERROR(VLOOKUP(D259,'Справочник соответствий'!A$2:D$2996,2,FALSE),IF(VALUE(D259)=0,0,VLOOKUP(D259,'Справочник соответствий'!A$2:D$2996,2,FALSE)))</f>
        <v>1</v>
      </c>
      <c r="K259" s="3" t="str">
        <f t="shared" si="28"/>
        <v>3</v>
      </c>
      <c r="L259" s="13" t="str">
        <f>IFERROR(VLOOKUP(C259,'Справочник соответствий'!A$2:D$2996,3,FALSE),IF(VALUE(C259)=0,"ЭТАЖ НЕ ОПРЕДЕЛЕН. ПРИНЯТ ПО ДОПУЩЕНИЮ 1",VLOOKUP(C259,'Справочник соответствий'!A$2:D$2996,3,FALSE)))</f>
        <v>ЭТАЖ ЗАДАН ЧИСЛОМ</v>
      </c>
      <c r="M259" s="13" t="b">
        <f t="shared" si="29"/>
        <v>0</v>
      </c>
      <c r="N259" s="13">
        <f t="shared" si="30"/>
        <v>3</v>
      </c>
      <c r="O259" s="13" t="str">
        <f t="shared" si="31"/>
        <v>ЭТАЖ ЗАДАН ЧИСЛОМ</v>
      </c>
      <c r="P259" s="13" t="str">
        <f t="shared" si="32"/>
        <v>ЭТАЖ ЗАДАН ЧИСЛОМ</v>
      </c>
      <c r="Q259" s="13" t="str">
        <f t="shared" si="33"/>
        <v>ГОТОВ_ИЗМЕНЕН</v>
      </c>
      <c r="R259" s="13">
        <f>IFERROR(VLOOKUP(P259,Лист1!A$1:B$20,2,FALSE),0)</f>
        <v>784</v>
      </c>
      <c r="S259" s="13">
        <f t="shared" si="34"/>
        <v>0</v>
      </c>
    </row>
    <row r="260" spans="1:19" x14ac:dyDescent="0.25">
      <c r="A260" t="s">
        <v>1455</v>
      </c>
      <c r="B260" s="4" t="s">
        <v>1190</v>
      </c>
      <c r="C260" s="3" t="s">
        <v>5</v>
      </c>
      <c r="G260" s="3" t="s">
        <v>1183</v>
      </c>
      <c r="I260" s="3" t="str">
        <f>IFERROR(VLOOKUP(C260,'Справочник соответствий'!A$2:D$2996,2,FALSE),IF(VALUE(C260)=0,1,VLOOKUP(C260,'Справочник соответствий'!A$2:D$2996,2,FALSE)))</f>
        <v>1</v>
      </c>
      <c r="J260" s="3">
        <f>IFERROR(VLOOKUP(D260,'Справочник соответствий'!A$2:D$2996,2,FALSE),IF(VALUE(D260)=0,0,VLOOKUP(D260,'Справочник соответствий'!A$2:D$2996,2,FALSE)))</f>
        <v>0</v>
      </c>
      <c r="K260" s="3" t="str">
        <f t="shared" si="28"/>
        <v>1</v>
      </c>
      <c r="L260" s="13" t="str">
        <f>IFERROR(VLOOKUP(C260,'Справочник соответствий'!A$2:D$2996,3,FALSE),IF(VALUE(C260)=0,"ЭТАЖ НЕ ОПРЕДЕЛЕН. ПРИНЯТ ПО ДОПУЩЕНИЮ 1",VLOOKUP(C260,'Справочник соответствий'!A$2:D$2996,3,FALSE)))</f>
        <v>ЭТАЖ ЗАДАН ЧИСЛОМ</v>
      </c>
      <c r="M260" s="13" t="b">
        <f t="shared" si="29"/>
        <v>0</v>
      </c>
      <c r="N260" s="13">
        <f t="shared" si="30"/>
        <v>1</v>
      </c>
      <c r="O260" s="13" t="str">
        <f t="shared" si="31"/>
        <v>ЭТАЖ ЗАДАН ЧИСЛОМ</v>
      </c>
      <c r="P260" s="13" t="str">
        <f t="shared" si="32"/>
        <v>ЭТАЖ ЗАДАН ЧИСЛОМ</v>
      </c>
      <c r="Q260" s="13" t="str">
        <f t="shared" si="33"/>
        <v>ГОТОВ_ИЗМЕНЕН</v>
      </c>
      <c r="R260" s="13">
        <f>IFERROR(VLOOKUP(P260,Лист1!A$1:B$20,2,FALSE),0)</f>
        <v>784</v>
      </c>
      <c r="S260" s="13">
        <f t="shared" si="34"/>
        <v>0</v>
      </c>
    </row>
    <row r="261" spans="1:19" x14ac:dyDescent="0.25">
      <c r="A261" t="s">
        <v>1456</v>
      </c>
      <c r="B261" s="4" t="s">
        <v>1182</v>
      </c>
      <c r="G261" s="3" t="s">
        <v>1183</v>
      </c>
      <c r="I261" s="3">
        <f>IFERROR(VLOOKUP(C261,'Справочник соответствий'!A$2:D$2996,2,FALSE),IF(VALUE(C261)=0,1,VLOOKUP(C261,'Справочник соответствий'!A$2:D$2996,2,FALSE)))</f>
        <v>1</v>
      </c>
      <c r="J261" s="3">
        <f>IFERROR(VLOOKUP(D261,'Справочник соответствий'!A$2:D$2996,2,FALSE),IF(VALUE(D261)=0,0,VLOOKUP(D261,'Справочник соответствий'!A$2:D$2996,2,FALSE)))</f>
        <v>0</v>
      </c>
      <c r="K261" s="3">
        <f t="shared" si="28"/>
        <v>1</v>
      </c>
      <c r="L261" s="13" t="str">
        <f>IFERROR(VLOOKUP(C261,'Справочник соответствий'!A$2:D$2996,3,FALSE),IF(VALUE(C261)=0,"ЭТАЖ НЕ ОПРЕДЕЛЕН. ПРИНЯТ ПО ДОПУЩЕНИЮ 1",VLOOKUP(C261,'Справочник соответствий'!A$2:D$2996,3,FALSE)))</f>
        <v>ЭТАЖ НЕ ОПРЕДЕЛЕН. ПРИНЯТ ПО ДОПУЩЕНИЮ 1</v>
      </c>
      <c r="M261" s="13" t="b">
        <f t="shared" si="29"/>
        <v>0</v>
      </c>
      <c r="N261" s="13">
        <f t="shared" si="30"/>
        <v>1</v>
      </c>
      <c r="O261" s="13" t="str">
        <f t="shared" si="31"/>
        <v>ЭТАЖ НЕ ОПРЕДЕЛЕН. ПРИНЯТ ПО ДОПУЩЕНИЮ 1</v>
      </c>
      <c r="P261" s="13" t="str">
        <f t="shared" si="32"/>
        <v>ЭТАЖ НЕ ОПРЕДЕЛЕН. ПРИНЯТ ПО ДОПУЩЕНИЮ 1</v>
      </c>
      <c r="Q261" s="13" t="str">
        <f t="shared" si="33"/>
        <v>ГОТОВ_ИЗМЕНЕН</v>
      </c>
      <c r="R261" s="13">
        <f>IFERROR(VLOOKUP(P261,Лист1!A$1:B$20,2,FALSE),0)</f>
        <v>788</v>
      </c>
      <c r="S261" s="13">
        <f t="shared" si="34"/>
        <v>0</v>
      </c>
    </row>
    <row r="262" spans="1:19" x14ac:dyDescent="0.25">
      <c r="A262" t="s">
        <v>1457</v>
      </c>
      <c r="B262" s="4" t="s">
        <v>1190</v>
      </c>
      <c r="C262" s="3" t="s">
        <v>8</v>
      </c>
      <c r="G262" s="3" t="s">
        <v>1183</v>
      </c>
      <c r="I262" s="3" t="str">
        <f>IFERROR(VLOOKUP(C262,'Справочник соответствий'!A$2:D$2996,2,FALSE),IF(VALUE(C262)=0,1,VLOOKUP(C262,'Справочник соответствий'!A$2:D$2996,2,FALSE)))</f>
        <v>3</v>
      </c>
      <c r="J262" s="3">
        <f>IFERROR(VLOOKUP(D262,'Справочник соответствий'!A$2:D$2996,2,FALSE),IF(VALUE(D262)=0,0,VLOOKUP(D262,'Справочник соответствий'!A$2:D$2996,2,FALSE)))</f>
        <v>0</v>
      </c>
      <c r="K262" s="3" t="str">
        <f t="shared" si="28"/>
        <v>3</v>
      </c>
      <c r="L262" s="13" t="str">
        <f>IFERROR(VLOOKUP(C262,'Справочник соответствий'!A$2:D$2996,3,FALSE),IF(VALUE(C262)=0,"ЭТАЖ НЕ ОПРЕДЕЛЕН. ПРИНЯТ ПО ДОПУЩЕНИЮ 1",VLOOKUP(C262,'Справочник соответствий'!A$2:D$2996,3,FALSE)))</f>
        <v>ЭТАЖ ЗАДАН ЧИСЛОМ</v>
      </c>
      <c r="M262" s="13" t="b">
        <f t="shared" si="29"/>
        <v>0</v>
      </c>
      <c r="N262" s="13">
        <f t="shared" si="30"/>
        <v>3</v>
      </c>
      <c r="O262" s="13" t="str">
        <f t="shared" si="31"/>
        <v>ЭТАЖ ЗАДАН ЧИСЛОМ</v>
      </c>
      <c r="P262" s="13" t="str">
        <f t="shared" si="32"/>
        <v>ЭТАЖ ЗАДАН ЧИСЛОМ</v>
      </c>
      <c r="Q262" s="13" t="str">
        <f t="shared" si="33"/>
        <v>ГОТОВ_ИЗМЕНЕН</v>
      </c>
      <c r="R262" s="13">
        <f>IFERROR(VLOOKUP(P262,Лист1!A$1:B$20,2,FALSE),0)</f>
        <v>784</v>
      </c>
      <c r="S262" s="13">
        <f t="shared" si="34"/>
        <v>0</v>
      </c>
    </row>
    <row r="263" spans="1:19" x14ac:dyDescent="0.25">
      <c r="A263" t="s">
        <v>1458</v>
      </c>
      <c r="B263" s="4" t="s">
        <v>1190</v>
      </c>
      <c r="C263" s="3" t="s">
        <v>5</v>
      </c>
      <c r="G263" s="3" t="s">
        <v>1198</v>
      </c>
      <c r="I263" s="3" t="str">
        <f>IFERROR(VLOOKUP(C263,'Справочник соответствий'!A$2:D$2996,2,FALSE),IF(VALUE(C263)=0,1,VLOOKUP(C263,'Справочник соответствий'!A$2:D$2996,2,FALSE)))</f>
        <v>1</v>
      </c>
      <c r="J263" s="3">
        <f>IFERROR(VLOOKUP(D263,'Справочник соответствий'!A$2:D$2996,2,FALSE),IF(VALUE(D263)=0,0,VLOOKUP(D263,'Справочник соответствий'!A$2:D$2996,2,FALSE)))</f>
        <v>0</v>
      </c>
      <c r="K263" s="3" t="str">
        <f t="shared" si="28"/>
        <v>1</v>
      </c>
      <c r="L263" s="13" t="str">
        <f>IFERROR(VLOOKUP(C263,'Справочник соответствий'!A$2:D$2996,3,FALSE),IF(VALUE(C263)=0,"ЭТАЖ НЕ ОПРЕДЕЛЕН. ПРИНЯТ ПО ДОПУЩЕНИЮ 1",VLOOKUP(C263,'Справочник соответствий'!A$2:D$2996,3,FALSE)))</f>
        <v>ЭТАЖ ЗАДАН ЧИСЛОМ</v>
      </c>
      <c r="M263" s="13" t="b">
        <f t="shared" si="29"/>
        <v>0</v>
      </c>
      <c r="N263" s="13">
        <f t="shared" si="30"/>
        <v>1</v>
      </c>
      <c r="O263" s="13" t="str">
        <f t="shared" si="31"/>
        <v>ЭТАЖ ЗАДАН ЧИСЛОМ</v>
      </c>
      <c r="P263" s="13" t="str">
        <f t="shared" si="32"/>
        <v>ЭТАЖ ЗАДАН ЧИСЛОМ</v>
      </c>
      <c r="Q263" s="13" t="str">
        <f t="shared" si="33"/>
        <v>ГОТОВ_ИЗМЕНЕН</v>
      </c>
      <c r="R263" s="13">
        <f>IFERROR(VLOOKUP(P263,Лист1!A$1:B$20,2,FALSE),0)</f>
        <v>784</v>
      </c>
      <c r="S263" s="13">
        <f t="shared" si="34"/>
        <v>0</v>
      </c>
    </row>
    <row r="264" spans="1:19" x14ac:dyDescent="0.25">
      <c r="A264" t="s">
        <v>1459</v>
      </c>
      <c r="B264" s="4" t="s">
        <v>1190</v>
      </c>
      <c r="C264" s="3" t="s">
        <v>5</v>
      </c>
      <c r="G264" s="3" t="s">
        <v>1198</v>
      </c>
      <c r="I264" s="3" t="str">
        <f>IFERROR(VLOOKUP(C264,'Справочник соответствий'!A$2:D$2996,2,FALSE),IF(VALUE(C264)=0,1,VLOOKUP(C264,'Справочник соответствий'!A$2:D$2996,2,FALSE)))</f>
        <v>1</v>
      </c>
      <c r="J264" s="3">
        <f>IFERROR(VLOOKUP(D264,'Справочник соответствий'!A$2:D$2996,2,FALSE),IF(VALUE(D264)=0,0,VLOOKUP(D264,'Справочник соответствий'!A$2:D$2996,2,FALSE)))</f>
        <v>0</v>
      </c>
      <c r="K264" s="3" t="str">
        <f t="shared" si="28"/>
        <v>1</v>
      </c>
      <c r="L264" s="13" t="str">
        <f>IFERROR(VLOOKUP(C264,'Справочник соответствий'!A$2:D$2996,3,FALSE),IF(VALUE(C264)=0,"ЭТАЖ НЕ ОПРЕДЕЛЕН. ПРИНЯТ ПО ДОПУЩЕНИЮ 1",VLOOKUP(C264,'Справочник соответствий'!A$2:D$2996,3,FALSE)))</f>
        <v>ЭТАЖ ЗАДАН ЧИСЛОМ</v>
      </c>
      <c r="M264" s="13" t="b">
        <f t="shared" si="29"/>
        <v>0</v>
      </c>
      <c r="N264" s="13">
        <f t="shared" si="30"/>
        <v>1</v>
      </c>
      <c r="O264" s="13" t="str">
        <f t="shared" si="31"/>
        <v>ЭТАЖ ЗАДАН ЧИСЛОМ</v>
      </c>
      <c r="P264" s="13" t="str">
        <f t="shared" si="32"/>
        <v>ЭТАЖ ЗАДАН ЧИСЛОМ</v>
      </c>
      <c r="Q264" s="13" t="str">
        <f t="shared" si="33"/>
        <v>ГОТОВ_ИЗМЕНЕН</v>
      </c>
      <c r="R264" s="13">
        <f>IFERROR(VLOOKUP(P264,Лист1!A$1:B$20,2,FALSE),0)</f>
        <v>784</v>
      </c>
      <c r="S264" s="13">
        <f t="shared" si="34"/>
        <v>0</v>
      </c>
    </row>
    <row r="265" spans="1:19" x14ac:dyDescent="0.25">
      <c r="A265" t="s">
        <v>1460</v>
      </c>
      <c r="B265" s="4" t="s">
        <v>1190</v>
      </c>
      <c r="G265" s="3" t="s">
        <v>1198</v>
      </c>
      <c r="I265" s="3">
        <f>IFERROR(VLOOKUP(C265,'Справочник соответствий'!A$2:D$2996,2,FALSE),IF(VALUE(C265)=0,1,VLOOKUP(C265,'Справочник соответствий'!A$2:D$2996,2,FALSE)))</f>
        <v>1</v>
      </c>
      <c r="J265" s="3">
        <f>IFERROR(VLOOKUP(D265,'Справочник соответствий'!A$2:D$2996,2,FALSE),IF(VALUE(D265)=0,0,VLOOKUP(D265,'Справочник соответствий'!A$2:D$2996,2,FALSE)))</f>
        <v>0</v>
      </c>
      <c r="K265" s="3">
        <f t="shared" si="28"/>
        <v>1</v>
      </c>
      <c r="L265" s="13" t="str">
        <f>IFERROR(VLOOKUP(C265,'Справочник соответствий'!A$2:D$2996,3,FALSE),IF(VALUE(C265)=0,"ЭТАЖ НЕ ОПРЕДЕЛЕН. ПРИНЯТ ПО ДОПУЩЕНИЮ 1",VLOOKUP(C265,'Справочник соответствий'!A$2:D$2996,3,FALSE)))</f>
        <v>ЭТАЖ НЕ ОПРЕДЕЛЕН. ПРИНЯТ ПО ДОПУЩЕНИЮ 1</v>
      </c>
      <c r="M265" s="13" t="b">
        <f t="shared" si="29"/>
        <v>0</v>
      </c>
      <c r="N265" s="13">
        <f t="shared" si="30"/>
        <v>1</v>
      </c>
      <c r="O265" s="13" t="str">
        <f t="shared" si="31"/>
        <v>ЭТАЖ НЕ ОПРЕДЕЛЕН. ПРИНЯТ ПО ДОПУЩЕНИЮ 1</v>
      </c>
      <c r="P265" s="13" t="str">
        <f t="shared" si="32"/>
        <v>ЭТАЖ НЕ ОПРЕДЕЛЕН. ПРИНЯТ ПО ДОПУЩЕНИЮ 1</v>
      </c>
      <c r="Q265" s="13" t="str">
        <f t="shared" si="33"/>
        <v>ГОТОВ_ИЗМЕНЕН</v>
      </c>
      <c r="R265" s="13">
        <f>IFERROR(VLOOKUP(P265,Лист1!A$1:B$20,2,FALSE),0)</f>
        <v>788</v>
      </c>
      <c r="S265" s="13">
        <f t="shared" si="34"/>
        <v>0</v>
      </c>
    </row>
    <row r="266" spans="1:19" x14ac:dyDescent="0.25">
      <c r="A266" t="s">
        <v>1461</v>
      </c>
      <c r="B266" s="4" t="s">
        <v>1190</v>
      </c>
      <c r="C266" s="3" t="s">
        <v>8</v>
      </c>
      <c r="D266" s="3" t="s">
        <v>5</v>
      </c>
      <c r="G266" s="3" t="s">
        <v>1198</v>
      </c>
      <c r="I266" s="3" t="str">
        <f>IFERROR(VLOOKUP(C266,'Справочник соответствий'!A$2:D$2996,2,FALSE),IF(VALUE(C266)=0,1,VLOOKUP(C266,'Справочник соответствий'!A$2:D$2996,2,FALSE)))</f>
        <v>3</v>
      </c>
      <c r="J266" s="3" t="str">
        <f>IFERROR(VLOOKUP(D266,'Справочник соответствий'!A$2:D$2996,2,FALSE),IF(VALUE(D266)=0,0,VLOOKUP(D266,'Справочник соответствий'!A$2:D$2996,2,FALSE)))</f>
        <v>1</v>
      </c>
      <c r="K266" s="3" t="str">
        <f t="shared" si="28"/>
        <v>3</v>
      </c>
      <c r="L266" s="13" t="str">
        <f>IFERROR(VLOOKUP(C266,'Справочник соответствий'!A$2:D$2996,3,FALSE),IF(VALUE(C266)=0,"ЭТАЖ НЕ ОПРЕДЕЛЕН. ПРИНЯТ ПО ДОПУЩЕНИЮ 1",VLOOKUP(C266,'Справочник соответствий'!A$2:D$2996,3,FALSE)))</f>
        <v>ЭТАЖ ЗАДАН ЧИСЛОМ</v>
      </c>
      <c r="M266" s="13" t="b">
        <f t="shared" si="29"/>
        <v>0</v>
      </c>
      <c r="N266" s="13">
        <f t="shared" si="30"/>
        <v>3</v>
      </c>
      <c r="O266" s="13" t="str">
        <f t="shared" si="31"/>
        <v>ЭТАЖ ЗАДАН ЧИСЛОМ</v>
      </c>
      <c r="P266" s="13" t="str">
        <f t="shared" si="32"/>
        <v>ЭТАЖ ЗАДАН ЧИСЛОМ</v>
      </c>
      <c r="Q266" s="13" t="str">
        <f t="shared" si="33"/>
        <v>ГОТОВ_ИЗМЕНЕН</v>
      </c>
      <c r="R266" s="13">
        <f>IFERROR(VLOOKUP(P266,Лист1!A$1:B$20,2,FALSE),0)</f>
        <v>784</v>
      </c>
      <c r="S266" s="13">
        <f t="shared" si="34"/>
        <v>0</v>
      </c>
    </row>
    <row r="267" spans="1:19" x14ac:dyDescent="0.25">
      <c r="A267" t="s">
        <v>1462</v>
      </c>
      <c r="B267" s="4" t="s">
        <v>1182</v>
      </c>
      <c r="G267" s="3" t="s">
        <v>1198</v>
      </c>
      <c r="I267" s="3">
        <f>IFERROR(VLOOKUP(C267,'Справочник соответствий'!A$2:D$2996,2,FALSE),IF(VALUE(C267)=0,1,VLOOKUP(C267,'Справочник соответствий'!A$2:D$2996,2,FALSE)))</f>
        <v>1</v>
      </c>
      <c r="J267" s="3">
        <f>IFERROR(VLOOKUP(D267,'Справочник соответствий'!A$2:D$2996,2,FALSE),IF(VALUE(D267)=0,0,VLOOKUP(D267,'Справочник соответствий'!A$2:D$2996,2,FALSE)))</f>
        <v>0</v>
      </c>
      <c r="K267" s="3">
        <f t="shared" si="28"/>
        <v>1</v>
      </c>
      <c r="L267" s="13" t="str">
        <f>IFERROR(VLOOKUP(C267,'Справочник соответствий'!A$2:D$2996,3,FALSE),IF(VALUE(C267)=0,"ЭТАЖ НЕ ОПРЕДЕЛЕН. ПРИНЯТ ПО ДОПУЩЕНИЮ 1",VLOOKUP(C267,'Справочник соответствий'!A$2:D$2996,3,FALSE)))</f>
        <v>ЭТАЖ НЕ ОПРЕДЕЛЕН. ПРИНЯТ ПО ДОПУЩЕНИЮ 1</v>
      </c>
      <c r="M267" s="13" t="b">
        <f t="shared" si="29"/>
        <v>0</v>
      </c>
      <c r="N267" s="13">
        <f t="shared" si="30"/>
        <v>1</v>
      </c>
      <c r="O267" s="13" t="str">
        <f t="shared" si="31"/>
        <v>ЭТАЖ НЕ ОПРЕДЕЛЕН. ПРИНЯТ ПО ДОПУЩЕНИЮ 1</v>
      </c>
      <c r="P267" s="13" t="str">
        <f t="shared" si="32"/>
        <v>ЭТАЖ НЕ ОПРЕДЕЛЕН. ПРИНЯТ ПО ДОПУЩЕНИЮ 1</v>
      </c>
      <c r="Q267" s="13" t="str">
        <f t="shared" si="33"/>
        <v>ГОТОВ_ИЗМЕНЕН</v>
      </c>
      <c r="R267" s="13">
        <f>IFERROR(VLOOKUP(P267,Лист1!A$1:B$20,2,FALSE),0)</f>
        <v>788</v>
      </c>
      <c r="S267" s="13">
        <f t="shared" si="34"/>
        <v>0</v>
      </c>
    </row>
    <row r="268" spans="1:19" x14ac:dyDescent="0.25">
      <c r="A268" t="s">
        <v>1463</v>
      </c>
      <c r="B268" s="4" t="s">
        <v>1190</v>
      </c>
      <c r="C268" s="3" t="s">
        <v>7</v>
      </c>
      <c r="G268" s="3" t="s">
        <v>1224</v>
      </c>
      <c r="I268" s="3" t="str">
        <f>IFERROR(VLOOKUP(C268,'Справочник соответствий'!A$2:D$2996,2,FALSE),IF(VALUE(C268)=0,1,VLOOKUP(C268,'Справочник соответствий'!A$2:D$2996,2,FALSE)))</f>
        <v>2</v>
      </c>
      <c r="J268" s="3">
        <f>IFERROR(VLOOKUP(D268,'Справочник соответствий'!A$2:D$2996,2,FALSE),IF(VALUE(D268)=0,0,VLOOKUP(D268,'Справочник соответствий'!A$2:D$2996,2,FALSE)))</f>
        <v>0</v>
      </c>
      <c r="K268" s="3" t="str">
        <f t="shared" si="28"/>
        <v>2</v>
      </c>
      <c r="L268" s="13" t="str">
        <f>IFERROR(VLOOKUP(C268,'Справочник соответствий'!A$2:D$2996,3,FALSE),IF(VALUE(C268)=0,"ЭТАЖ НЕ ОПРЕДЕЛЕН. ПРИНЯТ ПО ДОПУЩЕНИЮ 1",VLOOKUP(C268,'Справочник соответствий'!A$2:D$2996,3,FALSE)))</f>
        <v>ЭТАЖ ЗАДАН ЧИСЛОМ</v>
      </c>
      <c r="M268" s="13" t="b">
        <f t="shared" si="29"/>
        <v>0</v>
      </c>
      <c r="N268" s="13">
        <f t="shared" si="30"/>
        <v>2</v>
      </c>
      <c r="O268" s="13" t="str">
        <f t="shared" si="31"/>
        <v>ЭТАЖ ЗАДАН ЧИСЛОМ</v>
      </c>
      <c r="P268" s="13" t="str">
        <f t="shared" si="32"/>
        <v>ЭТАЖ ЗАДАН ЧИСЛОМ</v>
      </c>
      <c r="Q268" s="13" t="str">
        <f t="shared" si="33"/>
        <v>ГОТОВ_ИЗМЕНЕН</v>
      </c>
      <c r="R268" s="13">
        <f>IFERROR(VLOOKUP(P268,Лист1!A$1:B$20,2,FALSE),0)</f>
        <v>784</v>
      </c>
      <c r="S268" s="13">
        <f t="shared" si="34"/>
        <v>0</v>
      </c>
    </row>
    <row r="269" spans="1:19" x14ac:dyDescent="0.25">
      <c r="A269" t="s">
        <v>1464</v>
      </c>
      <c r="B269" s="4" t="s">
        <v>1190</v>
      </c>
      <c r="C269" s="3" t="s">
        <v>5</v>
      </c>
      <c r="G269" s="3" t="s">
        <v>1224</v>
      </c>
      <c r="I269" s="3" t="str">
        <f>IFERROR(VLOOKUP(C269,'Справочник соответствий'!A$2:D$2996,2,FALSE),IF(VALUE(C269)=0,1,VLOOKUP(C269,'Справочник соответствий'!A$2:D$2996,2,FALSE)))</f>
        <v>1</v>
      </c>
      <c r="J269" s="3">
        <f>IFERROR(VLOOKUP(D269,'Справочник соответствий'!A$2:D$2996,2,FALSE),IF(VALUE(D269)=0,0,VLOOKUP(D269,'Справочник соответствий'!A$2:D$2996,2,FALSE)))</f>
        <v>0</v>
      </c>
      <c r="K269" s="3" t="str">
        <f t="shared" si="28"/>
        <v>1</v>
      </c>
      <c r="L269" s="13" t="str">
        <f>IFERROR(VLOOKUP(C269,'Справочник соответствий'!A$2:D$2996,3,FALSE),IF(VALUE(C269)=0,"ЭТАЖ НЕ ОПРЕДЕЛЕН. ПРИНЯТ ПО ДОПУЩЕНИЮ 1",VLOOKUP(C269,'Справочник соответствий'!A$2:D$2996,3,FALSE)))</f>
        <v>ЭТАЖ ЗАДАН ЧИСЛОМ</v>
      </c>
      <c r="M269" s="13" t="b">
        <f t="shared" si="29"/>
        <v>0</v>
      </c>
      <c r="N269" s="13">
        <f t="shared" si="30"/>
        <v>1</v>
      </c>
      <c r="O269" s="13" t="str">
        <f t="shared" si="31"/>
        <v>ЭТАЖ ЗАДАН ЧИСЛОМ</v>
      </c>
      <c r="P269" s="13" t="str">
        <f t="shared" si="32"/>
        <v>ЭТАЖ ЗАДАН ЧИСЛОМ</v>
      </c>
      <c r="Q269" s="13" t="str">
        <f t="shared" si="33"/>
        <v>ГОТОВ_ИЗМЕНЕН</v>
      </c>
      <c r="R269" s="13">
        <f>IFERROR(VLOOKUP(P269,Лист1!A$1:B$20,2,FALSE),0)</f>
        <v>784</v>
      </c>
      <c r="S269" s="13">
        <f t="shared" si="34"/>
        <v>0</v>
      </c>
    </row>
    <row r="270" spans="1:19" x14ac:dyDescent="0.25">
      <c r="A270" t="s">
        <v>1465</v>
      </c>
      <c r="B270" s="4" t="s">
        <v>1190</v>
      </c>
      <c r="C270" s="3" t="s">
        <v>5</v>
      </c>
      <c r="G270" s="3" t="s">
        <v>1224</v>
      </c>
      <c r="I270" s="3" t="str">
        <f>IFERROR(VLOOKUP(C270,'Справочник соответствий'!A$2:D$2996,2,FALSE),IF(VALUE(C270)=0,1,VLOOKUP(C270,'Справочник соответствий'!A$2:D$2996,2,FALSE)))</f>
        <v>1</v>
      </c>
      <c r="J270" s="3">
        <f>IFERROR(VLOOKUP(D270,'Справочник соответствий'!A$2:D$2996,2,FALSE),IF(VALUE(D270)=0,0,VLOOKUP(D270,'Справочник соответствий'!A$2:D$2996,2,FALSE)))</f>
        <v>0</v>
      </c>
      <c r="K270" s="3" t="str">
        <f t="shared" si="28"/>
        <v>1</v>
      </c>
      <c r="L270" s="13" t="str">
        <f>IFERROR(VLOOKUP(C270,'Справочник соответствий'!A$2:D$2996,3,FALSE),IF(VALUE(C270)=0,"ЭТАЖ НЕ ОПРЕДЕЛЕН. ПРИНЯТ ПО ДОПУЩЕНИЮ 1",VLOOKUP(C270,'Справочник соответствий'!A$2:D$2996,3,FALSE)))</f>
        <v>ЭТАЖ ЗАДАН ЧИСЛОМ</v>
      </c>
      <c r="M270" s="13" t="b">
        <f t="shared" si="29"/>
        <v>0</v>
      </c>
      <c r="N270" s="13">
        <f t="shared" si="30"/>
        <v>1</v>
      </c>
      <c r="O270" s="13" t="str">
        <f t="shared" si="31"/>
        <v>ЭТАЖ ЗАДАН ЧИСЛОМ</v>
      </c>
      <c r="P270" s="13" t="str">
        <f t="shared" si="32"/>
        <v>ЭТАЖ ЗАДАН ЧИСЛОМ</v>
      </c>
      <c r="Q270" s="13" t="str">
        <f t="shared" si="33"/>
        <v>ГОТОВ_ИЗМЕНЕН</v>
      </c>
      <c r="R270" s="13">
        <f>IFERROR(VLOOKUP(P270,Лист1!A$1:B$20,2,FALSE),0)</f>
        <v>784</v>
      </c>
      <c r="S270" s="13">
        <f t="shared" si="34"/>
        <v>0</v>
      </c>
    </row>
    <row r="271" spans="1:19" x14ac:dyDescent="0.25">
      <c r="A271" t="s">
        <v>1466</v>
      </c>
      <c r="B271" s="4" t="s">
        <v>1182</v>
      </c>
      <c r="C271" s="3" t="s">
        <v>5</v>
      </c>
      <c r="G271" s="3" t="s">
        <v>1224</v>
      </c>
      <c r="I271" s="3" t="str">
        <f>IFERROR(VLOOKUP(C271,'Справочник соответствий'!A$2:D$2996,2,FALSE),IF(VALUE(C271)=0,1,VLOOKUP(C271,'Справочник соответствий'!A$2:D$2996,2,FALSE)))</f>
        <v>1</v>
      </c>
      <c r="J271" s="3">
        <f>IFERROR(VLOOKUP(D271,'Справочник соответствий'!A$2:D$2996,2,FALSE),IF(VALUE(D271)=0,0,VLOOKUP(D271,'Справочник соответствий'!A$2:D$2996,2,FALSE)))</f>
        <v>0</v>
      </c>
      <c r="K271" s="3" t="str">
        <f t="shared" si="28"/>
        <v>1</v>
      </c>
      <c r="L271" s="13" t="str">
        <f>IFERROR(VLOOKUP(C271,'Справочник соответствий'!A$2:D$2996,3,FALSE),IF(VALUE(C271)=0,"ЭТАЖ НЕ ОПРЕДЕЛЕН. ПРИНЯТ ПО ДОПУЩЕНИЮ 1",VLOOKUP(C271,'Справочник соответствий'!A$2:D$2996,3,FALSE)))</f>
        <v>ЭТАЖ ЗАДАН ЧИСЛОМ</v>
      </c>
      <c r="M271" s="13" t="b">
        <f t="shared" si="29"/>
        <v>0</v>
      </c>
      <c r="N271" s="13">
        <f t="shared" si="30"/>
        <v>1</v>
      </c>
      <c r="O271" s="13" t="str">
        <f t="shared" si="31"/>
        <v>ЭТАЖ ЗАДАН ЧИСЛОМ</v>
      </c>
      <c r="P271" s="13" t="str">
        <f t="shared" si="32"/>
        <v>ЭТАЖ ЗАДАН ЧИСЛОМ</v>
      </c>
      <c r="Q271" s="13" t="str">
        <f t="shared" si="33"/>
        <v>ГОТОВ_ИЗМЕНЕН</v>
      </c>
      <c r="R271" s="13">
        <f>IFERROR(VLOOKUP(P271,Лист1!A$1:B$20,2,FALSE),0)</f>
        <v>784</v>
      </c>
      <c r="S271" s="13">
        <f t="shared" si="34"/>
        <v>0</v>
      </c>
    </row>
    <row r="272" spans="1:19" x14ac:dyDescent="0.25">
      <c r="A272" t="s">
        <v>1467</v>
      </c>
      <c r="B272" s="4" t="s">
        <v>1190</v>
      </c>
      <c r="C272" s="3" t="s">
        <v>5</v>
      </c>
      <c r="G272" s="3" t="s">
        <v>1224</v>
      </c>
      <c r="I272" s="3" t="str">
        <f>IFERROR(VLOOKUP(C272,'Справочник соответствий'!A$2:D$2996,2,FALSE),IF(VALUE(C272)=0,1,VLOOKUP(C272,'Справочник соответствий'!A$2:D$2996,2,FALSE)))</f>
        <v>1</v>
      </c>
      <c r="J272" s="3">
        <f>IFERROR(VLOOKUP(D272,'Справочник соответствий'!A$2:D$2996,2,FALSE),IF(VALUE(D272)=0,0,VLOOKUP(D272,'Справочник соответствий'!A$2:D$2996,2,FALSE)))</f>
        <v>0</v>
      </c>
      <c r="K272" s="3" t="str">
        <f t="shared" si="28"/>
        <v>1</v>
      </c>
      <c r="L272" s="13" t="str">
        <f>IFERROR(VLOOKUP(C272,'Справочник соответствий'!A$2:D$2996,3,FALSE),IF(VALUE(C272)=0,"ЭТАЖ НЕ ОПРЕДЕЛЕН. ПРИНЯТ ПО ДОПУЩЕНИЮ 1",VLOOKUP(C272,'Справочник соответствий'!A$2:D$2996,3,FALSE)))</f>
        <v>ЭТАЖ ЗАДАН ЧИСЛОМ</v>
      </c>
      <c r="M272" s="13" t="b">
        <f t="shared" si="29"/>
        <v>0</v>
      </c>
      <c r="N272" s="13">
        <f t="shared" si="30"/>
        <v>1</v>
      </c>
      <c r="O272" s="13" t="str">
        <f t="shared" si="31"/>
        <v>ЭТАЖ ЗАДАН ЧИСЛОМ</v>
      </c>
      <c r="P272" s="13" t="str">
        <f t="shared" si="32"/>
        <v>ЭТАЖ ЗАДАН ЧИСЛОМ</v>
      </c>
      <c r="Q272" s="13" t="str">
        <f t="shared" si="33"/>
        <v>ГОТОВ_ИЗМЕНЕН</v>
      </c>
      <c r="R272" s="13">
        <f>IFERROR(VLOOKUP(P272,Лист1!A$1:B$20,2,FALSE),0)</f>
        <v>784</v>
      </c>
      <c r="S272" s="13">
        <f t="shared" si="34"/>
        <v>0</v>
      </c>
    </row>
    <row r="273" spans="1:19" x14ac:dyDescent="0.25">
      <c r="A273" t="s">
        <v>1468</v>
      </c>
      <c r="B273" s="4" t="s">
        <v>1190</v>
      </c>
      <c r="G273" s="3" t="s">
        <v>1224</v>
      </c>
      <c r="I273" s="3">
        <f>IFERROR(VLOOKUP(C273,'Справочник соответствий'!A$2:D$2996,2,FALSE),IF(VALUE(C273)=0,1,VLOOKUP(C273,'Справочник соответствий'!A$2:D$2996,2,FALSE)))</f>
        <v>1</v>
      </c>
      <c r="J273" s="3">
        <f>IFERROR(VLOOKUP(D273,'Справочник соответствий'!A$2:D$2996,2,FALSE),IF(VALUE(D273)=0,0,VLOOKUP(D273,'Справочник соответствий'!A$2:D$2996,2,FALSE)))</f>
        <v>0</v>
      </c>
      <c r="K273" s="3">
        <f t="shared" si="28"/>
        <v>1</v>
      </c>
      <c r="L273" s="13" t="str">
        <f>IFERROR(VLOOKUP(C273,'Справочник соответствий'!A$2:D$2996,3,FALSE),IF(VALUE(C273)=0,"ЭТАЖ НЕ ОПРЕДЕЛЕН. ПРИНЯТ ПО ДОПУЩЕНИЮ 1",VLOOKUP(C273,'Справочник соответствий'!A$2:D$2996,3,FALSE)))</f>
        <v>ЭТАЖ НЕ ОПРЕДЕЛЕН. ПРИНЯТ ПО ДОПУЩЕНИЮ 1</v>
      </c>
      <c r="M273" s="13" t="b">
        <f t="shared" si="29"/>
        <v>0</v>
      </c>
      <c r="N273" s="13">
        <f t="shared" si="30"/>
        <v>1</v>
      </c>
      <c r="O273" s="13" t="str">
        <f t="shared" si="31"/>
        <v>ЭТАЖ НЕ ОПРЕДЕЛЕН. ПРИНЯТ ПО ДОПУЩЕНИЮ 1</v>
      </c>
      <c r="P273" s="13" t="str">
        <f t="shared" si="32"/>
        <v>ЭТАЖ НЕ ОПРЕДЕЛЕН. ПРИНЯТ ПО ДОПУЩЕНИЮ 1</v>
      </c>
      <c r="Q273" s="13" t="str">
        <f t="shared" si="33"/>
        <v>ГОТОВ_ИЗМЕНЕН</v>
      </c>
      <c r="R273" s="13">
        <f>IFERROR(VLOOKUP(P273,Лист1!A$1:B$20,2,FALSE),0)</f>
        <v>788</v>
      </c>
      <c r="S273" s="13">
        <f t="shared" si="34"/>
        <v>0</v>
      </c>
    </row>
    <row r="274" spans="1:19" x14ac:dyDescent="0.25">
      <c r="A274" t="s">
        <v>1469</v>
      </c>
      <c r="B274" s="4" t="s">
        <v>1190</v>
      </c>
      <c r="C274" s="3" t="s">
        <v>7</v>
      </c>
      <c r="G274" s="3" t="s">
        <v>1224</v>
      </c>
      <c r="I274" s="3" t="str">
        <f>IFERROR(VLOOKUP(C274,'Справочник соответствий'!A$2:D$2996,2,FALSE),IF(VALUE(C274)=0,1,VLOOKUP(C274,'Справочник соответствий'!A$2:D$2996,2,FALSE)))</f>
        <v>2</v>
      </c>
      <c r="J274" s="3">
        <f>IFERROR(VLOOKUP(D274,'Справочник соответствий'!A$2:D$2996,2,FALSE),IF(VALUE(D274)=0,0,VLOOKUP(D274,'Справочник соответствий'!A$2:D$2996,2,FALSE)))</f>
        <v>0</v>
      </c>
      <c r="K274" s="3" t="str">
        <f t="shared" si="28"/>
        <v>2</v>
      </c>
      <c r="L274" s="13" t="str">
        <f>IFERROR(VLOOKUP(C274,'Справочник соответствий'!A$2:D$2996,3,FALSE),IF(VALUE(C274)=0,"ЭТАЖ НЕ ОПРЕДЕЛЕН. ПРИНЯТ ПО ДОПУЩЕНИЮ 1",VLOOKUP(C274,'Справочник соответствий'!A$2:D$2996,3,FALSE)))</f>
        <v>ЭТАЖ ЗАДАН ЧИСЛОМ</v>
      </c>
      <c r="M274" s="13" t="b">
        <f t="shared" si="29"/>
        <v>0</v>
      </c>
      <c r="N274" s="13">
        <f t="shared" si="30"/>
        <v>2</v>
      </c>
      <c r="O274" s="13" t="str">
        <f t="shared" si="31"/>
        <v>ЭТАЖ ЗАДАН ЧИСЛОМ</v>
      </c>
      <c r="P274" s="13" t="str">
        <f t="shared" si="32"/>
        <v>ЭТАЖ ЗАДАН ЧИСЛОМ</v>
      </c>
      <c r="Q274" s="13" t="str">
        <f t="shared" si="33"/>
        <v>ГОТОВ_ИЗМЕНЕН</v>
      </c>
      <c r="R274" s="13">
        <f>IFERROR(VLOOKUP(P274,Лист1!A$1:B$20,2,FALSE),0)</f>
        <v>784</v>
      </c>
      <c r="S274" s="13">
        <f t="shared" si="34"/>
        <v>0</v>
      </c>
    </row>
    <row r="275" spans="1:19" x14ac:dyDescent="0.25">
      <c r="A275" t="s">
        <v>1470</v>
      </c>
      <c r="B275" s="4" t="s">
        <v>1182</v>
      </c>
      <c r="C275" s="3" t="s">
        <v>5</v>
      </c>
      <c r="E275" s="3" t="s">
        <v>5</v>
      </c>
      <c r="F275" t="s">
        <v>1045</v>
      </c>
      <c r="G275" s="3" t="s">
        <v>1187</v>
      </c>
      <c r="H275" s="7" t="s">
        <v>1184</v>
      </c>
      <c r="I275" s="3" t="str">
        <f>IFERROR(VLOOKUP(C275,'Справочник соответствий'!A$2:D$2996,2,FALSE),IF(VALUE(C275)=0,1,VLOOKUP(C275,'Справочник соответствий'!A$2:D$2996,2,FALSE)))</f>
        <v>1</v>
      </c>
      <c r="J275" s="3">
        <f>IFERROR(VLOOKUP(D275,'Справочник соответствий'!A$2:D$2996,2,FALSE),IF(VALUE(D275)=0,0,VLOOKUP(D275,'Справочник соответствий'!A$2:D$2996,2,FALSE)))</f>
        <v>0</v>
      </c>
      <c r="K275" s="3" t="str">
        <f t="shared" si="28"/>
        <v>1</v>
      </c>
      <c r="L275" s="13" t="str">
        <f>IFERROR(VLOOKUP(C275,'Справочник соответствий'!A$2:D$2996,3,FALSE),IF(VALUE(C275)=0,"ЭТАЖ НЕ ОПРЕДЕЛЕН. ПРИНЯТ ПО ДОПУЩЕНИЮ 1",VLOOKUP(C275,'Справочник соответствий'!A$2:D$2996,3,FALSE)))</f>
        <v>ЭТАЖ ЗАДАН ЧИСЛОМ</v>
      </c>
      <c r="M275" s="13" t="b">
        <f t="shared" si="29"/>
        <v>1</v>
      </c>
      <c r="N275" s="13">
        <f t="shared" si="30"/>
        <v>1</v>
      </c>
      <c r="O275" s="13" t="str">
        <f t="shared" si="31"/>
        <v>ЭТАЖ ЗАДАН ЧИСЛОМ</v>
      </c>
      <c r="P275" s="13" t="str">
        <f t="shared" si="32"/>
        <v>ЭТАЖ ЗАДАН ЧИСЛОМ</v>
      </c>
      <c r="Q275" s="13" t="str">
        <f t="shared" si="33"/>
        <v>ГОТОВ</v>
      </c>
      <c r="R275" s="13">
        <f>IFERROR(VLOOKUP(P275,Лист1!A$1:B$20,2,FALSE),0)</f>
        <v>784</v>
      </c>
      <c r="S275" s="13">
        <f t="shared" si="34"/>
        <v>1</v>
      </c>
    </row>
    <row r="276" spans="1:19" x14ac:dyDescent="0.25">
      <c r="A276" t="s">
        <v>1471</v>
      </c>
      <c r="B276" s="4" t="s">
        <v>1182</v>
      </c>
      <c r="C276" s="3" t="s">
        <v>5</v>
      </c>
      <c r="E276" s="3" t="s">
        <v>5</v>
      </c>
      <c r="F276" t="s">
        <v>1186</v>
      </c>
      <c r="G276" s="3" t="s">
        <v>1187</v>
      </c>
      <c r="H276" s="7" t="s">
        <v>1184</v>
      </c>
      <c r="I276" s="3" t="str">
        <f>IFERROR(VLOOKUP(C276,'Справочник соответствий'!A$2:D$2996,2,FALSE),IF(VALUE(C276)=0,1,VLOOKUP(C276,'Справочник соответствий'!A$2:D$2996,2,FALSE)))</f>
        <v>1</v>
      </c>
      <c r="J276" s="3">
        <f>IFERROR(VLOOKUP(D276,'Справочник соответствий'!A$2:D$2996,2,FALSE),IF(VALUE(D276)=0,0,VLOOKUP(D276,'Справочник соответствий'!A$2:D$2996,2,FALSE)))</f>
        <v>0</v>
      </c>
      <c r="K276" s="3" t="str">
        <f t="shared" si="28"/>
        <v>1</v>
      </c>
      <c r="L276" s="13" t="str">
        <f>IFERROR(VLOOKUP(C276,'Справочник соответствий'!A$2:D$2996,3,FALSE),IF(VALUE(C276)=0,"ЭТАЖ НЕ ОПРЕДЕЛЕН. ПРИНЯТ ПО ДОПУЩЕНИЮ 1",VLOOKUP(C276,'Справочник соответствий'!A$2:D$2996,3,FALSE)))</f>
        <v>ЭТАЖ ЗАДАН ЧИСЛОМ</v>
      </c>
      <c r="M276" s="13" t="b">
        <f t="shared" si="29"/>
        <v>1</v>
      </c>
      <c r="N276" s="13">
        <f t="shared" si="30"/>
        <v>1</v>
      </c>
      <c r="O276" s="13" t="str">
        <f t="shared" si="31"/>
        <v>ЭТАЖ ЗАДАН ЧИСЛОМ</v>
      </c>
      <c r="P276" s="13" t="str">
        <f t="shared" si="32"/>
        <v>ЭТАЖ ЗАДАН ЧИСЛОМ</v>
      </c>
      <c r="Q276" s="13" t="str">
        <f t="shared" si="33"/>
        <v>ГОТОВ</v>
      </c>
      <c r="R276" s="13">
        <f>IFERROR(VLOOKUP(P276,Лист1!A$1:B$20,2,FALSE),0)</f>
        <v>784</v>
      </c>
      <c r="S276" s="13">
        <f t="shared" si="34"/>
        <v>1</v>
      </c>
    </row>
    <row r="277" spans="1:19" x14ac:dyDescent="0.25">
      <c r="A277" t="s">
        <v>1472</v>
      </c>
      <c r="B277" s="4" t="s">
        <v>1190</v>
      </c>
      <c r="C277" s="3" t="s">
        <v>7</v>
      </c>
      <c r="E277" s="3" t="s">
        <v>5</v>
      </c>
      <c r="F277" t="s">
        <v>1038</v>
      </c>
      <c r="G277" s="3" t="s">
        <v>1191</v>
      </c>
      <c r="H277" s="7" t="s">
        <v>1184</v>
      </c>
      <c r="I277" s="3" t="str">
        <f>IFERROR(VLOOKUP(C277,'Справочник соответствий'!A$2:D$2996,2,FALSE),IF(VALUE(C277)=0,1,VLOOKUP(C277,'Справочник соответствий'!A$2:D$2996,2,FALSE)))</f>
        <v>2</v>
      </c>
      <c r="J277" s="3">
        <f>IFERROR(VLOOKUP(D277,'Справочник соответствий'!A$2:D$2996,2,FALSE),IF(VALUE(D277)=0,0,VLOOKUP(D277,'Справочник соответствий'!A$2:D$2996,2,FALSE)))</f>
        <v>0</v>
      </c>
      <c r="K277" s="3" t="str">
        <f t="shared" si="28"/>
        <v>2</v>
      </c>
      <c r="L277" s="13" t="str">
        <f>IFERROR(VLOOKUP(C277,'Справочник соответствий'!A$2:D$2996,3,FALSE),IF(VALUE(C277)=0,"ЭТАЖ НЕ ОПРЕДЕЛЕН. ПРИНЯТ ПО ДОПУЩЕНИЮ 1",VLOOKUP(C277,'Справочник соответствий'!A$2:D$2996,3,FALSE)))</f>
        <v>ЭТАЖ ЗАДАН ЧИСЛОМ</v>
      </c>
      <c r="M277" s="13" t="b">
        <f t="shared" si="29"/>
        <v>0</v>
      </c>
      <c r="N277" s="13">
        <f t="shared" si="30"/>
        <v>2</v>
      </c>
      <c r="O277" s="13" t="str">
        <f t="shared" si="31"/>
        <v>ЭТАЖ ЗАДАН ЧИСЛОМ</v>
      </c>
      <c r="P277" s="13" t="str">
        <f t="shared" si="32"/>
        <v>ЭТАЖ ЗАДАН ЧИСЛОМ</v>
      </c>
      <c r="Q277" s="13" t="str">
        <f t="shared" si="33"/>
        <v>ГОТОВ_ИЗМЕНЕН</v>
      </c>
      <c r="R277" s="13">
        <f>IFERROR(VLOOKUP(P277,Лист1!A$1:B$20,2,FALSE),0)</f>
        <v>784</v>
      </c>
      <c r="S277" s="13">
        <f t="shared" si="34"/>
        <v>1</v>
      </c>
    </row>
    <row r="278" spans="1:19" x14ac:dyDescent="0.25">
      <c r="A278" t="s">
        <v>1473</v>
      </c>
      <c r="B278" s="4" t="s">
        <v>1190</v>
      </c>
      <c r="C278" s="3" t="s">
        <v>7</v>
      </c>
      <c r="E278" s="3" t="s">
        <v>5</v>
      </c>
      <c r="F278" t="s">
        <v>1045</v>
      </c>
      <c r="G278" s="3" t="s">
        <v>1191</v>
      </c>
      <c r="H278" s="7" t="s">
        <v>1184</v>
      </c>
      <c r="I278" s="3" t="str">
        <f>IFERROR(VLOOKUP(C278,'Справочник соответствий'!A$2:D$2996,2,FALSE),IF(VALUE(C278)=0,1,VLOOKUP(C278,'Справочник соответствий'!A$2:D$2996,2,FALSE)))</f>
        <v>2</v>
      </c>
      <c r="J278" s="3">
        <f>IFERROR(VLOOKUP(D278,'Справочник соответствий'!A$2:D$2996,2,FALSE),IF(VALUE(D278)=0,0,VLOOKUP(D278,'Справочник соответствий'!A$2:D$2996,2,FALSE)))</f>
        <v>0</v>
      </c>
      <c r="K278" s="3" t="str">
        <f t="shared" si="28"/>
        <v>2</v>
      </c>
      <c r="L278" s="13" t="str">
        <f>IFERROR(VLOOKUP(C278,'Справочник соответствий'!A$2:D$2996,3,FALSE),IF(VALUE(C278)=0,"ЭТАЖ НЕ ОПРЕДЕЛЕН. ПРИНЯТ ПО ДОПУЩЕНИЮ 1",VLOOKUP(C278,'Справочник соответствий'!A$2:D$2996,3,FALSE)))</f>
        <v>ЭТАЖ ЗАДАН ЧИСЛОМ</v>
      </c>
      <c r="M278" s="13" t="b">
        <f t="shared" si="29"/>
        <v>0</v>
      </c>
      <c r="N278" s="13">
        <f t="shared" si="30"/>
        <v>2</v>
      </c>
      <c r="O278" s="13" t="str">
        <f t="shared" si="31"/>
        <v>ЭТАЖ ЗАДАН ЧИСЛОМ</v>
      </c>
      <c r="P278" s="13" t="str">
        <f t="shared" si="32"/>
        <v>ЭТАЖ ЗАДАН ЧИСЛОМ</v>
      </c>
      <c r="Q278" s="13" t="str">
        <f t="shared" si="33"/>
        <v>ГОТОВ_ИЗМЕНЕН</v>
      </c>
      <c r="R278" s="13">
        <f>IFERROR(VLOOKUP(P278,Лист1!A$1:B$20,2,FALSE),0)</f>
        <v>784</v>
      </c>
      <c r="S278" s="13">
        <f t="shared" si="34"/>
        <v>1</v>
      </c>
    </row>
    <row r="279" spans="1:19" x14ac:dyDescent="0.25">
      <c r="A279" t="s">
        <v>1474</v>
      </c>
      <c r="B279" s="4" t="s">
        <v>1182</v>
      </c>
      <c r="C279" s="3" t="s">
        <v>5</v>
      </c>
      <c r="E279" s="3" t="s">
        <v>5</v>
      </c>
      <c r="F279" t="s">
        <v>1186</v>
      </c>
      <c r="G279" s="3" t="s">
        <v>1187</v>
      </c>
      <c r="H279" s="7" t="s">
        <v>1184</v>
      </c>
      <c r="I279" s="3" t="str">
        <f>IFERROR(VLOOKUP(C279,'Справочник соответствий'!A$2:D$2996,2,FALSE),IF(VALUE(C279)=0,1,VLOOKUP(C279,'Справочник соответствий'!A$2:D$2996,2,FALSE)))</f>
        <v>1</v>
      </c>
      <c r="J279" s="3">
        <f>IFERROR(VLOOKUP(D279,'Справочник соответствий'!A$2:D$2996,2,FALSE),IF(VALUE(D279)=0,0,VLOOKUP(D279,'Справочник соответствий'!A$2:D$2996,2,FALSE)))</f>
        <v>0</v>
      </c>
      <c r="K279" s="3" t="str">
        <f t="shared" si="28"/>
        <v>1</v>
      </c>
      <c r="L279" s="13" t="str">
        <f>IFERROR(VLOOKUP(C279,'Справочник соответствий'!A$2:D$2996,3,FALSE),IF(VALUE(C279)=0,"ЭТАЖ НЕ ОПРЕДЕЛЕН. ПРИНЯТ ПО ДОПУЩЕНИЮ 1",VLOOKUP(C279,'Справочник соответствий'!A$2:D$2996,3,FALSE)))</f>
        <v>ЭТАЖ ЗАДАН ЧИСЛОМ</v>
      </c>
      <c r="M279" s="13" t="b">
        <f t="shared" si="29"/>
        <v>1</v>
      </c>
      <c r="N279" s="13">
        <f t="shared" si="30"/>
        <v>1</v>
      </c>
      <c r="O279" s="13" t="str">
        <f t="shared" si="31"/>
        <v>ЭТАЖ ЗАДАН ЧИСЛОМ</v>
      </c>
      <c r="P279" s="13" t="str">
        <f t="shared" si="32"/>
        <v>ЭТАЖ ЗАДАН ЧИСЛОМ</v>
      </c>
      <c r="Q279" s="13" t="str">
        <f t="shared" si="33"/>
        <v>ГОТОВ</v>
      </c>
      <c r="R279" s="13">
        <f>IFERROR(VLOOKUP(P279,Лист1!A$1:B$20,2,FALSE),0)</f>
        <v>784</v>
      </c>
      <c r="S279" s="13">
        <f t="shared" si="34"/>
        <v>1</v>
      </c>
    </row>
    <row r="280" spans="1:19" x14ac:dyDescent="0.25">
      <c r="A280" t="s">
        <v>1475</v>
      </c>
      <c r="B280" s="4" t="s">
        <v>1190</v>
      </c>
      <c r="C280" s="3" t="s">
        <v>5</v>
      </c>
      <c r="E280" s="3" t="s">
        <v>5</v>
      </c>
      <c r="F280" t="s">
        <v>1045</v>
      </c>
      <c r="G280" s="3" t="s">
        <v>1198</v>
      </c>
      <c r="H280" s="7" t="s">
        <v>1184</v>
      </c>
      <c r="I280" s="3" t="str">
        <f>IFERROR(VLOOKUP(C280,'Справочник соответствий'!A$2:D$2996,2,FALSE),IF(VALUE(C280)=0,1,VLOOKUP(C280,'Справочник соответствий'!A$2:D$2996,2,FALSE)))</f>
        <v>1</v>
      </c>
      <c r="J280" s="3">
        <f>IFERROR(VLOOKUP(D280,'Справочник соответствий'!A$2:D$2996,2,FALSE),IF(VALUE(D280)=0,0,VLOOKUP(D280,'Справочник соответствий'!A$2:D$2996,2,FALSE)))</f>
        <v>0</v>
      </c>
      <c r="K280" s="3" t="str">
        <f t="shared" si="28"/>
        <v>1</v>
      </c>
      <c r="L280" s="13" t="str">
        <f>IFERROR(VLOOKUP(C280,'Справочник соответствий'!A$2:D$2996,3,FALSE),IF(VALUE(C280)=0,"ЭТАЖ НЕ ОПРЕДЕЛЕН. ПРИНЯТ ПО ДОПУЩЕНИЮ 1",VLOOKUP(C280,'Справочник соответствий'!A$2:D$2996,3,FALSE)))</f>
        <v>ЭТАЖ ЗАДАН ЧИСЛОМ</v>
      </c>
      <c r="M280" s="13" t="b">
        <f t="shared" si="29"/>
        <v>1</v>
      </c>
      <c r="N280" s="13">
        <f t="shared" si="30"/>
        <v>1</v>
      </c>
      <c r="O280" s="13" t="str">
        <f t="shared" si="31"/>
        <v>ЭТАЖ ЗАДАН ЧИСЛОМ</v>
      </c>
      <c r="P280" s="13" t="str">
        <f t="shared" si="32"/>
        <v>ЭТАЖ ЗАДАН ЧИСЛОМ</v>
      </c>
      <c r="Q280" s="13" t="str">
        <f t="shared" si="33"/>
        <v>ГОТОВ</v>
      </c>
      <c r="R280" s="13">
        <f>IFERROR(VLOOKUP(P280,Лист1!A$1:B$20,2,FALSE),0)</f>
        <v>784</v>
      </c>
      <c r="S280" s="13">
        <f t="shared" si="34"/>
        <v>1</v>
      </c>
    </row>
    <row r="281" spans="1:19" x14ac:dyDescent="0.25">
      <c r="A281" t="s">
        <v>1476</v>
      </c>
      <c r="B281" s="4" t="s">
        <v>1190</v>
      </c>
      <c r="C281" s="3" t="s">
        <v>5</v>
      </c>
      <c r="E281" s="3" t="s">
        <v>5</v>
      </c>
      <c r="F281" t="s">
        <v>1038</v>
      </c>
      <c r="G281" s="3" t="s">
        <v>1191</v>
      </c>
      <c r="H281" s="7" t="s">
        <v>1184</v>
      </c>
      <c r="I281" s="3" t="str">
        <f>IFERROR(VLOOKUP(C281,'Справочник соответствий'!A$2:D$2996,2,FALSE),IF(VALUE(C281)=0,1,VLOOKUP(C281,'Справочник соответствий'!A$2:D$2996,2,FALSE)))</f>
        <v>1</v>
      </c>
      <c r="J281" s="3">
        <f>IFERROR(VLOOKUP(D281,'Справочник соответствий'!A$2:D$2996,2,FALSE),IF(VALUE(D281)=0,0,VLOOKUP(D281,'Справочник соответствий'!A$2:D$2996,2,FALSE)))</f>
        <v>0</v>
      </c>
      <c r="K281" s="3" t="str">
        <f t="shared" si="28"/>
        <v>1</v>
      </c>
      <c r="L281" s="13" t="str">
        <f>IFERROR(VLOOKUP(C281,'Справочник соответствий'!A$2:D$2996,3,FALSE),IF(VALUE(C281)=0,"ЭТАЖ НЕ ОПРЕДЕЛЕН. ПРИНЯТ ПО ДОПУЩЕНИЮ 1",VLOOKUP(C281,'Справочник соответствий'!A$2:D$2996,3,FALSE)))</f>
        <v>ЭТАЖ ЗАДАН ЧИСЛОМ</v>
      </c>
      <c r="M281" s="13" t="b">
        <f t="shared" si="29"/>
        <v>1</v>
      </c>
      <c r="N281" s="13">
        <f t="shared" si="30"/>
        <v>1</v>
      </c>
      <c r="O281" s="13" t="str">
        <f t="shared" si="31"/>
        <v>ЭТАЖ ЗАДАН ЧИСЛОМ</v>
      </c>
      <c r="P281" s="13" t="str">
        <f t="shared" si="32"/>
        <v>ЭТАЖ ЗАДАН ЧИСЛОМ</v>
      </c>
      <c r="Q281" s="13" t="str">
        <f t="shared" si="33"/>
        <v>ГОТОВ</v>
      </c>
      <c r="R281" s="13">
        <f>IFERROR(VLOOKUP(P281,Лист1!A$1:B$20,2,FALSE),0)</f>
        <v>784</v>
      </c>
      <c r="S281" s="13">
        <f t="shared" si="34"/>
        <v>1</v>
      </c>
    </row>
    <row r="282" spans="1:19" x14ac:dyDescent="0.25">
      <c r="A282" t="s">
        <v>1477</v>
      </c>
      <c r="B282" s="4" t="s">
        <v>1190</v>
      </c>
      <c r="C282" s="3" t="s">
        <v>7</v>
      </c>
      <c r="D282" s="3" t="s">
        <v>5</v>
      </c>
      <c r="E282" s="3" t="s">
        <v>7</v>
      </c>
      <c r="F282" t="s">
        <v>1045</v>
      </c>
      <c r="G282" s="3" t="s">
        <v>1198</v>
      </c>
      <c r="H282" s="7" t="s">
        <v>1184</v>
      </c>
      <c r="I282" s="3" t="str">
        <f>IFERROR(VLOOKUP(C282,'Справочник соответствий'!A$2:D$2996,2,FALSE),IF(VALUE(C282)=0,1,VLOOKUP(C282,'Справочник соответствий'!A$2:D$2996,2,FALSE)))</f>
        <v>2</v>
      </c>
      <c r="J282" s="3" t="str">
        <f>IFERROR(VLOOKUP(D282,'Справочник соответствий'!A$2:D$2996,2,FALSE),IF(VALUE(D282)=0,0,VLOOKUP(D282,'Справочник соответствий'!A$2:D$2996,2,FALSE)))</f>
        <v>1</v>
      </c>
      <c r="K282" s="3" t="str">
        <f t="shared" si="28"/>
        <v>2</v>
      </c>
      <c r="L282" s="13" t="str">
        <f>IFERROR(VLOOKUP(C282,'Справочник соответствий'!A$2:D$2996,3,FALSE),IF(VALUE(C282)=0,"ЭТАЖ НЕ ОПРЕДЕЛЕН. ПРИНЯТ ПО ДОПУЩЕНИЮ 1",VLOOKUP(C282,'Справочник соответствий'!A$2:D$2996,3,FALSE)))</f>
        <v>ЭТАЖ ЗАДАН ЧИСЛОМ</v>
      </c>
      <c r="M282" s="13" t="b">
        <f t="shared" si="29"/>
        <v>1</v>
      </c>
      <c r="N282" s="13">
        <f t="shared" si="30"/>
        <v>2</v>
      </c>
      <c r="O282" s="13" t="str">
        <f t="shared" si="31"/>
        <v>ЭТАЖ ЗАДАН ЧИСЛОМ</v>
      </c>
      <c r="P282" s="13" t="str">
        <f t="shared" si="32"/>
        <v>ЭТАЖ ЗАДАН ЧИСЛОМ</v>
      </c>
      <c r="Q282" s="13" t="str">
        <f t="shared" si="33"/>
        <v>ГОТОВ</v>
      </c>
      <c r="R282" s="13">
        <f>IFERROR(VLOOKUP(P282,Лист1!A$1:B$20,2,FALSE),0)</f>
        <v>784</v>
      </c>
      <c r="S282" s="13">
        <f t="shared" si="34"/>
        <v>2</v>
      </c>
    </row>
    <row r="283" spans="1:19" x14ac:dyDescent="0.25">
      <c r="A283" t="s">
        <v>1478</v>
      </c>
      <c r="B283" s="4" t="s">
        <v>1190</v>
      </c>
      <c r="C283" s="3" t="s">
        <v>7</v>
      </c>
      <c r="D283" s="3" t="s">
        <v>5</v>
      </c>
      <c r="E283" s="3" t="s">
        <v>7</v>
      </c>
      <c r="F283" t="s">
        <v>1045</v>
      </c>
      <c r="G283" s="3" t="s">
        <v>1198</v>
      </c>
      <c r="H283" s="7" t="s">
        <v>1184</v>
      </c>
      <c r="I283" s="3" t="str">
        <f>IFERROR(VLOOKUP(C283,'Справочник соответствий'!A$2:D$2996,2,FALSE),IF(VALUE(C283)=0,1,VLOOKUP(C283,'Справочник соответствий'!A$2:D$2996,2,FALSE)))</f>
        <v>2</v>
      </c>
      <c r="J283" s="3" t="str">
        <f>IFERROR(VLOOKUP(D283,'Справочник соответствий'!A$2:D$2996,2,FALSE),IF(VALUE(D283)=0,0,VLOOKUP(D283,'Справочник соответствий'!A$2:D$2996,2,FALSE)))</f>
        <v>1</v>
      </c>
      <c r="K283" s="3" t="str">
        <f t="shared" si="28"/>
        <v>2</v>
      </c>
      <c r="L283" s="13" t="str">
        <f>IFERROR(VLOOKUP(C283,'Справочник соответствий'!A$2:D$2996,3,FALSE),IF(VALUE(C283)=0,"ЭТАЖ НЕ ОПРЕДЕЛЕН. ПРИНЯТ ПО ДОПУЩЕНИЮ 1",VLOOKUP(C283,'Справочник соответствий'!A$2:D$2996,3,FALSE)))</f>
        <v>ЭТАЖ ЗАДАН ЧИСЛОМ</v>
      </c>
      <c r="M283" s="13" t="b">
        <f t="shared" si="29"/>
        <v>1</v>
      </c>
      <c r="N283" s="13">
        <f t="shared" si="30"/>
        <v>2</v>
      </c>
      <c r="O283" s="13" t="str">
        <f t="shared" si="31"/>
        <v>ЭТАЖ ЗАДАН ЧИСЛОМ</v>
      </c>
      <c r="P283" s="13" t="str">
        <f t="shared" si="32"/>
        <v>ЭТАЖ ЗАДАН ЧИСЛОМ</v>
      </c>
      <c r="Q283" s="13" t="str">
        <f t="shared" si="33"/>
        <v>ГОТОВ</v>
      </c>
      <c r="R283" s="13">
        <f>IFERROR(VLOOKUP(P283,Лист1!A$1:B$20,2,FALSE),0)</f>
        <v>784</v>
      </c>
      <c r="S283" s="13">
        <f t="shared" si="34"/>
        <v>2</v>
      </c>
    </row>
    <row r="284" spans="1:19" x14ac:dyDescent="0.25">
      <c r="A284" t="s">
        <v>1479</v>
      </c>
      <c r="B284" s="4" t="s">
        <v>1182</v>
      </c>
      <c r="C284" s="3" t="s">
        <v>5</v>
      </c>
      <c r="G284" s="3" t="s">
        <v>1187</v>
      </c>
      <c r="I284" s="3" t="str">
        <f>IFERROR(VLOOKUP(C284,'Справочник соответствий'!A$2:D$2996,2,FALSE),IF(VALUE(C284)=0,1,VLOOKUP(C284,'Справочник соответствий'!A$2:D$2996,2,FALSE)))</f>
        <v>1</v>
      </c>
      <c r="J284" s="3">
        <f>IFERROR(VLOOKUP(D284,'Справочник соответствий'!A$2:D$2996,2,FALSE),IF(VALUE(D284)=0,0,VLOOKUP(D284,'Справочник соответствий'!A$2:D$2996,2,FALSE)))</f>
        <v>0</v>
      </c>
      <c r="K284" s="3" t="str">
        <f t="shared" si="28"/>
        <v>1</v>
      </c>
      <c r="L284" s="13" t="str">
        <f>IFERROR(VLOOKUP(C284,'Справочник соответствий'!A$2:D$2996,3,FALSE),IF(VALUE(C284)=0,"ЭТАЖ НЕ ОПРЕДЕЛЕН. ПРИНЯТ ПО ДОПУЩЕНИЮ 1",VLOOKUP(C284,'Справочник соответствий'!A$2:D$2996,3,FALSE)))</f>
        <v>ЭТАЖ ЗАДАН ЧИСЛОМ</v>
      </c>
      <c r="M284" s="13" t="b">
        <f t="shared" si="29"/>
        <v>0</v>
      </c>
      <c r="N284" s="13">
        <f t="shared" si="30"/>
        <v>1</v>
      </c>
      <c r="O284" s="13" t="str">
        <f t="shared" si="31"/>
        <v>ЭТАЖ ЗАДАН ЧИСЛОМ</v>
      </c>
      <c r="P284" s="13" t="str">
        <f t="shared" si="32"/>
        <v>ЭТАЖ ЗАДАН ЧИСЛОМ</v>
      </c>
      <c r="Q284" s="13" t="str">
        <f t="shared" si="33"/>
        <v>ГОТОВ_ИЗМЕНЕН</v>
      </c>
      <c r="R284" s="13">
        <f>IFERROR(VLOOKUP(P284,Лист1!A$1:B$20,2,FALSE),0)</f>
        <v>784</v>
      </c>
      <c r="S284" s="13">
        <f t="shared" si="34"/>
        <v>0</v>
      </c>
    </row>
    <row r="285" spans="1:19" x14ac:dyDescent="0.25">
      <c r="A285" t="s">
        <v>1480</v>
      </c>
      <c r="B285" s="4" t="s">
        <v>1182</v>
      </c>
      <c r="C285" s="3" t="s">
        <v>5</v>
      </c>
      <c r="G285" s="3" t="s">
        <v>1187</v>
      </c>
      <c r="I285" s="3" t="str">
        <f>IFERROR(VLOOKUP(C285,'Справочник соответствий'!A$2:D$2996,2,FALSE),IF(VALUE(C285)=0,1,VLOOKUP(C285,'Справочник соответствий'!A$2:D$2996,2,FALSE)))</f>
        <v>1</v>
      </c>
      <c r="J285" s="3">
        <f>IFERROR(VLOOKUP(D285,'Справочник соответствий'!A$2:D$2996,2,FALSE),IF(VALUE(D285)=0,0,VLOOKUP(D285,'Справочник соответствий'!A$2:D$2996,2,FALSE)))</f>
        <v>0</v>
      </c>
      <c r="K285" s="3" t="str">
        <f t="shared" si="28"/>
        <v>1</v>
      </c>
      <c r="L285" s="13" t="str">
        <f>IFERROR(VLOOKUP(C285,'Справочник соответствий'!A$2:D$2996,3,FALSE),IF(VALUE(C285)=0,"ЭТАЖ НЕ ОПРЕДЕЛЕН. ПРИНЯТ ПО ДОПУЩЕНИЮ 1",VLOOKUP(C285,'Справочник соответствий'!A$2:D$2996,3,FALSE)))</f>
        <v>ЭТАЖ ЗАДАН ЧИСЛОМ</v>
      </c>
      <c r="M285" s="13" t="b">
        <f t="shared" si="29"/>
        <v>0</v>
      </c>
      <c r="N285" s="13">
        <f t="shared" si="30"/>
        <v>1</v>
      </c>
      <c r="O285" s="13" t="str">
        <f t="shared" si="31"/>
        <v>ЭТАЖ ЗАДАН ЧИСЛОМ</v>
      </c>
      <c r="P285" s="13" t="str">
        <f t="shared" si="32"/>
        <v>ЭТАЖ ЗАДАН ЧИСЛОМ</v>
      </c>
      <c r="Q285" s="13" t="str">
        <f t="shared" si="33"/>
        <v>ГОТОВ_ИЗМЕНЕН</v>
      </c>
      <c r="R285" s="13">
        <f>IFERROR(VLOOKUP(P285,Лист1!A$1:B$20,2,FALSE),0)</f>
        <v>784</v>
      </c>
      <c r="S285" s="13">
        <f t="shared" si="34"/>
        <v>0</v>
      </c>
    </row>
    <row r="286" spans="1:19" x14ac:dyDescent="0.25">
      <c r="A286" t="s">
        <v>1481</v>
      </c>
      <c r="B286" s="4" t="s">
        <v>1190</v>
      </c>
      <c r="C286" s="3" t="s">
        <v>5</v>
      </c>
      <c r="G286" s="3" t="s">
        <v>1187</v>
      </c>
      <c r="I286" s="3" t="str">
        <f>IFERROR(VLOOKUP(C286,'Справочник соответствий'!A$2:D$2996,2,FALSE),IF(VALUE(C286)=0,1,VLOOKUP(C286,'Справочник соответствий'!A$2:D$2996,2,FALSE)))</f>
        <v>1</v>
      </c>
      <c r="J286" s="3">
        <f>IFERROR(VLOOKUP(D286,'Справочник соответствий'!A$2:D$2996,2,FALSE),IF(VALUE(D286)=0,0,VLOOKUP(D286,'Справочник соответствий'!A$2:D$2996,2,FALSE)))</f>
        <v>0</v>
      </c>
      <c r="K286" s="3" t="str">
        <f t="shared" si="28"/>
        <v>1</v>
      </c>
      <c r="L286" s="13" t="str">
        <f>IFERROR(VLOOKUP(C286,'Справочник соответствий'!A$2:D$2996,3,FALSE),IF(VALUE(C286)=0,"ЭТАЖ НЕ ОПРЕДЕЛЕН. ПРИНЯТ ПО ДОПУЩЕНИЮ 1",VLOOKUP(C286,'Справочник соответствий'!A$2:D$2996,3,FALSE)))</f>
        <v>ЭТАЖ ЗАДАН ЧИСЛОМ</v>
      </c>
      <c r="M286" s="13" t="b">
        <f t="shared" si="29"/>
        <v>0</v>
      </c>
      <c r="N286" s="13">
        <f t="shared" si="30"/>
        <v>1</v>
      </c>
      <c r="O286" s="13" t="str">
        <f t="shared" si="31"/>
        <v>ЭТАЖ ЗАДАН ЧИСЛОМ</v>
      </c>
      <c r="P286" s="13" t="str">
        <f t="shared" si="32"/>
        <v>ЭТАЖ ЗАДАН ЧИСЛОМ</v>
      </c>
      <c r="Q286" s="13" t="str">
        <f t="shared" si="33"/>
        <v>ГОТОВ_ИЗМЕНЕН</v>
      </c>
      <c r="R286" s="13">
        <f>IFERROR(VLOOKUP(P286,Лист1!A$1:B$20,2,FALSE),0)</f>
        <v>784</v>
      </c>
      <c r="S286" s="13">
        <f t="shared" si="34"/>
        <v>0</v>
      </c>
    </row>
    <row r="287" spans="1:19" x14ac:dyDescent="0.25">
      <c r="A287" t="s">
        <v>1482</v>
      </c>
      <c r="B287" s="4" t="s">
        <v>1182</v>
      </c>
      <c r="C287" s="3" t="s">
        <v>5</v>
      </c>
      <c r="G287" s="3" t="s">
        <v>1187</v>
      </c>
      <c r="I287" s="3" t="str">
        <f>IFERROR(VLOOKUP(C287,'Справочник соответствий'!A$2:D$2996,2,FALSE),IF(VALUE(C287)=0,1,VLOOKUP(C287,'Справочник соответствий'!A$2:D$2996,2,FALSE)))</f>
        <v>1</v>
      </c>
      <c r="J287" s="3">
        <f>IFERROR(VLOOKUP(D287,'Справочник соответствий'!A$2:D$2996,2,FALSE),IF(VALUE(D287)=0,0,VLOOKUP(D287,'Справочник соответствий'!A$2:D$2996,2,FALSE)))</f>
        <v>0</v>
      </c>
      <c r="K287" s="3" t="str">
        <f t="shared" si="28"/>
        <v>1</v>
      </c>
      <c r="L287" s="13" t="str">
        <f>IFERROR(VLOOKUP(C287,'Справочник соответствий'!A$2:D$2996,3,FALSE),IF(VALUE(C287)=0,"ЭТАЖ НЕ ОПРЕДЕЛЕН. ПРИНЯТ ПО ДОПУЩЕНИЮ 1",VLOOKUP(C287,'Справочник соответствий'!A$2:D$2996,3,FALSE)))</f>
        <v>ЭТАЖ ЗАДАН ЧИСЛОМ</v>
      </c>
      <c r="M287" s="13" t="b">
        <f t="shared" si="29"/>
        <v>0</v>
      </c>
      <c r="N287" s="13">
        <f t="shared" si="30"/>
        <v>1</v>
      </c>
      <c r="O287" s="13" t="str">
        <f t="shared" si="31"/>
        <v>ЭТАЖ ЗАДАН ЧИСЛОМ</v>
      </c>
      <c r="P287" s="13" t="str">
        <f t="shared" si="32"/>
        <v>ЭТАЖ ЗАДАН ЧИСЛОМ</v>
      </c>
      <c r="Q287" s="13" t="str">
        <f t="shared" si="33"/>
        <v>ГОТОВ_ИЗМЕНЕН</v>
      </c>
      <c r="R287" s="13">
        <f>IFERROR(VLOOKUP(P287,Лист1!A$1:B$20,2,FALSE),0)</f>
        <v>784</v>
      </c>
      <c r="S287" s="13">
        <f t="shared" si="34"/>
        <v>0</v>
      </c>
    </row>
    <row r="288" spans="1:19" x14ac:dyDescent="0.25">
      <c r="A288" t="s">
        <v>1483</v>
      </c>
      <c r="B288" s="4" t="s">
        <v>1190</v>
      </c>
      <c r="C288" s="3" t="s">
        <v>5</v>
      </c>
      <c r="G288" s="3" t="s">
        <v>1187</v>
      </c>
      <c r="I288" s="3" t="str">
        <f>IFERROR(VLOOKUP(C288,'Справочник соответствий'!A$2:D$2996,2,FALSE),IF(VALUE(C288)=0,1,VLOOKUP(C288,'Справочник соответствий'!A$2:D$2996,2,FALSE)))</f>
        <v>1</v>
      </c>
      <c r="J288" s="3">
        <f>IFERROR(VLOOKUP(D288,'Справочник соответствий'!A$2:D$2996,2,FALSE),IF(VALUE(D288)=0,0,VLOOKUP(D288,'Справочник соответствий'!A$2:D$2996,2,FALSE)))</f>
        <v>0</v>
      </c>
      <c r="K288" s="3" t="str">
        <f t="shared" si="28"/>
        <v>1</v>
      </c>
      <c r="L288" s="13" t="str">
        <f>IFERROR(VLOOKUP(C288,'Справочник соответствий'!A$2:D$2996,3,FALSE),IF(VALUE(C288)=0,"ЭТАЖ НЕ ОПРЕДЕЛЕН. ПРИНЯТ ПО ДОПУЩЕНИЮ 1",VLOOKUP(C288,'Справочник соответствий'!A$2:D$2996,3,FALSE)))</f>
        <v>ЭТАЖ ЗАДАН ЧИСЛОМ</v>
      </c>
      <c r="M288" s="13" t="b">
        <f t="shared" si="29"/>
        <v>0</v>
      </c>
      <c r="N288" s="13">
        <f t="shared" si="30"/>
        <v>1</v>
      </c>
      <c r="O288" s="13" t="str">
        <f t="shared" si="31"/>
        <v>ЭТАЖ ЗАДАН ЧИСЛОМ</v>
      </c>
      <c r="P288" s="13" t="str">
        <f t="shared" si="32"/>
        <v>ЭТАЖ ЗАДАН ЧИСЛОМ</v>
      </c>
      <c r="Q288" s="13" t="str">
        <f t="shared" si="33"/>
        <v>ГОТОВ_ИЗМЕНЕН</v>
      </c>
      <c r="R288" s="13">
        <f>IFERROR(VLOOKUP(P288,Лист1!A$1:B$20,2,FALSE),0)</f>
        <v>784</v>
      </c>
      <c r="S288" s="13">
        <f t="shared" si="34"/>
        <v>0</v>
      </c>
    </row>
    <row r="289" spans="1:19" x14ac:dyDescent="0.25">
      <c r="A289" t="s">
        <v>1484</v>
      </c>
      <c r="B289" s="4" t="s">
        <v>1182</v>
      </c>
      <c r="C289" s="3" t="s">
        <v>7</v>
      </c>
      <c r="D289" s="3" t="s">
        <v>1059</v>
      </c>
      <c r="E289" s="3" t="s">
        <v>5</v>
      </c>
      <c r="F289" t="s">
        <v>1045</v>
      </c>
      <c r="G289" s="3" t="s">
        <v>1198</v>
      </c>
      <c r="H289" s="7" t="s">
        <v>1184</v>
      </c>
      <c r="I289" s="3" t="str">
        <f>IFERROR(VLOOKUP(C289,'Справочник соответствий'!A$2:D$2996,2,FALSE),IF(VALUE(C289)=0,1,VLOOKUP(C289,'Справочник соответствий'!A$2:D$2996,2,FALSE)))</f>
        <v>2</v>
      </c>
      <c r="J289" s="3" t="str">
        <f>IFERROR(VLOOKUP(D289,'Справочник соответствий'!A$2:D$2996,2,FALSE),IF(VALUE(D289)=0,0,VLOOKUP(D289,'Справочник соответствий'!A$2:D$2996,2,FALSE)))</f>
        <v>1</v>
      </c>
      <c r="K289" s="3" t="str">
        <f t="shared" si="28"/>
        <v>2</v>
      </c>
      <c r="L289" s="13" t="str">
        <f>IFERROR(VLOOKUP(C289,'Справочник соответствий'!A$2:D$2996,3,FALSE),IF(VALUE(C289)=0,"ЭТАЖ НЕ ОПРЕДЕЛЕН. ПРИНЯТ ПО ДОПУЩЕНИЮ 1",VLOOKUP(C289,'Справочник соответствий'!A$2:D$2996,3,FALSE)))</f>
        <v>ЭТАЖ ЗАДАН ЧИСЛОМ</v>
      </c>
      <c r="M289" s="13" t="b">
        <f t="shared" si="29"/>
        <v>0</v>
      </c>
      <c r="N289" s="13">
        <f t="shared" si="30"/>
        <v>2</v>
      </c>
      <c r="O289" s="13" t="str">
        <f t="shared" si="31"/>
        <v>ЭТАЖ ЗАДАН ЧИСЛОМ</v>
      </c>
      <c r="P289" s="13" t="str">
        <f t="shared" si="32"/>
        <v>ЭТАЖ ЗАДАН ЧИСЛОМ</v>
      </c>
      <c r="Q289" s="13" t="str">
        <f t="shared" si="33"/>
        <v>ГОТОВ_ИЗМЕНЕН</v>
      </c>
      <c r="R289" s="13">
        <f>IFERROR(VLOOKUP(P289,Лист1!A$1:B$20,2,FALSE),0)</f>
        <v>784</v>
      </c>
      <c r="S289" s="13">
        <f t="shared" si="34"/>
        <v>1</v>
      </c>
    </row>
    <row r="290" spans="1:19" x14ac:dyDescent="0.25">
      <c r="A290" t="s">
        <v>1485</v>
      </c>
      <c r="B290" s="4" t="s">
        <v>1182</v>
      </c>
      <c r="G290" s="3" t="s">
        <v>1191</v>
      </c>
      <c r="I290" s="3">
        <f>IFERROR(VLOOKUP(C290,'Справочник соответствий'!A$2:D$2996,2,FALSE),IF(VALUE(C290)=0,1,VLOOKUP(C290,'Справочник соответствий'!A$2:D$2996,2,FALSE)))</f>
        <v>1</v>
      </c>
      <c r="J290" s="3">
        <f>IFERROR(VLOOKUP(D290,'Справочник соответствий'!A$2:D$2996,2,FALSE),IF(VALUE(D290)=0,0,VLOOKUP(D290,'Справочник соответствий'!A$2:D$2996,2,FALSE)))</f>
        <v>0</v>
      </c>
      <c r="K290" s="3">
        <f t="shared" si="28"/>
        <v>1</v>
      </c>
      <c r="L290" s="13" t="str">
        <f>IFERROR(VLOOKUP(C290,'Справочник соответствий'!A$2:D$2996,3,FALSE),IF(VALUE(C290)=0,"ЭТАЖ НЕ ОПРЕДЕЛЕН. ПРИНЯТ ПО ДОПУЩЕНИЮ 1",VLOOKUP(C290,'Справочник соответствий'!A$2:D$2996,3,FALSE)))</f>
        <v>ЭТАЖ НЕ ОПРЕДЕЛЕН. ПРИНЯТ ПО ДОПУЩЕНИЮ 1</v>
      </c>
      <c r="M290" s="13" t="b">
        <f t="shared" si="29"/>
        <v>0</v>
      </c>
      <c r="N290" s="13">
        <f t="shared" si="30"/>
        <v>1</v>
      </c>
      <c r="O290" s="13" t="str">
        <f t="shared" si="31"/>
        <v>ЭТАЖ НЕ ОПРЕДЕЛЕН. ПРИНЯТ ПО ДОПУЩЕНИЮ 1</v>
      </c>
      <c r="P290" s="13" t="str">
        <f t="shared" si="32"/>
        <v>ЭТАЖ НЕ ОПРЕДЕЛЕН. ПРИНЯТ ПО ДОПУЩЕНИЮ 1</v>
      </c>
      <c r="Q290" s="13" t="str">
        <f t="shared" si="33"/>
        <v>ГОТОВ_ИЗМЕНЕН</v>
      </c>
      <c r="R290" s="13">
        <f>IFERROR(VLOOKUP(P290,Лист1!A$1:B$20,2,FALSE),0)</f>
        <v>788</v>
      </c>
      <c r="S290" s="13">
        <f t="shared" si="34"/>
        <v>0</v>
      </c>
    </row>
    <row r="291" spans="1:19" x14ac:dyDescent="0.25">
      <c r="A291" t="s">
        <v>1486</v>
      </c>
      <c r="B291" s="4" t="s">
        <v>1190</v>
      </c>
      <c r="C291" s="3" t="s">
        <v>5</v>
      </c>
      <c r="G291" s="3" t="s">
        <v>1191</v>
      </c>
      <c r="I291" s="3" t="str">
        <f>IFERROR(VLOOKUP(C291,'Справочник соответствий'!A$2:D$2996,2,FALSE),IF(VALUE(C291)=0,1,VLOOKUP(C291,'Справочник соответствий'!A$2:D$2996,2,FALSE)))</f>
        <v>1</v>
      </c>
      <c r="J291" s="3">
        <f>IFERROR(VLOOKUP(D291,'Справочник соответствий'!A$2:D$2996,2,FALSE),IF(VALUE(D291)=0,0,VLOOKUP(D291,'Справочник соответствий'!A$2:D$2996,2,FALSE)))</f>
        <v>0</v>
      </c>
      <c r="K291" s="3" t="str">
        <f t="shared" si="28"/>
        <v>1</v>
      </c>
      <c r="L291" s="13" t="str">
        <f>IFERROR(VLOOKUP(C291,'Справочник соответствий'!A$2:D$2996,3,FALSE),IF(VALUE(C291)=0,"ЭТАЖ НЕ ОПРЕДЕЛЕН. ПРИНЯТ ПО ДОПУЩЕНИЮ 1",VLOOKUP(C291,'Справочник соответствий'!A$2:D$2996,3,FALSE)))</f>
        <v>ЭТАЖ ЗАДАН ЧИСЛОМ</v>
      </c>
      <c r="M291" s="13" t="b">
        <f t="shared" si="29"/>
        <v>0</v>
      </c>
      <c r="N291" s="13">
        <f t="shared" si="30"/>
        <v>1</v>
      </c>
      <c r="O291" s="13" t="str">
        <f t="shared" si="31"/>
        <v>ЭТАЖ ЗАДАН ЧИСЛОМ</v>
      </c>
      <c r="P291" s="13" t="str">
        <f t="shared" si="32"/>
        <v>ЭТАЖ ЗАДАН ЧИСЛОМ</v>
      </c>
      <c r="Q291" s="13" t="str">
        <f t="shared" si="33"/>
        <v>ГОТОВ_ИЗМЕНЕН</v>
      </c>
      <c r="R291" s="13">
        <f>IFERROR(VLOOKUP(P291,Лист1!A$1:B$20,2,FALSE),0)</f>
        <v>784</v>
      </c>
      <c r="S291" s="13">
        <f t="shared" si="34"/>
        <v>0</v>
      </c>
    </row>
    <row r="292" spans="1:19" x14ac:dyDescent="0.25">
      <c r="A292" t="s">
        <v>1487</v>
      </c>
      <c r="B292" s="4" t="s">
        <v>1190</v>
      </c>
      <c r="C292" s="3" t="s">
        <v>5</v>
      </c>
      <c r="G292" s="3" t="s">
        <v>1191</v>
      </c>
      <c r="I292" s="3" t="str">
        <f>IFERROR(VLOOKUP(C292,'Справочник соответствий'!A$2:D$2996,2,FALSE),IF(VALUE(C292)=0,1,VLOOKUP(C292,'Справочник соответствий'!A$2:D$2996,2,FALSE)))</f>
        <v>1</v>
      </c>
      <c r="J292" s="3">
        <f>IFERROR(VLOOKUP(D292,'Справочник соответствий'!A$2:D$2996,2,FALSE),IF(VALUE(D292)=0,0,VLOOKUP(D292,'Справочник соответствий'!A$2:D$2996,2,FALSE)))</f>
        <v>0</v>
      </c>
      <c r="K292" s="3" t="str">
        <f t="shared" si="28"/>
        <v>1</v>
      </c>
      <c r="L292" s="13" t="str">
        <f>IFERROR(VLOOKUP(C292,'Справочник соответствий'!A$2:D$2996,3,FALSE),IF(VALUE(C292)=0,"ЭТАЖ НЕ ОПРЕДЕЛЕН. ПРИНЯТ ПО ДОПУЩЕНИЮ 1",VLOOKUP(C292,'Справочник соответствий'!A$2:D$2996,3,FALSE)))</f>
        <v>ЭТАЖ ЗАДАН ЧИСЛОМ</v>
      </c>
      <c r="M292" s="13" t="b">
        <f t="shared" si="29"/>
        <v>0</v>
      </c>
      <c r="N292" s="13">
        <f t="shared" si="30"/>
        <v>1</v>
      </c>
      <c r="O292" s="13" t="str">
        <f t="shared" si="31"/>
        <v>ЭТАЖ ЗАДАН ЧИСЛОМ</v>
      </c>
      <c r="P292" s="13" t="str">
        <f t="shared" si="32"/>
        <v>ЭТАЖ ЗАДАН ЧИСЛОМ</v>
      </c>
      <c r="Q292" s="13" t="str">
        <f t="shared" si="33"/>
        <v>ГОТОВ_ИЗМЕНЕН</v>
      </c>
      <c r="R292" s="13">
        <f>IFERROR(VLOOKUP(P292,Лист1!A$1:B$20,2,FALSE),0)</f>
        <v>784</v>
      </c>
      <c r="S292" s="13">
        <f t="shared" si="34"/>
        <v>0</v>
      </c>
    </row>
    <row r="293" spans="1:19" x14ac:dyDescent="0.25">
      <c r="A293" t="s">
        <v>1488</v>
      </c>
      <c r="B293" s="4" t="s">
        <v>1182</v>
      </c>
      <c r="C293" s="3" t="s">
        <v>5</v>
      </c>
      <c r="G293" s="3" t="s">
        <v>1191</v>
      </c>
      <c r="I293" s="3" t="str">
        <f>IFERROR(VLOOKUP(C293,'Справочник соответствий'!A$2:D$2996,2,FALSE),IF(VALUE(C293)=0,1,VLOOKUP(C293,'Справочник соответствий'!A$2:D$2996,2,FALSE)))</f>
        <v>1</v>
      </c>
      <c r="J293" s="3">
        <f>IFERROR(VLOOKUP(D293,'Справочник соответствий'!A$2:D$2996,2,FALSE),IF(VALUE(D293)=0,0,VLOOKUP(D293,'Справочник соответствий'!A$2:D$2996,2,FALSE)))</f>
        <v>0</v>
      </c>
      <c r="K293" s="3" t="str">
        <f t="shared" si="28"/>
        <v>1</v>
      </c>
      <c r="L293" s="13" t="str">
        <f>IFERROR(VLOOKUP(C293,'Справочник соответствий'!A$2:D$2996,3,FALSE),IF(VALUE(C293)=0,"ЭТАЖ НЕ ОПРЕДЕЛЕН. ПРИНЯТ ПО ДОПУЩЕНИЮ 1",VLOOKUP(C293,'Справочник соответствий'!A$2:D$2996,3,FALSE)))</f>
        <v>ЭТАЖ ЗАДАН ЧИСЛОМ</v>
      </c>
      <c r="M293" s="13" t="b">
        <f t="shared" si="29"/>
        <v>0</v>
      </c>
      <c r="N293" s="13">
        <f t="shared" si="30"/>
        <v>1</v>
      </c>
      <c r="O293" s="13" t="str">
        <f t="shared" si="31"/>
        <v>ЭТАЖ ЗАДАН ЧИСЛОМ</v>
      </c>
      <c r="P293" s="13" t="str">
        <f t="shared" si="32"/>
        <v>ЭТАЖ ЗАДАН ЧИСЛОМ</v>
      </c>
      <c r="Q293" s="13" t="str">
        <f t="shared" si="33"/>
        <v>ГОТОВ_ИЗМЕНЕН</v>
      </c>
      <c r="R293" s="13">
        <f>IFERROR(VLOOKUP(P293,Лист1!A$1:B$20,2,FALSE),0)</f>
        <v>784</v>
      </c>
      <c r="S293" s="13">
        <f t="shared" si="34"/>
        <v>0</v>
      </c>
    </row>
    <row r="294" spans="1:19" x14ac:dyDescent="0.25">
      <c r="A294" t="s">
        <v>1489</v>
      </c>
      <c r="B294" s="4" t="s">
        <v>1190</v>
      </c>
      <c r="C294" s="3" t="s">
        <v>5</v>
      </c>
      <c r="G294" s="3" t="s">
        <v>1191</v>
      </c>
      <c r="I294" s="3" t="str">
        <f>IFERROR(VLOOKUP(C294,'Справочник соответствий'!A$2:D$2996,2,FALSE),IF(VALUE(C294)=0,1,VLOOKUP(C294,'Справочник соответствий'!A$2:D$2996,2,FALSE)))</f>
        <v>1</v>
      </c>
      <c r="J294" s="3">
        <f>IFERROR(VLOOKUP(D294,'Справочник соответствий'!A$2:D$2996,2,FALSE),IF(VALUE(D294)=0,0,VLOOKUP(D294,'Справочник соответствий'!A$2:D$2996,2,FALSE)))</f>
        <v>0</v>
      </c>
      <c r="K294" s="3" t="str">
        <f t="shared" si="28"/>
        <v>1</v>
      </c>
      <c r="L294" s="13" t="str">
        <f>IFERROR(VLOOKUP(C294,'Справочник соответствий'!A$2:D$2996,3,FALSE),IF(VALUE(C294)=0,"ЭТАЖ НЕ ОПРЕДЕЛЕН. ПРИНЯТ ПО ДОПУЩЕНИЮ 1",VLOOKUP(C294,'Справочник соответствий'!A$2:D$2996,3,FALSE)))</f>
        <v>ЭТАЖ ЗАДАН ЧИСЛОМ</v>
      </c>
      <c r="M294" s="13" t="b">
        <f t="shared" si="29"/>
        <v>0</v>
      </c>
      <c r="N294" s="13">
        <f t="shared" si="30"/>
        <v>1</v>
      </c>
      <c r="O294" s="13" t="str">
        <f t="shared" si="31"/>
        <v>ЭТАЖ ЗАДАН ЧИСЛОМ</v>
      </c>
      <c r="P294" s="13" t="str">
        <f t="shared" si="32"/>
        <v>ЭТАЖ ЗАДАН ЧИСЛОМ</v>
      </c>
      <c r="Q294" s="13" t="str">
        <f t="shared" si="33"/>
        <v>ГОТОВ_ИЗМЕНЕН</v>
      </c>
      <c r="R294" s="13">
        <f>IFERROR(VLOOKUP(P294,Лист1!A$1:B$20,2,FALSE),0)</f>
        <v>784</v>
      </c>
      <c r="S294" s="13">
        <f t="shared" si="34"/>
        <v>0</v>
      </c>
    </row>
    <row r="295" spans="1:19" x14ac:dyDescent="0.25">
      <c r="A295" t="s">
        <v>1490</v>
      </c>
      <c r="B295" s="4" t="s">
        <v>1190</v>
      </c>
      <c r="C295" s="3" t="s">
        <v>5</v>
      </c>
      <c r="G295" s="3" t="s">
        <v>1183</v>
      </c>
      <c r="I295" s="3" t="str">
        <f>IFERROR(VLOOKUP(C295,'Справочник соответствий'!A$2:D$2996,2,FALSE),IF(VALUE(C295)=0,1,VLOOKUP(C295,'Справочник соответствий'!A$2:D$2996,2,FALSE)))</f>
        <v>1</v>
      </c>
      <c r="J295" s="3">
        <f>IFERROR(VLOOKUP(D295,'Справочник соответствий'!A$2:D$2996,2,FALSE),IF(VALUE(D295)=0,0,VLOOKUP(D295,'Справочник соответствий'!A$2:D$2996,2,FALSE)))</f>
        <v>0</v>
      </c>
      <c r="K295" s="3" t="str">
        <f t="shared" si="28"/>
        <v>1</v>
      </c>
      <c r="L295" s="13" t="str">
        <f>IFERROR(VLOOKUP(C295,'Справочник соответствий'!A$2:D$2996,3,FALSE),IF(VALUE(C295)=0,"ЭТАЖ НЕ ОПРЕДЕЛЕН. ПРИНЯТ ПО ДОПУЩЕНИЮ 1",VLOOKUP(C295,'Справочник соответствий'!A$2:D$2996,3,FALSE)))</f>
        <v>ЭТАЖ ЗАДАН ЧИСЛОМ</v>
      </c>
      <c r="M295" s="13" t="b">
        <f t="shared" si="29"/>
        <v>0</v>
      </c>
      <c r="N295" s="13">
        <f t="shared" si="30"/>
        <v>1</v>
      </c>
      <c r="O295" s="13" t="str">
        <f t="shared" si="31"/>
        <v>ЭТАЖ ЗАДАН ЧИСЛОМ</v>
      </c>
      <c r="P295" s="13" t="str">
        <f t="shared" si="32"/>
        <v>ЭТАЖ ЗАДАН ЧИСЛОМ</v>
      </c>
      <c r="Q295" s="13" t="str">
        <f t="shared" si="33"/>
        <v>ГОТОВ_ИЗМЕНЕН</v>
      </c>
      <c r="R295" s="13">
        <f>IFERROR(VLOOKUP(P295,Лист1!A$1:B$20,2,FALSE),0)</f>
        <v>784</v>
      </c>
      <c r="S295" s="13">
        <f t="shared" si="34"/>
        <v>0</v>
      </c>
    </row>
    <row r="296" spans="1:19" x14ac:dyDescent="0.25">
      <c r="A296" t="s">
        <v>1491</v>
      </c>
      <c r="B296" s="4" t="s">
        <v>1190</v>
      </c>
      <c r="C296" s="3" t="s">
        <v>5</v>
      </c>
      <c r="G296" s="3" t="s">
        <v>1183</v>
      </c>
      <c r="I296" s="3" t="str">
        <f>IFERROR(VLOOKUP(C296,'Справочник соответствий'!A$2:D$2996,2,FALSE),IF(VALUE(C296)=0,1,VLOOKUP(C296,'Справочник соответствий'!A$2:D$2996,2,FALSE)))</f>
        <v>1</v>
      </c>
      <c r="J296" s="3">
        <f>IFERROR(VLOOKUP(D296,'Справочник соответствий'!A$2:D$2996,2,FALSE),IF(VALUE(D296)=0,0,VLOOKUP(D296,'Справочник соответствий'!A$2:D$2996,2,FALSE)))</f>
        <v>0</v>
      </c>
      <c r="K296" s="3" t="str">
        <f t="shared" si="28"/>
        <v>1</v>
      </c>
      <c r="L296" s="13" t="str">
        <f>IFERROR(VLOOKUP(C296,'Справочник соответствий'!A$2:D$2996,3,FALSE),IF(VALUE(C296)=0,"ЭТАЖ НЕ ОПРЕДЕЛЕН. ПРИНЯТ ПО ДОПУЩЕНИЮ 1",VLOOKUP(C296,'Справочник соответствий'!A$2:D$2996,3,FALSE)))</f>
        <v>ЭТАЖ ЗАДАН ЧИСЛОМ</v>
      </c>
      <c r="M296" s="13" t="b">
        <f t="shared" si="29"/>
        <v>0</v>
      </c>
      <c r="N296" s="13">
        <f t="shared" si="30"/>
        <v>1</v>
      </c>
      <c r="O296" s="13" t="str">
        <f t="shared" si="31"/>
        <v>ЭТАЖ ЗАДАН ЧИСЛОМ</v>
      </c>
      <c r="P296" s="13" t="str">
        <f t="shared" si="32"/>
        <v>ЭТАЖ ЗАДАН ЧИСЛОМ</v>
      </c>
      <c r="Q296" s="13" t="str">
        <f t="shared" si="33"/>
        <v>ГОТОВ_ИЗМЕНЕН</v>
      </c>
      <c r="R296" s="13">
        <f>IFERROR(VLOOKUP(P296,Лист1!A$1:B$20,2,FALSE),0)</f>
        <v>784</v>
      </c>
      <c r="S296" s="13">
        <f t="shared" si="34"/>
        <v>0</v>
      </c>
    </row>
    <row r="297" spans="1:19" x14ac:dyDescent="0.25">
      <c r="A297" t="s">
        <v>1492</v>
      </c>
      <c r="B297" s="4" t="s">
        <v>1190</v>
      </c>
      <c r="C297" s="3" t="s">
        <v>7</v>
      </c>
      <c r="G297" s="3" t="s">
        <v>1183</v>
      </c>
      <c r="I297" s="3" t="str">
        <f>IFERROR(VLOOKUP(C297,'Справочник соответствий'!A$2:D$2996,2,FALSE),IF(VALUE(C297)=0,1,VLOOKUP(C297,'Справочник соответствий'!A$2:D$2996,2,FALSE)))</f>
        <v>2</v>
      </c>
      <c r="J297" s="3">
        <f>IFERROR(VLOOKUP(D297,'Справочник соответствий'!A$2:D$2996,2,FALSE),IF(VALUE(D297)=0,0,VLOOKUP(D297,'Справочник соответствий'!A$2:D$2996,2,FALSE)))</f>
        <v>0</v>
      </c>
      <c r="K297" s="3" t="str">
        <f t="shared" si="28"/>
        <v>2</v>
      </c>
      <c r="L297" s="13" t="str">
        <f>IFERROR(VLOOKUP(C297,'Справочник соответствий'!A$2:D$2996,3,FALSE),IF(VALUE(C297)=0,"ЭТАЖ НЕ ОПРЕДЕЛЕН. ПРИНЯТ ПО ДОПУЩЕНИЮ 1",VLOOKUP(C297,'Справочник соответствий'!A$2:D$2996,3,FALSE)))</f>
        <v>ЭТАЖ ЗАДАН ЧИСЛОМ</v>
      </c>
      <c r="M297" s="13" t="b">
        <f t="shared" si="29"/>
        <v>0</v>
      </c>
      <c r="N297" s="13">
        <f t="shared" si="30"/>
        <v>2</v>
      </c>
      <c r="O297" s="13" t="str">
        <f t="shared" si="31"/>
        <v>ЭТАЖ ЗАДАН ЧИСЛОМ</v>
      </c>
      <c r="P297" s="13" t="str">
        <f t="shared" si="32"/>
        <v>ЭТАЖ ЗАДАН ЧИСЛОМ</v>
      </c>
      <c r="Q297" s="13" t="str">
        <f t="shared" si="33"/>
        <v>ГОТОВ_ИЗМЕНЕН</v>
      </c>
      <c r="R297" s="13">
        <f>IFERROR(VLOOKUP(P297,Лист1!A$1:B$20,2,FALSE),0)</f>
        <v>784</v>
      </c>
      <c r="S297" s="13">
        <f t="shared" si="34"/>
        <v>0</v>
      </c>
    </row>
    <row r="298" spans="1:19" x14ac:dyDescent="0.25">
      <c r="A298" t="s">
        <v>1493</v>
      </c>
      <c r="B298" s="4" t="s">
        <v>1182</v>
      </c>
      <c r="C298" s="3" t="s">
        <v>5</v>
      </c>
      <c r="G298" s="3" t="s">
        <v>1183</v>
      </c>
      <c r="I298" s="3" t="str">
        <f>IFERROR(VLOOKUP(C298,'Справочник соответствий'!A$2:D$2996,2,FALSE),IF(VALUE(C298)=0,1,VLOOKUP(C298,'Справочник соответствий'!A$2:D$2996,2,FALSE)))</f>
        <v>1</v>
      </c>
      <c r="J298" s="3">
        <f>IFERROR(VLOOKUP(D298,'Справочник соответствий'!A$2:D$2996,2,FALSE),IF(VALUE(D298)=0,0,VLOOKUP(D298,'Справочник соответствий'!A$2:D$2996,2,FALSE)))</f>
        <v>0</v>
      </c>
      <c r="K298" s="3" t="str">
        <f t="shared" si="28"/>
        <v>1</v>
      </c>
      <c r="L298" s="13" t="str">
        <f>IFERROR(VLOOKUP(C298,'Справочник соответствий'!A$2:D$2996,3,FALSE),IF(VALUE(C298)=0,"ЭТАЖ НЕ ОПРЕДЕЛЕН. ПРИНЯТ ПО ДОПУЩЕНИЮ 1",VLOOKUP(C298,'Справочник соответствий'!A$2:D$2996,3,FALSE)))</f>
        <v>ЭТАЖ ЗАДАН ЧИСЛОМ</v>
      </c>
      <c r="M298" s="13" t="b">
        <f t="shared" si="29"/>
        <v>0</v>
      </c>
      <c r="N298" s="13">
        <f t="shared" si="30"/>
        <v>1</v>
      </c>
      <c r="O298" s="13" t="str">
        <f t="shared" si="31"/>
        <v>ЭТАЖ ЗАДАН ЧИСЛОМ</v>
      </c>
      <c r="P298" s="13" t="str">
        <f t="shared" si="32"/>
        <v>ЭТАЖ ЗАДАН ЧИСЛОМ</v>
      </c>
      <c r="Q298" s="13" t="str">
        <f t="shared" si="33"/>
        <v>ГОТОВ_ИЗМЕНЕН</v>
      </c>
      <c r="R298" s="13">
        <f>IFERROR(VLOOKUP(P298,Лист1!A$1:B$20,2,FALSE),0)</f>
        <v>784</v>
      </c>
      <c r="S298" s="13">
        <f t="shared" si="34"/>
        <v>0</v>
      </c>
    </row>
    <row r="299" spans="1:19" x14ac:dyDescent="0.25">
      <c r="A299" t="s">
        <v>1494</v>
      </c>
      <c r="B299" s="4" t="s">
        <v>1190</v>
      </c>
      <c r="C299" s="3" t="s">
        <v>7</v>
      </c>
      <c r="G299" s="3" t="s">
        <v>1183</v>
      </c>
      <c r="I299" s="3" t="str">
        <f>IFERROR(VLOOKUP(C299,'Справочник соответствий'!A$2:D$2996,2,FALSE),IF(VALUE(C299)=0,1,VLOOKUP(C299,'Справочник соответствий'!A$2:D$2996,2,FALSE)))</f>
        <v>2</v>
      </c>
      <c r="J299" s="3">
        <f>IFERROR(VLOOKUP(D299,'Справочник соответствий'!A$2:D$2996,2,FALSE),IF(VALUE(D299)=0,0,VLOOKUP(D299,'Справочник соответствий'!A$2:D$2996,2,FALSE)))</f>
        <v>0</v>
      </c>
      <c r="K299" s="3" t="str">
        <f t="shared" si="28"/>
        <v>2</v>
      </c>
      <c r="L299" s="13" t="str">
        <f>IFERROR(VLOOKUP(C299,'Справочник соответствий'!A$2:D$2996,3,FALSE),IF(VALUE(C299)=0,"ЭТАЖ НЕ ОПРЕДЕЛЕН. ПРИНЯТ ПО ДОПУЩЕНИЮ 1",VLOOKUP(C299,'Справочник соответствий'!A$2:D$2996,3,FALSE)))</f>
        <v>ЭТАЖ ЗАДАН ЧИСЛОМ</v>
      </c>
      <c r="M299" s="13" t="b">
        <f t="shared" si="29"/>
        <v>0</v>
      </c>
      <c r="N299" s="13">
        <f t="shared" si="30"/>
        <v>2</v>
      </c>
      <c r="O299" s="13" t="str">
        <f t="shared" si="31"/>
        <v>ЭТАЖ ЗАДАН ЧИСЛОМ</v>
      </c>
      <c r="P299" s="13" t="str">
        <f t="shared" si="32"/>
        <v>ЭТАЖ ЗАДАН ЧИСЛОМ</v>
      </c>
      <c r="Q299" s="13" t="str">
        <f t="shared" si="33"/>
        <v>ГОТОВ_ИЗМЕНЕН</v>
      </c>
      <c r="R299" s="13">
        <f>IFERROR(VLOOKUP(P299,Лист1!A$1:B$20,2,FALSE),0)</f>
        <v>784</v>
      </c>
      <c r="S299" s="13">
        <f t="shared" si="34"/>
        <v>0</v>
      </c>
    </row>
    <row r="300" spans="1:19" x14ac:dyDescent="0.25">
      <c r="A300" t="s">
        <v>1495</v>
      </c>
      <c r="B300" s="4" t="s">
        <v>1190</v>
      </c>
      <c r="C300" s="3" t="s">
        <v>5</v>
      </c>
      <c r="G300" s="3" t="s">
        <v>1183</v>
      </c>
      <c r="I300" s="3" t="str">
        <f>IFERROR(VLOOKUP(C300,'Справочник соответствий'!A$2:D$2996,2,FALSE),IF(VALUE(C300)=0,1,VLOOKUP(C300,'Справочник соответствий'!A$2:D$2996,2,FALSE)))</f>
        <v>1</v>
      </c>
      <c r="J300" s="3">
        <f>IFERROR(VLOOKUP(D300,'Справочник соответствий'!A$2:D$2996,2,FALSE),IF(VALUE(D300)=0,0,VLOOKUP(D300,'Справочник соответствий'!A$2:D$2996,2,FALSE)))</f>
        <v>0</v>
      </c>
      <c r="K300" s="3" t="str">
        <f t="shared" si="28"/>
        <v>1</v>
      </c>
      <c r="L300" s="13" t="str">
        <f>IFERROR(VLOOKUP(C300,'Справочник соответствий'!A$2:D$2996,3,FALSE),IF(VALUE(C300)=0,"ЭТАЖ НЕ ОПРЕДЕЛЕН. ПРИНЯТ ПО ДОПУЩЕНИЮ 1",VLOOKUP(C300,'Справочник соответствий'!A$2:D$2996,3,FALSE)))</f>
        <v>ЭТАЖ ЗАДАН ЧИСЛОМ</v>
      </c>
      <c r="M300" s="13" t="b">
        <f t="shared" si="29"/>
        <v>0</v>
      </c>
      <c r="N300" s="13">
        <f t="shared" si="30"/>
        <v>1</v>
      </c>
      <c r="O300" s="13" t="str">
        <f t="shared" si="31"/>
        <v>ЭТАЖ ЗАДАН ЧИСЛОМ</v>
      </c>
      <c r="P300" s="13" t="str">
        <f t="shared" si="32"/>
        <v>ЭТАЖ ЗАДАН ЧИСЛОМ</v>
      </c>
      <c r="Q300" s="13" t="str">
        <f t="shared" si="33"/>
        <v>ГОТОВ_ИЗМЕНЕН</v>
      </c>
      <c r="R300" s="13">
        <f>IFERROR(VLOOKUP(P300,Лист1!A$1:B$20,2,FALSE),0)</f>
        <v>784</v>
      </c>
      <c r="S300" s="13">
        <f t="shared" si="34"/>
        <v>0</v>
      </c>
    </row>
    <row r="301" spans="1:19" x14ac:dyDescent="0.25">
      <c r="A301" t="s">
        <v>1496</v>
      </c>
      <c r="B301" s="4" t="s">
        <v>1190</v>
      </c>
      <c r="C301" s="3" t="s">
        <v>5</v>
      </c>
      <c r="G301" s="3" t="s">
        <v>1198</v>
      </c>
      <c r="I301" s="3" t="str">
        <f>IFERROR(VLOOKUP(C301,'Справочник соответствий'!A$2:D$2996,2,FALSE),IF(VALUE(C301)=0,1,VLOOKUP(C301,'Справочник соответствий'!A$2:D$2996,2,FALSE)))</f>
        <v>1</v>
      </c>
      <c r="J301" s="3">
        <f>IFERROR(VLOOKUP(D301,'Справочник соответствий'!A$2:D$2996,2,FALSE),IF(VALUE(D301)=0,0,VLOOKUP(D301,'Справочник соответствий'!A$2:D$2996,2,FALSE)))</f>
        <v>0</v>
      </c>
      <c r="K301" s="3" t="str">
        <f t="shared" si="28"/>
        <v>1</v>
      </c>
      <c r="L301" s="13" t="str">
        <f>IFERROR(VLOOKUP(C301,'Справочник соответствий'!A$2:D$2996,3,FALSE),IF(VALUE(C301)=0,"ЭТАЖ НЕ ОПРЕДЕЛЕН. ПРИНЯТ ПО ДОПУЩЕНИЮ 1",VLOOKUP(C301,'Справочник соответствий'!A$2:D$2996,3,FALSE)))</f>
        <v>ЭТАЖ ЗАДАН ЧИСЛОМ</v>
      </c>
      <c r="M301" s="13" t="b">
        <f t="shared" si="29"/>
        <v>0</v>
      </c>
      <c r="N301" s="13">
        <f t="shared" si="30"/>
        <v>1</v>
      </c>
      <c r="O301" s="13" t="str">
        <f t="shared" si="31"/>
        <v>ЭТАЖ ЗАДАН ЧИСЛОМ</v>
      </c>
      <c r="P301" s="13" t="str">
        <f t="shared" si="32"/>
        <v>ЭТАЖ ЗАДАН ЧИСЛОМ</v>
      </c>
      <c r="Q301" s="13" t="str">
        <f t="shared" si="33"/>
        <v>ГОТОВ_ИЗМЕНЕН</v>
      </c>
      <c r="R301" s="13">
        <f>IFERROR(VLOOKUP(P301,Лист1!A$1:B$20,2,FALSE),0)</f>
        <v>784</v>
      </c>
      <c r="S301" s="13">
        <f t="shared" si="34"/>
        <v>0</v>
      </c>
    </row>
    <row r="302" spans="1:19" x14ac:dyDescent="0.25">
      <c r="A302" t="s">
        <v>1497</v>
      </c>
      <c r="B302" s="4" t="s">
        <v>1190</v>
      </c>
      <c r="C302" s="3" t="s">
        <v>5</v>
      </c>
      <c r="G302" s="3" t="s">
        <v>1198</v>
      </c>
      <c r="I302" s="3" t="str">
        <f>IFERROR(VLOOKUP(C302,'Справочник соответствий'!A$2:D$2996,2,FALSE),IF(VALUE(C302)=0,1,VLOOKUP(C302,'Справочник соответствий'!A$2:D$2996,2,FALSE)))</f>
        <v>1</v>
      </c>
      <c r="J302" s="3">
        <f>IFERROR(VLOOKUP(D302,'Справочник соответствий'!A$2:D$2996,2,FALSE),IF(VALUE(D302)=0,0,VLOOKUP(D302,'Справочник соответствий'!A$2:D$2996,2,FALSE)))</f>
        <v>0</v>
      </c>
      <c r="K302" s="3" t="str">
        <f t="shared" si="28"/>
        <v>1</v>
      </c>
      <c r="L302" s="13" t="str">
        <f>IFERROR(VLOOKUP(C302,'Справочник соответствий'!A$2:D$2996,3,FALSE),IF(VALUE(C302)=0,"ЭТАЖ НЕ ОПРЕДЕЛЕН. ПРИНЯТ ПО ДОПУЩЕНИЮ 1",VLOOKUP(C302,'Справочник соответствий'!A$2:D$2996,3,FALSE)))</f>
        <v>ЭТАЖ ЗАДАН ЧИСЛОМ</v>
      </c>
      <c r="M302" s="13" t="b">
        <f t="shared" si="29"/>
        <v>0</v>
      </c>
      <c r="N302" s="13">
        <f t="shared" si="30"/>
        <v>1</v>
      </c>
      <c r="O302" s="13" t="str">
        <f t="shared" si="31"/>
        <v>ЭТАЖ ЗАДАН ЧИСЛОМ</v>
      </c>
      <c r="P302" s="13" t="str">
        <f t="shared" si="32"/>
        <v>ЭТАЖ ЗАДАН ЧИСЛОМ</v>
      </c>
      <c r="Q302" s="13" t="str">
        <f t="shared" si="33"/>
        <v>ГОТОВ_ИЗМЕНЕН</v>
      </c>
      <c r="R302" s="13">
        <f>IFERROR(VLOOKUP(P302,Лист1!A$1:B$20,2,FALSE),0)</f>
        <v>784</v>
      </c>
      <c r="S302" s="13">
        <f t="shared" si="34"/>
        <v>0</v>
      </c>
    </row>
    <row r="303" spans="1:19" x14ac:dyDescent="0.25">
      <c r="A303" t="s">
        <v>1498</v>
      </c>
      <c r="B303" s="4" t="s">
        <v>1182</v>
      </c>
      <c r="C303" s="3" t="s">
        <v>5</v>
      </c>
      <c r="G303" s="3" t="s">
        <v>1198</v>
      </c>
      <c r="I303" s="3" t="str">
        <f>IFERROR(VLOOKUP(C303,'Справочник соответствий'!A$2:D$2996,2,FALSE),IF(VALUE(C303)=0,1,VLOOKUP(C303,'Справочник соответствий'!A$2:D$2996,2,FALSE)))</f>
        <v>1</v>
      </c>
      <c r="J303" s="3">
        <f>IFERROR(VLOOKUP(D303,'Справочник соответствий'!A$2:D$2996,2,FALSE),IF(VALUE(D303)=0,0,VLOOKUP(D303,'Справочник соответствий'!A$2:D$2996,2,FALSE)))</f>
        <v>0</v>
      </c>
      <c r="K303" s="3" t="str">
        <f t="shared" si="28"/>
        <v>1</v>
      </c>
      <c r="L303" s="13" t="str">
        <f>IFERROR(VLOOKUP(C303,'Справочник соответствий'!A$2:D$2996,3,FALSE),IF(VALUE(C303)=0,"ЭТАЖ НЕ ОПРЕДЕЛЕН. ПРИНЯТ ПО ДОПУЩЕНИЮ 1",VLOOKUP(C303,'Справочник соответствий'!A$2:D$2996,3,FALSE)))</f>
        <v>ЭТАЖ ЗАДАН ЧИСЛОМ</v>
      </c>
      <c r="M303" s="13" t="b">
        <f t="shared" si="29"/>
        <v>0</v>
      </c>
      <c r="N303" s="13">
        <f t="shared" si="30"/>
        <v>1</v>
      </c>
      <c r="O303" s="13" t="str">
        <f t="shared" si="31"/>
        <v>ЭТАЖ ЗАДАН ЧИСЛОМ</v>
      </c>
      <c r="P303" s="13" t="str">
        <f t="shared" si="32"/>
        <v>ЭТАЖ ЗАДАН ЧИСЛОМ</v>
      </c>
      <c r="Q303" s="13" t="str">
        <f t="shared" si="33"/>
        <v>ГОТОВ_ИЗМЕНЕН</v>
      </c>
      <c r="R303" s="13">
        <f>IFERROR(VLOOKUP(P303,Лист1!A$1:B$20,2,FALSE),0)</f>
        <v>784</v>
      </c>
      <c r="S303" s="13">
        <f t="shared" si="34"/>
        <v>0</v>
      </c>
    </row>
    <row r="304" spans="1:19" x14ac:dyDescent="0.25">
      <c r="A304" t="s">
        <v>1499</v>
      </c>
      <c r="B304" s="4" t="s">
        <v>1182</v>
      </c>
      <c r="C304" s="3" t="s">
        <v>5</v>
      </c>
      <c r="G304" s="3" t="s">
        <v>1198</v>
      </c>
      <c r="I304" s="3" t="str">
        <f>IFERROR(VLOOKUP(C304,'Справочник соответствий'!A$2:D$2996,2,FALSE),IF(VALUE(C304)=0,1,VLOOKUP(C304,'Справочник соответствий'!A$2:D$2996,2,FALSE)))</f>
        <v>1</v>
      </c>
      <c r="J304" s="3">
        <f>IFERROR(VLOOKUP(D304,'Справочник соответствий'!A$2:D$2996,2,FALSE),IF(VALUE(D304)=0,0,VLOOKUP(D304,'Справочник соответствий'!A$2:D$2996,2,FALSE)))</f>
        <v>0</v>
      </c>
      <c r="K304" s="3" t="str">
        <f t="shared" si="28"/>
        <v>1</v>
      </c>
      <c r="L304" s="13" t="str">
        <f>IFERROR(VLOOKUP(C304,'Справочник соответствий'!A$2:D$2996,3,FALSE),IF(VALUE(C304)=0,"ЭТАЖ НЕ ОПРЕДЕЛЕН. ПРИНЯТ ПО ДОПУЩЕНИЮ 1",VLOOKUP(C304,'Справочник соответствий'!A$2:D$2996,3,FALSE)))</f>
        <v>ЭТАЖ ЗАДАН ЧИСЛОМ</v>
      </c>
      <c r="M304" s="13" t="b">
        <f t="shared" si="29"/>
        <v>0</v>
      </c>
      <c r="N304" s="13">
        <f t="shared" si="30"/>
        <v>1</v>
      </c>
      <c r="O304" s="13" t="str">
        <f t="shared" si="31"/>
        <v>ЭТАЖ ЗАДАН ЧИСЛОМ</v>
      </c>
      <c r="P304" s="13" t="str">
        <f t="shared" si="32"/>
        <v>ЭТАЖ ЗАДАН ЧИСЛОМ</v>
      </c>
      <c r="Q304" s="13" t="str">
        <f t="shared" si="33"/>
        <v>ГОТОВ_ИЗМЕНЕН</v>
      </c>
      <c r="R304" s="13">
        <f>IFERROR(VLOOKUP(P304,Лист1!A$1:B$20,2,FALSE),0)</f>
        <v>784</v>
      </c>
      <c r="S304" s="13">
        <f t="shared" si="34"/>
        <v>0</v>
      </c>
    </row>
    <row r="305" spans="1:19" x14ac:dyDescent="0.25">
      <c r="A305" t="s">
        <v>1500</v>
      </c>
      <c r="B305" s="4" t="s">
        <v>1190</v>
      </c>
      <c r="C305" s="3" t="s">
        <v>7</v>
      </c>
      <c r="G305" s="3" t="s">
        <v>1198</v>
      </c>
      <c r="I305" s="3" t="str">
        <f>IFERROR(VLOOKUP(C305,'Справочник соответствий'!A$2:D$2996,2,FALSE),IF(VALUE(C305)=0,1,VLOOKUP(C305,'Справочник соответствий'!A$2:D$2996,2,FALSE)))</f>
        <v>2</v>
      </c>
      <c r="J305" s="3">
        <f>IFERROR(VLOOKUP(D305,'Справочник соответствий'!A$2:D$2996,2,FALSE),IF(VALUE(D305)=0,0,VLOOKUP(D305,'Справочник соответствий'!A$2:D$2996,2,FALSE)))</f>
        <v>0</v>
      </c>
      <c r="K305" s="3" t="str">
        <f t="shared" si="28"/>
        <v>2</v>
      </c>
      <c r="L305" s="13" t="str">
        <f>IFERROR(VLOOKUP(C305,'Справочник соответствий'!A$2:D$2996,3,FALSE),IF(VALUE(C305)=0,"ЭТАЖ НЕ ОПРЕДЕЛЕН. ПРИНЯТ ПО ДОПУЩЕНИЮ 1",VLOOKUP(C305,'Справочник соответствий'!A$2:D$2996,3,FALSE)))</f>
        <v>ЭТАЖ ЗАДАН ЧИСЛОМ</v>
      </c>
      <c r="M305" s="13" t="b">
        <f t="shared" si="29"/>
        <v>0</v>
      </c>
      <c r="N305" s="13">
        <f t="shared" si="30"/>
        <v>2</v>
      </c>
      <c r="O305" s="13" t="str">
        <f t="shared" si="31"/>
        <v>ЭТАЖ ЗАДАН ЧИСЛОМ</v>
      </c>
      <c r="P305" s="13" t="str">
        <f t="shared" si="32"/>
        <v>ЭТАЖ ЗАДАН ЧИСЛОМ</v>
      </c>
      <c r="Q305" s="13" t="str">
        <f t="shared" si="33"/>
        <v>ГОТОВ_ИЗМЕНЕН</v>
      </c>
      <c r="R305" s="13">
        <f>IFERROR(VLOOKUP(P305,Лист1!A$1:B$20,2,FALSE),0)</f>
        <v>784</v>
      </c>
      <c r="S305" s="13">
        <f t="shared" si="34"/>
        <v>0</v>
      </c>
    </row>
    <row r="306" spans="1:19" x14ac:dyDescent="0.25">
      <c r="A306" t="s">
        <v>1501</v>
      </c>
      <c r="B306" s="4" t="s">
        <v>1182</v>
      </c>
      <c r="C306" s="3" t="s">
        <v>5</v>
      </c>
      <c r="G306" s="3" t="s">
        <v>1224</v>
      </c>
      <c r="I306" s="3" t="str">
        <f>IFERROR(VLOOKUP(C306,'Справочник соответствий'!A$2:D$2996,2,FALSE),IF(VALUE(C306)=0,1,VLOOKUP(C306,'Справочник соответствий'!A$2:D$2996,2,FALSE)))</f>
        <v>1</v>
      </c>
      <c r="J306" s="3">
        <f>IFERROR(VLOOKUP(D306,'Справочник соответствий'!A$2:D$2996,2,FALSE),IF(VALUE(D306)=0,0,VLOOKUP(D306,'Справочник соответствий'!A$2:D$2996,2,FALSE)))</f>
        <v>0</v>
      </c>
      <c r="K306" s="3" t="str">
        <f t="shared" si="28"/>
        <v>1</v>
      </c>
      <c r="L306" s="13" t="str">
        <f>IFERROR(VLOOKUP(C306,'Справочник соответствий'!A$2:D$2996,3,FALSE),IF(VALUE(C306)=0,"ЭТАЖ НЕ ОПРЕДЕЛЕН. ПРИНЯТ ПО ДОПУЩЕНИЮ 1",VLOOKUP(C306,'Справочник соответствий'!A$2:D$2996,3,FALSE)))</f>
        <v>ЭТАЖ ЗАДАН ЧИСЛОМ</v>
      </c>
      <c r="M306" s="13" t="b">
        <f t="shared" si="29"/>
        <v>0</v>
      </c>
      <c r="N306" s="13">
        <f t="shared" si="30"/>
        <v>1</v>
      </c>
      <c r="O306" s="13" t="str">
        <f t="shared" si="31"/>
        <v>ЭТАЖ ЗАДАН ЧИСЛОМ</v>
      </c>
      <c r="P306" s="13" t="str">
        <f t="shared" si="32"/>
        <v>ЭТАЖ ЗАДАН ЧИСЛОМ</v>
      </c>
      <c r="Q306" s="13" t="str">
        <f t="shared" si="33"/>
        <v>ГОТОВ_ИЗМЕНЕН</v>
      </c>
      <c r="R306" s="13">
        <f>IFERROR(VLOOKUP(P306,Лист1!A$1:B$20,2,FALSE),0)</f>
        <v>784</v>
      </c>
      <c r="S306" s="13">
        <f t="shared" si="34"/>
        <v>0</v>
      </c>
    </row>
    <row r="307" spans="1:19" x14ac:dyDescent="0.25">
      <c r="A307" t="s">
        <v>1502</v>
      </c>
      <c r="B307" s="4" t="s">
        <v>1190</v>
      </c>
      <c r="C307" s="3" t="s">
        <v>7</v>
      </c>
      <c r="G307" s="3" t="s">
        <v>1224</v>
      </c>
      <c r="I307" s="3" t="str">
        <f>IFERROR(VLOOKUP(C307,'Справочник соответствий'!A$2:D$2996,2,FALSE),IF(VALUE(C307)=0,1,VLOOKUP(C307,'Справочник соответствий'!A$2:D$2996,2,FALSE)))</f>
        <v>2</v>
      </c>
      <c r="J307" s="3">
        <f>IFERROR(VLOOKUP(D307,'Справочник соответствий'!A$2:D$2996,2,FALSE),IF(VALUE(D307)=0,0,VLOOKUP(D307,'Справочник соответствий'!A$2:D$2996,2,FALSE)))</f>
        <v>0</v>
      </c>
      <c r="K307" s="3" t="str">
        <f t="shared" si="28"/>
        <v>2</v>
      </c>
      <c r="L307" s="13" t="str">
        <f>IFERROR(VLOOKUP(C307,'Справочник соответствий'!A$2:D$2996,3,FALSE),IF(VALUE(C307)=0,"ЭТАЖ НЕ ОПРЕДЕЛЕН. ПРИНЯТ ПО ДОПУЩЕНИЮ 1",VLOOKUP(C307,'Справочник соответствий'!A$2:D$2996,3,FALSE)))</f>
        <v>ЭТАЖ ЗАДАН ЧИСЛОМ</v>
      </c>
      <c r="M307" s="13" t="b">
        <f t="shared" si="29"/>
        <v>0</v>
      </c>
      <c r="N307" s="13">
        <f t="shared" si="30"/>
        <v>2</v>
      </c>
      <c r="O307" s="13" t="str">
        <f t="shared" si="31"/>
        <v>ЭТАЖ ЗАДАН ЧИСЛОМ</v>
      </c>
      <c r="P307" s="13" t="str">
        <f t="shared" si="32"/>
        <v>ЭТАЖ ЗАДАН ЧИСЛОМ</v>
      </c>
      <c r="Q307" s="13" t="str">
        <f t="shared" si="33"/>
        <v>ГОТОВ_ИЗМЕНЕН</v>
      </c>
      <c r="R307" s="13">
        <f>IFERROR(VLOOKUP(P307,Лист1!A$1:B$20,2,FALSE),0)</f>
        <v>784</v>
      </c>
      <c r="S307" s="13">
        <f t="shared" si="34"/>
        <v>0</v>
      </c>
    </row>
    <row r="308" spans="1:19" x14ac:dyDescent="0.25">
      <c r="A308" t="s">
        <v>1503</v>
      </c>
      <c r="B308" s="4" t="s">
        <v>1190</v>
      </c>
      <c r="C308" s="3" t="s">
        <v>7</v>
      </c>
      <c r="G308" s="3" t="s">
        <v>1224</v>
      </c>
      <c r="I308" s="3" t="str">
        <f>IFERROR(VLOOKUP(C308,'Справочник соответствий'!A$2:D$2996,2,FALSE),IF(VALUE(C308)=0,1,VLOOKUP(C308,'Справочник соответствий'!A$2:D$2996,2,FALSE)))</f>
        <v>2</v>
      </c>
      <c r="J308" s="3">
        <f>IFERROR(VLOOKUP(D308,'Справочник соответствий'!A$2:D$2996,2,FALSE),IF(VALUE(D308)=0,0,VLOOKUP(D308,'Справочник соответствий'!A$2:D$2996,2,FALSE)))</f>
        <v>0</v>
      </c>
      <c r="K308" s="3" t="str">
        <f t="shared" si="28"/>
        <v>2</v>
      </c>
      <c r="L308" s="13" t="str">
        <f>IFERROR(VLOOKUP(C308,'Справочник соответствий'!A$2:D$2996,3,FALSE),IF(VALUE(C308)=0,"ЭТАЖ НЕ ОПРЕДЕЛЕН. ПРИНЯТ ПО ДОПУЩЕНИЮ 1",VLOOKUP(C308,'Справочник соответствий'!A$2:D$2996,3,FALSE)))</f>
        <v>ЭТАЖ ЗАДАН ЧИСЛОМ</v>
      </c>
      <c r="M308" s="13" t="b">
        <f t="shared" si="29"/>
        <v>0</v>
      </c>
      <c r="N308" s="13">
        <f t="shared" si="30"/>
        <v>2</v>
      </c>
      <c r="O308" s="13" t="str">
        <f t="shared" si="31"/>
        <v>ЭТАЖ ЗАДАН ЧИСЛОМ</v>
      </c>
      <c r="P308" s="13" t="str">
        <f t="shared" si="32"/>
        <v>ЭТАЖ ЗАДАН ЧИСЛОМ</v>
      </c>
      <c r="Q308" s="13" t="str">
        <f t="shared" si="33"/>
        <v>ГОТОВ_ИЗМЕНЕН</v>
      </c>
      <c r="R308" s="13">
        <f>IFERROR(VLOOKUP(P308,Лист1!A$1:B$20,2,FALSE),0)</f>
        <v>784</v>
      </c>
      <c r="S308" s="13">
        <f t="shared" si="34"/>
        <v>0</v>
      </c>
    </row>
    <row r="309" spans="1:19" x14ac:dyDescent="0.25">
      <c r="A309" t="s">
        <v>1504</v>
      </c>
      <c r="B309" s="4" t="s">
        <v>1182</v>
      </c>
      <c r="C309" s="3" t="s">
        <v>5</v>
      </c>
      <c r="G309" s="3" t="s">
        <v>1224</v>
      </c>
      <c r="I309" s="3" t="str">
        <f>IFERROR(VLOOKUP(C309,'Справочник соответствий'!A$2:D$2996,2,FALSE),IF(VALUE(C309)=0,1,VLOOKUP(C309,'Справочник соответствий'!A$2:D$2996,2,FALSE)))</f>
        <v>1</v>
      </c>
      <c r="J309" s="3">
        <f>IFERROR(VLOOKUP(D309,'Справочник соответствий'!A$2:D$2996,2,FALSE),IF(VALUE(D309)=0,0,VLOOKUP(D309,'Справочник соответствий'!A$2:D$2996,2,FALSE)))</f>
        <v>0</v>
      </c>
      <c r="K309" s="3" t="str">
        <f t="shared" si="28"/>
        <v>1</v>
      </c>
      <c r="L309" s="13" t="str">
        <f>IFERROR(VLOOKUP(C309,'Справочник соответствий'!A$2:D$2996,3,FALSE),IF(VALUE(C309)=0,"ЭТАЖ НЕ ОПРЕДЕЛЕН. ПРИНЯТ ПО ДОПУЩЕНИЮ 1",VLOOKUP(C309,'Справочник соответствий'!A$2:D$2996,3,FALSE)))</f>
        <v>ЭТАЖ ЗАДАН ЧИСЛОМ</v>
      </c>
      <c r="M309" s="13" t="b">
        <f t="shared" si="29"/>
        <v>0</v>
      </c>
      <c r="N309" s="13">
        <f t="shared" si="30"/>
        <v>1</v>
      </c>
      <c r="O309" s="13" t="str">
        <f t="shared" si="31"/>
        <v>ЭТАЖ ЗАДАН ЧИСЛОМ</v>
      </c>
      <c r="P309" s="13" t="str">
        <f t="shared" si="32"/>
        <v>ЭТАЖ ЗАДАН ЧИСЛОМ</v>
      </c>
      <c r="Q309" s="13" t="str">
        <f t="shared" si="33"/>
        <v>ГОТОВ_ИЗМЕНЕН</v>
      </c>
      <c r="R309" s="13">
        <f>IFERROR(VLOOKUP(P309,Лист1!A$1:B$20,2,FALSE),0)</f>
        <v>784</v>
      </c>
      <c r="S309" s="13">
        <f t="shared" si="34"/>
        <v>0</v>
      </c>
    </row>
    <row r="310" spans="1:19" x14ac:dyDescent="0.25">
      <c r="A310" t="s">
        <v>1505</v>
      </c>
      <c r="B310" s="4" t="s">
        <v>1190</v>
      </c>
      <c r="C310" s="3" t="s">
        <v>5</v>
      </c>
      <c r="G310" s="3" t="s">
        <v>1224</v>
      </c>
      <c r="I310" s="3" t="str">
        <f>IFERROR(VLOOKUP(C310,'Справочник соответствий'!A$2:D$2996,2,FALSE),IF(VALUE(C310)=0,1,VLOOKUP(C310,'Справочник соответствий'!A$2:D$2996,2,FALSE)))</f>
        <v>1</v>
      </c>
      <c r="J310" s="3">
        <f>IFERROR(VLOOKUP(D310,'Справочник соответствий'!A$2:D$2996,2,FALSE),IF(VALUE(D310)=0,0,VLOOKUP(D310,'Справочник соответствий'!A$2:D$2996,2,FALSE)))</f>
        <v>0</v>
      </c>
      <c r="K310" s="3" t="str">
        <f t="shared" si="28"/>
        <v>1</v>
      </c>
      <c r="L310" s="13" t="str">
        <f>IFERROR(VLOOKUP(C310,'Справочник соответствий'!A$2:D$2996,3,FALSE),IF(VALUE(C310)=0,"ЭТАЖ НЕ ОПРЕДЕЛЕН. ПРИНЯТ ПО ДОПУЩЕНИЮ 1",VLOOKUP(C310,'Справочник соответствий'!A$2:D$2996,3,FALSE)))</f>
        <v>ЭТАЖ ЗАДАН ЧИСЛОМ</v>
      </c>
      <c r="M310" s="13" t="b">
        <f t="shared" si="29"/>
        <v>0</v>
      </c>
      <c r="N310" s="13">
        <f t="shared" si="30"/>
        <v>1</v>
      </c>
      <c r="O310" s="13" t="str">
        <f t="shared" si="31"/>
        <v>ЭТАЖ ЗАДАН ЧИСЛОМ</v>
      </c>
      <c r="P310" s="13" t="str">
        <f t="shared" si="32"/>
        <v>ЭТАЖ ЗАДАН ЧИСЛОМ</v>
      </c>
      <c r="Q310" s="13" t="str">
        <f t="shared" si="33"/>
        <v>ГОТОВ_ИЗМЕНЕН</v>
      </c>
      <c r="R310" s="13">
        <f>IFERROR(VLOOKUP(P310,Лист1!A$1:B$20,2,FALSE),0)</f>
        <v>784</v>
      </c>
      <c r="S310" s="13">
        <f t="shared" si="34"/>
        <v>0</v>
      </c>
    </row>
    <row r="311" spans="1:19" x14ac:dyDescent="0.25">
      <c r="A311" t="s">
        <v>1506</v>
      </c>
      <c r="B311" s="4" t="s">
        <v>1190</v>
      </c>
      <c r="C311" s="3" t="s">
        <v>5</v>
      </c>
      <c r="G311" s="3" t="s">
        <v>1224</v>
      </c>
      <c r="I311" s="3" t="str">
        <f>IFERROR(VLOOKUP(C311,'Справочник соответствий'!A$2:D$2996,2,FALSE),IF(VALUE(C311)=0,1,VLOOKUP(C311,'Справочник соответствий'!A$2:D$2996,2,FALSE)))</f>
        <v>1</v>
      </c>
      <c r="J311" s="3">
        <f>IFERROR(VLOOKUP(D311,'Справочник соответствий'!A$2:D$2996,2,FALSE),IF(VALUE(D311)=0,0,VLOOKUP(D311,'Справочник соответствий'!A$2:D$2996,2,FALSE)))</f>
        <v>0</v>
      </c>
      <c r="K311" s="3" t="str">
        <f t="shared" si="28"/>
        <v>1</v>
      </c>
      <c r="L311" s="13" t="str">
        <f>IFERROR(VLOOKUP(C311,'Справочник соответствий'!A$2:D$2996,3,FALSE),IF(VALUE(C311)=0,"ЭТАЖ НЕ ОПРЕДЕЛЕН. ПРИНЯТ ПО ДОПУЩЕНИЮ 1",VLOOKUP(C311,'Справочник соответствий'!A$2:D$2996,3,FALSE)))</f>
        <v>ЭТАЖ ЗАДАН ЧИСЛОМ</v>
      </c>
      <c r="M311" s="13" t="b">
        <f t="shared" si="29"/>
        <v>0</v>
      </c>
      <c r="N311" s="13">
        <f t="shared" si="30"/>
        <v>1</v>
      </c>
      <c r="O311" s="13" t="str">
        <f t="shared" si="31"/>
        <v>ЭТАЖ ЗАДАН ЧИСЛОМ</v>
      </c>
      <c r="P311" s="13" t="str">
        <f t="shared" si="32"/>
        <v>ЭТАЖ ЗАДАН ЧИСЛОМ</v>
      </c>
      <c r="Q311" s="13" t="str">
        <f t="shared" si="33"/>
        <v>ГОТОВ_ИЗМЕНЕН</v>
      </c>
      <c r="R311" s="13">
        <f>IFERROR(VLOOKUP(P311,Лист1!A$1:B$20,2,FALSE),0)</f>
        <v>784</v>
      </c>
      <c r="S311" s="13">
        <f t="shared" si="34"/>
        <v>0</v>
      </c>
    </row>
    <row r="312" spans="1:19" x14ac:dyDescent="0.25">
      <c r="A312" t="s">
        <v>1507</v>
      </c>
      <c r="B312" s="4" t="s">
        <v>1190</v>
      </c>
      <c r="C312" s="3" t="s">
        <v>7</v>
      </c>
      <c r="G312" s="3" t="s">
        <v>1224</v>
      </c>
      <c r="I312" s="3" t="str">
        <f>IFERROR(VLOOKUP(C312,'Справочник соответствий'!A$2:D$2996,2,FALSE),IF(VALUE(C312)=0,1,VLOOKUP(C312,'Справочник соответствий'!A$2:D$2996,2,FALSE)))</f>
        <v>2</v>
      </c>
      <c r="J312" s="3">
        <f>IFERROR(VLOOKUP(D312,'Справочник соответствий'!A$2:D$2996,2,FALSE),IF(VALUE(D312)=0,0,VLOOKUP(D312,'Справочник соответствий'!A$2:D$2996,2,FALSE)))</f>
        <v>0</v>
      </c>
      <c r="K312" s="3" t="str">
        <f t="shared" si="28"/>
        <v>2</v>
      </c>
      <c r="L312" s="13" t="str">
        <f>IFERROR(VLOOKUP(C312,'Справочник соответствий'!A$2:D$2996,3,FALSE),IF(VALUE(C312)=0,"ЭТАЖ НЕ ОПРЕДЕЛЕН. ПРИНЯТ ПО ДОПУЩЕНИЮ 1",VLOOKUP(C312,'Справочник соответствий'!A$2:D$2996,3,FALSE)))</f>
        <v>ЭТАЖ ЗАДАН ЧИСЛОМ</v>
      </c>
      <c r="M312" s="13" t="b">
        <f t="shared" si="29"/>
        <v>0</v>
      </c>
      <c r="N312" s="13">
        <f t="shared" si="30"/>
        <v>2</v>
      </c>
      <c r="O312" s="13" t="str">
        <f t="shared" si="31"/>
        <v>ЭТАЖ ЗАДАН ЧИСЛОМ</v>
      </c>
      <c r="P312" s="13" t="str">
        <f t="shared" si="32"/>
        <v>ЭТАЖ ЗАДАН ЧИСЛОМ</v>
      </c>
      <c r="Q312" s="13" t="str">
        <f t="shared" si="33"/>
        <v>ГОТОВ_ИЗМЕНЕН</v>
      </c>
      <c r="R312" s="13">
        <f>IFERROR(VLOOKUP(P312,Лист1!A$1:B$20,2,FALSE),0)</f>
        <v>784</v>
      </c>
      <c r="S312" s="13">
        <f t="shared" si="34"/>
        <v>0</v>
      </c>
    </row>
    <row r="313" spans="1:19" x14ac:dyDescent="0.25">
      <c r="A313" t="s">
        <v>1508</v>
      </c>
      <c r="B313" s="4" t="s">
        <v>1182</v>
      </c>
      <c r="C313" s="3" t="s">
        <v>5</v>
      </c>
      <c r="E313" s="3" t="s">
        <v>5</v>
      </c>
      <c r="F313" t="s">
        <v>1186</v>
      </c>
      <c r="G313" s="3" t="s">
        <v>1183</v>
      </c>
      <c r="H313" s="7" t="s">
        <v>1184</v>
      </c>
      <c r="I313" s="3" t="str">
        <f>IFERROR(VLOOKUP(C313,'Справочник соответствий'!A$2:D$2996,2,FALSE),IF(VALUE(C313)=0,1,VLOOKUP(C313,'Справочник соответствий'!A$2:D$2996,2,FALSE)))</f>
        <v>1</v>
      </c>
      <c r="J313" s="3">
        <f>IFERROR(VLOOKUP(D313,'Справочник соответствий'!A$2:D$2996,2,FALSE),IF(VALUE(D313)=0,0,VLOOKUP(D313,'Справочник соответствий'!A$2:D$2996,2,FALSE)))</f>
        <v>0</v>
      </c>
      <c r="K313" s="3" t="str">
        <f t="shared" si="28"/>
        <v>1</v>
      </c>
      <c r="L313" s="13" t="str">
        <f>IFERROR(VLOOKUP(C313,'Справочник соответствий'!A$2:D$2996,3,FALSE),IF(VALUE(C313)=0,"ЭТАЖ НЕ ОПРЕДЕЛЕН. ПРИНЯТ ПО ДОПУЩЕНИЮ 1",VLOOKUP(C313,'Справочник соответствий'!A$2:D$2996,3,FALSE)))</f>
        <v>ЭТАЖ ЗАДАН ЧИСЛОМ</v>
      </c>
      <c r="M313" s="13" t="b">
        <f t="shared" si="29"/>
        <v>1</v>
      </c>
      <c r="N313" s="13">
        <f t="shared" si="30"/>
        <v>1</v>
      </c>
      <c r="O313" s="13" t="str">
        <f t="shared" si="31"/>
        <v>ЭТАЖ ЗАДАН ЧИСЛОМ</v>
      </c>
      <c r="P313" s="13" t="str">
        <f t="shared" si="32"/>
        <v>ЭТАЖ ЗАДАН ЧИСЛОМ</v>
      </c>
      <c r="Q313" s="13" t="str">
        <f t="shared" si="33"/>
        <v>ГОТОВ</v>
      </c>
      <c r="R313" s="13">
        <f>IFERROR(VLOOKUP(P313,Лист1!A$1:B$20,2,FALSE),0)</f>
        <v>784</v>
      </c>
      <c r="S313" s="13">
        <f t="shared" si="34"/>
        <v>1</v>
      </c>
    </row>
    <row r="314" spans="1:19" x14ac:dyDescent="0.25">
      <c r="A314" t="s">
        <v>1509</v>
      </c>
      <c r="B314" s="4" t="s">
        <v>1182</v>
      </c>
      <c r="C314" s="3" t="s">
        <v>5</v>
      </c>
      <c r="E314" s="3" t="s">
        <v>5</v>
      </c>
      <c r="F314" t="s">
        <v>1186</v>
      </c>
      <c r="G314" s="3" t="s">
        <v>1191</v>
      </c>
      <c r="H314" s="7" t="s">
        <v>1184</v>
      </c>
      <c r="I314" s="3" t="str">
        <f>IFERROR(VLOOKUP(C314,'Справочник соответствий'!A$2:D$2996,2,FALSE),IF(VALUE(C314)=0,1,VLOOKUP(C314,'Справочник соответствий'!A$2:D$2996,2,FALSE)))</f>
        <v>1</v>
      </c>
      <c r="J314" s="3">
        <f>IFERROR(VLOOKUP(D314,'Справочник соответствий'!A$2:D$2996,2,FALSE),IF(VALUE(D314)=0,0,VLOOKUP(D314,'Справочник соответствий'!A$2:D$2996,2,FALSE)))</f>
        <v>0</v>
      </c>
      <c r="K314" s="3" t="str">
        <f t="shared" si="28"/>
        <v>1</v>
      </c>
      <c r="L314" s="13" t="str">
        <f>IFERROR(VLOOKUP(C314,'Справочник соответствий'!A$2:D$2996,3,FALSE),IF(VALUE(C314)=0,"ЭТАЖ НЕ ОПРЕДЕЛЕН. ПРИНЯТ ПО ДОПУЩЕНИЮ 1",VLOOKUP(C314,'Справочник соответствий'!A$2:D$2996,3,FALSE)))</f>
        <v>ЭТАЖ ЗАДАН ЧИСЛОМ</v>
      </c>
      <c r="M314" s="13" t="b">
        <f t="shared" si="29"/>
        <v>1</v>
      </c>
      <c r="N314" s="13">
        <f t="shared" si="30"/>
        <v>1</v>
      </c>
      <c r="O314" s="13" t="str">
        <f t="shared" si="31"/>
        <v>ЭТАЖ ЗАДАН ЧИСЛОМ</v>
      </c>
      <c r="P314" s="13" t="str">
        <f t="shared" si="32"/>
        <v>ЭТАЖ ЗАДАН ЧИСЛОМ</v>
      </c>
      <c r="Q314" s="13" t="str">
        <f t="shared" si="33"/>
        <v>ГОТОВ</v>
      </c>
      <c r="R314" s="13">
        <f>IFERROR(VLOOKUP(P314,Лист1!A$1:B$20,2,FALSE),0)</f>
        <v>784</v>
      </c>
      <c r="S314" s="13">
        <f t="shared" si="34"/>
        <v>1</v>
      </c>
    </row>
    <row r="315" spans="1:19" x14ac:dyDescent="0.25">
      <c r="A315" t="s">
        <v>1510</v>
      </c>
      <c r="B315" s="4" t="s">
        <v>1190</v>
      </c>
      <c r="C315" s="3" t="s">
        <v>8</v>
      </c>
      <c r="D315" s="3" t="s">
        <v>5</v>
      </c>
      <c r="E315" s="3" t="s">
        <v>7</v>
      </c>
      <c r="F315" t="s">
        <v>1038</v>
      </c>
      <c r="G315" s="3" t="s">
        <v>1191</v>
      </c>
      <c r="H315" s="7" t="s">
        <v>1184</v>
      </c>
      <c r="I315" s="3" t="str">
        <f>IFERROR(VLOOKUP(C315,'Справочник соответствий'!A$2:D$2996,2,FALSE),IF(VALUE(C315)=0,1,VLOOKUP(C315,'Справочник соответствий'!A$2:D$2996,2,FALSE)))</f>
        <v>3</v>
      </c>
      <c r="J315" s="3" t="str">
        <f>IFERROR(VLOOKUP(D315,'Справочник соответствий'!A$2:D$2996,2,FALSE),IF(VALUE(D315)=0,0,VLOOKUP(D315,'Справочник соответствий'!A$2:D$2996,2,FALSE)))</f>
        <v>1</v>
      </c>
      <c r="K315" s="3" t="str">
        <f t="shared" si="28"/>
        <v>3</v>
      </c>
      <c r="L315" s="13" t="str">
        <f>IFERROR(VLOOKUP(C315,'Справочник соответствий'!A$2:D$2996,3,FALSE),IF(VALUE(C315)=0,"ЭТАЖ НЕ ОПРЕДЕЛЕН. ПРИНЯТ ПО ДОПУЩЕНИЮ 1",VLOOKUP(C315,'Справочник соответствий'!A$2:D$2996,3,FALSE)))</f>
        <v>ЭТАЖ ЗАДАН ЧИСЛОМ</v>
      </c>
      <c r="M315" s="13" t="b">
        <f t="shared" si="29"/>
        <v>0</v>
      </c>
      <c r="N315" s="13">
        <f t="shared" si="30"/>
        <v>3</v>
      </c>
      <c r="O315" s="13" t="str">
        <f t="shared" si="31"/>
        <v>ЭТАЖ ЗАДАН ЧИСЛОМ</v>
      </c>
      <c r="P315" s="13" t="str">
        <f t="shared" si="32"/>
        <v>ЭТАЖ ЗАДАН ЧИСЛОМ</v>
      </c>
      <c r="Q315" s="13" t="str">
        <f t="shared" si="33"/>
        <v>ГОТОВ_ИЗМЕНЕН</v>
      </c>
      <c r="R315" s="13">
        <f>IFERROR(VLOOKUP(P315,Лист1!A$1:B$20,2,FALSE),0)</f>
        <v>784</v>
      </c>
      <c r="S315" s="13">
        <f t="shared" si="34"/>
        <v>2</v>
      </c>
    </row>
    <row r="316" spans="1:19" x14ac:dyDescent="0.25">
      <c r="A316" t="s">
        <v>1511</v>
      </c>
      <c r="B316" s="4" t="s">
        <v>1182</v>
      </c>
      <c r="C316" s="3" t="s">
        <v>7</v>
      </c>
      <c r="D316" s="3" t="s">
        <v>5</v>
      </c>
      <c r="E316" s="3" t="s">
        <v>7</v>
      </c>
      <c r="F316" t="s">
        <v>1045</v>
      </c>
      <c r="G316" s="3" t="s">
        <v>1187</v>
      </c>
      <c r="H316" s="7" t="s">
        <v>1184</v>
      </c>
      <c r="I316" s="3" t="str">
        <f>IFERROR(VLOOKUP(C316,'Справочник соответствий'!A$2:D$2996,2,FALSE),IF(VALUE(C316)=0,1,VLOOKUP(C316,'Справочник соответствий'!A$2:D$2996,2,FALSE)))</f>
        <v>2</v>
      </c>
      <c r="J316" s="3" t="str">
        <f>IFERROR(VLOOKUP(D316,'Справочник соответствий'!A$2:D$2996,2,FALSE),IF(VALUE(D316)=0,0,VLOOKUP(D316,'Справочник соответствий'!A$2:D$2996,2,FALSE)))</f>
        <v>1</v>
      </c>
      <c r="K316" s="3" t="str">
        <f t="shared" si="28"/>
        <v>2</v>
      </c>
      <c r="L316" s="13" t="str">
        <f>IFERROR(VLOOKUP(C316,'Справочник соответствий'!A$2:D$2996,3,FALSE),IF(VALUE(C316)=0,"ЭТАЖ НЕ ОПРЕДЕЛЕН. ПРИНЯТ ПО ДОПУЩЕНИЮ 1",VLOOKUP(C316,'Справочник соответствий'!A$2:D$2996,3,FALSE)))</f>
        <v>ЭТАЖ ЗАДАН ЧИСЛОМ</v>
      </c>
      <c r="M316" s="13" t="b">
        <f t="shared" si="29"/>
        <v>1</v>
      </c>
      <c r="N316" s="13">
        <f t="shared" si="30"/>
        <v>2</v>
      </c>
      <c r="O316" s="13" t="str">
        <f t="shared" si="31"/>
        <v>ЭТАЖ ЗАДАН ЧИСЛОМ</v>
      </c>
      <c r="P316" s="13" t="str">
        <f t="shared" si="32"/>
        <v>ЭТАЖ ЗАДАН ЧИСЛОМ</v>
      </c>
      <c r="Q316" s="13" t="str">
        <f t="shared" si="33"/>
        <v>ГОТОВ</v>
      </c>
      <c r="R316" s="13">
        <f>IFERROR(VLOOKUP(P316,Лист1!A$1:B$20,2,FALSE),0)</f>
        <v>784</v>
      </c>
      <c r="S316" s="13">
        <f t="shared" si="34"/>
        <v>2</v>
      </c>
    </row>
    <row r="317" spans="1:19" x14ac:dyDescent="0.25">
      <c r="A317" t="s">
        <v>1512</v>
      </c>
      <c r="B317" s="4" t="s">
        <v>1182</v>
      </c>
      <c r="C317" s="3" t="s">
        <v>7</v>
      </c>
      <c r="E317" s="3" t="s">
        <v>5</v>
      </c>
      <c r="F317" t="s">
        <v>1186</v>
      </c>
      <c r="G317" s="3" t="s">
        <v>1187</v>
      </c>
      <c r="H317" s="7" t="s">
        <v>1184</v>
      </c>
      <c r="I317" s="3" t="str">
        <f>IFERROR(VLOOKUP(C317,'Справочник соответствий'!A$2:D$2996,2,FALSE),IF(VALUE(C317)=0,1,VLOOKUP(C317,'Справочник соответствий'!A$2:D$2996,2,FALSE)))</f>
        <v>2</v>
      </c>
      <c r="J317" s="3">
        <f>IFERROR(VLOOKUP(D317,'Справочник соответствий'!A$2:D$2996,2,FALSE),IF(VALUE(D317)=0,0,VLOOKUP(D317,'Справочник соответствий'!A$2:D$2996,2,FALSE)))</f>
        <v>0</v>
      </c>
      <c r="K317" s="3" t="str">
        <f t="shared" si="28"/>
        <v>2</v>
      </c>
      <c r="L317" s="13" t="str">
        <f>IFERROR(VLOOKUP(C317,'Справочник соответствий'!A$2:D$2996,3,FALSE),IF(VALUE(C317)=0,"ЭТАЖ НЕ ОПРЕДЕЛЕН. ПРИНЯТ ПО ДОПУЩЕНИЮ 1",VLOOKUP(C317,'Справочник соответствий'!A$2:D$2996,3,FALSE)))</f>
        <v>ЭТАЖ ЗАДАН ЧИСЛОМ</v>
      </c>
      <c r="M317" s="13" t="b">
        <f t="shared" si="29"/>
        <v>0</v>
      </c>
      <c r="N317" s="13">
        <f t="shared" si="30"/>
        <v>2</v>
      </c>
      <c r="O317" s="13" t="str">
        <f t="shared" si="31"/>
        <v>ЭТАЖ ЗАДАН ЧИСЛОМ</v>
      </c>
      <c r="P317" s="13" t="str">
        <f t="shared" si="32"/>
        <v>ЭТАЖ ЗАДАН ЧИСЛОМ</v>
      </c>
      <c r="Q317" s="13" t="str">
        <f t="shared" si="33"/>
        <v>ГОТОВ_ИЗМЕНЕН</v>
      </c>
      <c r="R317" s="13">
        <f>IFERROR(VLOOKUP(P317,Лист1!A$1:B$20,2,FALSE),0)</f>
        <v>784</v>
      </c>
      <c r="S317" s="13">
        <f t="shared" si="34"/>
        <v>1</v>
      </c>
    </row>
    <row r="318" spans="1:19" x14ac:dyDescent="0.25">
      <c r="A318" t="s">
        <v>1513</v>
      </c>
      <c r="B318" s="4" t="s">
        <v>1182</v>
      </c>
      <c r="C318" s="3" t="s">
        <v>5</v>
      </c>
      <c r="E318" s="3" t="s">
        <v>5</v>
      </c>
      <c r="F318" t="s">
        <v>1186</v>
      </c>
      <c r="G318" s="3" t="s">
        <v>1191</v>
      </c>
      <c r="H318" s="7" t="s">
        <v>1184</v>
      </c>
      <c r="I318" s="3" t="str">
        <f>IFERROR(VLOOKUP(C318,'Справочник соответствий'!A$2:D$2996,2,FALSE),IF(VALUE(C318)=0,1,VLOOKUP(C318,'Справочник соответствий'!A$2:D$2996,2,FALSE)))</f>
        <v>1</v>
      </c>
      <c r="J318" s="3">
        <f>IFERROR(VLOOKUP(D318,'Справочник соответствий'!A$2:D$2996,2,FALSE),IF(VALUE(D318)=0,0,VLOOKUP(D318,'Справочник соответствий'!A$2:D$2996,2,FALSE)))</f>
        <v>0</v>
      </c>
      <c r="K318" s="3" t="str">
        <f t="shared" si="28"/>
        <v>1</v>
      </c>
      <c r="L318" s="13" t="str">
        <f>IFERROR(VLOOKUP(C318,'Справочник соответствий'!A$2:D$2996,3,FALSE),IF(VALUE(C318)=0,"ЭТАЖ НЕ ОПРЕДЕЛЕН. ПРИНЯТ ПО ДОПУЩЕНИЮ 1",VLOOKUP(C318,'Справочник соответствий'!A$2:D$2996,3,FALSE)))</f>
        <v>ЭТАЖ ЗАДАН ЧИСЛОМ</v>
      </c>
      <c r="M318" s="13" t="b">
        <f t="shared" si="29"/>
        <v>1</v>
      </c>
      <c r="N318" s="13">
        <f t="shared" si="30"/>
        <v>1</v>
      </c>
      <c r="O318" s="13" t="str">
        <f t="shared" si="31"/>
        <v>ЭТАЖ ЗАДАН ЧИСЛОМ</v>
      </c>
      <c r="P318" s="13" t="str">
        <f t="shared" si="32"/>
        <v>ЭТАЖ ЗАДАН ЧИСЛОМ</v>
      </c>
      <c r="Q318" s="13" t="str">
        <f t="shared" si="33"/>
        <v>ГОТОВ</v>
      </c>
      <c r="R318" s="13">
        <f>IFERROR(VLOOKUP(P318,Лист1!A$1:B$20,2,FALSE),0)</f>
        <v>784</v>
      </c>
      <c r="S318" s="13">
        <f t="shared" si="34"/>
        <v>1</v>
      </c>
    </row>
    <row r="319" spans="1:19" x14ac:dyDescent="0.25">
      <c r="A319" t="s">
        <v>1514</v>
      </c>
      <c r="B319" s="4" t="s">
        <v>1190</v>
      </c>
      <c r="C319" s="3" t="s">
        <v>7</v>
      </c>
      <c r="D319" s="3" t="s">
        <v>5</v>
      </c>
      <c r="E319" s="3" t="s">
        <v>7</v>
      </c>
      <c r="F319" t="s">
        <v>1045</v>
      </c>
      <c r="G319" s="3" t="s">
        <v>1198</v>
      </c>
      <c r="H319" s="7" t="s">
        <v>1184</v>
      </c>
      <c r="I319" s="3" t="str">
        <f>IFERROR(VLOOKUP(C319,'Справочник соответствий'!A$2:D$2996,2,FALSE),IF(VALUE(C319)=0,1,VLOOKUP(C319,'Справочник соответствий'!A$2:D$2996,2,FALSE)))</f>
        <v>2</v>
      </c>
      <c r="J319" s="3" t="str">
        <f>IFERROR(VLOOKUP(D319,'Справочник соответствий'!A$2:D$2996,2,FALSE),IF(VALUE(D319)=0,0,VLOOKUP(D319,'Справочник соответствий'!A$2:D$2996,2,FALSE)))</f>
        <v>1</v>
      </c>
      <c r="K319" s="3" t="str">
        <f t="shared" si="28"/>
        <v>2</v>
      </c>
      <c r="L319" s="13" t="str">
        <f>IFERROR(VLOOKUP(C319,'Справочник соответствий'!A$2:D$2996,3,FALSE),IF(VALUE(C319)=0,"ЭТАЖ НЕ ОПРЕДЕЛЕН. ПРИНЯТ ПО ДОПУЩЕНИЮ 1",VLOOKUP(C319,'Справочник соответствий'!A$2:D$2996,3,FALSE)))</f>
        <v>ЭТАЖ ЗАДАН ЧИСЛОМ</v>
      </c>
      <c r="M319" s="13" t="b">
        <f t="shared" si="29"/>
        <v>1</v>
      </c>
      <c r="N319" s="13">
        <f t="shared" si="30"/>
        <v>2</v>
      </c>
      <c r="O319" s="13" t="str">
        <f t="shared" si="31"/>
        <v>ЭТАЖ ЗАДАН ЧИСЛОМ</v>
      </c>
      <c r="P319" s="13" t="str">
        <f t="shared" si="32"/>
        <v>ЭТАЖ ЗАДАН ЧИСЛОМ</v>
      </c>
      <c r="Q319" s="13" t="str">
        <f t="shared" si="33"/>
        <v>ГОТОВ</v>
      </c>
      <c r="R319" s="13">
        <f>IFERROR(VLOOKUP(P319,Лист1!A$1:B$20,2,FALSE),0)</f>
        <v>784</v>
      </c>
      <c r="S319" s="13">
        <f t="shared" si="34"/>
        <v>2</v>
      </c>
    </row>
    <row r="320" spans="1:19" x14ac:dyDescent="0.25">
      <c r="A320" t="s">
        <v>1515</v>
      </c>
      <c r="B320" s="4" t="s">
        <v>1190</v>
      </c>
      <c r="C320" s="3" t="s">
        <v>7</v>
      </c>
      <c r="E320" s="3" t="s">
        <v>5</v>
      </c>
      <c r="F320" t="s">
        <v>1038</v>
      </c>
      <c r="G320" s="3" t="s">
        <v>1198</v>
      </c>
      <c r="H320" s="7" t="s">
        <v>1184</v>
      </c>
      <c r="I320" s="3" t="str">
        <f>IFERROR(VLOOKUP(C320,'Справочник соответствий'!A$2:D$2996,2,FALSE),IF(VALUE(C320)=0,1,VLOOKUP(C320,'Справочник соответствий'!A$2:D$2996,2,FALSE)))</f>
        <v>2</v>
      </c>
      <c r="J320" s="3">
        <f>IFERROR(VLOOKUP(D320,'Справочник соответствий'!A$2:D$2996,2,FALSE),IF(VALUE(D320)=0,0,VLOOKUP(D320,'Справочник соответствий'!A$2:D$2996,2,FALSE)))</f>
        <v>0</v>
      </c>
      <c r="K320" s="3" t="str">
        <f t="shared" si="28"/>
        <v>2</v>
      </c>
      <c r="L320" s="13" t="str">
        <f>IFERROR(VLOOKUP(C320,'Справочник соответствий'!A$2:D$2996,3,FALSE),IF(VALUE(C320)=0,"ЭТАЖ НЕ ОПРЕДЕЛЕН. ПРИНЯТ ПО ДОПУЩЕНИЮ 1",VLOOKUP(C320,'Справочник соответствий'!A$2:D$2996,3,FALSE)))</f>
        <v>ЭТАЖ ЗАДАН ЧИСЛОМ</v>
      </c>
      <c r="M320" s="13" t="b">
        <f t="shared" si="29"/>
        <v>0</v>
      </c>
      <c r="N320" s="13">
        <f t="shared" si="30"/>
        <v>2</v>
      </c>
      <c r="O320" s="13" t="str">
        <f t="shared" si="31"/>
        <v>ЭТАЖ ЗАДАН ЧИСЛОМ</v>
      </c>
      <c r="P320" s="13" t="str">
        <f t="shared" si="32"/>
        <v>ЭТАЖ ЗАДАН ЧИСЛОМ</v>
      </c>
      <c r="Q320" s="13" t="str">
        <f t="shared" si="33"/>
        <v>ГОТОВ_ИЗМЕНЕН</v>
      </c>
      <c r="R320" s="13">
        <f>IFERROR(VLOOKUP(P320,Лист1!A$1:B$20,2,FALSE),0)</f>
        <v>784</v>
      </c>
      <c r="S320" s="13">
        <f t="shared" si="34"/>
        <v>1</v>
      </c>
    </row>
    <row r="321" spans="1:19" x14ac:dyDescent="0.25">
      <c r="A321" t="s">
        <v>1516</v>
      </c>
      <c r="B321" s="4" t="s">
        <v>1190</v>
      </c>
      <c r="C321" s="3" t="s">
        <v>7</v>
      </c>
      <c r="E321" s="3" t="s">
        <v>5</v>
      </c>
      <c r="F321" t="s">
        <v>1038</v>
      </c>
      <c r="G321" s="3" t="s">
        <v>1224</v>
      </c>
      <c r="H321" s="7" t="s">
        <v>1184</v>
      </c>
      <c r="I321" s="3" t="str">
        <f>IFERROR(VLOOKUP(C321,'Справочник соответствий'!A$2:D$2996,2,FALSE),IF(VALUE(C321)=0,1,VLOOKUP(C321,'Справочник соответствий'!A$2:D$2996,2,FALSE)))</f>
        <v>2</v>
      </c>
      <c r="J321" s="3">
        <f>IFERROR(VLOOKUP(D321,'Справочник соответствий'!A$2:D$2996,2,FALSE),IF(VALUE(D321)=0,0,VLOOKUP(D321,'Справочник соответствий'!A$2:D$2996,2,FALSE)))</f>
        <v>0</v>
      </c>
      <c r="K321" s="3" t="str">
        <f t="shared" si="28"/>
        <v>2</v>
      </c>
      <c r="L321" s="13" t="str">
        <f>IFERROR(VLOOKUP(C321,'Справочник соответствий'!A$2:D$2996,3,FALSE),IF(VALUE(C321)=0,"ЭТАЖ НЕ ОПРЕДЕЛЕН. ПРИНЯТ ПО ДОПУЩЕНИЮ 1",VLOOKUP(C321,'Справочник соответствий'!A$2:D$2996,3,FALSE)))</f>
        <v>ЭТАЖ ЗАДАН ЧИСЛОМ</v>
      </c>
      <c r="M321" s="13" t="b">
        <f t="shared" si="29"/>
        <v>0</v>
      </c>
      <c r="N321" s="13">
        <f t="shared" si="30"/>
        <v>2</v>
      </c>
      <c r="O321" s="13" t="str">
        <f t="shared" si="31"/>
        <v>ЭТАЖ ЗАДАН ЧИСЛОМ</v>
      </c>
      <c r="P321" s="13" t="str">
        <f t="shared" si="32"/>
        <v>ЭТАЖ ЗАДАН ЧИСЛОМ</v>
      </c>
      <c r="Q321" s="13" t="str">
        <f t="shared" si="33"/>
        <v>ГОТОВ_ИЗМЕНЕН</v>
      </c>
      <c r="R321" s="13">
        <f>IFERROR(VLOOKUP(P321,Лист1!A$1:B$20,2,FALSE),0)</f>
        <v>784</v>
      </c>
      <c r="S321" s="13">
        <f t="shared" si="34"/>
        <v>1</v>
      </c>
    </row>
    <row r="322" spans="1:19" x14ac:dyDescent="0.25">
      <c r="A322" t="s">
        <v>1517</v>
      </c>
      <c r="B322" s="4" t="s">
        <v>1182</v>
      </c>
      <c r="C322" s="3" t="s">
        <v>5</v>
      </c>
      <c r="G322" s="3" t="s">
        <v>1187</v>
      </c>
      <c r="I322" s="3" t="str">
        <f>IFERROR(VLOOKUP(C322,'Справочник соответствий'!A$2:D$2996,2,FALSE),IF(VALUE(C322)=0,1,VLOOKUP(C322,'Справочник соответствий'!A$2:D$2996,2,FALSE)))</f>
        <v>1</v>
      </c>
      <c r="J322" s="3">
        <f>IFERROR(VLOOKUP(D322,'Справочник соответствий'!A$2:D$2996,2,FALSE),IF(VALUE(D322)=0,0,VLOOKUP(D322,'Справочник соответствий'!A$2:D$2996,2,FALSE)))</f>
        <v>0</v>
      </c>
      <c r="K322" s="3" t="str">
        <f t="shared" ref="K322:K385" si="35">IF(B322="Многоквартирный дом",IF(I322-J322&gt;0,I322-J322,1),I322)</f>
        <v>1</v>
      </c>
      <c r="L322" s="13" t="str">
        <f>IFERROR(VLOOKUP(C322,'Справочник соответствий'!A$2:D$2996,3,FALSE),IF(VALUE(C322)=0,"ЭТАЖ НЕ ОПРЕДЕЛЕН. ПРИНЯТ ПО ДОПУЩЕНИЮ 1",VLOOKUP(C322,'Справочник соответствий'!A$2:D$2996,3,FALSE)))</f>
        <v>ЭТАЖ ЗАДАН ЧИСЛОМ</v>
      </c>
      <c r="M322" s="13" t="b">
        <f t="shared" ref="M322:M385" si="36">I322=E322</f>
        <v>0</v>
      </c>
      <c r="N322" s="13">
        <f t="shared" ref="N322:N385" si="37">IF(VALUE(E322)=0,VALUE(K322),IF(L322="ЭТАЖ НЕ ОПРЕДЕЛЕН. ПРИНЯТ ПО ДОПУЩЕНИЮ 1",VALUE(E322),VALUE(K322)))</f>
        <v>1</v>
      </c>
      <c r="O322" s="13" t="str">
        <f t="shared" ref="O322:O385" si="38">IF(VALUE(E322)=0,L322,IF(L322="ЭТАЖ НЕ ОПРЕДЕЛЕН. ПРИНЯТ ПО ДОПУЩЕНИЮ 1",F322,L322))</f>
        <v>ЭТАЖ ЗАДАН ЧИСЛОМ</v>
      </c>
      <c r="P322" s="13" t="str">
        <f t="shared" ref="P322:P385" si="39">IF(B322="Многоквартирный дом",CONCATENATE("МКД_",O322),O322)</f>
        <v>ЭТАЖ ЗАДАН ЧИСЛОМ</v>
      </c>
      <c r="Q322" s="13" t="str">
        <f t="shared" ref="Q322:Q385" si="40">IFERROR(IF(N322&gt;0,IF(N322=VALUE(E322),"ГОТОВ","ГОТОВ_ИЗМЕНЕН"),"НЕ ГОТОВ"),"НЕ ГОТОВ")</f>
        <v>ГОТОВ_ИЗМЕНЕН</v>
      </c>
      <c r="R322" s="13">
        <f>IFERROR(VLOOKUP(P322,Лист1!A$1:B$20,2,FALSE),0)</f>
        <v>784</v>
      </c>
      <c r="S322" s="13">
        <f t="shared" ref="S322:S385" si="41">VALUE(E322)</f>
        <v>0</v>
      </c>
    </row>
    <row r="323" spans="1:19" x14ac:dyDescent="0.25">
      <c r="A323" t="s">
        <v>1518</v>
      </c>
      <c r="B323" s="4" t="s">
        <v>1190</v>
      </c>
      <c r="C323" s="3" t="s">
        <v>5</v>
      </c>
      <c r="G323" s="3" t="s">
        <v>1187</v>
      </c>
      <c r="I323" s="3" t="str">
        <f>IFERROR(VLOOKUP(C323,'Справочник соответствий'!A$2:D$2996,2,FALSE),IF(VALUE(C323)=0,1,VLOOKUP(C323,'Справочник соответствий'!A$2:D$2996,2,FALSE)))</f>
        <v>1</v>
      </c>
      <c r="J323" s="3">
        <f>IFERROR(VLOOKUP(D323,'Справочник соответствий'!A$2:D$2996,2,FALSE),IF(VALUE(D323)=0,0,VLOOKUP(D323,'Справочник соответствий'!A$2:D$2996,2,FALSE)))</f>
        <v>0</v>
      </c>
      <c r="K323" s="3" t="str">
        <f t="shared" si="35"/>
        <v>1</v>
      </c>
      <c r="L323" s="13" t="str">
        <f>IFERROR(VLOOKUP(C323,'Справочник соответствий'!A$2:D$2996,3,FALSE),IF(VALUE(C323)=0,"ЭТАЖ НЕ ОПРЕДЕЛЕН. ПРИНЯТ ПО ДОПУЩЕНИЮ 1",VLOOKUP(C323,'Справочник соответствий'!A$2:D$2996,3,FALSE)))</f>
        <v>ЭТАЖ ЗАДАН ЧИСЛОМ</v>
      </c>
      <c r="M323" s="13" t="b">
        <f t="shared" si="36"/>
        <v>0</v>
      </c>
      <c r="N323" s="13">
        <f t="shared" si="37"/>
        <v>1</v>
      </c>
      <c r="O323" s="13" t="str">
        <f t="shared" si="38"/>
        <v>ЭТАЖ ЗАДАН ЧИСЛОМ</v>
      </c>
      <c r="P323" s="13" t="str">
        <f t="shared" si="39"/>
        <v>ЭТАЖ ЗАДАН ЧИСЛОМ</v>
      </c>
      <c r="Q323" s="13" t="str">
        <f t="shared" si="40"/>
        <v>ГОТОВ_ИЗМЕНЕН</v>
      </c>
      <c r="R323" s="13">
        <f>IFERROR(VLOOKUP(P323,Лист1!A$1:B$20,2,FALSE),0)</f>
        <v>784</v>
      </c>
      <c r="S323" s="13">
        <f t="shared" si="41"/>
        <v>0</v>
      </c>
    </row>
    <row r="324" spans="1:19" x14ac:dyDescent="0.25">
      <c r="A324" t="s">
        <v>1519</v>
      </c>
      <c r="B324" s="4" t="s">
        <v>1190</v>
      </c>
      <c r="C324" s="3" t="s">
        <v>7</v>
      </c>
      <c r="G324" s="3" t="s">
        <v>1187</v>
      </c>
      <c r="I324" s="3" t="str">
        <f>IFERROR(VLOOKUP(C324,'Справочник соответствий'!A$2:D$2996,2,FALSE),IF(VALUE(C324)=0,1,VLOOKUP(C324,'Справочник соответствий'!A$2:D$2996,2,FALSE)))</f>
        <v>2</v>
      </c>
      <c r="J324" s="3">
        <f>IFERROR(VLOOKUP(D324,'Справочник соответствий'!A$2:D$2996,2,FALSE),IF(VALUE(D324)=0,0,VLOOKUP(D324,'Справочник соответствий'!A$2:D$2996,2,FALSE)))</f>
        <v>0</v>
      </c>
      <c r="K324" s="3" t="str">
        <f t="shared" si="35"/>
        <v>2</v>
      </c>
      <c r="L324" s="13" t="str">
        <f>IFERROR(VLOOKUP(C324,'Справочник соответствий'!A$2:D$2996,3,FALSE),IF(VALUE(C324)=0,"ЭТАЖ НЕ ОПРЕДЕЛЕН. ПРИНЯТ ПО ДОПУЩЕНИЮ 1",VLOOKUP(C324,'Справочник соответствий'!A$2:D$2996,3,FALSE)))</f>
        <v>ЭТАЖ ЗАДАН ЧИСЛОМ</v>
      </c>
      <c r="M324" s="13" t="b">
        <f t="shared" si="36"/>
        <v>0</v>
      </c>
      <c r="N324" s="13">
        <f t="shared" si="37"/>
        <v>2</v>
      </c>
      <c r="O324" s="13" t="str">
        <f t="shared" si="38"/>
        <v>ЭТАЖ ЗАДАН ЧИСЛОМ</v>
      </c>
      <c r="P324" s="13" t="str">
        <f t="shared" si="39"/>
        <v>ЭТАЖ ЗАДАН ЧИСЛОМ</v>
      </c>
      <c r="Q324" s="13" t="str">
        <f t="shared" si="40"/>
        <v>ГОТОВ_ИЗМЕНЕН</v>
      </c>
      <c r="R324" s="13">
        <f>IFERROR(VLOOKUP(P324,Лист1!A$1:B$20,2,FALSE),0)</f>
        <v>784</v>
      </c>
      <c r="S324" s="13">
        <f t="shared" si="41"/>
        <v>0</v>
      </c>
    </row>
    <row r="325" spans="1:19" x14ac:dyDescent="0.25">
      <c r="A325" t="s">
        <v>1520</v>
      </c>
      <c r="B325" s="4" t="s">
        <v>1182</v>
      </c>
      <c r="C325" s="3" t="s">
        <v>5</v>
      </c>
      <c r="G325" s="3" t="s">
        <v>1187</v>
      </c>
      <c r="I325" s="3" t="str">
        <f>IFERROR(VLOOKUP(C325,'Справочник соответствий'!A$2:D$2996,2,FALSE),IF(VALUE(C325)=0,1,VLOOKUP(C325,'Справочник соответствий'!A$2:D$2996,2,FALSE)))</f>
        <v>1</v>
      </c>
      <c r="J325" s="3">
        <f>IFERROR(VLOOKUP(D325,'Справочник соответствий'!A$2:D$2996,2,FALSE),IF(VALUE(D325)=0,0,VLOOKUP(D325,'Справочник соответствий'!A$2:D$2996,2,FALSE)))</f>
        <v>0</v>
      </c>
      <c r="K325" s="3" t="str">
        <f t="shared" si="35"/>
        <v>1</v>
      </c>
      <c r="L325" s="13" t="str">
        <f>IFERROR(VLOOKUP(C325,'Справочник соответствий'!A$2:D$2996,3,FALSE),IF(VALUE(C325)=0,"ЭТАЖ НЕ ОПРЕДЕЛЕН. ПРИНЯТ ПО ДОПУЩЕНИЮ 1",VLOOKUP(C325,'Справочник соответствий'!A$2:D$2996,3,FALSE)))</f>
        <v>ЭТАЖ ЗАДАН ЧИСЛОМ</v>
      </c>
      <c r="M325" s="13" t="b">
        <f t="shared" si="36"/>
        <v>0</v>
      </c>
      <c r="N325" s="13">
        <f t="shared" si="37"/>
        <v>1</v>
      </c>
      <c r="O325" s="13" t="str">
        <f t="shared" si="38"/>
        <v>ЭТАЖ ЗАДАН ЧИСЛОМ</v>
      </c>
      <c r="P325" s="13" t="str">
        <f t="shared" si="39"/>
        <v>ЭТАЖ ЗАДАН ЧИСЛОМ</v>
      </c>
      <c r="Q325" s="13" t="str">
        <f t="shared" si="40"/>
        <v>ГОТОВ_ИЗМЕНЕН</v>
      </c>
      <c r="R325" s="13">
        <f>IFERROR(VLOOKUP(P325,Лист1!A$1:B$20,2,FALSE),0)</f>
        <v>784</v>
      </c>
      <c r="S325" s="13">
        <f t="shared" si="41"/>
        <v>0</v>
      </c>
    </row>
    <row r="326" spans="1:19" x14ac:dyDescent="0.25">
      <c r="A326" t="s">
        <v>1521</v>
      </c>
      <c r="B326" s="4" t="s">
        <v>1182</v>
      </c>
      <c r="C326" s="3" t="s">
        <v>8</v>
      </c>
      <c r="D326" s="3" t="s">
        <v>5</v>
      </c>
      <c r="E326" s="3" t="s">
        <v>8</v>
      </c>
      <c r="F326" t="s">
        <v>1186</v>
      </c>
      <c r="G326" s="3" t="s">
        <v>1187</v>
      </c>
      <c r="H326" s="7" t="s">
        <v>1184</v>
      </c>
      <c r="I326" s="3" t="str">
        <f>IFERROR(VLOOKUP(C326,'Справочник соответствий'!A$2:D$2996,2,FALSE),IF(VALUE(C326)=0,1,VLOOKUP(C326,'Справочник соответствий'!A$2:D$2996,2,FALSE)))</f>
        <v>3</v>
      </c>
      <c r="J326" s="3" t="str">
        <f>IFERROR(VLOOKUP(D326,'Справочник соответствий'!A$2:D$2996,2,FALSE),IF(VALUE(D326)=0,0,VLOOKUP(D326,'Справочник соответствий'!A$2:D$2996,2,FALSE)))</f>
        <v>1</v>
      </c>
      <c r="K326" s="3" t="str">
        <f t="shared" si="35"/>
        <v>3</v>
      </c>
      <c r="L326" s="13" t="str">
        <f>IFERROR(VLOOKUP(C326,'Справочник соответствий'!A$2:D$2996,3,FALSE),IF(VALUE(C326)=0,"ЭТАЖ НЕ ОПРЕДЕЛЕН. ПРИНЯТ ПО ДОПУЩЕНИЮ 1",VLOOKUP(C326,'Справочник соответствий'!A$2:D$2996,3,FALSE)))</f>
        <v>ЭТАЖ ЗАДАН ЧИСЛОМ</v>
      </c>
      <c r="M326" s="13" t="b">
        <f t="shared" si="36"/>
        <v>1</v>
      </c>
      <c r="N326" s="13">
        <f t="shared" si="37"/>
        <v>3</v>
      </c>
      <c r="O326" s="13" t="str">
        <f t="shared" si="38"/>
        <v>ЭТАЖ ЗАДАН ЧИСЛОМ</v>
      </c>
      <c r="P326" s="13" t="str">
        <f t="shared" si="39"/>
        <v>ЭТАЖ ЗАДАН ЧИСЛОМ</v>
      </c>
      <c r="Q326" s="13" t="str">
        <f t="shared" si="40"/>
        <v>ГОТОВ</v>
      </c>
      <c r="R326" s="13">
        <f>IFERROR(VLOOKUP(P326,Лист1!A$1:B$20,2,FALSE),0)</f>
        <v>784</v>
      </c>
      <c r="S326" s="13">
        <f t="shared" si="41"/>
        <v>3</v>
      </c>
    </row>
    <row r="327" spans="1:19" x14ac:dyDescent="0.25">
      <c r="A327" t="s">
        <v>1522</v>
      </c>
      <c r="B327" s="4" t="s">
        <v>1190</v>
      </c>
      <c r="C327" s="3" t="s">
        <v>5</v>
      </c>
      <c r="G327" s="3" t="s">
        <v>1191</v>
      </c>
      <c r="I327" s="3" t="str">
        <f>IFERROR(VLOOKUP(C327,'Справочник соответствий'!A$2:D$2996,2,FALSE),IF(VALUE(C327)=0,1,VLOOKUP(C327,'Справочник соответствий'!A$2:D$2996,2,FALSE)))</f>
        <v>1</v>
      </c>
      <c r="J327" s="3">
        <f>IFERROR(VLOOKUP(D327,'Справочник соответствий'!A$2:D$2996,2,FALSE),IF(VALUE(D327)=0,0,VLOOKUP(D327,'Справочник соответствий'!A$2:D$2996,2,FALSE)))</f>
        <v>0</v>
      </c>
      <c r="K327" s="3" t="str">
        <f t="shared" si="35"/>
        <v>1</v>
      </c>
      <c r="L327" s="13" t="str">
        <f>IFERROR(VLOOKUP(C327,'Справочник соответствий'!A$2:D$2996,3,FALSE),IF(VALUE(C327)=0,"ЭТАЖ НЕ ОПРЕДЕЛЕН. ПРИНЯТ ПО ДОПУЩЕНИЮ 1",VLOOKUP(C327,'Справочник соответствий'!A$2:D$2996,3,FALSE)))</f>
        <v>ЭТАЖ ЗАДАН ЧИСЛОМ</v>
      </c>
      <c r="M327" s="13" t="b">
        <f t="shared" si="36"/>
        <v>0</v>
      </c>
      <c r="N327" s="13">
        <f t="shared" si="37"/>
        <v>1</v>
      </c>
      <c r="O327" s="13" t="str">
        <f t="shared" si="38"/>
        <v>ЭТАЖ ЗАДАН ЧИСЛОМ</v>
      </c>
      <c r="P327" s="13" t="str">
        <f t="shared" si="39"/>
        <v>ЭТАЖ ЗАДАН ЧИСЛОМ</v>
      </c>
      <c r="Q327" s="13" t="str">
        <f t="shared" si="40"/>
        <v>ГОТОВ_ИЗМЕНЕН</v>
      </c>
      <c r="R327" s="13">
        <f>IFERROR(VLOOKUP(P327,Лист1!A$1:B$20,2,FALSE),0)</f>
        <v>784</v>
      </c>
      <c r="S327" s="13">
        <f t="shared" si="41"/>
        <v>0</v>
      </c>
    </row>
    <row r="328" spans="1:19" x14ac:dyDescent="0.25">
      <c r="A328" t="s">
        <v>1523</v>
      </c>
      <c r="B328" s="4" t="s">
        <v>1190</v>
      </c>
      <c r="C328" s="3" t="s">
        <v>7</v>
      </c>
      <c r="G328" s="3" t="s">
        <v>1191</v>
      </c>
      <c r="I328" s="3" t="str">
        <f>IFERROR(VLOOKUP(C328,'Справочник соответствий'!A$2:D$2996,2,FALSE),IF(VALUE(C328)=0,1,VLOOKUP(C328,'Справочник соответствий'!A$2:D$2996,2,FALSE)))</f>
        <v>2</v>
      </c>
      <c r="J328" s="3">
        <f>IFERROR(VLOOKUP(D328,'Справочник соответствий'!A$2:D$2996,2,FALSE),IF(VALUE(D328)=0,0,VLOOKUP(D328,'Справочник соответствий'!A$2:D$2996,2,FALSE)))</f>
        <v>0</v>
      </c>
      <c r="K328" s="3" t="str">
        <f t="shared" si="35"/>
        <v>2</v>
      </c>
      <c r="L328" s="13" t="str">
        <f>IFERROR(VLOOKUP(C328,'Справочник соответствий'!A$2:D$2996,3,FALSE),IF(VALUE(C328)=0,"ЭТАЖ НЕ ОПРЕДЕЛЕН. ПРИНЯТ ПО ДОПУЩЕНИЮ 1",VLOOKUP(C328,'Справочник соответствий'!A$2:D$2996,3,FALSE)))</f>
        <v>ЭТАЖ ЗАДАН ЧИСЛОМ</v>
      </c>
      <c r="M328" s="13" t="b">
        <f t="shared" si="36"/>
        <v>0</v>
      </c>
      <c r="N328" s="13">
        <f t="shared" si="37"/>
        <v>2</v>
      </c>
      <c r="O328" s="13" t="str">
        <f t="shared" si="38"/>
        <v>ЭТАЖ ЗАДАН ЧИСЛОМ</v>
      </c>
      <c r="P328" s="13" t="str">
        <f t="shared" si="39"/>
        <v>ЭТАЖ ЗАДАН ЧИСЛОМ</v>
      </c>
      <c r="Q328" s="13" t="str">
        <f t="shared" si="40"/>
        <v>ГОТОВ_ИЗМЕНЕН</v>
      </c>
      <c r="R328" s="13">
        <f>IFERROR(VLOOKUP(P328,Лист1!A$1:B$20,2,FALSE),0)</f>
        <v>784</v>
      </c>
      <c r="S328" s="13">
        <f t="shared" si="41"/>
        <v>0</v>
      </c>
    </row>
    <row r="329" spans="1:19" x14ac:dyDescent="0.25">
      <c r="A329" t="s">
        <v>1524</v>
      </c>
      <c r="B329" s="4" t="s">
        <v>1182</v>
      </c>
      <c r="C329" s="3" t="s">
        <v>5</v>
      </c>
      <c r="G329" s="3" t="s">
        <v>1191</v>
      </c>
      <c r="I329" s="3" t="str">
        <f>IFERROR(VLOOKUP(C329,'Справочник соответствий'!A$2:D$2996,2,FALSE),IF(VALUE(C329)=0,1,VLOOKUP(C329,'Справочник соответствий'!A$2:D$2996,2,FALSE)))</f>
        <v>1</v>
      </c>
      <c r="J329" s="3">
        <f>IFERROR(VLOOKUP(D329,'Справочник соответствий'!A$2:D$2996,2,FALSE),IF(VALUE(D329)=0,0,VLOOKUP(D329,'Справочник соответствий'!A$2:D$2996,2,FALSE)))</f>
        <v>0</v>
      </c>
      <c r="K329" s="3" t="str">
        <f t="shared" si="35"/>
        <v>1</v>
      </c>
      <c r="L329" s="13" t="str">
        <f>IFERROR(VLOOKUP(C329,'Справочник соответствий'!A$2:D$2996,3,FALSE),IF(VALUE(C329)=0,"ЭТАЖ НЕ ОПРЕДЕЛЕН. ПРИНЯТ ПО ДОПУЩЕНИЮ 1",VLOOKUP(C329,'Справочник соответствий'!A$2:D$2996,3,FALSE)))</f>
        <v>ЭТАЖ ЗАДАН ЧИСЛОМ</v>
      </c>
      <c r="M329" s="13" t="b">
        <f t="shared" si="36"/>
        <v>0</v>
      </c>
      <c r="N329" s="13">
        <f t="shared" si="37"/>
        <v>1</v>
      </c>
      <c r="O329" s="13" t="str">
        <f t="shared" si="38"/>
        <v>ЭТАЖ ЗАДАН ЧИСЛОМ</v>
      </c>
      <c r="P329" s="13" t="str">
        <f t="shared" si="39"/>
        <v>ЭТАЖ ЗАДАН ЧИСЛОМ</v>
      </c>
      <c r="Q329" s="13" t="str">
        <f t="shared" si="40"/>
        <v>ГОТОВ_ИЗМЕНЕН</v>
      </c>
      <c r="R329" s="13">
        <f>IFERROR(VLOOKUP(P329,Лист1!A$1:B$20,2,FALSE),0)</f>
        <v>784</v>
      </c>
      <c r="S329" s="13">
        <f t="shared" si="41"/>
        <v>0</v>
      </c>
    </row>
    <row r="330" spans="1:19" x14ac:dyDescent="0.25">
      <c r="A330" t="s">
        <v>1525</v>
      </c>
      <c r="B330" s="4" t="s">
        <v>1182</v>
      </c>
      <c r="C330" s="3" t="s">
        <v>5</v>
      </c>
      <c r="G330" s="3" t="s">
        <v>1191</v>
      </c>
      <c r="I330" s="3" t="str">
        <f>IFERROR(VLOOKUP(C330,'Справочник соответствий'!A$2:D$2996,2,FALSE),IF(VALUE(C330)=0,1,VLOOKUP(C330,'Справочник соответствий'!A$2:D$2996,2,FALSE)))</f>
        <v>1</v>
      </c>
      <c r="J330" s="3">
        <f>IFERROR(VLOOKUP(D330,'Справочник соответствий'!A$2:D$2996,2,FALSE),IF(VALUE(D330)=0,0,VLOOKUP(D330,'Справочник соответствий'!A$2:D$2996,2,FALSE)))</f>
        <v>0</v>
      </c>
      <c r="K330" s="3" t="str">
        <f t="shared" si="35"/>
        <v>1</v>
      </c>
      <c r="L330" s="13" t="str">
        <f>IFERROR(VLOOKUP(C330,'Справочник соответствий'!A$2:D$2996,3,FALSE),IF(VALUE(C330)=0,"ЭТАЖ НЕ ОПРЕДЕЛЕН. ПРИНЯТ ПО ДОПУЩЕНИЮ 1",VLOOKUP(C330,'Справочник соответствий'!A$2:D$2996,3,FALSE)))</f>
        <v>ЭТАЖ ЗАДАН ЧИСЛОМ</v>
      </c>
      <c r="M330" s="13" t="b">
        <f t="shared" si="36"/>
        <v>0</v>
      </c>
      <c r="N330" s="13">
        <f t="shared" si="37"/>
        <v>1</v>
      </c>
      <c r="O330" s="13" t="str">
        <f t="shared" si="38"/>
        <v>ЭТАЖ ЗАДАН ЧИСЛОМ</v>
      </c>
      <c r="P330" s="13" t="str">
        <f t="shared" si="39"/>
        <v>ЭТАЖ ЗАДАН ЧИСЛОМ</v>
      </c>
      <c r="Q330" s="13" t="str">
        <f t="shared" si="40"/>
        <v>ГОТОВ_ИЗМЕНЕН</v>
      </c>
      <c r="R330" s="13">
        <f>IFERROR(VLOOKUP(P330,Лист1!A$1:B$20,2,FALSE),0)</f>
        <v>784</v>
      </c>
      <c r="S330" s="13">
        <f t="shared" si="41"/>
        <v>0</v>
      </c>
    </row>
    <row r="331" spans="1:19" x14ac:dyDescent="0.25">
      <c r="A331" t="s">
        <v>1526</v>
      </c>
      <c r="B331" s="4" t="s">
        <v>1190</v>
      </c>
      <c r="C331" s="3" t="s">
        <v>5</v>
      </c>
      <c r="G331" s="3" t="s">
        <v>1191</v>
      </c>
      <c r="I331" s="3" t="str">
        <f>IFERROR(VLOOKUP(C331,'Справочник соответствий'!A$2:D$2996,2,FALSE),IF(VALUE(C331)=0,1,VLOOKUP(C331,'Справочник соответствий'!A$2:D$2996,2,FALSE)))</f>
        <v>1</v>
      </c>
      <c r="J331" s="3">
        <f>IFERROR(VLOOKUP(D331,'Справочник соответствий'!A$2:D$2996,2,FALSE),IF(VALUE(D331)=0,0,VLOOKUP(D331,'Справочник соответствий'!A$2:D$2996,2,FALSE)))</f>
        <v>0</v>
      </c>
      <c r="K331" s="3" t="str">
        <f t="shared" si="35"/>
        <v>1</v>
      </c>
      <c r="L331" s="13" t="str">
        <f>IFERROR(VLOOKUP(C331,'Справочник соответствий'!A$2:D$2996,3,FALSE),IF(VALUE(C331)=0,"ЭТАЖ НЕ ОПРЕДЕЛЕН. ПРИНЯТ ПО ДОПУЩЕНИЮ 1",VLOOKUP(C331,'Справочник соответствий'!A$2:D$2996,3,FALSE)))</f>
        <v>ЭТАЖ ЗАДАН ЧИСЛОМ</v>
      </c>
      <c r="M331" s="13" t="b">
        <f t="shared" si="36"/>
        <v>0</v>
      </c>
      <c r="N331" s="13">
        <f t="shared" si="37"/>
        <v>1</v>
      </c>
      <c r="O331" s="13" t="str">
        <f t="shared" si="38"/>
        <v>ЭТАЖ ЗАДАН ЧИСЛОМ</v>
      </c>
      <c r="P331" s="13" t="str">
        <f t="shared" si="39"/>
        <v>ЭТАЖ ЗАДАН ЧИСЛОМ</v>
      </c>
      <c r="Q331" s="13" t="str">
        <f t="shared" si="40"/>
        <v>ГОТОВ_ИЗМЕНЕН</v>
      </c>
      <c r="R331" s="13">
        <f>IFERROR(VLOOKUP(P331,Лист1!A$1:B$20,2,FALSE),0)</f>
        <v>784</v>
      </c>
      <c r="S331" s="13">
        <f t="shared" si="41"/>
        <v>0</v>
      </c>
    </row>
    <row r="332" spans="1:19" x14ac:dyDescent="0.25">
      <c r="A332" t="s">
        <v>1527</v>
      </c>
      <c r="B332" s="4" t="s">
        <v>1190</v>
      </c>
      <c r="C332" s="3" t="s">
        <v>5</v>
      </c>
      <c r="G332" s="3" t="s">
        <v>1191</v>
      </c>
      <c r="I332" s="3" t="str">
        <f>IFERROR(VLOOKUP(C332,'Справочник соответствий'!A$2:D$2996,2,FALSE),IF(VALUE(C332)=0,1,VLOOKUP(C332,'Справочник соответствий'!A$2:D$2996,2,FALSE)))</f>
        <v>1</v>
      </c>
      <c r="J332" s="3">
        <f>IFERROR(VLOOKUP(D332,'Справочник соответствий'!A$2:D$2996,2,FALSE),IF(VALUE(D332)=0,0,VLOOKUP(D332,'Справочник соответствий'!A$2:D$2996,2,FALSE)))</f>
        <v>0</v>
      </c>
      <c r="K332" s="3" t="str">
        <f t="shared" si="35"/>
        <v>1</v>
      </c>
      <c r="L332" s="13" t="str">
        <f>IFERROR(VLOOKUP(C332,'Справочник соответствий'!A$2:D$2996,3,FALSE),IF(VALUE(C332)=0,"ЭТАЖ НЕ ОПРЕДЕЛЕН. ПРИНЯТ ПО ДОПУЩЕНИЮ 1",VLOOKUP(C332,'Справочник соответствий'!A$2:D$2996,3,FALSE)))</f>
        <v>ЭТАЖ ЗАДАН ЧИСЛОМ</v>
      </c>
      <c r="M332" s="13" t="b">
        <f t="shared" si="36"/>
        <v>0</v>
      </c>
      <c r="N332" s="13">
        <f t="shared" si="37"/>
        <v>1</v>
      </c>
      <c r="O332" s="13" t="str">
        <f t="shared" si="38"/>
        <v>ЭТАЖ ЗАДАН ЧИСЛОМ</v>
      </c>
      <c r="P332" s="13" t="str">
        <f t="shared" si="39"/>
        <v>ЭТАЖ ЗАДАН ЧИСЛОМ</v>
      </c>
      <c r="Q332" s="13" t="str">
        <f t="shared" si="40"/>
        <v>ГОТОВ_ИЗМЕНЕН</v>
      </c>
      <c r="R332" s="13">
        <f>IFERROR(VLOOKUP(P332,Лист1!A$1:B$20,2,FALSE),0)</f>
        <v>784</v>
      </c>
      <c r="S332" s="13">
        <f t="shared" si="41"/>
        <v>0</v>
      </c>
    </row>
    <row r="333" spans="1:19" x14ac:dyDescent="0.25">
      <c r="A333" t="s">
        <v>1528</v>
      </c>
      <c r="B333" s="4" t="s">
        <v>1190</v>
      </c>
      <c r="C333" s="3" t="s">
        <v>5</v>
      </c>
      <c r="G333" s="3" t="s">
        <v>1183</v>
      </c>
      <c r="I333" s="3" t="str">
        <f>IFERROR(VLOOKUP(C333,'Справочник соответствий'!A$2:D$2996,2,FALSE),IF(VALUE(C333)=0,1,VLOOKUP(C333,'Справочник соответствий'!A$2:D$2996,2,FALSE)))</f>
        <v>1</v>
      </c>
      <c r="J333" s="3">
        <f>IFERROR(VLOOKUP(D333,'Справочник соответствий'!A$2:D$2996,2,FALSE),IF(VALUE(D333)=0,0,VLOOKUP(D333,'Справочник соответствий'!A$2:D$2996,2,FALSE)))</f>
        <v>0</v>
      </c>
      <c r="K333" s="3" t="str">
        <f t="shared" si="35"/>
        <v>1</v>
      </c>
      <c r="L333" s="13" t="str">
        <f>IFERROR(VLOOKUP(C333,'Справочник соответствий'!A$2:D$2996,3,FALSE),IF(VALUE(C333)=0,"ЭТАЖ НЕ ОПРЕДЕЛЕН. ПРИНЯТ ПО ДОПУЩЕНИЮ 1",VLOOKUP(C333,'Справочник соответствий'!A$2:D$2996,3,FALSE)))</f>
        <v>ЭТАЖ ЗАДАН ЧИСЛОМ</v>
      </c>
      <c r="M333" s="13" t="b">
        <f t="shared" si="36"/>
        <v>0</v>
      </c>
      <c r="N333" s="13">
        <f t="shared" si="37"/>
        <v>1</v>
      </c>
      <c r="O333" s="13" t="str">
        <f t="shared" si="38"/>
        <v>ЭТАЖ ЗАДАН ЧИСЛОМ</v>
      </c>
      <c r="P333" s="13" t="str">
        <f t="shared" si="39"/>
        <v>ЭТАЖ ЗАДАН ЧИСЛОМ</v>
      </c>
      <c r="Q333" s="13" t="str">
        <f t="shared" si="40"/>
        <v>ГОТОВ_ИЗМЕНЕН</v>
      </c>
      <c r="R333" s="13">
        <f>IFERROR(VLOOKUP(P333,Лист1!A$1:B$20,2,FALSE),0)</f>
        <v>784</v>
      </c>
      <c r="S333" s="13">
        <f t="shared" si="41"/>
        <v>0</v>
      </c>
    </row>
    <row r="334" spans="1:19" x14ac:dyDescent="0.25">
      <c r="A334" t="s">
        <v>1529</v>
      </c>
      <c r="B334" s="4" t="s">
        <v>1182</v>
      </c>
      <c r="C334" s="3" t="s">
        <v>7</v>
      </c>
      <c r="G334" s="3" t="s">
        <v>1183</v>
      </c>
      <c r="I334" s="3" t="str">
        <f>IFERROR(VLOOKUP(C334,'Справочник соответствий'!A$2:D$2996,2,FALSE),IF(VALUE(C334)=0,1,VLOOKUP(C334,'Справочник соответствий'!A$2:D$2996,2,FALSE)))</f>
        <v>2</v>
      </c>
      <c r="J334" s="3">
        <f>IFERROR(VLOOKUP(D334,'Справочник соответствий'!A$2:D$2996,2,FALSE),IF(VALUE(D334)=0,0,VLOOKUP(D334,'Справочник соответствий'!A$2:D$2996,2,FALSE)))</f>
        <v>0</v>
      </c>
      <c r="K334" s="3" t="str">
        <f t="shared" si="35"/>
        <v>2</v>
      </c>
      <c r="L334" s="13" t="str">
        <f>IFERROR(VLOOKUP(C334,'Справочник соответствий'!A$2:D$2996,3,FALSE),IF(VALUE(C334)=0,"ЭТАЖ НЕ ОПРЕДЕЛЕН. ПРИНЯТ ПО ДОПУЩЕНИЮ 1",VLOOKUP(C334,'Справочник соответствий'!A$2:D$2996,3,FALSE)))</f>
        <v>ЭТАЖ ЗАДАН ЧИСЛОМ</v>
      </c>
      <c r="M334" s="13" t="b">
        <f t="shared" si="36"/>
        <v>0</v>
      </c>
      <c r="N334" s="13">
        <f t="shared" si="37"/>
        <v>2</v>
      </c>
      <c r="O334" s="13" t="str">
        <f t="shared" si="38"/>
        <v>ЭТАЖ ЗАДАН ЧИСЛОМ</v>
      </c>
      <c r="P334" s="13" t="str">
        <f t="shared" si="39"/>
        <v>ЭТАЖ ЗАДАН ЧИСЛОМ</v>
      </c>
      <c r="Q334" s="13" t="str">
        <f t="shared" si="40"/>
        <v>ГОТОВ_ИЗМЕНЕН</v>
      </c>
      <c r="R334" s="13">
        <f>IFERROR(VLOOKUP(P334,Лист1!A$1:B$20,2,FALSE),0)</f>
        <v>784</v>
      </c>
      <c r="S334" s="13">
        <f t="shared" si="41"/>
        <v>0</v>
      </c>
    </row>
    <row r="335" spans="1:19" x14ac:dyDescent="0.25">
      <c r="A335" t="s">
        <v>1530</v>
      </c>
      <c r="B335" s="4" t="s">
        <v>1190</v>
      </c>
      <c r="C335" s="3" t="s">
        <v>7</v>
      </c>
      <c r="G335" s="3" t="s">
        <v>1183</v>
      </c>
      <c r="I335" s="3" t="str">
        <f>IFERROR(VLOOKUP(C335,'Справочник соответствий'!A$2:D$2996,2,FALSE),IF(VALUE(C335)=0,1,VLOOKUP(C335,'Справочник соответствий'!A$2:D$2996,2,FALSE)))</f>
        <v>2</v>
      </c>
      <c r="J335" s="3">
        <f>IFERROR(VLOOKUP(D335,'Справочник соответствий'!A$2:D$2996,2,FALSE),IF(VALUE(D335)=0,0,VLOOKUP(D335,'Справочник соответствий'!A$2:D$2996,2,FALSE)))</f>
        <v>0</v>
      </c>
      <c r="K335" s="3" t="str">
        <f t="shared" si="35"/>
        <v>2</v>
      </c>
      <c r="L335" s="13" t="str">
        <f>IFERROR(VLOOKUP(C335,'Справочник соответствий'!A$2:D$2996,3,FALSE),IF(VALUE(C335)=0,"ЭТАЖ НЕ ОПРЕДЕЛЕН. ПРИНЯТ ПО ДОПУЩЕНИЮ 1",VLOOKUP(C335,'Справочник соответствий'!A$2:D$2996,3,FALSE)))</f>
        <v>ЭТАЖ ЗАДАН ЧИСЛОМ</v>
      </c>
      <c r="M335" s="13" t="b">
        <f t="shared" si="36"/>
        <v>0</v>
      </c>
      <c r="N335" s="13">
        <f t="shared" si="37"/>
        <v>2</v>
      </c>
      <c r="O335" s="13" t="str">
        <f t="shared" si="38"/>
        <v>ЭТАЖ ЗАДАН ЧИСЛОМ</v>
      </c>
      <c r="P335" s="13" t="str">
        <f t="shared" si="39"/>
        <v>ЭТАЖ ЗАДАН ЧИСЛОМ</v>
      </c>
      <c r="Q335" s="13" t="str">
        <f t="shared" si="40"/>
        <v>ГОТОВ_ИЗМЕНЕН</v>
      </c>
      <c r="R335" s="13">
        <f>IFERROR(VLOOKUP(P335,Лист1!A$1:B$20,2,FALSE),0)</f>
        <v>784</v>
      </c>
      <c r="S335" s="13">
        <f t="shared" si="41"/>
        <v>0</v>
      </c>
    </row>
    <row r="336" spans="1:19" x14ac:dyDescent="0.25">
      <c r="A336" t="s">
        <v>1531</v>
      </c>
      <c r="B336" s="4" t="s">
        <v>1190</v>
      </c>
      <c r="C336" s="3" t="s">
        <v>5</v>
      </c>
      <c r="G336" s="3" t="s">
        <v>1183</v>
      </c>
      <c r="I336" s="3" t="str">
        <f>IFERROR(VLOOKUP(C336,'Справочник соответствий'!A$2:D$2996,2,FALSE),IF(VALUE(C336)=0,1,VLOOKUP(C336,'Справочник соответствий'!A$2:D$2996,2,FALSE)))</f>
        <v>1</v>
      </c>
      <c r="J336" s="3">
        <f>IFERROR(VLOOKUP(D336,'Справочник соответствий'!A$2:D$2996,2,FALSE),IF(VALUE(D336)=0,0,VLOOKUP(D336,'Справочник соответствий'!A$2:D$2996,2,FALSE)))</f>
        <v>0</v>
      </c>
      <c r="K336" s="3" t="str">
        <f t="shared" si="35"/>
        <v>1</v>
      </c>
      <c r="L336" s="13" t="str">
        <f>IFERROR(VLOOKUP(C336,'Справочник соответствий'!A$2:D$2996,3,FALSE),IF(VALUE(C336)=0,"ЭТАЖ НЕ ОПРЕДЕЛЕН. ПРИНЯТ ПО ДОПУЩЕНИЮ 1",VLOOKUP(C336,'Справочник соответствий'!A$2:D$2996,3,FALSE)))</f>
        <v>ЭТАЖ ЗАДАН ЧИСЛОМ</v>
      </c>
      <c r="M336" s="13" t="b">
        <f t="shared" si="36"/>
        <v>0</v>
      </c>
      <c r="N336" s="13">
        <f t="shared" si="37"/>
        <v>1</v>
      </c>
      <c r="O336" s="13" t="str">
        <f t="shared" si="38"/>
        <v>ЭТАЖ ЗАДАН ЧИСЛОМ</v>
      </c>
      <c r="P336" s="13" t="str">
        <f t="shared" si="39"/>
        <v>ЭТАЖ ЗАДАН ЧИСЛОМ</v>
      </c>
      <c r="Q336" s="13" t="str">
        <f t="shared" si="40"/>
        <v>ГОТОВ_ИЗМЕНЕН</v>
      </c>
      <c r="R336" s="13">
        <f>IFERROR(VLOOKUP(P336,Лист1!A$1:B$20,2,FALSE),0)</f>
        <v>784</v>
      </c>
      <c r="S336" s="13">
        <f t="shared" si="41"/>
        <v>0</v>
      </c>
    </row>
    <row r="337" spans="1:19" x14ac:dyDescent="0.25">
      <c r="A337" t="s">
        <v>1532</v>
      </c>
      <c r="B337" s="4" t="s">
        <v>1190</v>
      </c>
      <c r="C337" s="3" t="s">
        <v>7</v>
      </c>
      <c r="G337" s="3" t="s">
        <v>1183</v>
      </c>
      <c r="I337" s="3" t="str">
        <f>IFERROR(VLOOKUP(C337,'Справочник соответствий'!A$2:D$2996,2,FALSE),IF(VALUE(C337)=0,1,VLOOKUP(C337,'Справочник соответствий'!A$2:D$2996,2,FALSE)))</f>
        <v>2</v>
      </c>
      <c r="J337" s="3">
        <f>IFERROR(VLOOKUP(D337,'Справочник соответствий'!A$2:D$2996,2,FALSE),IF(VALUE(D337)=0,0,VLOOKUP(D337,'Справочник соответствий'!A$2:D$2996,2,FALSE)))</f>
        <v>0</v>
      </c>
      <c r="K337" s="3" t="str">
        <f t="shared" si="35"/>
        <v>2</v>
      </c>
      <c r="L337" s="13" t="str">
        <f>IFERROR(VLOOKUP(C337,'Справочник соответствий'!A$2:D$2996,3,FALSE),IF(VALUE(C337)=0,"ЭТАЖ НЕ ОПРЕДЕЛЕН. ПРИНЯТ ПО ДОПУЩЕНИЮ 1",VLOOKUP(C337,'Справочник соответствий'!A$2:D$2996,3,FALSE)))</f>
        <v>ЭТАЖ ЗАДАН ЧИСЛОМ</v>
      </c>
      <c r="M337" s="13" t="b">
        <f t="shared" si="36"/>
        <v>0</v>
      </c>
      <c r="N337" s="13">
        <f t="shared" si="37"/>
        <v>2</v>
      </c>
      <c r="O337" s="13" t="str">
        <f t="shared" si="38"/>
        <v>ЭТАЖ ЗАДАН ЧИСЛОМ</v>
      </c>
      <c r="P337" s="13" t="str">
        <f t="shared" si="39"/>
        <v>ЭТАЖ ЗАДАН ЧИСЛОМ</v>
      </c>
      <c r="Q337" s="13" t="str">
        <f t="shared" si="40"/>
        <v>ГОТОВ_ИЗМЕНЕН</v>
      </c>
      <c r="R337" s="13">
        <f>IFERROR(VLOOKUP(P337,Лист1!A$1:B$20,2,FALSE),0)</f>
        <v>784</v>
      </c>
      <c r="S337" s="13">
        <f t="shared" si="41"/>
        <v>0</v>
      </c>
    </row>
    <row r="338" spans="1:19" x14ac:dyDescent="0.25">
      <c r="A338" t="s">
        <v>1533</v>
      </c>
      <c r="B338" s="4" t="s">
        <v>1190</v>
      </c>
      <c r="C338" s="3" t="s">
        <v>7</v>
      </c>
      <c r="G338" s="3" t="s">
        <v>1198</v>
      </c>
      <c r="I338" s="3" t="str">
        <f>IFERROR(VLOOKUP(C338,'Справочник соответствий'!A$2:D$2996,2,FALSE),IF(VALUE(C338)=0,1,VLOOKUP(C338,'Справочник соответствий'!A$2:D$2996,2,FALSE)))</f>
        <v>2</v>
      </c>
      <c r="J338" s="3">
        <f>IFERROR(VLOOKUP(D338,'Справочник соответствий'!A$2:D$2996,2,FALSE),IF(VALUE(D338)=0,0,VLOOKUP(D338,'Справочник соответствий'!A$2:D$2996,2,FALSE)))</f>
        <v>0</v>
      </c>
      <c r="K338" s="3" t="str">
        <f t="shared" si="35"/>
        <v>2</v>
      </c>
      <c r="L338" s="13" t="str">
        <f>IFERROR(VLOOKUP(C338,'Справочник соответствий'!A$2:D$2996,3,FALSE),IF(VALUE(C338)=0,"ЭТАЖ НЕ ОПРЕДЕЛЕН. ПРИНЯТ ПО ДОПУЩЕНИЮ 1",VLOOKUP(C338,'Справочник соответствий'!A$2:D$2996,3,FALSE)))</f>
        <v>ЭТАЖ ЗАДАН ЧИСЛОМ</v>
      </c>
      <c r="M338" s="13" t="b">
        <f t="shared" si="36"/>
        <v>0</v>
      </c>
      <c r="N338" s="13">
        <f t="shared" si="37"/>
        <v>2</v>
      </c>
      <c r="O338" s="13" t="str">
        <f t="shared" si="38"/>
        <v>ЭТАЖ ЗАДАН ЧИСЛОМ</v>
      </c>
      <c r="P338" s="13" t="str">
        <f t="shared" si="39"/>
        <v>ЭТАЖ ЗАДАН ЧИСЛОМ</v>
      </c>
      <c r="Q338" s="13" t="str">
        <f t="shared" si="40"/>
        <v>ГОТОВ_ИЗМЕНЕН</v>
      </c>
      <c r="R338" s="13">
        <f>IFERROR(VLOOKUP(P338,Лист1!A$1:B$20,2,FALSE),0)</f>
        <v>784</v>
      </c>
      <c r="S338" s="13">
        <f t="shared" si="41"/>
        <v>0</v>
      </c>
    </row>
    <row r="339" spans="1:19" x14ac:dyDescent="0.25">
      <c r="A339" t="s">
        <v>1534</v>
      </c>
      <c r="B339" s="4" t="s">
        <v>1182</v>
      </c>
      <c r="C339" s="3" t="s">
        <v>5</v>
      </c>
      <c r="G339" s="3" t="s">
        <v>1198</v>
      </c>
      <c r="I339" s="3" t="str">
        <f>IFERROR(VLOOKUP(C339,'Справочник соответствий'!A$2:D$2996,2,FALSE),IF(VALUE(C339)=0,1,VLOOKUP(C339,'Справочник соответствий'!A$2:D$2996,2,FALSE)))</f>
        <v>1</v>
      </c>
      <c r="J339" s="3">
        <f>IFERROR(VLOOKUP(D339,'Справочник соответствий'!A$2:D$2996,2,FALSE),IF(VALUE(D339)=0,0,VLOOKUP(D339,'Справочник соответствий'!A$2:D$2996,2,FALSE)))</f>
        <v>0</v>
      </c>
      <c r="K339" s="3" t="str">
        <f t="shared" si="35"/>
        <v>1</v>
      </c>
      <c r="L339" s="13" t="str">
        <f>IFERROR(VLOOKUP(C339,'Справочник соответствий'!A$2:D$2996,3,FALSE),IF(VALUE(C339)=0,"ЭТАЖ НЕ ОПРЕДЕЛЕН. ПРИНЯТ ПО ДОПУЩЕНИЮ 1",VLOOKUP(C339,'Справочник соответствий'!A$2:D$2996,3,FALSE)))</f>
        <v>ЭТАЖ ЗАДАН ЧИСЛОМ</v>
      </c>
      <c r="M339" s="13" t="b">
        <f t="shared" si="36"/>
        <v>0</v>
      </c>
      <c r="N339" s="13">
        <f t="shared" si="37"/>
        <v>1</v>
      </c>
      <c r="O339" s="13" t="str">
        <f t="shared" si="38"/>
        <v>ЭТАЖ ЗАДАН ЧИСЛОМ</v>
      </c>
      <c r="P339" s="13" t="str">
        <f t="shared" si="39"/>
        <v>ЭТАЖ ЗАДАН ЧИСЛОМ</v>
      </c>
      <c r="Q339" s="13" t="str">
        <f t="shared" si="40"/>
        <v>ГОТОВ_ИЗМЕНЕН</v>
      </c>
      <c r="R339" s="13">
        <f>IFERROR(VLOOKUP(P339,Лист1!A$1:B$20,2,FALSE),0)</f>
        <v>784</v>
      </c>
      <c r="S339" s="13">
        <f t="shared" si="41"/>
        <v>0</v>
      </c>
    </row>
    <row r="340" spans="1:19" x14ac:dyDescent="0.25">
      <c r="A340" t="s">
        <v>1535</v>
      </c>
      <c r="B340" s="4" t="s">
        <v>1182</v>
      </c>
      <c r="C340" s="3" t="s">
        <v>5</v>
      </c>
      <c r="G340" s="3" t="s">
        <v>1198</v>
      </c>
      <c r="I340" s="3" t="str">
        <f>IFERROR(VLOOKUP(C340,'Справочник соответствий'!A$2:D$2996,2,FALSE),IF(VALUE(C340)=0,1,VLOOKUP(C340,'Справочник соответствий'!A$2:D$2996,2,FALSE)))</f>
        <v>1</v>
      </c>
      <c r="J340" s="3">
        <f>IFERROR(VLOOKUP(D340,'Справочник соответствий'!A$2:D$2996,2,FALSE),IF(VALUE(D340)=0,0,VLOOKUP(D340,'Справочник соответствий'!A$2:D$2996,2,FALSE)))</f>
        <v>0</v>
      </c>
      <c r="K340" s="3" t="str">
        <f t="shared" si="35"/>
        <v>1</v>
      </c>
      <c r="L340" s="13" t="str">
        <f>IFERROR(VLOOKUP(C340,'Справочник соответствий'!A$2:D$2996,3,FALSE),IF(VALUE(C340)=0,"ЭТАЖ НЕ ОПРЕДЕЛЕН. ПРИНЯТ ПО ДОПУЩЕНИЮ 1",VLOOKUP(C340,'Справочник соответствий'!A$2:D$2996,3,FALSE)))</f>
        <v>ЭТАЖ ЗАДАН ЧИСЛОМ</v>
      </c>
      <c r="M340" s="13" t="b">
        <f t="shared" si="36"/>
        <v>0</v>
      </c>
      <c r="N340" s="13">
        <f t="shared" si="37"/>
        <v>1</v>
      </c>
      <c r="O340" s="13" t="str">
        <f t="shared" si="38"/>
        <v>ЭТАЖ ЗАДАН ЧИСЛОМ</v>
      </c>
      <c r="P340" s="13" t="str">
        <f t="shared" si="39"/>
        <v>ЭТАЖ ЗАДАН ЧИСЛОМ</v>
      </c>
      <c r="Q340" s="13" t="str">
        <f t="shared" si="40"/>
        <v>ГОТОВ_ИЗМЕНЕН</v>
      </c>
      <c r="R340" s="13">
        <f>IFERROR(VLOOKUP(P340,Лист1!A$1:B$20,2,FALSE),0)</f>
        <v>784</v>
      </c>
      <c r="S340" s="13">
        <f t="shared" si="41"/>
        <v>0</v>
      </c>
    </row>
    <row r="341" spans="1:19" x14ac:dyDescent="0.25">
      <c r="A341" t="s">
        <v>1536</v>
      </c>
      <c r="B341" s="4" t="s">
        <v>1190</v>
      </c>
      <c r="C341" s="3" t="s">
        <v>5</v>
      </c>
      <c r="G341" s="3" t="s">
        <v>1198</v>
      </c>
      <c r="I341" s="3" t="str">
        <f>IFERROR(VLOOKUP(C341,'Справочник соответствий'!A$2:D$2996,2,FALSE),IF(VALUE(C341)=0,1,VLOOKUP(C341,'Справочник соответствий'!A$2:D$2996,2,FALSE)))</f>
        <v>1</v>
      </c>
      <c r="J341" s="3">
        <f>IFERROR(VLOOKUP(D341,'Справочник соответствий'!A$2:D$2996,2,FALSE),IF(VALUE(D341)=0,0,VLOOKUP(D341,'Справочник соответствий'!A$2:D$2996,2,FALSE)))</f>
        <v>0</v>
      </c>
      <c r="K341" s="3" t="str">
        <f t="shared" si="35"/>
        <v>1</v>
      </c>
      <c r="L341" s="13" t="str">
        <f>IFERROR(VLOOKUP(C341,'Справочник соответствий'!A$2:D$2996,3,FALSE),IF(VALUE(C341)=0,"ЭТАЖ НЕ ОПРЕДЕЛЕН. ПРИНЯТ ПО ДОПУЩЕНИЮ 1",VLOOKUP(C341,'Справочник соответствий'!A$2:D$2996,3,FALSE)))</f>
        <v>ЭТАЖ ЗАДАН ЧИСЛОМ</v>
      </c>
      <c r="M341" s="13" t="b">
        <f t="shared" si="36"/>
        <v>0</v>
      </c>
      <c r="N341" s="13">
        <f t="shared" si="37"/>
        <v>1</v>
      </c>
      <c r="O341" s="13" t="str">
        <f t="shared" si="38"/>
        <v>ЭТАЖ ЗАДАН ЧИСЛОМ</v>
      </c>
      <c r="P341" s="13" t="str">
        <f t="shared" si="39"/>
        <v>ЭТАЖ ЗАДАН ЧИСЛОМ</v>
      </c>
      <c r="Q341" s="13" t="str">
        <f t="shared" si="40"/>
        <v>ГОТОВ_ИЗМЕНЕН</v>
      </c>
      <c r="R341" s="13">
        <f>IFERROR(VLOOKUP(P341,Лист1!A$1:B$20,2,FALSE),0)</f>
        <v>784</v>
      </c>
      <c r="S341" s="13">
        <f t="shared" si="41"/>
        <v>0</v>
      </c>
    </row>
    <row r="342" spans="1:19" x14ac:dyDescent="0.25">
      <c r="A342" t="s">
        <v>1537</v>
      </c>
      <c r="B342" s="4" t="s">
        <v>1182</v>
      </c>
      <c r="C342" s="3" t="s">
        <v>5</v>
      </c>
      <c r="G342" s="3" t="s">
        <v>1198</v>
      </c>
      <c r="I342" s="3" t="str">
        <f>IFERROR(VLOOKUP(C342,'Справочник соответствий'!A$2:D$2996,2,FALSE),IF(VALUE(C342)=0,1,VLOOKUP(C342,'Справочник соответствий'!A$2:D$2996,2,FALSE)))</f>
        <v>1</v>
      </c>
      <c r="J342" s="3">
        <f>IFERROR(VLOOKUP(D342,'Справочник соответствий'!A$2:D$2996,2,FALSE),IF(VALUE(D342)=0,0,VLOOKUP(D342,'Справочник соответствий'!A$2:D$2996,2,FALSE)))</f>
        <v>0</v>
      </c>
      <c r="K342" s="3" t="str">
        <f t="shared" si="35"/>
        <v>1</v>
      </c>
      <c r="L342" s="13" t="str">
        <f>IFERROR(VLOOKUP(C342,'Справочник соответствий'!A$2:D$2996,3,FALSE),IF(VALUE(C342)=0,"ЭТАЖ НЕ ОПРЕДЕЛЕН. ПРИНЯТ ПО ДОПУЩЕНИЮ 1",VLOOKUP(C342,'Справочник соответствий'!A$2:D$2996,3,FALSE)))</f>
        <v>ЭТАЖ ЗАДАН ЧИСЛОМ</v>
      </c>
      <c r="M342" s="13" t="b">
        <f t="shared" si="36"/>
        <v>0</v>
      </c>
      <c r="N342" s="13">
        <f t="shared" si="37"/>
        <v>1</v>
      </c>
      <c r="O342" s="13" t="str">
        <f t="shared" si="38"/>
        <v>ЭТАЖ ЗАДАН ЧИСЛОМ</v>
      </c>
      <c r="P342" s="13" t="str">
        <f t="shared" si="39"/>
        <v>ЭТАЖ ЗАДАН ЧИСЛОМ</v>
      </c>
      <c r="Q342" s="13" t="str">
        <f t="shared" si="40"/>
        <v>ГОТОВ_ИЗМЕНЕН</v>
      </c>
      <c r="R342" s="13">
        <f>IFERROR(VLOOKUP(P342,Лист1!A$1:B$20,2,FALSE),0)</f>
        <v>784</v>
      </c>
      <c r="S342" s="13">
        <f t="shared" si="41"/>
        <v>0</v>
      </c>
    </row>
    <row r="343" spans="1:19" x14ac:dyDescent="0.25">
      <c r="A343" t="s">
        <v>1538</v>
      </c>
      <c r="B343" s="4" t="s">
        <v>1182</v>
      </c>
      <c r="C343" s="3" t="s">
        <v>7</v>
      </c>
      <c r="G343" s="3" t="s">
        <v>1224</v>
      </c>
      <c r="I343" s="3" t="str">
        <f>IFERROR(VLOOKUP(C343,'Справочник соответствий'!A$2:D$2996,2,FALSE),IF(VALUE(C343)=0,1,VLOOKUP(C343,'Справочник соответствий'!A$2:D$2996,2,FALSE)))</f>
        <v>2</v>
      </c>
      <c r="J343" s="3">
        <f>IFERROR(VLOOKUP(D343,'Справочник соответствий'!A$2:D$2996,2,FALSE),IF(VALUE(D343)=0,0,VLOOKUP(D343,'Справочник соответствий'!A$2:D$2996,2,FALSE)))</f>
        <v>0</v>
      </c>
      <c r="K343" s="3" t="str">
        <f t="shared" si="35"/>
        <v>2</v>
      </c>
      <c r="L343" s="13" t="str">
        <f>IFERROR(VLOOKUP(C343,'Справочник соответствий'!A$2:D$2996,3,FALSE),IF(VALUE(C343)=0,"ЭТАЖ НЕ ОПРЕДЕЛЕН. ПРИНЯТ ПО ДОПУЩЕНИЮ 1",VLOOKUP(C343,'Справочник соответствий'!A$2:D$2996,3,FALSE)))</f>
        <v>ЭТАЖ ЗАДАН ЧИСЛОМ</v>
      </c>
      <c r="M343" s="13" t="b">
        <f t="shared" si="36"/>
        <v>0</v>
      </c>
      <c r="N343" s="13">
        <f t="shared" si="37"/>
        <v>2</v>
      </c>
      <c r="O343" s="13" t="str">
        <f t="shared" si="38"/>
        <v>ЭТАЖ ЗАДАН ЧИСЛОМ</v>
      </c>
      <c r="P343" s="13" t="str">
        <f t="shared" si="39"/>
        <v>ЭТАЖ ЗАДАН ЧИСЛОМ</v>
      </c>
      <c r="Q343" s="13" t="str">
        <f t="shared" si="40"/>
        <v>ГОТОВ_ИЗМЕНЕН</v>
      </c>
      <c r="R343" s="13">
        <f>IFERROR(VLOOKUP(P343,Лист1!A$1:B$20,2,FALSE),0)</f>
        <v>784</v>
      </c>
      <c r="S343" s="13">
        <f t="shared" si="41"/>
        <v>0</v>
      </c>
    </row>
    <row r="344" spans="1:19" x14ac:dyDescent="0.25">
      <c r="A344" t="s">
        <v>1539</v>
      </c>
      <c r="B344" s="4" t="s">
        <v>1182</v>
      </c>
      <c r="G344" s="3" t="s">
        <v>1224</v>
      </c>
      <c r="I344" s="3">
        <f>IFERROR(VLOOKUP(C344,'Справочник соответствий'!A$2:D$2996,2,FALSE),IF(VALUE(C344)=0,1,VLOOKUP(C344,'Справочник соответствий'!A$2:D$2996,2,FALSE)))</f>
        <v>1</v>
      </c>
      <c r="J344" s="3">
        <f>IFERROR(VLOOKUP(D344,'Справочник соответствий'!A$2:D$2996,2,FALSE),IF(VALUE(D344)=0,0,VLOOKUP(D344,'Справочник соответствий'!A$2:D$2996,2,FALSE)))</f>
        <v>0</v>
      </c>
      <c r="K344" s="3">
        <f t="shared" si="35"/>
        <v>1</v>
      </c>
      <c r="L344" s="13" t="str">
        <f>IFERROR(VLOOKUP(C344,'Справочник соответствий'!A$2:D$2996,3,FALSE),IF(VALUE(C344)=0,"ЭТАЖ НЕ ОПРЕДЕЛЕН. ПРИНЯТ ПО ДОПУЩЕНИЮ 1",VLOOKUP(C344,'Справочник соответствий'!A$2:D$2996,3,FALSE)))</f>
        <v>ЭТАЖ НЕ ОПРЕДЕЛЕН. ПРИНЯТ ПО ДОПУЩЕНИЮ 1</v>
      </c>
      <c r="M344" s="13" t="b">
        <f t="shared" si="36"/>
        <v>0</v>
      </c>
      <c r="N344" s="13">
        <f t="shared" si="37"/>
        <v>1</v>
      </c>
      <c r="O344" s="13" t="str">
        <f t="shared" si="38"/>
        <v>ЭТАЖ НЕ ОПРЕДЕЛЕН. ПРИНЯТ ПО ДОПУЩЕНИЮ 1</v>
      </c>
      <c r="P344" s="13" t="str">
        <f t="shared" si="39"/>
        <v>ЭТАЖ НЕ ОПРЕДЕЛЕН. ПРИНЯТ ПО ДОПУЩЕНИЮ 1</v>
      </c>
      <c r="Q344" s="13" t="str">
        <f t="shared" si="40"/>
        <v>ГОТОВ_ИЗМЕНЕН</v>
      </c>
      <c r="R344" s="13">
        <f>IFERROR(VLOOKUP(P344,Лист1!A$1:B$20,2,FALSE),0)</f>
        <v>788</v>
      </c>
      <c r="S344" s="13">
        <f t="shared" si="41"/>
        <v>0</v>
      </c>
    </row>
    <row r="345" spans="1:19" x14ac:dyDescent="0.25">
      <c r="A345" t="s">
        <v>1540</v>
      </c>
      <c r="B345" s="4" t="s">
        <v>1190</v>
      </c>
      <c r="C345" s="3" t="s">
        <v>7</v>
      </c>
      <c r="G345" s="3" t="s">
        <v>1224</v>
      </c>
      <c r="I345" s="3" t="str">
        <f>IFERROR(VLOOKUP(C345,'Справочник соответствий'!A$2:D$2996,2,FALSE),IF(VALUE(C345)=0,1,VLOOKUP(C345,'Справочник соответствий'!A$2:D$2996,2,FALSE)))</f>
        <v>2</v>
      </c>
      <c r="J345" s="3">
        <f>IFERROR(VLOOKUP(D345,'Справочник соответствий'!A$2:D$2996,2,FALSE),IF(VALUE(D345)=0,0,VLOOKUP(D345,'Справочник соответствий'!A$2:D$2996,2,FALSE)))</f>
        <v>0</v>
      </c>
      <c r="K345" s="3" t="str">
        <f t="shared" si="35"/>
        <v>2</v>
      </c>
      <c r="L345" s="13" t="str">
        <f>IFERROR(VLOOKUP(C345,'Справочник соответствий'!A$2:D$2996,3,FALSE),IF(VALUE(C345)=0,"ЭТАЖ НЕ ОПРЕДЕЛЕН. ПРИНЯТ ПО ДОПУЩЕНИЮ 1",VLOOKUP(C345,'Справочник соответствий'!A$2:D$2996,3,FALSE)))</f>
        <v>ЭТАЖ ЗАДАН ЧИСЛОМ</v>
      </c>
      <c r="M345" s="13" t="b">
        <f t="shared" si="36"/>
        <v>0</v>
      </c>
      <c r="N345" s="13">
        <f t="shared" si="37"/>
        <v>2</v>
      </c>
      <c r="O345" s="13" t="str">
        <f t="shared" si="38"/>
        <v>ЭТАЖ ЗАДАН ЧИСЛОМ</v>
      </c>
      <c r="P345" s="13" t="str">
        <f t="shared" si="39"/>
        <v>ЭТАЖ ЗАДАН ЧИСЛОМ</v>
      </c>
      <c r="Q345" s="13" t="str">
        <f t="shared" si="40"/>
        <v>ГОТОВ_ИЗМЕНЕН</v>
      </c>
      <c r="R345" s="13">
        <f>IFERROR(VLOOKUP(P345,Лист1!A$1:B$20,2,FALSE),0)</f>
        <v>784</v>
      </c>
      <c r="S345" s="13">
        <f t="shared" si="41"/>
        <v>0</v>
      </c>
    </row>
    <row r="346" spans="1:19" x14ac:dyDescent="0.25">
      <c r="A346" t="s">
        <v>1541</v>
      </c>
      <c r="B346" s="4" t="s">
        <v>1190</v>
      </c>
      <c r="C346" s="3" t="s">
        <v>5</v>
      </c>
      <c r="G346" s="3" t="s">
        <v>1224</v>
      </c>
      <c r="I346" s="3" t="str">
        <f>IFERROR(VLOOKUP(C346,'Справочник соответствий'!A$2:D$2996,2,FALSE),IF(VALUE(C346)=0,1,VLOOKUP(C346,'Справочник соответствий'!A$2:D$2996,2,FALSE)))</f>
        <v>1</v>
      </c>
      <c r="J346" s="3">
        <f>IFERROR(VLOOKUP(D346,'Справочник соответствий'!A$2:D$2996,2,FALSE),IF(VALUE(D346)=0,0,VLOOKUP(D346,'Справочник соответствий'!A$2:D$2996,2,FALSE)))</f>
        <v>0</v>
      </c>
      <c r="K346" s="3" t="str">
        <f t="shared" si="35"/>
        <v>1</v>
      </c>
      <c r="L346" s="13" t="str">
        <f>IFERROR(VLOOKUP(C346,'Справочник соответствий'!A$2:D$2996,3,FALSE),IF(VALUE(C346)=0,"ЭТАЖ НЕ ОПРЕДЕЛЕН. ПРИНЯТ ПО ДОПУЩЕНИЮ 1",VLOOKUP(C346,'Справочник соответствий'!A$2:D$2996,3,FALSE)))</f>
        <v>ЭТАЖ ЗАДАН ЧИСЛОМ</v>
      </c>
      <c r="M346" s="13" t="b">
        <f t="shared" si="36"/>
        <v>0</v>
      </c>
      <c r="N346" s="13">
        <f t="shared" si="37"/>
        <v>1</v>
      </c>
      <c r="O346" s="13" t="str">
        <f t="shared" si="38"/>
        <v>ЭТАЖ ЗАДАН ЧИСЛОМ</v>
      </c>
      <c r="P346" s="13" t="str">
        <f t="shared" si="39"/>
        <v>ЭТАЖ ЗАДАН ЧИСЛОМ</v>
      </c>
      <c r="Q346" s="13" t="str">
        <f t="shared" si="40"/>
        <v>ГОТОВ_ИЗМЕНЕН</v>
      </c>
      <c r="R346" s="13">
        <f>IFERROR(VLOOKUP(P346,Лист1!A$1:B$20,2,FALSE),0)</f>
        <v>784</v>
      </c>
      <c r="S346" s="13">
        <f t="shared" si="41"/>
        <v>0</v>
      </c>
    </row>
    <row r="347" spans="1:19" x14ac:dyDescent="0.25">
      <c r="A347" t="s">
        <v>1542</v>
      </c>
      <c r="B347" s="4" t="s">
        <v>1190</v>
      </c>
      <c r="C347" s="3" t="s">
        <v>5</v>
      </c>
      <c r="G347" s="3" t="s">
        <v>1224</v>
      </c>
      <c r="I347" s="3" t="str">
        <f>IFERROR(VLOOKUP(C347,'Справочник соответствий'!A$2:D$2996,2,FALSE),IF(VALUE(C347)=0,1,VLOOKUP(C347,'Справочник соответствий'!A$2:D$2996,2,FALSE)))</f>
        <v>1</v>
      </c>
      <c r="J347" s="3">
        <f>IFERROR(VLOOKUP(D347,'Справочник соответствий'!A$2:D$2996,2,FALSE),IF(VALUE(D347)=0,0,VLOOKUP(D347,'Справочник соответствий'!A$2:D$2996,2,FALSE)))</f>
        <v>0</v>
      </c>
      <c r="K347" s="3" t="str">
        <f t="shared" si="35"/>
        <v>1</v>
      </c>
      <c r="L347" s="13" t="str">
        <f>IFERROR(VLOOKUP(C347,'Справочник соответствий'!A$2:D$2996,3,FALSE),IF(VALUE(C347)=0,"ЭТАЖ НЕ ОПРЕДЕЛЕН. ПРИНЯТ ПО ДОПУЩЕНИЮ 1",VLOOKUP(C347,'Справочник соответствий'!A$2:D$2996,3,FALSE)))</f>
        <v>ЭТАЖ ЗАДАН ЧИСЛОМ</v>
      </c>
      <c r="M347" s="13" t="b">
        <f t="shared" si="36"/>
        <v>0</v>
      </c>
      <c r="N347" s="13">
        <f t="shared" si="37"/>
        <v>1</v>
      </c>
      <c r="O347" s="13" t="str">
        <f t="shared" si="38"/>
        <v>ЭТАЖ ЗАДАН ЧИСЛОМ</v>
      </c>
      <c r="P347" s="13" t="str">
        <f t="shared" si="39"/>
        <v>ЭТАЖ ЗАДАН ЧИСЛОМ</v>
      </c>
      <c r="Q347" s="13" t="str">
        <f t="shared" si="40"/>
        <v>ГОТОВ_ИЗМЕНЕН</v>
      </c>
      <c r="R347" s="13">
        <f>IFERROR(VLOOKUP(P347,Лист1!A$1:B$20,2,FALSE),0)</f>
        <v>784</v>
      </c>
      <c r="S347" s="13">
        <f t="shared" si="41"/>
        <v>0</v>
      </c>
    </row>
    <row r="348" spans="1:19" x14ac:dyDescent="0.25">
      <c r="A348" t="s">
        <v>1543</v>
      </c>
      <c r="B348" s="4" t="s">
        <v>1190</v>
      </c>
      <c r="C348" s="3" t="s">
        <v>5</v>
      </c>
      <c r="G348" s="3" t="s">
        <v>1224</v>
      </c>
      <c r="I348" s="3" t="str">
        <f>IFERROR(VLOOKUP(C348,'Справочник соответствий'!A$2:D$2996,2,FALSE),IF(VALUE(C348)=0,1,VLOOKUP(C348,'Справочник соответствий'!A$2:D$2996,2,FALSE)))</f>
        <v>1</v>
      </c>
      <c r="J348" s="3">
        <f>IFERROR(VLOOKUP(D348,'Справочник соответствий'!A$2:D$2996,2,FALSE),IF(VALUE(D348)=0,0,VLOOKUP(D348,'Справочник соответствий'!A$2:D$2996,2,FALSE)))</f>
        <v>0</v>
      </c>
      <c r="K348" s="3" t="str">
        <f t="shared" si="35"/>
        <v>1</v>
      </c>
      <c r="L348" s="13" t="str">
        <f>IFERROR(VLOOKUP(C348,'Справочник соответствий'!A$2:D$2996,3,FALSE),IF(VALUE(C348)=0,"ЭТАЖ НЕ ОПРЕДЕЛЕН. ПРИНЯТ ПО ДОПУЩЕНИЮ 1",VLOOKUP(C348,'Справочник соответствий'!A$2:D$2996,3,FALSE)))</f>
        <v>ЭТАЖ ЗАДАН ЧИСЛОМ</v>
      </c>
      <c r="M348" s="13" t="b">
        <f t="shared" si="36"/>
        <v>0</v>
      </c>
      <c r="N348" s="13">
        <f t="shared" si="37"/>
        <v>1</v>
      </c>
      <c r="O348" s="13" t="str">
        <f t="shared" si="38"/>
        <v>ЭТАЖ ЗАДАН ЧИСЛОМ</v>
      </c>
      <c r="P348" s="13" t="str">
        <f t="shared" si="39"/>
        <v>ЭТАЖ ЗАДАН ЧИСЛОМ</v>
      </c>
      <c r="Q348" s="13" t="str">
        <f t="shared" si="40"/>
        <v>ГОТОВ_ИЗМЕНЕН</v>
      </c>
      <c r="R348" s="13">
        <f>IFERROR(VLOOKUP(P348,Лист1!A$1:B$20,2,FALSE),0)</f>
        <v>784</v>
      </c>
      <c r="S348" s="13">
        <f t="shared" si="41"/>
        <v>0</v>
      </c>
    </row>
    <row r="349" spans="1:19" x14ac:dyDescent="0.25">
      <c r="A349" t="s">
        <v>1544</v>
      </c>
      <c r="B349" s="4" t="s">
        <v>1190</v>
      </c>
      <c r="G349" s="3" t="s">
        <v>1224</v>
      </c>
      <c r="I349" s="3">
        <f>IFERROR(VLOOKUP(C349,'Справочник соответствий'!A$2:D$2996,2,FALSE),IF(VALUE(C349)=0,1,VLOOKUP(C349,'Справочник соответствий'!A$2:D$2996,2,FALSE)))</f>
        <v>1</v>
      </c>
      <c r="J349" s="3">
        <f>IFERROR(VLOOKUP(D349,'Справочник соответствий'!A$2:D$2996,2,FALSE),IF(VALUE(D349)=0,0,VLOOKUP(D349,'Справочник соответствий'!A$2:D$2996,2,FALSE)))</f>
        <v>0</v>
      </c>
      <c r="K349" s="3">
        <f t="shared" si="35"/>
        <v>1</v>
      </c>
      <c r="L349" s="13" t="str">
        <f>IFERROR(VLOOKUP(C349,'Справочник соответствий'!A$2:D$2996,3,FALSE),IF(VALUE(C349)=0,"ЭТАЖ НЕ ОПРЕДЕЛЕН. ПРИНЯТ ПО ДОПУЩЕНИЮ 1",VLOOKUP(C349,'Справочник соответствий'!A$2:D$2996,3,FALSE)))</f>
        <v>ЭТАЖ НЕ ОПРЕДЕЛЕН. ПРИНЯТ ПО ДОПУЩЕНИЮ 1</v>
      </c>
      <c r="M349" s="13" t="b">
        <f t="shared" si="36"/>
        <v>0</v>
      </c>
      <c r="N349" s="13">
        <f t="shared" si="37"/>
        <v>1</v>
      </c>
      <c r="O349" s="13" t="str">
        <f t="shared" si="38"/>
        <v>ЭТАЖ НЕ ОПРЕДЕЛЕН. ПРИНЯТ ПО ДОПУЩЕНИЮ 1</v>
      </c>
      <c r="P349" s="13" t="str">
        <f t="shared" si="39"/>
        <v>ЭТАЖ НЕ ОПРЕДЕЛЕН. ПРИНЯТ ПО ДОПУЩЕНИЮ 1</v>
      </c>
      <c r="Q349" s="13" t="str">
        <f t="shared" si="40"/>
        <v>ГОТОВ_ИЗМЕНЕН</v>
      </c>
      <c r="R349" s="13">
        <f>IFERROR(VLOOKUP(P349,Лист1!A$1:B$20,2,FALSE),0)</f>
        <v>788</v>
      </c>
      <c r="S349" s="13">
        <f t="shared" si="41"/>
        <v>0</v>
      </c>
    </row>
    <row r="350" spans="1:19" x14ac:dyDescent="0.25">
      <c r="A350" t="s">
        <v>1545</v>
      </c>
      <c r="B350" s="4" t="s">
        <v>1182</v>
      </c>
      <c r="C350" s="3" t="s">
        <v>1546</v>
      </c>
      <c r="D350" s="3" t="s">
        <v>5</v>
      </c>
      <c r="E350" s="3" t="s">
        <v>7</v>
      </c>
      <c r="F350" t="s">
        <v>1186</v>
      </c>
      <c r="G350" s="3" t="s">
        <v>1183</v>
      </c>
      <c r="H350" s="7" t="s">
        <v>1184</v>
      </c>
      <c r="I350" s="3" t="str">
        <f>IFERROR(VLOOKUP(C350,'Справочник соответствий'!A$2:D$2996,2,FALSE),IF(VALUE(C350)=0,1,VLOOKUP(C350,'Справочник соответствий'!A$2:D$2996,2,FALSE)))</f>
        <v>2</v>
      </c>
      <c r="J350" s="3" t="str">
        <f>IFERROR(VLOOKUP(D350,'Справочник соответствий'!A$2:D$2996,2,FALSE),IF(VALUE(D350)=0,0,VLOOKUP(D350,'Справочник соответствий'!A$2:D$2996,2,FALSE)))</f>
        <v>1</v>
      </c>
      <c r="K350" s="3" t="str">
        <f t="shared" si="35"/>
        <v>2</v>
      </c>
      <c r="L350" s="13" t="str">
        <f>IFERROR(VLOOKUP(C350,'Справочник соответствий'!A$2:D$2996,3,FALSE),IF(VALUE(C350)=0,"ЭТАЖ НЕ ОПРЕДЕЛЕН. ПРИНЯТ ПО ДОПУЩЕНИЮ 1",VLOOKUP(C350,'Справочник соответствий'!A$2:D$2996,3,FALSE)))</f>
        <v>СПРАВОЧНИК ЭТАЖНОСТИ</v>
      </c>
      <c r="M350" s="13" t="b">
        <f t="shared" si="36"/>
        <v>1</v>
      </c>
      <c r="N350" s="13">
        <f t="shared" si="37"/>
        <v>2</v>
      </c>
      <c r="O350" s="13" t="str">
        <f t="shared" si="38"/>
        <v>СПРАВОЧНИК ЭТАЖНОСТИ</v>
      </c>
      <c r="P350" s="13" t="str">
        <f t="shared" si="39"/>
        <v>СПРАВОЧНИК ЭТАЖНОСТИ</v>
      </c>
      <c r="Q350" s="13" t="str">
        <f t="shared" si="40"/>
        <v>ГОТОВ</v>
      </c>
      <c r="R350" s="13">
        <f>IFERROR(VLOOKUP(P350,Лист1!A$1:B$20,2,FALSE),0)</f>
        <v>785</v>
      </c>
      <c r="S350" s="13">
        <f t="shared" si="41"/>
        <v>2</v>
      </c>
    </row>
    <row r="351" spans="1:19" x14ac:dyDescent="0.25">
      <c r="A351" t="s">
        <v>1547</v>
      </c>
      <c r="B351" s="4" t="s">
        <v>1182</v>
      </c>
      <c r="C351" s="3" t="s">
        <v>5</v>
      </c>
      <c r="E351" s="3" t="s">
        <v>5</v>
      </c>
      <c r="F351" t="s">
        <v>1186</v>
      </c>
      <c r="G351" s="3" t="s">
        <v>1187</v>
      </c>
      <c r="H351" s="7" t="s">
        <v>1184</v>
      </c>
      <c r="I351" s="3" t="str">
        <f>IFERROR(VLOOKUP(C351,'Справочник соответствий'!A$2:D$2996,2,FALSE),IF(VALUE(C351)=0,1,VLOOKUP(C351,'Справочник соответствий'!A$2:D$2996,2,FALSE)))</f>
        <v>1</v>
      </c>
      <c r="J351" s="3">
        <f>IFERROR(VLOOKUP(D351,'Справочник соответствий'!A$2:D$2996,2,FALSE),IF(VALUE(D351)=0,0,VLOOKUP(D351,'Справочник соответствий'!A$2:D$2996,2,FALSE)))</f>
        <v>0</v>
      </c>
      <c r="K351" s="3" t="str">
        <f t="shared" si="35"/>
        <v>1</v>
      </c>
      <c r="L351" s="13" t="str">
        <f>IFERROR(VLOOKUP(C351,'Справочник соответствий'!A$2:D$2996,3,FALSE),IF(VALUE(C351)=0,"ЭТАЖ НЕ ОПРЕДЕЛЕН. ПРИНЯТ ПО ДОПУЩЕНИЮ 1",VLOOKUP(C351,'Справочник соответствий'!A$2:D$2996,3,FALSE)))</f>
        <v>ЭТАЖ ЗАДАН ЧИСЛОМ</v>
      </c>
      <c r="M351" s="13" t="b">
        <f t="shared" si="36"/>
        <v>1</v>
      </c>
      <c r="N351" s="13">
        <f t="shared" si="37"/>
        <v>1</v>
      </c>
      <c r="O351" s="13" t="str">
        <f t="shared" si="38"/>
        <v>ЭТАЖ ЗАДАН ЧИСЛОМ</v>
      </c>
      <c r="P351" s="13" t="str">
        <f t="shared" si="39"/>
        <v>ЭТАЖ ЗАДАН ЧИСЛОМ</v>
      </c>
      <c r="Q351" s="13" t="str">
        <f t="shared" si="40"/>
        <v>ГОТОВ</v>
      </c>
      <c r="R351" s="13">
        <f>IFERROR(VLOOKUP(P351,Лист1!A$1:B$20,2,FALSE),0)</f>
        <v>784</v>
      </c>
      <c r="S351" s="13">
        <f t="shared" si="41"/>
        <v>1</v>
      </c>
    </row>
    <row r="352" spans="1:19" x14ac:dyDescent="0.25">
      <c r="A352" t="s">
        <v>1548</v>
      </c>
      <c r="B352" s="4" t="s">
        <v>1182</v>
      </c>
      <c r="C352" s="3" t="s">
        <v>5</v>
      </c>
      <c r="E352" s="3" t="s">
        <v>5</v>
      </c>
      <c r="F352" t="s">
        <v>1045</v>
      </c>
      <c r="G352" s="3" t="s">
        <v>1198</v>
      </c>
      <c r="H352" s="7" t="s">
        <v>1184</v>
      </c>
      <c r="I352" s="3" t="str">
        <f>IFERROR(VLOOKUP(C352,'Справочник соответствий'!A$2:D$2996,2,FALSE),IF(VALUE(C352)=0,1,VLOOKUP(C352,'Справочник соответствий'!A$2:D$2996,2,FALSE)))</f>
        <v>1</v>
      </c>
      <c r="J352" s="3">
        <f>IFERROR(VLOOKUP(D352,'Справочник соответствий'!A$2:D$2996,2,FALSE),IF(VALUE(D352)=0,0,VLOOKUP(D352,'Справочник соответствий'!A$2:D$2996,2,FALSE)))</f>
        <v>0</v>
      </c>
      <c r="K352" s="3" t="str">
        <f t="shared" si="35"/>
        <v>1</v>
      </c>
      <c r="L352" s="13" t="str">
        <f>IFERROR(VLOOKUP(C352,'Справочник соответствий'!A$2:D$2996,3,FALSE),IF(VALUE(C352)=0,"ЭТАЖ НЕ ОПРЕДЕЛЕН. ПРИНЯТ ПО ДОПУЩЕНИЮ 1",VLOOKUP(C352,'Справочник соответствий'!A$2:D$2996,3,FALSE)))</f>
        <v>ЭТАЖ ЗАДАН ЧИСЛОМ</v>
      </c>
      <c r="M352" s="13" t="b">
        <f t="shared" si="36"/>
        <v>1</v>
      </c>
      <c r="N352" s="13">
        <f t="shared" si="37"/>
        <v>1</v>
      </c>
      <c r="O352" s="13" t="str">
        <f t="shared" si="38"/>
        <v>ЭТАЖ ЗАДАН ЧИСЛОМ</v>
      </c>
      <c r="P352" s="13" t="str">
        <f t="shared" si="39"/>
        <v>ЭТАЖ ЗАДАН ЧИСЛОМ</v>
      </c>
      <c r="Q352" s="13" t="str">
        <f t="shared" si="40"/>
        <v>ГОТОВ</v>
      </c>
      <c r="R352" s="13">
        <f>IFERROR(VLOOKUP(P352,Лист1!A$1:B$20,2,FALSE),0)</f>
        <v>784</v>
      </c>
      <c r="S352" s="13">
        <f t="shared" si="41"/>
        <v>1</v>
      </c>
    </row>
    <row r="353" spans="1:19" x14ac:dyDescent="0.25">
      <c r="A353" t="s">
        <v>1549</v>
      </c>
      <c r="B353" s="4" t="s">
        <v>1182</v>
      </c>
      <c r="C353" s="3" t="s">
        <v>7</v>
      </c>
      <c r="E353" s="3" t="s">
        <v>5</v>
      </c>
      <c r="F353" t="s">
        <v>1038</v>
      </c>
      <c r="G353" s="3" t="s">
        <v>1224</v>
      </c>
      <c r="H353" s="7" t="s">
        <v>1184</v>
      </c>
      <c r="I353" s="3" t="str">
        <f>IFERROR(VLOOKUP(C353,'Справочник соответствий'!A$2:D$2996,2,FALSE),IF(VALUE(C353)=0,1,VLOOKUP(C353,'Справочник соответствий'!A$2:D$2996,2,FALSE)))</f>
        <v>2</v>
      </c>
      <c r="J353" s="3">
        <f>IFERROR(VLOOKUP(D353,'Справочник соответствий'!A$2:D$2996,2,FALSE),IF(VALUE(D353)=0,0,VLOOKUP(D353,'Справочник соответствий'!A$2:D$2996,2,FALSE)))</f>
        <v>0</v>
      </c>
      <c r="K353" s="3" t="str">
        <f t="shared" si="35"/>
        <v>2</v>
      </c>
      <c r="L353" s="13" t="str">
        <f>IFERROR(VLOOKUP(C353,'Справочник соответствий'!A$2:D$2996,3,FALSE),IF(VALUE(C353)=0,"ЭТАЖ НЕ ОПРЕДЕЛЕН. ПРИНЯТ ПО ДОПУЩЕНИЮ 1",VLOOKUP(C353,'Справочник соответствий'!A$2:D$2996,3,FALSE)))</f>
        <v>ЭТАЖ ЗАДАН ЧИСЛОМ</v>
      </c>
      <c r="M353" s="13" t="b">
        <f t="shared" si="36"/>
        <v>0</v>
      </c>
      <c r="N353" s="13">
        <f t="shared" si="37"/>
        <v>2</v>
      </c>
      <c r="O353" s="13" t="str">
        <f t="shared" si="38"/>
        <v>ЭТАЖ ЗАДАН ЧИСЛОМ</v>
      </c>
      <c r="P353" s="13" t="str">
        <f t="shared" si="39"/>
        <v>ЭТАЖ ЗАДАН ЧИСЛОМ</v>
      </c>
      <c r="Q353" s="13" t="str">
        <f t="shared" si="40"/>
        <v>ГОТОВ_ИЗМЕНЕН</v>
      </c>
      <c r="R353" s="13">
        <f>IFERROR(VLOOKUP(P353,Лист1!A$1:B$20,2,FALSE),0)</f>
        <v>784</v>
      </c>
      <c r="S353" s="13">
        <f t="shared" si="41"/>
        <v>1</v>
      </c>
    </row>
    <row r="354" spans="1:19" x14ac:dyDescent="0.25">
      <c r="A354" t="s">
        <v>1550</v>
      </c>
      <c r="B354" s="4" t="s">
        <v>1190</v>
      </c>
      <c r="C354" s="3" t="s">
        <v>5</v>
      </c>
      <c r="E354" s="3" t="s">
        <v>5</v>
      </c>
      <c r="F354" t="s">
        <v>1045</v>
      </c>
      <c r="G354" s="3" t="s">
        <v>1198</v>
      </c>
      <c r="H354" s="7" t="s">
        <v>1184</v>
      </c>
      <c r="I354" s="3" t="str">
        <f>IFERROR(VLOOKUP(C354,'Справочник соответствий'!A$2:D$2996,2,FALSE),IF(VALUE(C354)=0,1,VLOOKUP(C354,'Справочник соответствий'!A$2:D$2996,2,FALSE)))</f>
        <v>1</v>
      </c>
      <c r="J354" s="3">
        <f>IFERROR(VLOOKUP(D354,'Справочник соответствий'!A$2:D$2996,2,FALSE),IF(VALUE(D354)=0,0,VLOOKUP(D354,'Справочник соответствий'!A$2:D$2996,2,FALSE)))</f>
        <v>0</v>
      </c>
      <c r="K354" s="3" t="str">
        <f t="shared" si="35"/>
        <v>1</v>
      </c>
      <c r="L354" s="13" t="str">
        <f>IFERROR(VLOOKUP(C354,'Справочник соответствий'!A$2:D$2996,3,FALSE),IF(VALUE(C354)=0,"ЭТАЖ НЕ ОПРЕДЕЛЕН. ПРИНЯТ ПО ДОПУЩЕНИЮ 1",VLOOKUP(C354,'Справочник соответствий'!A$2:D$2996,3,FALSE)))</f>
        <v>ЭТАЖ ЗАДАН ЧИСЛОМ</v>
      </c>
      <c r="M354" s="13" t="b">
        <f t="shared" si="36"/>
        <v>1</v>
      </c>
      <c r="N354" s="13">
        <f t="shared" si="37"/>
        <v>1</v>
      </c>
      <c r="O354" s="13" t="str">
        <f t="shared" si="38"/>
        <v>ЭТАЖ ЗАДАН ЧИСЛОМ</v>
      </c>
      <c r="P354" s="13" t="str">
        <f t="shared" si="39"/>
        <v>ЭТАЖ ЗАДАН ЧИСЛОМ</v>
      </c>
      <c r="Q354" s="13" t="str">
        <f t="shared" si="40"/>
        <v>ГОТОВ</v>
      </c>
      <c r="R354" s="13">
        <f>IFERROR(VLOOKUP(P354,Лист1!A$1:B$20,2,FALSE),0)</f>
        <v>784</v>
      </c>
      <c r="S354" s="13">
        <f t="shared" si="41"/>
        <v>1</v>
      </c>
    </row>
    <row r="355" spans="1:19" x14ac:dyDescent="0.25">
      <c r="A355" t="s">
        <v>1551</v>
      </c>
      <c r="B355" s="4" t="s">
        <v>1182</v>
      </c>
      <c r="C355" s="3" t="s">
        <v>5</v>
      </c>
      <c r="E355" s="3" t="s">
        <v>5</v>
      </c>
      <c r="F355" t="s">
        <v>1186</v>
      </c>
      <c r="G355" s="3" t="s">
        <v>1187</v>
      </c>
      <c r="H355" s="7" t="s">
        <v>1184</v>
      </c>
      <c r="I355" s="3" t="str">
        <f>IFERROR(VLOOKUP(C355,'Справочник соответствий'!A$2:D$2996,2,FALSE),IF(VALUE(C355)=0,1,VLOOKUP(C355,'Справочник соответствий'!A$2:D$2996,2,FALSE)))</f>
        <v>1</v>
      </c>
      <c r="J355" s="3">
        <f>IFERROR(VLOOKUP(D355,'Справочник соответствий'!A$2:D$2996,2,FALSE),IF(VALUE(D355)=0,0,VLOOKUP(D355,'Справочник соответствий'!A$2:D$2996,2,FALSE)))</f>
        <v>0</v>
      </c>
      <c r="K355" s="3" t="str">
        <f t="shared" si="35"/>
        <v>1</v>
      </c>
      <c r="L355" s="13" t="str">
        <f>IFERROR(VLOOKUP(C355,'Справочник соответствий'!A$2:D$2996,3,FALSE),IF(VALUE(C355)=0,"ЭТАЖ НЕ ОПРЕДЕЛЕН. ПРИНЯТ ПО ДОПУЩЕНИЮ 1",VLOOKUP(C355,'Справочник соответствий'!A$2:D$2996,3,FALSE)))</f>
        <v>ЭТАЖ ЗАДАН ЧИСЛОМ</v>
      </c>
      <c r="M355" s="13" t="b">
        <f t="shared" si="36"/>
        <v>1</v>
      </c>
      <c r="N355" s="13">
        <f t="shared" si="37"/>
        <v>1</v>
      </c>
      <c r="O355" s="13" t="str">
        <f t="shared" si="38"/>
        <v>ЭТАЖ ЗАДАН ЧИСЛОМ</v>
      </c>
      <c r="P355" s="13" t="str">
        <f t="shared" si="39"/>
        <v>ЭТАЖ ЗАДАН ЧИСЛОМ</v>
      </c>
      <c r="Q355" s="13" t="str">
        <f t="shared" si="40"/>
        <v>ГОТОВ</v>
      </c>
      <c r="R355" s="13">
        <f>IFERROR(VLOOKUP(P355,Лист1!A$1:B$20,2,FALSE),0)</f>
        <v>784</v>
      </c>
      <c r="S355" s="13">
        <f t="shared" si="41"/>
        <v>1</v>
      </c>
    </row>
    <row r="356" spans="1:19" x14ac:dyDescent="0.25">
      <c r="A356" t="s">
        <v>1552</v>
      </c>
      <c r="B356" s="4" t="s">
        <v>1182</v>
      </c>
      <c r="C356" s="3" t="s">
        <v>1553</v>
      </c>
      <c r="E356" s="3" t="s">
        <v>7</v>
      </c>
      <c r="F356" t="s">
        <v>1186</v>
      </c>
      <c r="G356" s="3" t="s">
        <v>1191</v>
      </c>
      <c r="H356" s="7" t="s">
        <v>1184</v>
      </c>
      <c r="I356" s="3" t="str">
        <f>IFERROR(VLOOKUP(C356,'Справочник соответствий'!A$2:D$2996,2,FALSE),IF(VALUE(C356)=0,1,VLOOKUP(C356,'Справочник соответствий'!A$2:D$2996,2,FALSE)))</f>
        <v>1</v>
      </c>
      <c r="J356" s="3">
        <f>IFERROR(VLOOKUP(D356,'Справочник соответствий'!A$2:D$2996,2,FALSE),IF(VALUE(D356)=0,0,VLOOKUP(D356,'Справочник соответствий'!A$2:D$2996,2,FALSE)))</f>
        <v>0</v>
      </c>
      <c r="K356" s="3" t="str">
        <f t="shared" si="35"/>
        <v>1</v>
      </c>
      <c r="L356" s="13" t="str">
        <f>IFERROR(VLOOKUP(C356,'Справочник соответствий'!A$2:D$2996,3,FALSE),IF(VALUE(C356)=0,"ЭТАЖ НЕ ОПРЕДЕЛЕН. ПРИНЯТ ПО ДОПУЩЕНИЮ 1",VLOOKUP(C356,'Справочник соответствий'!A$2:D$2996,3,FALSE)))</f>
        <v>СПРАВОЧНИК ЭТАЖНОСТИ</v>
      </c>
      <c r="M356" s="13" t="b">
        <f t="shared" si="36"/>
        <v>0</v>
      </c>
      <c r="N356" s="13">
        <f t="shared" si="37"/>
        <v>1</v>
      </c>
      <c r="O356" s="13" t="str">
        <f t="shared" si="38"/>
        <v>СПРАВОЧНИК ЭТАЖНОСТИ</v>
      </c>
      <c r="P356" s="13" t="str">
        <f t="shared" si="39"/>
        <v>СПРАВОЧНИК ЭТАЖНОСТИ</v>
      </c>
      <c r="Q356" s="13" t="str">
        <f t="shared" si="40"/>
        <v>ГОТОВ_ИЗМЕНЕН</v>
      </c>
      <c r="R356" s="13">
        <f>IFERROR(VLOOKUP(P356,Лист1!A$1:B$20,2,FALSE),0)</f>
        <v>785</v>
      </c>
      <c r="S356" s="13">
        <f t="shared" si="41"/>
        <v>2</v>
      </c>
    </row>
    <row r="357" spans="1:19" x14ac:dyDescent="0.25">
      <c r="A357" t="s">
        <v>1554</v>
      </c>
      <c r="B357" s="4" t="s">
        <v>1190</v>
      </c>
      <c r="C357" s="3" t="s">
        <v>5</v>
      </c>
      <c r="D357" s="3" t="s">
        <v>5</v>
      </c>
      <c r="E357" s="3" t="s">
        <v>5</v>
      </c>
      <c r="F357" t="s">
        <v>1045</v>
      </c>
      <c r="G357" s="3" t="s">
        <v>1198</v>
      </c>
      <c r="H357" s="7" t="s">
        <v>1184</v>
      </c>
      <c r="I357" s="3" t="str">
        <f>IFERROR(VLOOKUP(C357,'Справочник соответствий'!A$2:D$2996,2,FALSE),IF(VALUE(C357)=0,1,VLOOKUP(C357,'Справочник соответствий'!A$2:D$2996,2,FALSE)))</f>
        <v>1</v>
      </c>
      <c r="J357" s="3" t="str">
        <f>IFERROR(VLOOKUP(D357,'Справочник соответствий'!A$2:D$2996,2,FALSE),IF(VALUE(D357)=0,0,VLOOKUP(D357,'Справочник соответствий'!A$2:D$2996,2,FALSE)))</f>
        <v>1</v>
      </c>
      <c r="K357" s="3" t="str">
        <f t="shared" si="35"/>
        <v>1</v>
      </c>
      <c r="L357" s="13" t="str">
        <f>IFERROR(VLOOKUP(C357,'Справочник соответствий'!A$2:D$2996,3,FALSE),IF(VALUE(C357)=0,"ЭТАЖ НЕ ОПРЕДЕЛЕН. ПРИНЯТ ПО ДОПУЩЕНИЮ 1",VLOOKUP(C357,'Справочник соответствий'!A$2:D$2996,3,FALSE)))</f>
        <v>ЭТАЖ ЗАДАН ЧИСЛОМ</v>
      </c>
      <c r="M357" s="13" t="b">
        <f t="shared" si="36"/>
        <v>1</v>
      </c>
      <c r="N357" s="13">
        <f t="shared" si="37"/>
        <v>1</v>
      </c>
      <c r="O357" s="13" t="str">
        <f t="shared" si="38"/>
        <v>ЭТАЖ ЗАДАН ЧИСЛОМ</v>
      </c>
      <c r="P357" s="13" t="str">
        <f t="shared" si="39"/>
        <v>ЭТАЖ ЗАДАН ЧИСЛОМ</v>
      </c>
      <c r="Q357" s="13" t="str">
        <f t="shared" si="40"/>
        <v>ГОТОВ</v>
      </c>
      <c r="R357" s="13">
        <f>IFERROR(VLOOKUP(P357,Лист1!A$1:B$20,2,FALSE),0)</f>
        <v>784</v>
      </c>
      <c r="S357" s="13">
        <f t="shared" si="41"/>
        <v>1</v>
      </c>
    </row>
    <row r="358" spans="1:19" x14ac:dyDescent="0.25">
      <c r="A358" t="s">
        <v>1555</v>
      </c>
      <c r="B358" s="4" t="s">
        <v>1190</v>
      </c>
      <c r="C358" s="3" t="s">
        <v>5</v>
      </c>
      <c r="E358" s="3" t="s">
        <v>5</v>
      </c>
      <c r="F358" t="s">
        <v>1045</v>
      </c>
      <c r="G358" s="3" t="s">
        <v>1198</v>
      </c>
      <c r="H358" s="7" t="s">
        <v>1184</v>
      </c>
      <c r="I358" s="3" t="str">
        <f>IFERROR(VLOOKUP(C358,'Справочник соответствий'!A$2:D$2996,2,FALSE),IF(VALUE(C358)=0,1,VLOOKUP(C358,'Справочник соответствий'!A$2:D$2996,2,FALSE)))</f>
        <v>1</v>
      </c>
      <c r="J358" s="3">
        <f>IFERROR(VLOOKUP(D358,'Справочник соответствий'!A$2:D$2996,2,FALSE),IF(VALUE(D358)=0,0,VLOOKUP(D358,'Справочник соответствий'!A$2:D$2996,2,FALSE)))</f>
        <v>0</v>
      </c>
      <c r="K358" s="3" t="str">
        <f t="shared" si="35"/>
        <v>1</v>
      </c>
      <c r="L358" s="13" t="str">
        <f>IFERROR(VLOOKUP(C358,'Справочник соответствий'!A$2:D$2996,3,FALSE),IF(VALUE(C358)=0,"ЭТАЖ НЕ ОПРЕДЕЛЕН. ПРИНЯТ ПО ДОПУЩЕНИЮ 1",VLOOKUP(C358,'Справочник соответствий'!A$2:D$2996,3,FALSE)))</f>
        <v>ЭТАЖ ЗАДАН ЧИСЛОМ</v>
      </c>
      <c r="M358" s="13" t="b">
        <f t="shared" si="36"/>
        <v>1</v>
      </c>
      <c r="N358" s="13">
        <f t="shared" si="37"/>
        <v>1</v>
      </c>
      <c r="O358" s="13" t="str">
        <f t="shared" si="38"/>
        <v>ЭТАЖ ЗАДАН ЧИСЛОМ</v>
      </c>
      <c r="P358" s="13" t="str">
        <f t="shared" si="39"/>
        <v>ЭТАЖ ЗАДАН ЧИСЛОМ</v>
      </c>
      <c r="Q358" s="13" t="str">
        <f t="shared" si="40"/>
        <v>ГОТОВ</v>
      </c>
      <c r="R358" s="13">
        <f>IFERROR(VLOOKUP(P358,Лист1!A$1:B$20,2,FALSE),0)</f>
        <v>784</v>
      </c>
      <c r="S358" s="13">
        <f t="shared" si="41"/>
        <v>1</v>
      </c>
    </row>
    <row r="359" spans="1:19" x14ac:dyDescent="0.25">
      <c r="A359" t="s">
        <v>1556</v>
      </c>
      <c r="B359" s="4" t="s">
        <v>1182</v>
      </c>
      <c r="C359" s="3" t="s">
        <v>1557</v>
      </c>
      <c r="E359" s="3" t="s">
        <v>5</v>
      </c>
      <c r="F359" t="s">
        <v>1045</v>
      </c>
      <c r="G359" s="3" t="s">
        <v>1191</v>
      </c>
      <c r="H359" s="7" t="s">
        <v>1184</v>
      </c>
      <c r="I359" s="3" t="str">
        <f>IFERROR(VLOOKUP(C359,'Справочник соответствий'!A$2:D$2996,2,FALSE),IF(VALUE(C359)=0,1,VLOOKUP(C359,'Справочник соответствий'!A$2:D$2996,2,FALSE)))</f>
        <v>1</v>
      </c>
      <c r="J359" s="3">
        <f>IFERROR(VLOOKUP(D359,'Справочник соответствий'!A$2:D$2996,2,FALSE),IF(VALUE(D359)=0,0,VLOOKUP(D359,'Справочник соответствий'!A$2:D$2996,2,FALSE)))</f>
        <v>0</v>
      </c>
      <c r="K359" s="3" t="str">
        <f t="shared" si="35"/>
        <v>1</v>
      </c>
      <c r="L359" s="13" t="str">
        <f>IFERROR(VLOOKUP(C359,'Справочник соответствий'!A$2:D$2996,3,FALSE),IF(VALUE(C359)=0,"ЭТАЖ НЕ ОПРЕДЕЛЕН. ПРИНЯТ ПО ДОПУЩЕНИЮ 1",VLOOKUP(C359,'Справочник соответствий'!A$2:D$2996,3,FALSE)))</f>
        <v>СПРАВОЧНИК ЭТАЖНОСТИ</v>
      </c>
      <c r="M359" s="13" t="b">
        <f t="shared" si="36"/>
        <v>1</v>
      </c>
      <c r="N359" s="13">
        <f t="shared" si="37"/>
        <v>1</v>
      </c>
      <c r="O359" s="13" t="str">
        <f t="shared" si="38"/>
        <v>СПРАВОЧНИК ЭТАЖНОСТИ</v>
      </c>
      <c r="P359" s="13" t="str">
        <f t="shared" si="39"/>
        <v>СПРАВОЧНИК ЭТАЖНОСТИ</v>
      </c>
      <c r="Q359" s="13" t="str">
        <f t="shared" si="40"/>
        <v>ГОТОВ</v>
      </c>
      <c r="R359" s="13">
        <f>IFERROR(VLOOKUP(P359,Лист1!A$1:B$20,2,FALSE),0)</f>
        <v>785</v>
      </c>
      <c r="S359" s="13">
        <f t="shared" si="41"/>
        <v>1</v>
      </c>
    </row>
    <row r="360" spans="1:19" x14ac:dyDescent="0.25">
      <c r="A360" t="s">
        <v>1558</v>
      </c>
      <c r="B360" s="4" t="s">
        <v>1182</v>
      </c>
      <c r="C360" s="3" t="s">
        <v>5</v>
      </c>
      <c r="E360" s="3" t="s">
        <v>5</v>
      </c>
      <c r="F360" t="s">
        <v>1038</v>
      </c>
      <c r="G360" s="3" t="s">
        <v>1191</v>
      </c>
      <c r="H360" s="7" t="s">
        <v>1184</v>
      </c>
      <c r="I360" s="3" t="str">
        <f>IFERROR(VLOOKUP(C360,'Справочник соответствий'!A$2:D$2996,2,FALSE),IF(VALUE(C360)=0,1,VLOOKUP(C360,'Справочник соответствий'!A$2:D$2996,2,FALSE)))</f>
        <v>1</v>
      </c>
      <c r="J360" s="3">
        <f>IFERROR(VLOOKUP(D360,'Справочник соответствий'!A$2:D$2996,2,FALSE),IF(VALUE(D360)=0,0,VLOOKUP(D360,'Справочник соответствий'!A$2:D$2996,2,FALSE)))</f>
        <v>0</v>
      </c>
      <c r="K360" s="3" t="str">
        <f t="shared" si="35"/>
        <v>1</v>
      </c>
      <c r="L360" s="13" t="str">
        <f>IFERROR(VLOOKUP(C360,'Справочник соответствий'!A$2:D$2996,3,FALSE),IF(VALUE(C360)=0,"ЭТАЖ НЕ ОПРЕДЕЛЕН. ПРИНЯТ ПО ДОПУЩЕНИЮ 1",VLOOKUP(C360,'Справочник соответствий'!A$2:D$2996,3,FALSE)))</f>
        <v>ЭТАЖ ЗАДАН ЧИСЛОМ</v>
      </c>
      <c r="M360" s="13" t="b">
        <f t="shared" si="36"/>
        <v>1</v>
      </c>
      <c r="N360" s="13">
        <f t="shared" si="37"/>
        <v>1</v>
      </c>
      <c r="O360" s="13" t="str">
        <f t="shared" si="38"/>
        <v>ЭТАЖ ЗАДАН ЧИСЛОМ</v>
      </c>
      <c r="P360" s="13" t="str">
        <f t="shared" si="39"/>
        <v>ЭТАЖ ЗАДАН ЧИСЛОМ</v>
      </c>
      <c r="Q360" s="13" t="str">
        <f t="shared" si="40"/>
        <v>ГОТОВ</v>
      </c>
      <c r="R360" s="13">
        <f>IFERROR(VLOOKUP(P360,Лист1!A$1:B$20,2,FALSE),0)</f>
        <v>784</v>
      </c>
      <c r="S360" s="13">
        <f t="shared" si="41"/>
        <v>1</v>
      </c>
    </row>
    <row r="361" spans="1:19" x14ac:dyDescent="0.25">
      <c r="A361" t="s">
        <v>1559</v>
      </c>
      <c r="B361" s="4" t="s">
        <v>1190</v>
      </c>
      <c r="C361" s="3" t="s">
        <v>5</v>
      </c>
      <c r="G361" s="3" t="s">
        <v>1187</v>
      </c>
      <c r="I361" s="3" t="str">
        <f>IFERROR(VLOOKUP(C361,'Справочник соответствий'!A$2:D$2996,2,FALSE),IF(VALUE(C361)=0,1,VLOOKUP(C361,'Справочник соответствий'!A$2:D$2996,2,FALSE)))</f>
        <v>1</v>
      </c>
      <c r="J361" s="3">
        <f>IFERROR(VLOOKUP(D361,'Справочник соответствий'!A$2:D$2996,2,FALSE),IF(VALUE(D361)=0,0,VLOOKUP(D361,'Справочник соответствий'!A$2:D$2996,2,FALSE)))</f>
        <v>0</v>
      </c>
      <c r="K361" s="3" t="str">
        <f t="shared" si="35"/>
        <v>1</v>
      </c>
      <c r="L361" s="13" t="str">
        <f>IFERROR(VLOOKUP(C361,'Справочник соответствий'!A$2:D$2996,3,FALSE),IF(VALUE(C361)=0,"ЭТАЖ НЕ ОПРЕДЕЛЕН. ПРИНЯТ ПО ДОПУЩЕНИЮ 1",VLOOKUP(C361,'Справочник соответствий'!A$2:D$2996,3,FALSE)))</f>
        <v>ЭТАЖ ЗАДАН ЧИСЛОМ</v>
      </c>
      <c r="M361" s="13" t="b">
        <f t="shared" si="36"/>
        <v>0</v>
      </c>
      <c r="N361" s="13">
        <f t="shared" si="37"/>
        <v>1</v>
      </c>
      <c r="O361" s="13" t="str">
        <f t="shared" si="38"/>
        <v>ЭТАЖ ЗАДАН ЧИСЛОМ</v>
      </c>
      <c r="P361" s="13" t="str">
        <f t="shared" si="39"/>
        <v>ЭТАЖ ЗАДАН ЧИСЛОМ</v>
      </c>
      <c r="Q361" s="13" t="str">
        <f t="shared" si="40"/>
        <v>ГОТОВ_ИЗМЕНЕН</v>
      </c>
      <c r="R361" s="13">
        <f>IFERROR(VLOOKUP(P361,Лист1!A$1:B$20,2,FALSE),0)</f>
        <v>784</v>
      </c>
      <c r="S361" s="13">
        <f t="shared" si="41"/>
        <v>0</v>
      </c>
    </row>
    <row r="362" spans="1:19" x14ac:dyDescent="0.25">
      <c r="A362" t="s">
        <v>1560</v>
      </c>
      <c r="B362" s="4" t="s">
        <v>1190</v>
      </c>
      <c r="C362" s="3" t="s">
        <v>5</v>
      </c>
      <c r="G362" s="3" t="s">
        <v>1187</v>
      </c>
      <c r="I362" s="3" t="str">
        <f>IFERROR(VLOOKUP(C362,'Справочник соответствий'!A$2:D$2996,2,FALSE),IF(VALUE(C362)=0,1,VLOOKUP(C362,'Справочник соответствий'!A$2:D$2996,2,FALSE)))</f>
        <v>1</v>
      </c>
      <c r="J362" s="3">
        <f>IFERROR(VLOOKUP(D362,'Справочник соответствий'!A$2:D$2996,2,FALSE),IF(VALUE(D362)=0,0,VLOOKUP(D362,'Справочник соответствий'!A$2:D$2996,2,FALSE)))</f>
        <v>0</v>
      </c>
      <c r="K362" s="3" t="str">
        <f t="shared" si="35"/>
        <v>1</v>
      </c>
      <c r="L362" s="13" t="str">
        <f>IFERROR(VLOOKUP(C362,'Справочник соответствий'!A$2:D$2996,3,FALSE),IF(VALUE(C362)=0,"ЭТАЖ НЕ ОПРЕДЕЛЕН. ПРИНЯТ ПО ДОПУЩЕНИЮ 1",VLOOKUP(C362,'Справочник соответствий'!A$2:D$2996,3,FALSE)))</f>
        <v>ЭТАЖ ЗАДАН ЧИСЛОМ</v>
      </c>
      <c r="M362" s="13" t="b">
        <f t="shared" si="36"/>
        <v>0</v>
      </c>
      <c r="N362" s="13">
        <f t="shared" si="37"/>
        <v>1</v>
      </c>
      <c r="O362" s="13" t="str">
        <f t="shared" si="38"/>
        <v>ЭТАЖ ЗАДАН ЧИСЛОМ</v>
      </c>
      <c r="P362" s="13" t="str">
        <f t="shared" si="39"/>
        <v>ЭТАЖ ЗАДАН ЧИСЛОМ</v>
      </c>
      <c r="Q362" s="13" t="str">
        <f t="shared" si="40"/>
        <v>ГОТОВ_ИЗМЕНЕН</v>
      </c>
      <c r="R362" s="13">
        <f>IFERROR(VLOOKUP(P362,Лист1!A$1:B$20,2,FALSE),0)</f>
        <v>784</v>
      </c>
      <c r="S362" s="13">
        <f t="shared" si="41"/>
        <v>0</v>
      </c>
    </row>
    <row r="363" spans="1:19" x14ac:dyDescent="0.25">
      <c r="A363" t="s">
        <v>1561</v>
      </c>
      <c r="B363" s="4" t="s">
        <v>1190</v>
      </c>
      <c r="C363" s="3" t="s">
        <v>7</v>
      </c>
      <c r="G363" s="3" t="s">
        <v>1187</v>
      </c>
      <c r="I363" s="3" t="str">
        <f>IFERROR(VLOOKUP(C363,'Справочник соответствий'!A$2:D$2996,2,FALSE),IF(VALUE(C363)=0,1,VLOOKUP(C363,'Справочник соответствий'!A$2:D$2996,2,FALSE)))</f>
        <v>2</v>
      </c>
      <c r="J363" s="3">
        <f>IFERROR(VLOOKUP(D363,'Справочник соответствий'!A$2:D$2996,2,FALSE),IF(VALUE(D363)=0,0,VLOOKUP(D363,'Справочник соответствий'!A$2:D$2996,2,FALSE)))</f>
        <v>0</v>
      </c>
      <c r="K363" s="3" t="str">
        <f t="shared" si="35"/>
        <v>2</v>
      </c>
      <c r="L363" s="13" t="str">
        <f>IFERROR(VLOOKUP(C363,'Справочник соответствий'!A$2:D$2996,3,FALSE),IF(VALUE(C363)=0,"ЭТАЖ НЕ ОПРЕДЕЛЕН. ПРИНЯТ ПО ДОПУЩЕНИЮ 1",VLOOKUP(C363,'Справочник соответствий'!A$2:D$2996,3,FALSE)))</f>
        <v>ЭТАЖ ЗАДАН ЧИСЛОМ</v>
      </c>
      <c r="M363" s="13" t="b">
        <f t="shared" si="36"/>
        <v>0</v>
      </c>
      <c r="N363" s="13">
        <f t="shared" si="37"/>
        <v>2</v>
      </c>
      <c r="O363" s="13" t="str">
        <f t="shared" si="38"/>
        <v>ЭТАЖ ЗАДАН ЧИСЛОМ</v>
      </c>
      <c r="P363" s="13" t="str">
        <f t="shared" si="39"/>
        <v>ЭТАЖ ЗАДАН ЧИСЛОМ</v>
      </c>
      <c r="Q363" s="13" t="str">
        <f t="shared" si="40"/>
        <v>ГОТОВ_ИЗМЕНЕН</v>
      </c>
      <c r="R363" s="13">
        <f>IFERROR(VLOOKUP(P363,Лист1!A$1:B$20,2,FALSE),0)</f>
        <v>784</v>
      </c>
      <c r="S363" s="13">
        <f t="shared" si="41"/>
        <v>0</v>
      </c>
    </row>
    <row r="364" spans="1:19" x14ac:dyDescent="0.25">
      <c r="A364" t="s">
        <v>1562</v>
      </c>
      <c r="B364" s="4" t="s">
        <v>1190</v>
      </c>
      <c r="C364" s="3" t="s">
        <v>5</v>
      </c>
      <c r="G364" s="3" t="s">
        <v>1187</v>
      </c>
      <c r="I364" s="3" t="str">
        <f>IFERROR(VLOOKUP(C364,'Справочник соответствий'!A$2:D$2996,2,FALSE),IF(VALUE(C364)=0,1,VLOOKUP(C364,'Справочник соответствий'!A$2:D$2996,2,FALSE)))</f>
        <v>1</v>
      </c>
      <c r="J364" s="3">
        <f>IFERROR(VLOOKUP(D364,'Справочник соответствий'!A$2:D$2996,2,FALSE),IF(VALUE(D364)=0,0,VLOOKUP(D364,'Справочник соответствий'!A$2:D$2996,2,FALSE)))</f>
        <v>0</v>
      </c>
      <c r="K364" s="3" t="str">
        <f t="shared" si="35"/>
        <v>1</v>
      </c>
      <c r="L364" s="13" t="str">
        <f>IFERROR(VLOOKUP(C364,'Справочник соответствий'!A$2:D$2996,3,FALSE),IF(VALUE(C364)=0,"ЭТАЖ НЕ ОПРЕДЕЛЕН. ПРИНЯТ ПО ДОПУЩЕНИЮ 1",VLOOKUP(C364,'Справочник соответствий'!A$2:D$2996,3,FALSE)))</f>
        <v>ЭТАЖ ЗАДАН ЧИСЛОМ</v>
      </c>
      <c r="M364" s="13" t="b">
        <f t="shared" si="36"/>
        <v>0</v>
      </c>
      <c r="N364" s="13">
        <f t="shared" si="37"/>
        <v>1</v>
      </c>
      <c r="O364" s="13" t="str">
        <f t="shared" si="38"/>
        <v>ЭТАЖ ЗАДАН ЧИСЛОМ</v>
      </c>
      <c r="P364" s="13" t="str">
        <f t="shared" si="39"/>
        <v>ЭТАЖ ЗАДАН ЧИСЛОМ</v>
      </c>
      <c r="Q364" s="13" t="str">
        <f t="shared" si="40"/>
        <v>ГОТОВ_ИЗМЕНЕН</v>
      </c>
      <c r="R364" s="13">
        <f>IFERROR(VLOOKUP(P364,Лист1!A$1:B$20,2,FALSE),0)</f>
        <v>784</v>
      </c>
      <c r="S364" s="13">
        <f t="shared" si="41"/>
        <v>0</v>
      </c>
    </row>
    <row r="365" spans="1:19" x14ac:dyDescent="0.25">
      <c r="A365" t="s">
        <v>1563</v>
      </c>
      <c r="B365" s="4" t="s">
        <v>1190</v>
      </c>
      <c r="C365" s="3" t="s">
        <v>5</v>
      </c>
      <c r="G365" s="3" t="s">
        <v>1187</v>
      </c>
      <c r="I365" s="3" t="str">
        <f>IFERROR(VLOOKUP(C365,'Справочник соответствий'!A$2:D$2996,2,FALSE),IF(VALUE(C365)=0,1,VLOOKUP(C365,'Справочник соответствий'!A$2:D$2996,2,FALSE)))</f>
        <v>1</v>
      </c>
      <c r="J365" s="3">
        <f>IFERROR(VLOOKUP(D365,'Справочник соответствий'!A$2:D$2996,2,FALSE),IF(VALUE(D365)=0,0,VLOOKUP(D365,'Справочник соответствий'!A$2:D$2996,2,FALSE)))</f>
        <v>0</v>
      </c>
      <c r="K365" s="3" t="str">
        <f t="shared" si="35"/>
        <v>1</v>
      </c>
      <c r="L365" s="13" t="str">
        <f>IFERROR(VLOOKUP(C365,'Справочник соответствий'!A$2:D$2996,3,FALSE),IF(VALUE(C365)=0,"ЭТАЖ НЕ ОПРЕДЕЛЕН. ПРИНЯТ ПО ДОПУЩЕНИЮ 1",VLOOKUP(C365,'Справочник соответствий'!A$2:D$2996,3,FALSE)))</f>
        <v>ЭТАЖ ЗАДАН ЧИСЛОМ</v>
      </c>
      <c r="M365" s="13" t="b">
        <f t="shared" si="36"/>
        <v>0</v>
      </c>
      <c r="N365" s="13">
        <f t="shared" si="37"/>
        <v>1</v>
      </c>
      <c r="O365" s="13" t="str">
        <f t="shared" si="38"/>
        <v>ЭТАЖ ЗАДАН ЧИСЛОМ</v>
      </c>
      <c r="P365" s="13" t="str">
        <f t="shared" si="39"/>
        <v>ЭТАЖ ЗАДАН ЧИСЛОМ</v>
      </c>
      <c r="Q365" s="13" t="str">
        <f t="shared" si="40"/>
        <v>ГОТОВ_ИЗМЕНЕН</v>
      </c>
      <c r="R365" s="13">
        <f>IFERROR(VLOOKUP(P365,Лист1!A$1:B$20,2,FALSE),0)</f>
        <v>784</v>
      </c>
      <c r="S365" s="13">
        <f t="shared" si="41"/>
        <v>0</v>
      </c>
    </row>
    <row r="366" spans="1:19" x14ac:dyDescent="0.25">
      <c r="A366" t="s">
        <v>1564</v>
      </c>
      <c r="B366" s="4" t="s">
        <v>1182</v>
      </c>
      <c r="C366" s="3" t="s">
        <v>5</v>
      </c>
      <c r="G366" s="3" t="s">
        <v>1191</v>
      </c>
      <c r="I366" s="3" t="str">
        <f>IFERROR(VLOOKUP(C366,'Справочник соответствий'!A$2:D$2996,2,FALSE),IF(VALUE(C366)=0,1,VLOOKUP(C366,'Справочник соответствий'!A$2:D$2996,2,FALSE)))</f>
        <v>1</v>
      </c>
      <c r="J366" s="3">
        <f>IFERROR(VLOOKUP(D366,'Справочник соответствий'!A$2:D$2996,2,FALSE),IF(VALUE(D366)=0,0,VLOOKUP(D366,'Справочник соответствий'!A$2:D$2996,2,FALSE)))</f>
        <v>0</v>
      </c>
      <c r="K366" s="3" t="str">
        <f t="shared" si="35"/>
        <v>1</v>
      </c>
      <c r="L366" s="13" t="str">
        <f>IFERROR(VLOOKUP(C366,'Справочник соответствий'!A$2:D$2996,3,FALSE),IF(VALUE(C366)=0,"ЭТАЖ НЕ ОПРЕДЕЛЕН. ПРИНЯТ ПО ДОПУЩЕНИЮ 1",VLOOKUP(C366,'Справочник соответствий'!A$2:D$2996,3,FALSE)))</f>
        <v>ЭТАЖ ЗАДАН ЧИСЛОМ</v>
      </c>
      <c r="M366" s="13" t="b">
        <f t="shared" si="36"/>
        <v>0</v>
      </c>
      <c r="N366" s="13">
        <f t="shared" si="37"/>
        <v>1</v>
      </c>
      <c r="O366" s="13" t="str">
        <f t="shared" si="38"/>
        <v>ЭТАЖ ЗАДАН ЧИСЛОМ</v>
      </c>
      <c r="P366" s="13" t="str">
        <f t="shared" si="39"/>
        <v>ЭТАЖ ЗАДАН ЧИСЛОМ</v>
      </c>
      <c r="Q366" s="13" t="str">
        <f t="shared" si="40"/>
        <v>ГОТОВ_ИЗМЕНЕН</v>
      </c>
      <c r="R366" s="13">
        <f>IFERROR(VLOOKUP(P366,Лист1!A$1:B$20,2,FALSE),0)</f>
        <v>784</v>
      </c>
      <c r="S366" s="13">
        <f t="shared" si="41"/>
        <v>0</v>
      </c>
    </row>
    <row r="367" spans="1:19" x14ac:dyDescent="0.25">
      <c r="A367" t="s">
        <v>1565</v>
      </c>
      <c r="B367" s="4" t="s">
        <v>1190</v>
      </c>
      <c r="C367" s="3" t="s">
        <v>8</v>
      </c>
      <c r="D367" s="3" t="s">
        <v>5</v>
      </c>
      <c r="G367" s="3" t="s">
        <v>1191</v>
      </c>
      <c r="I367" s="3" t="str">
        <f>IFERROR(VLOOKUP(C367,'Справочник соответствий'!A$2:D$2996,2,FALSE),IF(VALUE(C367)=0,1,VLOOKUP(C367,'Справочник соответствий'!A$2:D$2996,2,FALSE)))</f>
        <v>3</v>
      </c>
      <c r="J367" s="3" t="str">
        <f>IFERROR(VLOOKUP(D367,'Справочник соответствий'!A$2:D$2996,2,FALSE),IF(VALUE(D367)=0,0,VLOOKUP(D367,'Справочник соответствий'!A$2:D$2996,2,FALSE)))</f>
        <v>1</v>
      </c>
      <c r="K367" s="3" t="str">
        <f t="shared" si="35"/>
        <v>3</v>
      </c>
      <c r="L367" s="13" t="str">
        <f>IFERROR(VLOOKUP(C367,'Справочник соответствий'!A$2:D$2996,3,FALSE),IF(VALUE(C367)=0,"ЭТАЖ НЕ ОПРЕДЕЛЕН. ПРИНЯТ ПО ДОПУЩЕНИЮ 1",VLOOKUP(C367,'Справочник соответствий'!A$2:D$2996,3,FALSE)))</f>
        <v>ЭТАЖ ЗАДАН ЧИСЛОМ</v>
      </c>
      <c r="M367" s="13" t="b">
        <f t="shared" si="36"/>
        <v>0</v>
      </c>
      <c r="N367" s="13">
        <f t="shared" si="37"/>
        <v>3</v>
      </c>
      <c r="O367" s="13" t="str">
        <f t="shared" si="38"/>
        <v>ЭТАЖ ЗАДАН ЧИСЛОМ</v>
      </c>
      <c r="P367" s="13" t="str">
        <f t="shared" si="39"/>
        <v>ЭТАЖ ЗАДАН ЧИСЛОМ</v>
      </c>
      <c r="Q367" s="13" t="str">
        <f t="shared" si="40"/>
        <v>ГОТОВ_ИЗМЕНЕН</v>
      </c>
      <c r="R367" s="13">
        <f>IFERROR(VLOOKUP(P367,Лист1!A$1:B$20,2,FALSE),0)</f>
        <v>784</v>
      </c>
      <c r="S367" s="13">
        <f t="shared" si="41"/>
        <v>0</v>
      </c>
    </row>
    <row r="368" spans="1:19" x14ac:dyDescent="0.25">
      <c r="A368" t="s">
        <v>1566</v>
      </c>
      <c r="B368" s="4" t="s">
        <v>1190</v>
      </c>
      <c r="C368" s="3" t="s">
        <v>5</v>
      </c>
      <c r="G368" s="3" t="s">
        <v>1191</v>
      </c>
      <c r="I368" s="3" t="str">
        <f>IFERROR(VLOOKUP(C368,'Справочник соответствий'!A$2:D$2996,2,FALSE),IF(VALUE(C368)=0,1,VLOOKUP(C368,'Справочник соответствий'!A$2:D$2996,2,FALSE)))</f>
        <v>1</v>
      </c>
      <c r="J368" s="3">
        <f>IFERROR(VLOOKUP(D368,'Справочник соответствий'!A$2:D$2996,2,FALSE),IF(VALUE(D368)=0,0,VLOOKUP(D368,'Справочник соответствий'!A$2:D$2996,2,FALSE)))</f>
        <v>0</v>
      </c>
      <c r="K368" s="3" t="str">
        <f t="shared" si="35"/>
        <v>1</v>
      </c>
      <c r="L368" s="13" t="str">
        <f>IFERROR(VLOOKUP(C368,'Справочник соответствий'!A$2:D$2996,3,FALSE),IF(VALUE(C368)=0,"ЭТАЖ НЕ ОПРЕДЕЛЕН. ПРИНЯТ ПО ДОПУЩЕНИЮ 1",VLOOKUP(C368,'Справочник соответствий'!A$2:D$2996,3,FALSE)))</f>
        <v>ЭТАЖ ЗАДАН ЧИСЛОМ</v>
      </c>
      <c r="M368" s="13" t="b">
        <f t="shared" si="36"/>
        <v>0</v>
      </c>
      <c r="N368" s="13">
        <f t="shared" si="37"/>
        <v>1</v>
      </c>
      <c r="O368" s="13" t="str">
        <f t="shared" si="38"/>
        <v>ЭТАЖ ЗАДАН ЧИСЛОМ</v>
      </c>
      <c r="P368" s="13" t="str">
        <f t="shared" si="39"/>
        <v>ЭТАЖ ЗАДАН ЧИСЛОМ</v>
      </c>
      <c r="Q368" s="13" t="str">
        <f t="shared" si="40"/>
        <v>ГОТОВ_ИЗМЕНЕН</v>
      </c>
      <c r="R368" s="13">
        <f>IFERROR(VLOOKUP(P368,Лист1!A$1:B$20,2,FALSE),0)</f>
        <v>784</v>
      </c>
      <c r="S368" s="13">
        <f t="shared" si="41"/>
        <v>0</v>
      </c>
    </row>
    <row r="369" spans="1:19" x14ac:dyDescent="0.25">
      <c r="A369" t="s">
        <v>1567</v>
      </c>
      <c r="B369" s="4" t="s">
        <v>1182</v>
      </c>
      <c r="C369" s="3" t="s">
        <v>5</v>
      </c>
      <c r="G369" s="3" t="s">
        <v>1191</v>
      </c>
      <c r="I369" s="3" t="str">
        <f>IFERROR(VLOOKUP(C369,'Справочник соответствий'!A$2:D$2996,2,FALSE),IF(VALUE(C369)=0,1,VLOOKUP(C369,'Справочник соответствий'!A$2:D$2996,2,FALSE)))</f>
        <v>1</v>
      </c>
      <c r="J369" s="3">
        <f>IFERROR(VLOOKUP(D369,'Справочник соответствий'!A$2:D$2996,2,FALSE),IF(VALUE(D369)=0,0,VLOOKUP(D369,'Справочник соответствий'!A$2:D$2996,2,FALSE)))</f>
        <v>0</v>
      </c>
      <c r="K369" s="3" t="str">
        <f t="shared" si="35"/>
        <v>1</v>
      </c>
      <c r="L369" s="13" t="str">
        <f>IFERROR(VLOOKUP(C369,'Справочник соответствий'!A$2:D$2996,3,FALSE),IF(VALUE(C369)=0,"ЭТАЖ НЕ ОПРЕДЕЛЕН. ПРИНЯТ ПО ДОПУЩЕНИЮ 1",VLOOKUP(C369,'Справочник соответствий'!A$2:D$2996,3,FALSE)))</f>
        <v>ЭТАЖ ЗАДАН ЧИСЛОМ</v>
      </c>
      <c r="M369" s="13" t="b">
        <f t="shared" si="36"/>
        <v>0</v>
      </c>
      <c r="N369" s="13">
        <f t="shared" si="37"/>
        <v>1</v>
      </c>
      <c r="O369" s="13" t="str">
        <f t="shared" si="38"/>
        <v>ЭТАЖ ЗАДАН ЧИСЛОМ</v>
      </c>
      <c r="P369" s="13" t="str">
        <f t="shared" si="39"/>
        <v>ЭТАЖ ЗАДАН ЧИСЛОМ</v>
      </c>
      <c r="Q369" s="13" t="str">
        <f t="shared" si="40"/>
        <v>ГОТОВ_ИЗМЕНЕН</v>
      </c>
      <c r="R369" s="13">
        <f>IFERROR(VLOOKUP(P369,Лист1!A$1:B$20,2,FALSE),0)</f>
        <v>784</v>
      </c>
      <c r="S369" s="13">
        <f t="shared" si="41"/>
        <v>0</v>
      </c>
    </row>
    <row r="370" spans="1:19" x14ac:dyDescent="0.25">
      <c r="A370" t="s">
        <v>1568</v>
      </c>
      <c r="B370" s="4" t="s">
        <v>1190</v>
      </c>
      <c r="C370" s="3" t="s">
        <v>5</v>
      </c>
      <c r="G370" s="3" t="s">
        <v>1191</v>
      </c>
      <c r="I370" s="3" t="str">
        <f>IFERROR(VLOOKUP(C370,'Справочник соответствий'!A$2:D$2996,2,FALSE),IF(VALUE(C370)=0,1,VLOOKUP(C370,'Справочник соответствий'!A$2:D$2996,2,FALSE)))</f>
        <v>1</v>
      </c>
      <c r="J370" s="3">
        <f>IFERROR(VLOOKUP(D370,'Справочник соответствий'!A$2:D$2996,2,FALSE),IF(VALUE(D370)=0,0,VLOOKUP(D370,'Справочник соответствий'!A$2:D$2996,2,FALSE)))</f>
        <v>0</v>
      </c>
      <c r="K370" s="3" t="str">
        <f t="shared" si="35"/>
        <v>1</v>
      </c>
      <c r="L370" s="13" t="str">
        <f>IFERROR(VLOOKUP(C370,'Справочник соответствий'!A$2:D$2996,3,FALSE),IF(VALUE(C370)=0,"ЭТАЖ НЕ ОПРЕДЕЛЕН. ПРИНЯТ ПО ДОПУЩЕНИЮ 1",VLOOKUP(C370,'Справочник соответствий'!A$2:D$2996,3,FALSE)))</f>
        <v>ЭТАЖ ЗАДАН ЧИСЛОМ</v>
      </c>
      <c r="M370" s="13" t="b">
        <f t="shared" si="36"/>
        <v>0</v>
      </c>
      <c r="N370" s="13">
        <f t="shared" si="37"/>
        <v>1</v>
      </c>
      <c r="O370" s="13" t="str">
        <f t="shared" si="38"/>
        <v>ЭТАЖ ЗАДАН ЧИСЛОМ</v>
      </c>
      <c r="P370" s="13" t="str">
        <f t="shared" si="39"/>
        <v>ЭТАЖ ЗАДАН ЧИСЛОМ</v>
      </c>
      <c r="Q370" s="13" t="str">
        <f t="shared" si="40"/>
        <v>ГОТОВ_ИЗМЕНЕН</v>
      </c>
      <c r="R370" s="13">
        <f>IFERROR(VLOOKUP(P370,Лист1!A$1:B$20,2,FALSE),0)</f>
        <v>784</v>
      </c>
      <c r="S370" s="13">
        <f t="shared" si="41"/>
        <v>0</v>
      </c>
    </row>
    <row r="371" spans="1:19" x14ac:dyDescent="0.25">
      <c r="A371" t="s">
        <v>1569</v>
      </c>
      <c r="B371" s="4" t="s">
        <v>1182</v>
      </c>
      <c r="C371" s="3" t="s">
        <v>7</v>
      </c>
      <c r="G371" s="3" t="s">
        <v>1191</v>
      </c>
      <c r="I371" s="3" t="str">
        <f>IFERROR(VLOOKUP(C371,'Справочник соответствий'!A$2:D$2996,2,FALSE),IF(VALUE(C371)=0,1,VLOOKUP(C371,'Справочник соответствий'!A$2:D$2996,2,FALSE)))</f>
        <v>2</v>
      </c>
      <c r="J371" s="3">
        <f>IFERROR(VLOOKUP(D371,'Справочник соответствий'!A$2:D$2996,2,FALSE),IF(VALUE(D371)=0,0,VLOOKUP(D371,'Справочник соответствий'!A$2:D$2996,2,FALSE)))</f>
        <v>0</v>
      </c>
      <c r="K371" s="3" t="str">
        <f t="shared" si="35"/>
        <v>2</v>
      </c>
      <c r="L371" s="13" t="str">
        <f>IFERROR(VLOOKUP(C371,'Справочник соответствий'!A$2:D$2996,3,FALSE),IF(VALUE(C371)=0,"ЭТАЖ НЕ ОПРЕДЕЛЕН. ПРИНЯТ ПО ДОПУЩЕНИЮ 1",VLOOKUP(C371,'Справочник соответствий'!A$2:D$2996,3,FALSE)))</f>
        <v>ЭТАЖ ЗАДАН ЧИСЛОМ</v>
      </c>
      <c r="M371" s="13" t="b">
        <f t="shared" si="36"/>
        <v>0</v>
      </c>
      <c r="N371" s="13">
        <f t="shared" si="37"/>
        <v>2</v>
      </c>
      <c r="O371" s="13" t="str">
        <f t="shared" si="38"/>
        <v>ЭТАЖ ЗАДАН ЧИСЛОМ</v>
      </c>
      <c r="P371" s="13" t="str">
        <f t="shared" si="39"/>
        <v>ЭТАЖ ЗАДАН ЧИСЛОМ</v>
      </c>
      <c r="Q371" s="13" t="str">
        <f t="shared" si="40"/>
        <v>ГОТОВ_ИЗМЕНЕН</v>
      </c>
      <c r="R371" s="13">
        <f>IFERROR(VLOOKUP(P371,Лист1!A$1:B$20,2,FALSE),0)</f>
        <v>784</v>
      </c>
      <c r="S371" s="13">
        <f t="shared" si="41"/>
        <v>0</v>
      </c>
    </row>
    <row r="372" spans="1:19" x14ac:dyDescent="0.25">
      <c r="A372" t="s">
        <v>1570</v>
      </c>
      <c r="B372" s="4" t="s">
        <v>1190</v>
      </c>
      <c r="C372" s="3" t="s">
        <v>7</v>
      </c>
      <c r="G372" s="3" t="s">
        <v>1183</v>
      </c>
      <c r="I372" s="3" t="str">
        <f>IFERROR(VLOOKUP(C372,'Справочник соответствий'!A$2:D$2996,2,FALSE),IF(VALUE(C372)=0,1,VLOOKUP(C372,'Справочник соответствий'!A$2:D$2996,2,FALSE)))</f>
        <v>2</v>
      </c>
      <c r="J372" s="3">
        <f>IFERROR(VLOOKUP(D372,'Справочник соответствий'!A$2:D$2996,2,FALSE),IF(VALUE(D372)=0,0,VLOOKUP(D372,'Справочник соответствий'!A$2:D$2996,2,FALSE)))</f>
        <v>0</v>
      </c>
      <c r="K372" s="3" t="str">
        <f t="shared" si="35"/>
        <v>2</v>
      </c>
      <c r="L372" s="13" t="str">
        <f>IFERROR(VLOOKUP(C372,'Справочник соответствий'!A$2:D$2996,3,FALSE),IF(VALUE(C372)=0,"ЭТАЖ НЕ ОПРЕДЕЛЕН. ПРИНЯТ ПО ДОПУЩЕНИЮ 1",VLOOKUP(C372,'Справочник соответствий'!A$2:D$2996,3,FALSE)))</f>
        <v>ЭТАЖ ЗАДАН ЧИСЛОМ</v>
      </c>
      <c r="M372" s="13" t="b">
        <f t="shared" si="36"/>
        <v>0</v>
      </c>
      <c r="N372" s="13">
        <f t="shared" si="37"/>
        <v>2</v>
      </c>
      <c r="O372" s="13" t="str">
        <f t="shared" si="38"/>
        <v>ЭТАЖ ЗАДАН ЧИСЛОМ</v>
      </c>
      <c r="P372" s="13" t="str">
        <f t="shared" si="39"/>
        <v>ЭТАЖ ЗАДАН ЧИСЛОМ</v>
      </c>
      <c r="Q372" s="13" t="str">
        <f t="shared" si="40"/>
        <v>ГОТОВ_ИЗМЕНЕН</v>
      </c>
      <c r="R372" s="13">
        <f>IFERROR(VLOOKUP(P372,Лист1!A$1:B$20,2,FALSE),0)</f>
        <v>784</v>
      </c>
      <c r="S372" s="13">
        <f t="shared" si="41"/>
        <v>0</v>
      </c>
    </row>
    <row r="373" spans="1:19" x14ac:dyDescent="0.25">
      <c r="A373" t="s">
        <v>1571</v>
      </c>
      <c r="B373" s="4" t="s">
        <v>1182</v>
      </c>
      <c r="C373" s="3" t="s">
        <v>5</v>
      </c>
      <c r="G373" s="3" t="s">
        <v>1183</v>
      </c>
      <c r="I373" s="3" t="str">
        <f>IFERROR(VLOOKUP(C373,'Справочник соответствий'!A$2:D$2996,2,FALSE),IF(VALUE(C373)=0,1,VLOOKUP(C373,'Справочник соответствий'!A$2:D$2996,2,FALSE)))</f>
        <v>1</v>
      </c>
      <c r="J373" s="3">
        <f>IFERROR(VLOOKUP(D373,'Справочник соответствий'!A$2:D$2996,2,FALSE),IF(VALUE(D373)=0,0,VLOOKUP(D373,'Справочник соответствий'!A$2:D$2996,2,FALSE)))</f>
        <v>0</v>
      </c>
      <c r="K373" s="3" t="str">
        <f t="shared" si="35"/>
        <v>1</v>
      </c>
      <c r="L373" s="13" t="str">
        <f>IFERROR(VLOOKUP(C373,'Справочник соответствий'!A$2:D$2996,3,FALSE),IF(VALUE(C373)=0,"ЭТАЖ НЕ ОПРЕДЕЛЕН. ПРИНЯТ ПО ДОПУЩЕНИЮ 1",VLOOKUP(C373,'Справочник соответствий'!A$2:D$2996,3,FALSE)))</f>
        <v>ЭТАЖ ЗАДАН ЧИСЛОМ</v>
      </c>
      <c r="M373" s="13" t="b">
        <f t="shared" si="36"/>
        <v>0</v>
      </c>
      <c r="N373" s="13">
        <f t="shared" si="37"/>
        <v>1</v>
      </c>
      <c r="O373" s="13" t="str">
        <f t="shared" si="38"/>
        <v>ЭТАЖ ЗАДАН ЧИСЛОМ</v>
      </c>
      <c r="P373" s="13" t="str">
        <f t="shared" si="39"/>
        <v>ЭТАЖ ЗАДАН ЧИСЛОМ</v>
      </c>
      <c r="Q373" s="13" t="str">
        <f t="shared" si="40"/>
        <v>ГОТОВ_ИЗМЕНЕН</v>
      </c>
      <c r="R373" s="13">
        <f>IFERROR(VLOOKUP(P373,Лист1!A$1:B$20,2,FALSE),0)</f>
        <v>784</v>
      </c>
      <c r="S373" s="13">
        <f t="shared" si="41"/>
        <v>0</v>
      </c>
    </row>
    <row r="374" spans="1:19" x14ac:dyDescent="0.25">
      <c r="A374" t="s">
        <v>1572</v>
      </c>
      <c r="B374" s="4" t="s">
        <v>1182</v>
      </c>
      <c r="G374" s="3" t="s">
        <v>1183</v>
      </c>
      <c r="I374" s="3">
        <f>IFERROR(VLOOKUP(C374,'Справочник соответствий'!A$2:D$2996,2,FALSE),IF(VALUE(C374)=0,1,VLOOKUP(C374,'Справочник соответствий'!A$2:D$2996,2,FALSE)))</f>
        <v>1</v>
      </c>
      <c r="J374" s="3">
        <f>IFERROR(VLOOKUP(D374,'Справочник соответствий'!A$2:D$2996,2,FALSE),IF(VALUE(D374)=0,0,VLOOKUP(D374,'Справочник соответствий'!A$2:D$2996,2,FALSE)))</f>
        <v>0</v>
      </c>
      <c r="K374" s="3">
        <f t="shared" si="35"/>
        <v>1</v>
      </c>
      <c r="L374" s="13" t="str">
        <f>IFERROR(VLOOKUP(C374,'Справочник соответствий'!A$2:D$2996,3,FALSE),IF(VALUE(C374)=0,"ЭТАЖ НЕ ОПРЕДЕЛЕН. ПРИНЯТ ПО ДОПУЩЕНИЮ 1",VLOOKUP(C374,'Справочник соответствий'!A$2:D$2996,3,FALSE)))</f>
        <v>ЭТАЖ НЕ ОПРЕДЕЛЕН. ПРИНЯТ ПО ДОПУЩЕНИЮ 1</v>
      </c>
      <c r="M374" s="13" t="b">
        <f t="shared" si="36"/>
        <v>0</v>
      </c>
      <c r="N374" s="13">
        <f t="shared" si="37"/>
        <v>1</v>
      </c>
      <c r="O374" s="13" t="str">
        <f t="shared" si="38"/>
        <v>ЭТАЖ НЕ ОПРЕДЕЛЕН. ПРИНЯТ ПО ДОПУЩЕНИЮ 1</v>
      </c>
      <c r="P374" s="13" t="str">
        <f t="shared" si="39"/>
        <v>ЭТАЖ НЕ ОПРЕДЕЛЕН. ПРИНЯТ ПО ДОПУЩЕНИЮ 1</v>
      </c>
      <c r="Q374" s="13" t="str">
        <f t="shared" si="40"/>
        <v>ГОТОВ_ИЗМЕНЕН</v>
      </c>
      <c r="R374" s="13">
        <f>IFERROR(VLOOKUP(P374,Лист1!A$1:B$20,2,FALSE),0)</f>
        <v>788</v>
      </c>
      <c r="S374" s="13">
        <f t="shared" si="41"/>
        <v>0</v>
      </c>
    </row>
    <row r="375" spans="1:19" x14ac:dyDescent="0.25">
      <c r="A375" t="s">
        <v>1573</v>
      </c>
      <c r="B375" s="4" t="s">
        <v>1190</v>
      </c>
      <c r="C375" s="3" t="s">
        <v>5</v>
      </c>
      <c r="G375" s="3" t="s">
        <v>1183</v>
      </c>
      <c r="I375" s="3" t="str">
        <f>IFERROR(VLOOKUP(C375,'Справочник соответствий'!A$2:D$2996,2,FALSE),IF(VALUE(C375)=0,1,VLOOKUP(C375,'Справочник соответствий'!A$2:D$2996,2,FALSE)))</f>
        <v>1</v>
      </c>
      <c r="J375" s="3">
        <f>IFERROR(VLOOKUP(D375,'Справочник соответствий'!A$2:D$2996,2,FALSE),IF(VALUE(D375)=0,0,VLOOKUP(D375,'Справочник соответствий'!A$2:D$2996,2,FALSE)))</f>
        <v>0</v>
      </c>
      <c r="K375" s="3" t="str">
        <f t="shared" si="35"/>
        <v>1</v>
      </c>
      <c r="L375" s="13" t="str">
        <f>IFERROR(VLOOKUP(C375,'Справочник соответствий'!A$2:D$2996,3,FALSE),IF(VALUE(C375)=0,"ЭТАЖ НЕ ОПРЕДЕЛЕН. ПРИНЯТ ПО ДОПУЩЕНИЮ 1",VLOOKUP(C375,'Справочник соответствий'!A$2:D$2996,3,FALSE)))</f>
        <v>ЭТАЖ ЗАДАН ЧИСЛОМ</v>
      </c>
      <c r="M375" s="13" t="b">
        <f t="shared" si="36"/>
        <v>0</v>
      </c>
      <c r="N375" s="13">
        <f t="shared" si="37"/>
        <v>1</v>
      </c>
      <c r="O375" s="13" t="str">
        <f t="shared" si="38"/>
        <v>ЭТАЖ ЗАДАН ЧИСЛОМ</v>
      </c>
      <c r="P375" s="13" t="str">
        <f t="shared" si="39"/>
        <v>ЭТАЖ ЗАДАН ЧИСЛОМ</v>
      </c>
      <c r="Q375" s="13" t="str">
        <f t="shared" si="40"/>
        <v>ГОТОВ_ИЗМЕНЕН</v>
      </c>
      <c r="R375" s="13">
        <f>IFERROR(VLOOKUP(P375,Лист1!A$1:B$20,2,FALSE),0)</f>
        <v>784</v>
      </c>
      <c r="S375" s="13">
        <f t="shared" si="41"/>
        <v>0</v>
      </c>
    </row>
    <row r="376" spans="1:19" x14ac:dyDescent="0.25">
      <c r="A376" t="s">
        <v>1574</v>
      </c>
      <c r="B376" s="4" t="s">
        <v>1182</v>
      </c>
      <c r="C376" s="3" t="s">
        <v>5</v>
      </c>
      <c r="G376" s="3" t="s">
        <v>1183</v>
      </c>
      <c r="I376" s="3" t="str">
        <f>IFERROR(VLOOKUP(C376,'Справочник соответствий'!A$2:D$2996,2,FALSE),IF(VALUE(C376)=0,1,VLOOKUP(C376,'Справочник соответствий'!A$2:D$2996,2,FALSE)))</f>
        <v>1</v>
      </c>
      <c r="J376" s="3">
        <f>IFERROR(VLOOKUP(D376,'Справочник соответствий'!A$2:D$2996,2,FALSE),IF(VALUE(D376)=0,0,VLOOKUP(D376,'Справочник соответствий'!A$2:D$2996,2,FALSE)))</f>
        <v>0</v>
      </c>
      <c r="K376" s="3" t="str">
        <f t="shared" si="35"/>
        <v>1</v>
      </c>
      <c r="L376" s="13" t="str">
        <f>IFERROR(VLOOKUP(C376,'Справочник соответствий'!A$2:D$2996,3,FALSE),IF(VALUE(C376)=0,"ЭТАЖ НЕ ОПРЕДЕЛЕН. ПРИНЯТ ПО ДОПУЩЕНИЮ 1",VLOOKUP(C376,'Справочник соответствий'!A$2:D$2996,3,FALSE)))</f>
        <v>ЭТАЖ ЗАДАН ЧИСЛОМ</v>
      </c>
      <c r="M376" s="13" t="b">
        <f t="shared" si="36"/>
        <v>0</v>
      </c>
      <c r="N376" s="13">
        <f t="shared" si="37"/>
        <v>1</v>
      </c>
      <c r="O376" s="13" t="str">
        <f t="shared" si="38"/>
        <v>ЭТАЖ ЗАДАН ЧИСЛОМ</v>
      </c>
      <c r="P376" s="13" t="str">
        <f t="shared" si="39"/>
        <v>ЭТАЖ ЗАДАН ЧИСЛОМ</v>
      </c>
      <c r="Q376" s="13" t="str">
        <f t="shared" si="40"/>
        <v>ГОТОВ_ИЗМЕНЕН</v>
      </c>
      <c r="R376" s="13">
        <f>IFERROR(VLOOKUP(P376,Лист1!A$1:B$20,2,FALSE),0)</f>
        <v>784</v>
      </c>
      <c r="S376" s="13">
        <f t="shared" si="41"/>
        <v>0</v>
      </c>
    </row>
    <row r="377" spans="1:19" x14ac:dyDescent="0.25">
      <c r="A377" t="s">
        <v>1575</v>
      </c>
      <c r="B377" s="4" t="s">
        <v>1190</v>
      </c>
      <c r="C377" s="3" t="s">
        <v>5</v>
      </c>
      <c r="G377" s="3" t="s">
        <v>1198</v>
      </c>
      <c r="I377" s="3" t="str">
        <f>IFERROR(VLOOKUP(C377,'Справочник соответствий'!A$2:D$2996,2,FALSE),IF(VALUE(C377)=0,1,VLOOKUP(C377,'Справочник соответствий'!A$2:D$2996,2,FALSE)))</f>
        <v>1</v>
      </c>
      <c r="J377" s="3">
        <f>IFERROR(VLOOKUP(D377,'Справочник соответствий'!A$2:D$2996,2,FALSE),IF(VALUE(D377)=0,0,VLOOKUP(D377,'Справочник соответствий'!A$2:D$2996,2,FALSE)))</f>
        <v>0</v>
      </c>
      <c r="K377" s="3" t="str">
        <f t="shared" si="35"/>
        <v>1</v>
      </c>
      <c r="L377" s="13" t="str">
        <f>IFERROR(VLOOKUP(C377,'Справочник соответствий'!A$2:D$2996,3,FALSE),IF(VALUE(C377)=0,"ЭТАЖ НЕ ОПРЕДЕЛЕН. ПРИНЯТ ПО ДОПУЩЕНИЮ 1",VLOOKUP(C377,'Справочник соответствий'!A$2:D$2996,3,FALSE)))</f>
        <v>ЭТАЖ ЗАДАН ЧИСЛОМ</v>
      </c>
      <c r="M377" s="13" t="b">
        <f t="shared" si="36"/>
        <v>0</v>
      </c>
      <c r="N377" s="13">
        <f t="shared" si="37"/>
        <v>1</v>
      </c>
      <c r="O377" s="13" t="str">
        <f t="shared" si="38"/>
        <v>ЭТАЖ ЗАДАН ЧИСЛОМ</v>
      </c>
      <c r="P377" s="13" t="str">
        <f t="shared" si="39"/>
        <v>ЭТАЖ ЗАДАН ЧИСЛОМ</v>
      </c>
      <c r="Q377" s="13" t="str">
        <f t="shared" si="40"/>
        <v>ГОТОВ_ИЗМЕНЕН</v>
      </c>
      <c r="R377" s="13">
        <f>IFERROR(VLOOKUP(P377,Лист1!A$1:B$20,2,FALSE),0)</f>
        <v>784</v>
      </c>
      <c r="S377" s="13">
        <f t="shared" si="41"/>
        <v>0</v>
      </c>
    </row>
    <row r="378" spans="1:19" x14ac:dyDescent="0.25">
      <c r="A378" t="s">
        <v>1576</v>
      </c>
      <c r="B378" s="4" t="s">
        <v>1190</v>
      </c>
      <c r="C378" s="3" t="s">
        <v>5</v>
      </c>
      <c r="G378" s="3" t="s">
        <v>1198</v>
      </c>
      <c r="I378" s="3" t="str">
        <f>IFERROR(VLOOKUP(C378,'Справочник соответствий'!A$2:D$2996,2,FALSE),IF(VALUE(C378)=0,1,VLOOKUP(C378,'Справочник соответствий'!A$2:D$2996,2,FALSE)))</f>
        <v>1</v>
      </c>
      <c r="J378" s="3">
        <f>IFERROR(VLOOKUP(D378,'Справочник соответствий'!A$2:D$2996,2,FALSE),IF(VALUE(D378)=0,0,VLOOKUP(D378,'Справочник соответствий'!A$2:D$2996,2,FALSE)))</f>
        <v>0</v>
      </c>
      <c r="K378" s="3" t="str">
        <f t="shared" si="35"/>
        <v>1</v>
      </c>
      <c r="L378" s="13" t="str">
        <f>IFERROR(VLOOKUP(C378,'Справочник соответствий'!A$2:D$2996,3,FALSE),IF(VALUE(C378)=0,"ЭТАЖ НЕ ОПРЕДЕЛЕН. ПРИНЯТ ПО ДОПУЩЕНИЮ 1",VLOOKUP(C378,'Справочник соответствий'!A$2:D$2996,3,FALSE)))</f>
        <v>ЭТАЖ ЗАДАН ЧИСЛОМ</v>
      </c>
      <c r="M378" s="13" t="b">
        <f t="shared" si="36"/>
        <v>0</v>
      </c>
      <c r="N378" s="13">
        <f t="shared" si="37"/>
        <v>1</v>
      </c>
      <c r="O378" s="13" t="str">
        <f t="shared" si="38"/>
        <v>ЭТАЖ ЗАДАН ЧИСЛОМ</v>
      </c>
      <c r="P378" s="13" t="str">
        <f t="shared" si="39"/>
        <v>ЭТАЖ ЗАДАН ЧИСЛОМ</v>
      </c>
      <c r="Q378" s="13" t="str">
        <f t="shared" si="40"/>
        <v>ГОТОВ_ИЗМЕНЕН</v>
      </c>
      <c r="R378" s="13">
        <f>IFERROR(VLOOKUP(P378,Лист1!A$1:B$20,2,FALSE),0)</f>
        <v>784</v>
      </c>
      <c r="S378" s="13">
        <f t="shared" si="41"/>
        <v>0</v>
      </c>
    </row>
    <row r="379" spans="1:19" x14ac:dyDescent="0.25">
      <c r="A379" t="s">
        <v>1577</v>
      </c>
      <c r="B379" s="4" t="s">
        <v>1182</v>
      </c>
      <c r="C379" s="3" t="s">
        <v>5</v>
      </c>
      <c r="G379" s="3" t="s">
        <v>1198</v>
      </c>
      <c r="I379" s="3" t="str">
        <f>IFERROR(VLOOKUP(C379,'Справочник соответствий'!A$2:D$2996,2,FALSE),IF(VALUE(C379)=0,1,VLOOKUP(C379,'Справочник соответствий'!A$2:D$2996,2,FALSE)))</f>
        <v>1</v>
      </c>
      <c r="J379" s="3">
        <f>IFERROR(VLOOKUP(D379,'Справочник соответствий'!A$2:D$2996,2,FALSE),IF(VALUE(D379)=0,0,VLOOKUP(D379,'Справочник соответствий'!A$2:D$2996,2,FALSE)))</f>
        <v>0</v>
      </c>
      <c r="K379" s="3" t="str">
        <f t="shared" si="35"/>
        <v>1</v>
      </c>
      <c r="L379" s="13" t="str">
        <f>IFERROR(VLOOKUP(C379,'Справочник соответствий'!A$2:D$2996,3,FALSE),IF(VALUE(C379)=0,"ЭТАЖ НЕ ОПРЕДЕЛЕН. ПРИНЯТ ПО ДОПУЩЕНИЮ 1",VLOOKUP(C379,'Справочник соответствий'!A$2:D$2996,3,FALSE)))</f>
        <v>ЭТАЖ ЗАДАН ЧИСЛОМ</v>
      </c>
      <c r="M379" s="13" t="b">
        <f t="shared" si="36"/>
        <v>0</v>
      </c>
      <c r="N379" s="13">
        <f t="shared" si="37"/>
        <v>1</v>
      </c>
      <c r="O379" s="13" t="str">
        <f t="shared" si="38"/>
        <v>ЭТАЖ ЗАДАН ЧИСЛОМ</v>
      </c>
      <c r="P379" s="13" t="str">
        <f t="shared" si="39"/>
        <v>ЭТАЖ ЗАДАН ЧИСЛОМ</v>
      </c>
      <c r="Q379" s="13" t="str">
        <f t="shared" si="40"/>
        <v>ГОТОВ_ИЗМЕНЕН</v>
      </c>
      <c r="R379" s="13">
        <f>IFERROR(VLOOKUP(P379,Лист1!A$1:B$20,2,FALSE),0)</f>
        <v>784</v>
      </c>
      <c r="S379" s="13">
        <f t="shared" si="41"/>
        <v>0</v>
      </c>
    </row>
    <row r="380" spans="1:19" x14ac:dyDescent="0.25">
      <c r="A380" t="s">
        <v>1578</v>
      </c>
      <c r="B380" s="4" t="s">
        <v>1190</v>
      </c>
      <c r="C380" s="3" t="s">
        <v>5</v>
      </c>
      <c r="G380" s="3" t="s">
        <v>1198</v>
      </c>
      <c r="I380" s="3" t="str">
        <f>IFERROR(VLOOKUP(C380,'Справочник соответствий'!A$2:D$2996,2,FALSE),IF(VALUE(C380)=0,1,VLOOKUP(C380,'Справочник соответствий'!A$2:D$2996,2,FALSE)))</f>
        <v>1</v>
      </c>
      <c r="J380" s="3">
        <f>IFERROR(VLOOKUP(D380,'Справочник соответствий'!A$2:D$2996,2,FALSE),IF(VALUE(D380)=0,0,VLOOKUP(D380,'Справочник соответствий'!A$2:D$2996,2,FALSE)))</f>
        <v>0</v>
      </c>
      <c r="K380" s="3" t="str">
        <f t="shared" si="35"/>
        <v>1</v>
      </c>
      <c r="L380" s="13" t="str">
        <f>IFERROR(VLOOKUP(C380,'Справочник соответствий'!A$2:D$2996,3,FALSE),IF(VALUE(C380)=0,"ЭТАЖ НЕ ОПРЕДЕЛЕН. ПРИНЯТ ПО ДОПУЩЕНИЮ 1",VLOOKUP(C380,'Справочник соответствий'!A$2:D$2996,3,FALSE)))</f>
        <v>ЭТАЖ ЗАДАН ЧИСЛОМ</v>
      </c>
      <c r="M380" s="13" t="b">
        <f t="shared" si="36"/>
        <v>0</v>
      </c>
      <c r="N380" s="13">
        <f t="shared" si="37"/>
        <v>1</v>
      </c>
      <c r="O380" s="13" t="str">
        <f t="shared" si="38"/>
        <v>ЭТАЖ ЗАДАН ЧИСЛОМ</v>
      </c>
      <c r="P380" s="13" t="str">
        <f t="shared" si="39"/>
        <v>ЭТАЖ ЗАДАН ЧИСЛОМ</v>
      </c>
      <c r="Q380" s="13" t="str">
        <f t="shared" si="40"/>
        <v>ГОТОВ_ИЗМЕНЕН</v>
      </c>
      <c r="R380" s="13">
        <f>IFERROR(VLOOKUP(P380,Лист1!A$1:B$20,2,FALSE),0)</f>
        <v>784</v>
      </c>
      <c r="S380" s="13">
        <f t="shared" si="41"/>
        <v>0</v>
      </c>
    </row>
    <row r="381" spans="1:19" x14ac:dyDescent="0.25">
      <c r="A381" t="s">
        <v>1579</v>
      </c>
      <c r="B381" s="4" t="s">
        <v>1190</v>
      </c>
      <c r="C381" s="3" t="s">
        <v>5</v>
      </c>
      <c r="G381" s="3" t="s">
        <v>1198</v>
      </c>
      <c r="I381" s="3" t="str">
        <f>IFERROR(VLOOKUP(C381,'Справочник соответствий'!A$2:D$2996,2,FALSE),IF(VALUE(C381)=0,1,VLOOKUP(C381,'Справочник соответствий'!A$2:D$2996,2,FALSE)))</f>
        <v>1</v>
      </c>
      <c r="J381" s="3">
        <f>IFERROR(VLOOKUP(D381,'Справочник соответствий'!A$2:D$2996,2,FALSE),IF(VALUE(D381)=0,0,VLOOKUP(D381,'Справочник соответствий'!A$2:D$2996,2,FALSE)))</f>
        <v>0</v>
      </c>
      <c r="K381" s="3" t="str">
        <f t="shared" si="35"/>
        <v>1</v>
      </c>
      <c r="L381" s="13" t="str">
        <f>IFERROR(VLOOKUP(C381,'Справочник соответствий'!A$2:D$2996,3,FALSE),IF(VALUE(C381)=0,"ЭТАЖ НЕ ОПРЕДЕЛЕН. ПРИНЯТ ПО ДОПУЩЕНИЮ 1",VLOOKUP(C381,'Справочник соответствий'!A$2:D$2996,3,FALSE)))</f>
        <v>ЭТАЖ ЗАДАН ЧИСЛОМ</v>
      </c>
      <c r="M381" s="13" t="b">
        <f t="shared" si="36"/>
        <v>0</v>
      </c>
      <c r="N381" s="13">
        <f t="shared" si="37"/>
        <v>1</v>
      </c>
      <c r="O381" s="13" t="str">
        <f t="shared" si="38"/>
        <v>ЭТАЖ ЗАДАН ЧИСЛОМ</v>
      </c>
      <c r="P381" s="13" t="str">
        <f t="shared" si="39"/>
        <v>ЭТАЖ ЗАДАН ЧИСЛОМ</v>
      </c>
      <c r="Q381" s="13" t="str">
        <f t="shared" si="40"/>
        <v>ГОТОВ_ИЗМЕНЕН</v>
      </c>
      <c r="R381" s="13">
        <f>IFERROR(VLOOKUP(P381,Лист1!A$1:B$20,2,FALSE),0)</f>
        <v>784</v>
      </c>
      <c r="S381" s="13">
        <f t="shared" si="41"/>
        <v>0</v>
      </c>
    </row>
    <row r="382" spans="1:19" x14ac:dyDescent="0.25">
      <c r="A382" t="s">
        <v>1580</v>
      </c>
      <c r="B382" s="4" t="s">
        <v>1190</v>
      </c>
      <c r="C382" s="3" t="s">
        <v>5</v>
      </c>
      <c r="G382" s="3" t="s">
        <v>1224</v>
      </c>
      <c r="I382" s="3" t="str">
        <f>IFERROR(VLOOKUP(C382,'Справочник соответствий'!A$2:D$2996,2,FALSE),IF(VALUE(C382)=0,1,VLOOKUP(C382,'Справочник соответствий'!A$2:D$2996,2,FALSE)))</f>
        <v>1</v>
      </c>
      <c r="J382" s="3">
        <f>IFERROR(VLOOKUP(D382,'Справочник соответствий'!A$2:D$2996,2,FALSE),IF(VALUE(D382)=0,0,VLOOKUP(D382,'Справочник соответствий'!A$2:D$2996,2,FALSE)))</f>
        <v>0</v>
      </c>
      <c r="K382" s="3" t="str">
        <f t="shared" si="35"/>
        <v>1</v>
      </c>
      <c r="L382" s="13" t="str">
        <f>IFERROR(VLOOKUP(C382,'Справочник соответствий'!A$2:D$2996,3,FALSE),IF(VALUE(C382)=0,"ЭТАЖ НЕ ОПРЕДЕЛЕН. ПРИНЯТ ПО ДОПУЩЕНИЮ 1",VLOOKUP(C382,'Справочник соответствий'!A$2:D$2996,3,FALSE)))</f>
        <v>ЭТАЖ ЗАДАН ЧИСЛОМ</v>
      </c>
      <c r="M382" s="13" t="b">
        <f t="shared" si="36"/>
        <v>0</v>
      </c>
      <c r="N382" s="13">
        <f t="shared" si="37"/>
        <v>1</v>
      </c>
      <c r="O382" s="13" t="str">
        <f t="shared" si="38"/>
        <v>ЭТАЖ ЗАДАН ЧИСЛОМ</v>
      </c>
      <c r="P382" s="13" t="str">
        <f t="shared" si="39"/>
        <v>ЭТАЖ ЗАДАН ЧИСЛОМ</v>
      </c>
      <c r="Q382" s="13" t="str">
        <f t="shared" si="40"/>
        <v>ГОТОВ_ИЗМЕНЕН</v>
      </c>
      <c r="R382" s="13">
        <f>IFERROR(VLOOKUP(P382,Лист1!A$1:B$20,2,FALSE),0)</f>
        <v>784</v>
      </c>
      <c r="S382" s="13">
        <f t="shared" si="41"/>
        <v>0</v>
      </c>
    </row>
    <row r="383" spans="1:19" x14ac:dyDescent="0.25">
      <c r="A383" t="s">
        <v>1581</v>
      </c>
      <c r="B383" s="4" t="s">
        <v>1190</v>
      </c>
      <c r="C383" s="3" t="s">
        <v>5</v>
      </c>
      <c r="G383" s="3" t="s">
        <v>1224</v>
      </c>
      <c r="I383" s="3" t="str">
        <f>IFERROR(VLOOKUP(C383,'Справочник соответствий'!A$2:D$2996,2,FALSE),IF(VALUE(C383)=0,1,VLOOKUP(C383,'Справочник соответствий'!A$2:D$2996,2,FALSE)))</f>
        <v>1</v>
      </c>
      <c r="J383" s="3">
        <f>IFERROR(VLOOKUP(D383,'Справочник соответствий'!A$2:D$2996,2,FALSE),IF(VALUE(D383)=0,0,VLOOKUP(D383,'Справочник соответствий'!A$2:D$2996,2,FALSE)))</f>
        <v>0</v>
      </c>
      <c r="K383" s="3" t="str">
        <f t="shared" si="35"/>
        <v>1</v>
      </c>
      <c r="L383" s="13" t="str">
        <f>IFERROR(VLOOKUP(C383,'Справочник соответствий'!A$2:D$2996,3,FALSE),IF(VALUE(C383)=0,"ЭТАЖ НЕ ОПРЕДЕЛЕН. ПРИНЯТ ПО ДОПУЩЕНИЮ 1",VLOOKUP(C383,'Справочник соответствий'!A$2:D$2996,3,FALSE)))</f>
        <v>ЭТАЖ ЗАДАН ЧИСЛОМ</v>
      </c>
      <c r="M383" s="13" t="b">
        <f t="shared" si="36"/>
        <v>0</v>
      </c>
      <c r="N383" s="13">
        <f t="shared" si="37"/>
        <v>1</v>
      </c>
      <c r="O383" s="13" t="str">
        <f t="shared" si="38"/>
        <v>ЭТАЖ ЗАДАН ЧИСЛОМ</v>
      </c>
      <c r="P383" s="13" t="str">
        <f t="shared" si="39"/>
        <v>ЭТАЖ ЗАДАН ЧИСЛОМ</v>
      </c>
      <c r="Q383" s="13" t="str">
        <f t="shared" si="40"/>
        <v>ГОТОВ_ИЗМЕНЕН</v>
      </c>
      <c r="R383" s="13">
        <f>IFERROR(VLOOKUP(P383,Лист1!A$1:B$20,2,FALSE),0)</f>
        <v>784</v>
      </c>
      <c r="S383" s="13">
        <f t="shared" si="41"/>
        <v>0</v>
      </c>
    </row>
    <row r="384" spans="1:19" x14ac:dyDescent="0.25">
      <c r="A384" t="s">
        <v>1582</v>
      </c>
      <c r="B384" s="4" t="s">
        <v>1182</v>
      </c>
      <c r="C384" s="3" t="s">
        <v>5</v>
      </c>
      <c r="G384" s="3" t="s">
        <v>1224</v>
      </c>
      <c r="I384" s="3" t="str">
        <f>IFERROR(VLOOKUP(C384,'Справочник соответствий'!A$2:D$2996,2,FALSE),IF(VALUE(C384)=0,1,VLOOKUP(C384,'Справочник соответствий'!A$2:D$2996,2,FALSE)))</f>
        <v>1</v>
      </c>
      <c r="J384" s="3">
        <f>IFERROR(VLOOKUP(D384,'Справочник соответствий'!A$2:D$2996,2,FALSE),IF(VALUE(D384)=0,0,VLOOKUP(D384,'Справочник соответствий'!A$2:D$2996,2,FALSE)))</f>
        <v>0</v>
      </c>
      <c r="K384" s="3" t="str">
        <f t="shared" si="35"/>
        <v>1</v>
      </c>
      <c r="L384" s="13" t="str">
        <f>IFERROR(VLOOKUP(C384,'Справочник соответствий'!A$2:D$2996,3,FALSE),IF(VALUE(C384)=0,"ЭТАЖ НЕ ОПРЕДЕЛЕН. ПРИНЯТ ПО ДОПУЩЕНИЮ 1",VLOOKUP(C384,'Справочник соответствий'!A$2:D$2996,3,FALSE)))</f>
        <v>ЭТАЖ ЗАДАН ЧИСЛОМ</v>
      </c>
      <c r="M384" s="13" t="b">
        <f t="shared" si="36"/>
        <v>0</v>
      </c>
      <c r="N384" s="13">
        <f t="shared" si="37"/>
        <v>1</v>
      </c>
      <c r="O384" s="13" t="str">
        <f t="shared" si="38"/>
        <v>ЭТАЖ ЗАДАН ЧИСЛОМ</v>
      </c>
      <c r="P384" s="13" t="str">
        <f t="shared" si="39"/>
        <v>ЭТАЖ ЗАДАН ЧИСЛОМ</v>
      </c>
      <c r="Q384" s="13" t="str">
        <f t="shared" si="40"/>
        <v>ГОТОВ_ИЗМЕНЕН</v>
      </c>
      <c r="R384" s="13">
        <f>IFERROR(VLOOKUP(P384,Лист1!A$1:B$20,2,FALSE),0)</f>
        <v>784</v>
      </c>
      <c r="S384" s="13">
        <f t="shared" si="41"/>
        <v>0</v>
      </c>
    </row>
    <row r="385" spans="1:19" x14ac:dyDescent="0.25">
      <c r="A385" t="s">
        <v>1583</v>
      </c>
      <c r="B385" s="4" t="s">
        <v>1190</v>
      </c>
      <c r="C385" s="3" t="s">
        <v>5</v>
      </c>
      <c r="G385" s="3" t="s">
        <v>1224</v>
      </c>
      <c r="I385" s="3" t="str">
        <f>IFERROR(VLOOKUP(C385,'Справочник соответствий'!A$2:D$2996,2,FALSE),IF(VALUE(C385)=0,1,VLOOKUP(C385,'Справочник соответствий'!A$2:D$2996,2,FALSE)))</f>
        <v>1</v>
      </c>
      <c r="J385" s="3">
        <f>IFERROR(VLOOKUP(D385,'Справочник соответствий'!A$2:D$2996,2,FALSE),IF(VALUE(D385)=0,0,VLOOKUP(D385,'Справочник соответствий'!A$2:D$2996,2,FALSE)))</f>
        <v>0</v>
      </c>
      <c r="K385" s="3" t="str">
        <f t="shared" si="35"/>
        <v>1</v>
      </c>
      <c r="L385" s="13" t="str">
        <f>IFERROR(VLOOKUP(C385,'Справочник соответствий'!A$2:D$2996,3,FALSE),IF(VALUE(C385)=0,"ЭТАЖ НЕ ОПРЕДЕЛЕН. ПРИНЯТ ПО ДОПУЩЕНИЮ 1",VLOOKUP(C385,'Справочник соответствий'!A$2:D$2996,3,FALSE)))</f>
        <v>ЭТАЖ ЗАДАН ЧИСЛОМ</v>
      </c>
      <c r="M385" s="13" t="b">
        <f t="shared" si="36"/>
        <v>0</v>
      </c>
      <c r="N385" s="13">
        <f t="shared" si="37"/>
        <v>1</v>
      </c>
      <c r="O385" s="13" t="str">
        <f t="shared" si="38"/>
        <v>ЭТАЖ ЗАДАН ЧИСЛОМ</v>
      </c>
      <c r="P385" s="13" t="str">
        <f t="shared" si="39"/>
        <v>ЭТАЖ ЗАДАН ЧИСЛОМ</v>
      </c>
      <c r="Q385" s="13" t="str">
        <f t="shared" si="40"/>
        <v>ГОТОВ_ИЗМЕНЕН</v>
      </c>
      <c r="R385" s="13">
        <f>IFERROR(VLOOKUP(P385,Лист1!A$1:B$20,2,FALSE),0)</f>
        <v>784</v>
      </c>
      <c r="S385" s="13">
        <f t="shared" si="41"/>
        <v>0</v>
      </c>
    </row>
    <row r="386" spans="1:19" x14ac:dyDescent="0.25">
      <c r="A386" t="s">
        <v>1584</v>
      </c>
      <c r="B386" s="4" t="s">
        <v>1190</v>
      </c>
      <c r="C386" s="3" t="s">
        <v>7</v>
      </c>
      <c r="G386" s="3" t="s">
        <v>1224</v>
      </c>
      <c r="I386" s="3" t="str">
        <f>IFERROR(VLOOKUP(C386,'Справочник соответствий'!A$2:D$2996,2,FALSE),IF(VALUE(C386)=0,1,VLOOKUP(C386,'Справочник соответствий'!A$2:D$2996,2,FALSE)))</f>
        <v>2</v>
      </c>
      <c r="J386" s="3">
        <f>IFERROR(VLOOKUP(D386,'Справочник соответствий'!A$2:D$2996,2,FALSE),IF(VALUE(D386)=0,0,VLOOKUP(D386,'Справочник соответствий'!A$2:D$2996,2,FALSE)))</f>
        <v>0</v>
      </c>
      <c r="K386" s="3" t="str">
        <f t="shared" ref="K386:K449" si="42">IF(B386="Многоквартирный дом",IF(I386-J386&gt;0,I386-J386,1),I386)</f>
        <v>2</v>
      </c>
      <c r="L386" s="13" t="str">
        <f>IFERROR(VLOOKUP(C386,'Справочник соответствий'!A$2:D$2996,3,FALSE),IF(VALUE(C386)=0,"ЭТАЖ НЕ ОПРЕДЕЛЕН. ПРИНЯТ ПО ДОПУЩЕНИЮ 1",VLOOKUP(C386,'Справочник соответствий'!A$2:D$2996,3,FALSE)))</f>
        <v>ЭТАЖ ЗАДАН ЧИСЛОМ</v>
      </c>
      <c r="M386" s="13" t="b">
        <f t="shared" ref="M386:M449" si="43">I386=E386</f>
        <v>0</v>
      </c>
      <c r="N386" s="13">
        <f t="shared" ref="N386:N449" si="44">IF(VALUE(E386)=0,VALUE(K386),IF(L386="ЭТАЖ НЕ ОПРЕДЕЛЕН. ПРИНЯТ ПО ДОПУЩЕНИЮ 1",VALUE(E386),VALUE(K386)))</f>
        <v>2</v>
      </c>
      <c r="O386" s="13" t="str">
        <f t="shared" ref="O386:O449" si="45">IF(VALUE(E386)=0,L386,IF(L386="ЭТАЖ НЕ ОПРЕДЕЛЕН. ПРИНЯТ ПО ДОПУЩЕНИЮ 1",F386,L386))</f>
        <v>ЭТАЖ ЗАДАН ЧИСЛОМ</v>
      </c>
      <c r="P386" s="13" t="str">
        <f t="shared" ref="P386:P449" si="46">IF(B386="Многоквартирный дом",CONCATENATE("МКД_",O386),O386)</f>
        <v>ЭТАЖ ЗАДАН ЧИСЛОМ</v>
      </c>
      <c r="Q386" s="13" t="str">
        <f t="shared" ref="Q386:Q449" si="47">IFERROR(IF(N386&gt;0,IF(N386=VALUE(E386),"ГОТОВ","ГОТОВ_ИЗМЕНЕН"),"НЕ ГОТОВ"),"НЕ ГОТОВ")</f>
        <v>ГОТОВ_ИЗМЕНЕН</v>
      </c>
      <c r="R386" s="13">
        <f>IFERROR(VLOOKUP(P386,Лист1!A$1:B$20,2,FALSE),0)</f>
        <v>784</v>
      </c>
      <c r="S386" s="13">
        <f t="shared" ref="S386:S449" si="48">VALUE(E386)</f>
        <v>0</v>
      </c>
    </row>
    <row r="387" spans="1:19" x14ac:dyDescent="0.25">
      <c r="A387" t="s">
        <v>1585</v>
      </c>
      <c r="B387" s="4" t="s">
        <v>1190</v>
      </c>
      <c r="C387" s="3" t="s">
        <v>5</v>
      </c>
      <c r="G387" s="3" t="s">
        <v>1224</v>
      </c>
      <c r="I387" s="3" t="str">
        <f>IFERROR(VLOOKUP(C387,'Справочник соответствий'!A$2:D$2996,2,FALSE),IF(VALUE(C387)=0,1,VLOOKUP(C387,'Справочник соответствий'!A$2:D$2996,2,FALSE)))</f>
        <v>1</v>
      </c>
      <c r="J387" s="3">
        <f>IFERROR(VLOOKUP(D387,'Справочник соответствий'!A$2:D$2996,2,FALSE),IF(VALUE(D387)=0,0,VLOOKUP(D387,'Справочник соответствий'!A$2:D$2996,2,FALSE)))</f>
        <v>0</v>
      </c>
      <c r="K387" s="3" t="str">
        <f t="shared" si="42"/>
        <v>1</v>
      </c>
      <c r="L387" s="13" t="str">
        <f>IFERROR(VLOOKUP(C387,'Справочник соответствий'!A$2:D$2996,3,FALSE),IF(VALUE(C387)=0,"ЭТАЖ НЕ ОПРЕДЕЛЕН. ПРИНЯТ ПО ДОПУЩЕНИЮ 1",VLOOKUP(C387,'Справочник соответствий'!A$2:D$2996,3,FALSE)))</f>
        <v>ЭТАЖ ЗАДАН ЧИСЛОМ</v>
      </c>
      <c r="M387" s="13" t="b">
        <f t="shared" si="43"/>
        <v>0</v>
      </c>
      <c r="N387" s="13">
        <f t="shared" si="44"/>
        <v>1</v>
      </c>
      <c r="O387" s="13" t="str">
        <f t="shared" si="45"/>
        <v>ЭТАЖ ЗАДАН ЧИСЛОМ</v>
      </c>
      <c r="P387" s="13" t="str">
        <f t="shared" si="46"/>
        <v>ЭТАЖ ЗАДАН ЧИСЛОМ</v>
      </c>
      <c r="Q387" s="13" t="str">
        <f t="shared" si="47"/>
        <v>ГОТОВ_ИЗМЕНЕН</v>
      </c>
      <c r="R387" s="13">
        <f>IFERROR(VLOOKUP(P387,Лист1!A$1:B$20,2,FALSE),0)</f>
        <v>784</v>
      </c>
      <c r="S387" s="13">
        <f t="shared" si="48"/>
        <v>0</v>
      </c>
    </row>
    <row r="388" spans="1:19" x14ac:dyDescent="0.25">
      <c r="A388" t="s">
        <v>1586</v>
      </c>
      <c r="B388" s="4" t="s">
        <v>1182</v>
      </c>
      <c r="C388" s="3" t="s">
        <v>5</v>
      </c>
      <c r="G388" s="3" t="s">
        <v>1224</v>
      </c>
      <c r="I388" s="3" t="str">
        <f>IFERROR(VLOOKUP(C388,'Справочник соответствий'!A$2:D$2996,2,FALSE),IF(VALUE(C388)=0,1,VLOOKUP(C388,'Справочник соответствий'!A$2:D$2996,2,FALSE)))</f>
        <v>1</v>
      </c>
      <c r="J388" s="3">
        <f>IFERROR(VLOOKUP(D388,'Справочник соответствий'!A$2:D$2996,2,FALSE),IF(VALUE(D388)=0,0,VLOOKUP(D388,'Справочник соответствий'!A$2:D$2996,2,FALSE)))</f>
        <v>0</v>
      </c>
      <c r="K388" s="3" t="str">
        <f t="shared" si="42"/>
        <v>1</v>
      </c>
      <c r="L388" s="13" t="str">
        <f>IFERROR(VLOOKUP(C388,'Справочник соответствий'!A$2:D$2996,3,FALSE),IF(VALUE(C388)=0,"ЭТАЖ НЕ ОПРЕДЕЛЕН. ПРИНЯТ ПО ДОПУЩЕНИЮ 1",VLOOKUP(C388,'Справочник соответствий'!A$2:D$2996,3,FALSE)))</f>
        <v>ЭТАЖ ЗАДАН ЧИСЛОМ</v>
      </c>
      <c r="M388" s="13" t="b">
        <f t="shared" si="43"/>
        <v>0</v>
      </c>
      <c r="N388" s="13">
        <f t="shared" si="44"/>
        <v>1</v>
      </c>
      <c r="O388" s="13" t="str">
        <f t="shared" si="45"/>
        <v>ЭТАЖ ЗАДАН ЧИСЛОМ</v>
      </c>
      <c r="P388" s="13" t="str">
        <f t="shared" si="46"/>
        <v>ЭТАЖ ЗАДАН ЧИСЛОМ</v>
      </c>
      <c r="Q388" s="13" t="str">
        <f t="shared" si="47"/>
        <v>ГОТОВ_ИЗМЕНЕН</v>
      </c>
      <c r="R388" s="13">
        <f>IFERROR(VLOOKUP(P388,Лист1!A$1:B$20,2,FALSE),0)</f>
        <v>784</v>
      </c>
      <c r="S388" s="13">
        <f t="shared" si="48"/>
        <v>0</v>
      </c>
    </row>
    <row r="389" spans="1:19" x14ac:dyDescent="0.25">
      <c r="A389" t="s">
        <v>1587</v>
      </c>
      <c r="B389" s="4" t="s">
        <v>1190</v>
      </c>
      <c r="C389" s="3" t="s">
        <v>5</v>
      </c>
      <c r="G389" s="3" t="s">
        <v>1224</v>
      </c>
      <c r="I389" s="3" t="str">
        <f>IFERROR(VLOOKUP(C389,'Справочник соответствий'!A$2:D$2996,2,FALSE),IF(VALUE(C389)=0,1,VLOOKUP(C389,'Справочник соответствий'!A$2:D$2996,2,FALSE)))</f>
        <v>1</v>
      </c>
      <c r="J389" s="3">
        <f>IFERROR(VLOOKUP(D389,'Справочник соответствий'!A$2:D$2996,2,FALSE),IF(VALUE(D389)=0,0,VLOOKUP(D389,'Справочник соответствий'!A$2:D$2996,2,FALSE)))</f>
        <v>0</v>
      </c>
      <c r="K389" s="3" t="str">
        <f t="shared" si="42"/>
        <v>1</v>
      </c>
      <c r="L389" s="13" t="str">
        <f>IFERROR(VLOOKUP(C389,'Справочник соответствий'!A$2:D$2996,3,FALSE),IF(VALUE(C389)=0,"ЭТАЖ НЕ ОПРЕДЕЛЕН. ПРИНЯТ ПО ДОПУЩЕНИЮ 1",VLOOKUP(C389,'Справочник соответствий'!A$2:D$2996,3,FALSE)))</f>
        <v>ЭТАЖ ЗАДАН ЧИСЛОМ</v>
      </c>
      <c r="M389" s="13" t="b">
        <f t="shared" si="43"/>
        <v>0</v>
      </c>
      <c r="N389" s="13">
        <f t="shared" si="44"/>
        <v>1</v>
      </c>
      <c r="O389" s="13" t="str">
        <f t="shared" si="45"/>
        <v>ЭТАЖ ЗАДАН ЧИСЛОМ</v>
      </c>
      <c r="P389" s="13" t="str">
        <f t="shared" si="46"/>
        <v>ЭТАЖ ЗАДАН ЧИСЛОМ</v>
      </c>
      <c r="Q389" s="13" t="str">
        <f t="shared" si="47"/>
        <v>ГОТОВ_ИЗМЕНЕН</v>
      </c>
      <c r="R389" s="13">
        <f>IFERROR(VLOOKUP(P389,Лист1!A$1:B$20,2,FALSE),0)</f>
        <v>784</v>
      </c>
      <c r="S389" s="13">
        <f t="shared" si="48"/>
        <v>0</v>
      </c>
    </row>
    <row r="390" spans="1:19" x14ac:dyDescent="0.25">
      <c r="A390" t="s">
        <v>1588</v>
      </c>
      <c r="B390" s="4" t="s">
        <v>1182</v>
      </c>
      <c r="C390" s="3" t="s">
        <v>5</v>
      </c>
      <c r="D390" s="3" t="s">
        <v>5</v>
      </c>
      <c r="E390" s="3" t="s">
        <v>5</v>
      </c>
      <c r="F390" t="s">
        <v>1045</v>
      </c>
      <c r="G390" s="3" t="s">
        <v>1191</v>
      </c>
      <c r="H390" s="7" t="s">
        <v>1184</v>
      </c>
      <c r="I390" s="3" t="str">
        <f>IFERROR(VLOOKUP(C390,'Справочник соответствий'!A$2:D$2996,2,FALSE),IF(VALUE(C390)=0,1,VLOOKUP(C390,'Справочник соответствий'!A$2:D$2996,2,FALSE)))</f>
        <v>1</v>
      </c>
      <c r="J390" s="3" t="str">
        <f>IFERROR(VLOOKUP(D390,'Справочник соответствий'!A$2:D$2996,2,FALSE),IF(VALUE(D390)=0,0,VLOOKUP(D390,'Справочник соответствий'!A$2:D$2996,2,FALSE)))</f>
        <v>1</v>
      </c>
      <c r="K390" s="3" t="str">
        <f t="shared" si="42"/>
        <v>1</v>
      </c>
      <c r="L390" s="13" t="str">
        <f>IFERROR(VLOOKUP(C390,'Справочник соответствий'!A$2:D$2996,3,FALSE),IF(VALUE(C390)=0,"ЭТАЖ НЕ ОПРЕДЕЛЕН. ПРИНЯТ ПО ДОПУЩЕНИЮ 1",VLOOKUP(C390,'Справочник соответствий'!A$2:D$2996,3,FALSE)))</f>
        <v>ЭТАЖ ЗАДАН ЧИСЛОМ</v>
      </c>
      <c r="M390" s="13" t="b">
        <f t="shared" si="43"/>
        <v>1</v>
      </c>
      <c r="N390" s="13">
        <f t="shared" si="44"/>
        <v>1</v>
      </c>
      <c r="O390" s="13" t="str">
        <f t="shared" si="45"/>
        <v>ЭТАЖ ЗАДАН ЧИСЛОМ</v>
      </c>
      <c r="P390" s="13" t="str">
        <f t="shared" si="46"/>
        <v>ЭТАЖ ЗАДАН ЧИСЛОМ</v>
      </c>
      <c r="Q390" s="13" t="str">
        <f t="shared" si="47"/>
        <v>ГОТОВ</v>
      </c>
      <c r="R390" s="13">
        <f>IFERROR(VLOOKUP(P390,Лист1!A$1:B$20,2,FALSE),0)</f>
        <v>784</v>
      </c>
      <c r="S390" s="13">
        <f t="shared" si="48"/>
        <v>1</v>
      </c>
    </row>
    <row r="391" spans="1:19" x14ac:dyDescent="0.25">
      <c r="A391" t="s">
        <v>1589</v>
      </c>
      <c r="B391" s="4" t="s">
        <v>1182</v>
      </c>
      <c r="C391" s="3" t="s">
        <v>7</v>
      </c>
      <c r="E391" s="3" t="s">
        <v>5</v>
      </c>
      <c r="F391" t="s">
        <v>1045</v>
      </c>
      <c r="G391" s="3" t="s">
        <v>1198</v>
      </c>
      <c r="H391" s="7" t="s">
        <v>1184</v>
      </c>
      <c r="I391" s="3" t="str">
        <f>IFERROR(VLOOKUP(C391,'Справочник соответствий'!A$2:D$2996,2,FALSE),IF(VALUE(C391)=0,1,VLOOKUP(C391,'Справочник соответствий'!A$2:D$2996,2,FALSE)))</f>
        <v>2</v>
      </c>
      <c r="J391" s="3">
        <f>IFERROR(VLOOKUP(D391,'Справочник соответствий'!A$2:D$2996,2,FALSE),IF(VALUE(D391)=0,0,VLOOKUP(D391,'Справочник соответствий'!A$2:D$2996,2,FALSE)))</f>
        <v>0</v>
      </c>
      <c r="K391" s="3" t="str">
        <f t="shared" si="42"/>
        <v>2</v>
      </c>
      <c r="L391" s="13" t="str">
        <f>IFERROR(VLOOKUP(C391,'Справочник соответствий'!A$2:D$2996,3,FALSE),IF(VALUE(C391)=0,"ЭТАЖ НЕ ОПРЕДЕЛЕН. ПРИНЯТ ПО ДОПУЩЕНИЮ 1",VLOOKUP(C391,'Справочник соответствий'!A$2:D$2996,3,FALSE)))</f>
        <v>ЭТАЖ ЗАДАН ЧИСЛОМ</v>
      </c>
      <c r="M391" s="13" t="b">
        <f t="shared" si="43"/>
        <v>0</v>
      </c>
      <c r="N391" s="13">
        <f t="shared" si="44"/>
        <v>2</v>
      </c>
      <c r="O391" s="13" t="str">
        <f t="shared" si="45"/>
        <v>ЭТАЖ ЗАДАН ЧИСЛОМ</v>
      </c>
      <c r="P391" s="13" t="str">
        <f t="shared" si="46"/>
        <v>ЭТАЖ ЗАДАН ЧИСЛОМ</v>
      </c>
      <c r="Q391" s="13" t="str">
        <f t="shared" si="47"/>
        <v>ГОТОВ_ИЗМЕНЕН</v>
      </c>
      <c r="R391" s="13">
        <f>IFERROR(VLOOKUP(P391,Лист1!A$1:B$20,2,FALSE),0)</f>
        <v>784</v>
      </c>
      <c r="S391" s="13">
        <f t="shared" si="48"/>
        <v>1</v>
      </c>
    </row>
    <row r="392" spans="1:19" x14ac:dyDescent="0.25">
      <c r="A392" t="s">
        <v>1590</v>
      </c>
      <c r="B392" s="4" t="s">
        <v>1182</v>
      </c>
      <c r="C392" s="3" t="s">
        <v>5</v>
      </c>
      <c r="E392" s="3" t="s">
        <v>5</v>
      </c>
      <c r="F392" t="s">
        <v>1186</v>
      </c>
      <c r="G392" s="3" t="s">
        <v>1187</v>
      </c>
      <c r="H392" s="7" t="s">
        <v>1184</v>
      </c>
      <c r="I392" s="3" t="str">
        <f>IFERROR(VLOOKUP(C392,'Справочник соответствий'!A$2:D$2996,2,FALSE),IF(VALUE(C392)=0,1,VLOOKUP(C392,'Справочник соответствий'!A$2:D$2996,2,FALSE)))</f>
        <v>1</v>
      </c>
      <c r="J392" s="3">
        <f>IFERROR(VLOOKUP(D392,'Справочник соответствий'!A$2:D$2996,2,FALSE),IF(VALUE(D392)=0,0,VLOOKUP(D392,'Справочник соответствий'!A$2:D$2996,2,FALSE)))</f>
        <v>0</v>
      </c>
      <c r="K392" s="3" t="str">
        <f t="shared" si="42"/>
        <v>1</v>
      </c>
      <c r="L392" s="13" t="str">
        <f>IFERROR(VLOOKUP(C392,'Справочник соответствий'!A$2:D$2996,3,FALSE),IF(VALUE(C392)=0,"ЭТАЖ НЕ ОПРЕДЕЛЕН. ПРИНЯТ ПО ДОПУЩЕНИЮ 1",VLOOKUP(C392,'Справочник соответствий'!A$2:D$2996,3,FALSE)))</f>
        <v>ЭТАЖ ЗАДАН ЧИСЛОМ</v>
      </c>
      <c r="M392" s="13" t="b">
        <f t="shared" si="43"/>
        <v>1</v>
      </c>
      <c r="N392" s="13">
        <f t="shared" si="44"/>
        <v>1</v>
      </c>
      <c r="O392" s="13" t="str">
        <f t="shared" si="45"/>
        <v>ЭТАЖ ЗАДАН ЧИСЛОМ</v>
      </c>
      <c r="P392" s="13" t="str">
        <f t="shared" si="46"/>
        <v>ЭТАЖ ЗАДАН ЧИСЛОМ</v>
      </c>
      <c r="Q392" s="13" t="str">
        <f t="shared" si="47"/>
        <v>ГОТОВ</v>
      </c>
      <c r="R392" s="13">
        <f>IFERROR(VLOOKUP(P392,Лист1!A$1:B$20,2,FALSE),0)</f>
        <v>784</v>
      </c>
      <c r="S392" s="13">
        <f t="shared" si="48"/>
        <v>1</v>
      </c>
    </row>
    <row r="393" spans="1:19" x14ac:dyDescent="0.25">
      <c r="A393" t="s">
        <v>1591</v>
      </c>
      <c r="B393" s="4" t="s">
        <v>1182</v>
      </c>
      <c r="C393" s="3" t="s">
        <v>5</v>
      </c>
      <c r="E393" s="3" t="s">
        <v>5</v>
      </c>
      <c r="F393" t="s">
        <v>1186</v>
      </c>
      <c r="G393" s="3" t="s">
        <v>1191</v>
      </c>
      <c r="H393" s="7" t="s">
        <v>1184</v>
      </c>
      <c r="I393" s="3" t="str">
        <f>IFERROR(VLOOKUP(C393,'Справочник соответствий'!A$2:D$2996,2,FALSE),IF(VALUE(C393)=0,1,VLOOKUP(C393,'Справочник соответствий'!A$2:D$2996,2,FALSE)))</f>
        <v>1</v>
      </c>
      <c r="J393" s="3">
        <f>IFERROR(VLOOKUP(D393,'Справочник соответствий'!A$2:D$2996,2,FALSE),IF(VALUE(D393)=0,0,VLOOKUP(D393,'Справочник соответствий'!A$2:D$2996,2,FALSE)))</f>
        <v>0</v>
      </c>
      <c r="K393" s="3" t="str">
        <f t="shared" si="42"/>
        <v>1</v>
      </c>
      <c r="L393" s="13" t="str">
        <f>IFERROR(VLOOKUP(C393,'Справочник соответствий'!A$2:D$2996,3,FALSE),IF(VALUE(C393)=0,"ЭТАЖ НЕ ОПРЕДЕЛЕН. ПРИНЯТ ПО ДОПУЩЕНИЮ 1",VLOOKUP(C393,'Справочник соответствий'!A$2:D$2996,3,FALSE)))</f>
        <v>ЭТАЖ ЗАДАН ЧИСЛОМ</v>
      </c>
      <c r="M393" s="13" t="b">
        <f t="shared" si="43"/>
        <v>1</v>
      </c>
      <c r="N393" s="13">
        <f t="shared" si="44"/>
        <v>1</v>
      </c>
      <c r="O393" s="13" t="str">
        <f t="shared" si="45"/>
        <v>ЭТАЖ ЗАДАН ЧИСЛОМ</v>
      </c>
      <c r="P393" s="13" t="str">
        <f t="shared" si="46"/>
        <v>ЭТАЖ ЗАДАН ЧИСЛОМ</v>
      </c>
      <c r="Q393" s="13" t="str">
        <f t="shared" si="47"/>
        <v>ГОТОВ</v>
      </c>
      <c r="R393" s="13">
        <f>IFERROR(VLOOKUP(P393,Лист1!A$1:B$20,2,FALSE),0)</f>
        <v>784</v>
      </c>
      <c r="S393" s="13">
        <f t="shared" si="48"/>
        <v>1</v>
      </c>
    </row>
    <row r="394" spans="1:19" x14ac:dyDescent="0.25">
      <c r="A394" t="s">
        <v>1592</v>
      </c>
      <c r="B394" s="4" t="s">
        <v>1182</v>
      </c>
      <c r="C394" s="3" t="s">
        <v>5</v>
      </c>
      <c r="E394" s="3" t="s">
        <v>5</v>
      </c>
      <c r="F394" t="s">
        <v>1045</v>
      </c>
      <c r="G394" s="3" t="s">
        <v>1187</v>
      </c>
      <c r="H394" s="7" t="s">
        <v>1184</v>
      </c>
      <c r="I394" s="3" t="str">
        <f>IFERROR(VLOOKUP(C394,'Справочник соответствий'!A$2:D$2996,2,FALSE),IF(VALUE(C394)=0,1,VLOOKUP(C394,'Справочник соответствий'!A$2:D$2996,2,FALSE)))</f>
        <v>1</v>
      </c>
      <c r="J394" s="3">
        <f>IFERROR(VLOOKUP(D394,'Справочник соответствий'!A$2:D$2996,2,FALSE),IF(VALUE(D394)=0,0,VLOOKUP(D394,'Справочник соответствий'!A$2:D$2996,2,FALSE)))</f>
        <v>0</v>
      </c>
      <c r="K394" s="3" t="str">
        <f t="shared" si="42"/>
        <v>1</v>
      </c>
      <c r="L394" s="13" t="str">
        <f>IFERROR(VLOOKUP(C394,'Справочник соответствий'!A$2:D$2996,3,FALSE),IF(VALUE(C394)=0,"ЭТАЖ НЕ ОПРЕДЕЛЕН. ПРИНЯТ ПО ДОПУЩЕНИЮ 1",VLOOKUP(C394,'Справочник соответствий'!A$2:D$2996,3,FALSE)))</f>
        <v>ЭТАЖ ЗАДАН ЧИСЛОМ</v>
      </c>
      <c r="M394" s="13" t="b">
        <f t="shared" si="43"/>
        <v>1</v>
      </c>
      <c r="N394" s="13">
        <f t="shared" si="44"/>
        <v>1</v>
      </c>
      <c r="O394" s="13" t="str">
        <f t="shared" si="45"/>
        <v>ЭТАЖ ЗАДАН ЧИСЛОМ</v>
      </c>
      <c r="P394" s="13" t="str">
        <f t="shared" si="46"/>
        <v>ЭТАЖ ЗАДАН ЧИСЛОМ</v>
      </c>
      <c r="Q394" s="13" t="str">
        <f t="shared" si="47"/>
        <v>ГОТОВ</v>
      </c>
      <c r="R394" s="13">
        <f>IFERROR(VLOOKUP(P394,Лист1!A$1:B$20,2,FALSE),0)</f>
        <v>784</v>
      </c>
      <c r="S394" s="13">
        <f t="shared" si="48"/>
        <v>1</v>
      </c>
    </row>
    <row r="395" spans="1:19" x14ac:dyDescent="0.25">
      <c r="A395" t="s">
        <v>1593</v>
      </c>
      <c r="B395" s="4" t="s">
        <v>1182</v>
      </c>
      <c r="C395" s="3" t="s">
        <v>5</v>
      </c>
      <c r="E395" s="3" t="s">
        <v>5</v>
      </c>
      <c r="F395" t="s">
        <v>1186</v>
      </c>
      <c r="G395" s="3" t="s">
        <v>1187</v>
      </c>
      <c r="H395" s="7" t="s">
        <v>1184</v>
      </c>
      <c r="I395" s="3" t="str">
        <f>IFERROR(VLOOKUP(C395,'Справочник соответствий'!A$2:D$2996,2,FALSE),IF(VALUE(C395)=0,1,VLOOKUP(C395,'Справочник соответствий'!A$2:D$2996,2,FALSE)))</f>
        <v>1</v>
      </c>
      <c r="J395" s="3">
        <f>IFERROR(VLOOKUP(D395,'Справочник соответствий'!A$2:D$2996,2,FALSE),IF(VALUE(D395)=0,0,VLOOKUP(D395,'Справочник соответствий'!A$2:D$2996,2,FALSE)))</f>
        <v>0</v>
      </c>
      <c r="K395" s="3" t="str">
        <f t="shared" si="42"/>
        <v>1</v>
      </c>
      <c r="L395" s="13" t="str">
        <f>IFERROR(VLOOKUP(C395,'Справочник соответствий'!A$2:D$2996,3,FALSE),IF(VALUE(C395)=0,"ЭТАЖ НЕ ОПРЕДЕЛЕН. ПРИНЯТ ПО ДОПУЩЕНИЮ 1",VLOOKUP(C395,'Справочник соответствий'!A$2:D$2996,3,FALSE)))</f>
        <v>ЭТАЖ ЗАДАН ЧИСЛОМ</v>
      </c>
      <c r="M395" s="13" t="b">
        <f t="shared" si="43"/>
        <v>1</v>
      </c>
      <c r="N395" s="13">
        <f t="shared" si="44"/>
        <v>1</v>
      </c>
      <c r="O395" s="13" t="str">
        <f t="shared" si="45"/>
        <v>ЭТАЖ ЗАДАН ЧИСЛОМ</v>
      </c>
      <c r="P395" s="13" t="str">
        <f t="shared" si="46"/>
        <v>ЭТАЖ ЗАДАН ЧИСЛОМ</v>
      </c>
      <c r="Q395" s="13" t="str">
        <f t="shared" si="47"/>
        <v>ГОТОВ</v>
      </c>
      <c r="R395" s="13">
        <f>IFERROR(VLOOKUP(P395,Лист1!A$1:B$20,2,FALSE),0)</f>
        <v>784</v>
      </c>
      <c r="S395" s="13">
        <f t="shared" si="48"/>
        <v>1</v>
      </c>
    </row>
    <row r="396" spans="1:19" x14ac:dyDescent="0.25">
      <c r="A396" t="s">
        <v>1594</v>
      </c>
      <c r="B396" s="4" t="s">
        <v>1190</v>
      </c>
      <c r="C396" s="3" t="s">
        <v>7</v>
      </c>
      <c r="D396" s="3" t="s">
        <v>5</v>
      </c>
      <c r="E396" s="3" t="s">
        <v>8</v>
      </c>
      <c r="F396" t="s">
        <v>1038</v>
      </c>
      <c r="G396" s="3" t="s">
        <v>1224</v>
      </c>
      <c r="H396" s="7" t="s">
        <v>1184</v>
      </c>
      <c r="I396" s="3" t="str">
        <f>IFERROR(VLOOKUP(C396,'Справочник соответствий'!A$2:D$2996,2,FALSE),IF(VALUE(C396)=0,1,VLOOKUP(C396,'Справочник соответствий'!A$2:D$2996,2,FALSE)))</f>
        <v>2</v>
      </c>
      <c r="J396" s="3" t="str">
        <f>IFERROR(VLOOKUP(D396,'Справочник соответствий'!A$2:D$2996,2,FALSE),IF(VALUE(D396)=0,0,VLOOKUP(D396,'Справочник соответствий'!A$2:D$2996,2,FALSE)))</f>
        <v>1</v>
      </c>
      <c r="K396" s="3" t="str">
        <f t="shared" si="42"/>
        <v>2</v>
      </c>
      <c r="L396" s="13" t="str">
        <f>IFERROR(VLOOKUP(C396,'Справочник соответствий'!A$2:D$2996,3,FALSE),IF(VALUE(C396)=0,"ЭТАЖ НЕ ОПРЕДЕЛЕН. ПРИНЯТ ПО ДОПУЩЕНИЮ 1",VLOOKUP(C396,'Справочник соответствий'!A$2:D$2996,3,FALSE)))</f>
        <v>ЭТАЖ ЗАДАН ЧИСЛОМ</v>
      </c>
      <c r="M396" s="13" t="b">
        <f t="shared" si="43"/>
        <v>0</v>
      </c>
      <c r="N396" s="13">
        <f t="shared" si="44"/>
        <v>2</v>
      </c>
      <c r="O396" s="13" t="str">
        <f t="shared" si="45"/>
        <v>ЭТАЖ ЗАДАН ЧИСЛОМ</v>
      </c>
      <c r="P396" s="13" t="str">
        <f t="shared" si="46"/>
        <v>ЭТАЖ ЗАДАН ЧИСЛОМ</v>
      </c>
      <c r="Q396" s="13" t="str">
        <f t="shared" si="47"/>
        <v>ГОТОВ_ИЗМЕНЕН</v>
      </c>
      <c r="R396" s="13">
        <f>IFERROR(VLOOKUP(P396,Лист1!A$1:B$20,2,FALSE),0)</f>
        <v>784</v>
      </c>
      <c r="S396" s="13">
        <f t="shared" si="48"/>
        <v>3</v>
      </c>
    </row>
    <row r="397" spans="1:19" x14ac:dyDescent="0.25">
      <c r="A397" t="s">
        <v>1595</v>
      </c>
      <c r="B397" s="4" t="s">
        <v>1190</v>
      </c>
      <c r="C397" s="3" t="s">
        <v>5</v>
      </c>
      <c r="D397" s="3" t="s">
        <v>5</v>
      </c>
      <c r="E397" s="3" t="s">
        <v>5</v>
      </c>
      <c r="F397" t="s">
        <v>1045</v>
      </c>
      <c r="G397" s="3" t="s">
        <v>1183</v>
      </c>
      <c r="H397" s="7" t="s">
        <v>1184</v>
      </c>
      <c r="I397" s="3" t="str">
        <f>IFERROR(VLOOKUP(C397,'Справочник соответствий'!A$2:D$2996,2,FALSE),IF(VALUE(C397)=0,1,VLOOKUP(C397,'Справочник соответствий'!A$2:D$2996,2,FALSE)))</f>
        <v>1</v>
      </c>
      <c r="J397" s="3" t="str">
        <f>IFERROR(VLOOKUP(D397,'Справочник соответствий'!A$2:D$2996,2,FALSE),IF(VALUE(D397)=0,0,VLOOKUP(D397,'Справочник соответствий'!A$2:D$2996,2,FALSE)))</f>
        <v>1</v>
      </c>
      <c r="K397" s="3" t="str">
        <f t="shared" si="42"/>
        <v>1</v>
      </c>
      <c r="L397" s="13" t="str">
        <f>IFERROR(VLOOKUP(C397,'Справочник соответствий'!A$2:D$2996,3,FALSE),IF(VALUE(C397)=0,"ЭТАЖ НЕ ОПРЕДЕЛЕН. ПРИНЯТ ПО ДОПУЩЕНИЮ 1",VLOOKUP(C397,'Справочник соответствий'!A$2:D$2996,3,FALSE)))</f>
        <v>ЭТАЖ ЗАДАН ЧИСЛОМ</v>
      </c>
      <c r="M397" s="13" t="b">
        <f t="shared" si="43"/>
        <v>1</v>
      </c>
      <c r="N397" s="13">
        <f t="shared" si="44"/>
        <v>1</v>
      </c>
      <c r="O397" s="13" t="str">
        <f t="shared" si="45"/>
        <v>ЭТАЖ ЗАДАН ЧИСЛОМ</v>
      </c>
      <c r="P397" s="13" t="str">
        <f t="shared" si="46"/>
        <v>ЭТАЖ ЗАДАН ЧИСЛОМ</v>
      </c>
      <c r="Q397" s="13" t="str">
        <f t="shared" si="47"/>
        <v>ГОТОВ</v>
      </c>
      <c r="R397" s="13">
        <f>IFERROR(VLOOKUP(P397,Лист1!A$1:B$20,2,FALSE),0)</f>
        <v>784</v>
      </c>
      <c r="S397" s="13">
        <f t="shared" si="48"/>
        <v>1</v>
      </c>
    </row>
    <row r="398" spans="1:19" x14ac:dyDescent="0.25">
      <c r="A398" t="s">
        <v>1596</v>
      </c>
      <c r="B398" s="4" t="s">
        <v>1190</v>
      </c>
      <c r="C398" s="3" t="s">
        <v>7</v>
      </c>
      <c r="E398" s="3" t="s">
        <v>5</v>
      </c>
      <c r="F398" t="s">
        <v>1038</v>
      </c>
      <c r="G398" s="3" t="s">
        <v>1191</v>
      </c>
      <c r="H398" s="7" t="s">
        <v>1184</v>
      </c>
      <c r="I398" s="3" t="str">
        <f>IFERROR(VLOOKUP(C398,'Справочник соответствий'!A$2:D$2996,2,FALSE),IF(VALUE(C398)=0,1,VLOOKUP(C398,'Справочник соответствий'!A$2:D$2996,2,FALSE)))</f>
        <v>2</v>
      </c>
      <c r="J398" s="3">
        <f>IFERROR(VLOOKUP(D398,'Справочник соответствий'!A$2:D$2996,2,FALSE),IF(VALUE(D398)=0,0,VLOOKUP(D398,'Справочник соответствий'!A$2:D$2996,2,FALSE)))</f>
        <v>0</v>
      </c>
      <c r="K398" s="3" t="str">
        <f t="shared" si="42"/>
        <v>2</v>
      </c>
      <c r="L398" s="13" t="str">
        <f>IFERROR(VLOOKUP(C398,'Справочник соответствий'!A$2:D$2996,3,FALSE),IF(VALUE(C398)=0,"ЭТАЖ НЕ ОПРЕДЕЛЕН. ПРИНЯТ ПО ДОПУЩЕНИЮ 1",VLOOKUP(C398,'Справочник соответствий'!A$2:D$2996,3,FALSE)))</f>
        <v>ЭТАЖ ЗАДАН ЧИСЛОМ</v>
      </c>
      <c r="M398" s="13" t="b">
        <f t="shared" si="43"/>
        <v>0</v>
      </c>
      <c r="N398" s="13">
        <f t="shared" si="44"/>
        <v>2</v>
      </c>
      <c r="O398" s="13" t="str">
        <f t="shared" si="45"/>
        <v>ЭТАЖ ЗАДАН ЧИСЛОМ</v>
      </c>
      <c r="P398" s="13" t="str">
        <f t="shared" si="46"/>
        <v>ЭТАЖ ЗАДАН ЧИСЛОМ</v>
      </c>
      <c r="Q398" s="13" t="str">
        <f t="shared" si="47"/>
        <v>ГОТОВ_ИЗМЕНЕН</v>
      </c>
      <c r="R398" s="13">
        <f>IFERROR(VLOOKUP(P398,Лист1!A$1:B$20,2,FALSE),0)</f>
        <v>784</v>
      </c>
      <c r="S398" s="13">
        <f t="shared" si="48"/>
        <v>1</v>
      </c>
    </row>
    <row r="399" spans="1:19" x14ac:dyDescent="0.25">
      <c r="A399" t="s">
        <v>1597</v>
      </c>
      <c r="B399" s="4" t="s">
        <v>1190</v>
      </c>
      <c r="C399" s="3" t="s">
        <v>5</v>
      </c>
      <c r="D399" s="3" t="s">
        <v>5</v>
      </c>
      <c r="E399" s="3" t="s">
        <v>5</v>
      </c>
      <c r="F399" t="s">
        <v>1038</v>
      </c>
      <c r="G399" s="3" t="s">
        <v>1183</v>
      </c>
      <c r="H399" s="7" t="s">
        <v>1184</v>
      </c>
      <c r="I399" s="3" t="str">
        <f>IFERROR(VLOOKUP(C399,'Справочник соответствий'!A$2:D$2996,2,FALSE),IF(VALUE(C399)=0,1,VLOOKUP(C399,'Справочник соответствий'!A$2:D$2996,2,FALSE)))</f>
        <v>1</v>
      </c>
      <c r="J399" s="3" t="str">
        <f>IFERROR(VLOOKUP(D399,'Справочник соответствий'!A$2:D$2996,2,FALSE),IF(VALUE(D399)=0,0,VLOOKUP(D399,'Справочник соответствий'!A$2:D$2996,2,FALSE)))</f>
        <v>1</v>
      </c>
      <c r="K399" s="3" t="str">
        <f t="shared" si="42"/>
        <v>1</v>
      </c>
      <c r="L399" s="13" t="str">
        <f>IFERROR(VLOOKUP(C399,'Справочник соответствий'!A$2:D$2996,3,FALSE),IF(VALUE(C399)=0,"ЭТАЖ НЕ ОПРЕДЕЛЕН. ПРИНЯТ ПО ДОПУЩЕНИЮ 1",VLOOKUP(C399,'Справочник соответствий'!A$2:D$2996,3,FALSE)))</f>
        <v>ЭТАЖ ЗАДАН ЧИСЛОМ</v>
      </c>
      <c r="M399" s="13" t="b">
        <f t="shared" si="43"/>
        <v>1</v>
      </c>
      <c r="N399" s="13">
        <f t="shared" si="44"/>
        <v>1</v>
      </c>
      <c r="O399" s="13" t="str">
        <f t="shared" si="45"/>
        <v>ЭТАЖ ЗАДАН ЧИСЛОМ</v>
      </c>
      <c r="P399" s="13" t="str">
        <f t="shared" si="46"/>
        <v>ЭТАЖ ЗАДАН ЧИСЛОМ</v>
      </c>
      <c r="Q399" s="13" t="str">
        <f t="shared" si="47"/>
        <v>ГОТОВ</v>
      </c>
      <c r="R399" s="13">
        <f>IFERROR(VLOOKUP(P399,Лист1!A$1:B$20,2,FALSE),0)</f>
        <v>784</v>
      </c>
      <c r="S399" s="13">
        <f t="shared" si="48"/>
        <v>1</v>
      </c>
    </row>
    <row r="400" spans="1:19" x14ac:dyDescent="0.25">
      <c r="A400" t="s">
        <v>1598</v>
      </c>
      <c r="B400" s="4" t="s">
        <v>1190</v>
      </c>
      <c r="C400" s="3" t="s">
        <v>7</v>
      </c>
      <c r="D400" s="3" t="s">
        <v>5</v>
      </c>
      <c r="E400" s="3" t="s">
        <v>7</v>
      </c>
      <c r="F400" t="s">
        <v>1045</v>
      </c>
      <c r="G400" s="3" t="s">
        <v>1198</v>
      </c>
      <c r="H400" s="7" t="s">
        <v>1184</v>
      </c>
      <c r="I400" s="3" t="str">
        <f>IFERROR(VLOOKUP(C400,'Справочник соответствий'!A$2:D$2996,2,FALSE),IF(VALUE(C400)=0,1,VLOOKUP(C400,'Справочник соответствий'!A$2:D$2996,2,FALSE)))</f>
        <v>2</v>
      </c>
      <c r="J400" s="3" t="str">
        <f>IFERROR(VLOOKUP(D400,'Справочник соответствий'!A$2:D$2996,2,FALSE),IF(VALUE(D400)=0,0,VLOOKUP(D400,'Справочник соответствий'!A$2:D$2996,2,FALSE)))</f>
        <v>1</v>
      </c>
      <c r="K400" s="3" t="str">
        <f t="shared" si="42"/>
        <v>2</v>
      </c>
      <c r="L400" s="13" t="str">
        <f>IFERROR(VLOOKUP(C400,'Справочник соответствий'!A$2:D$2996,3,FALSE),IF(VALUE(C400)=0,"ЭТАЖ НЕ ОПРЕДЕЛЕН. ПРИНЯТ ПО ДОПУЩЕНИЮ 1",VLOOKUP(C400,'Справочник соответствий'!A$2:D$2996,3,FALSE)))</f>
        <v>ЭТАЖ ЗАДАН ЧИСЛОМ</v>
      </c>
      <c r="M400" s="13" t="b">
        <f t="shared" si="43"/>
        <v>1</v>
      </c>
      <c r="N400" s="13">
        <f t="shared" si="44"/>
        <v>2</v>
      </c>
      <c r="O400" s="13" t="str">
        <f t="shared" si="45"/>
        <v>ЭТАЖ ЗАДАН ЧИСЛОМ</v>
      </c>
      <c r="P400" s="13" t="str">
        <f t="shared" si="46"/>
        <v>ЭТАЖ ЗАДАН ЧИСЛОМ</v>
      </c>
      <c r="Q400" s="13" t="str">
        <f t="shared" si="47"/>
        <v>ГОТОВ</v>
      </c>
      <c r="R400" s="13">
        <f>IFERROR(VLOOKUP(P400,Лист1!A$1:B$20,2,FALSE),0)</f>
        <v>784</v>
      </c>
      <c r="S400" s="13">
        <f t="shared" si="48"/>
        <v>2</v>
      </c>
    </row>
    <row r="401" spans="1:19" x14ac:dyDescent="0.25">
      <c r="A401" t="s">
        <v>1599</v>
      </c>
      <c r="B401" s="4" t="s">
        <v>1182</v>
      </c>
      <c r="C401" s="3" t="s">
        <v>5</v>
      </c>
      <c r="D401" s="3" t="s">
        <v>1600</v>
      </c>
      <c r="E401" s="3" t="s">
        <v>5</v>
      </c>
      <c r="F401" t="s">
        <v>1045</v>
      </c>
      <c r="G401" s="3" t="s">
        <v>1187</v>
      </c>
      <c r="H401" s="7" t="s">
        <v>1184</v>
      </c>
      <c r="I401" s="3" t="str">
        <f>IFERROR(VLOOKUP(C401,'Справочник соответствий'!A$2:D$2996,2,FALSE),IF(VALUE(C401)=0,1,VLOOKUP(C401,'Справочник соответствий'!A$2:D$2996,2,FALSE)))</f>
        <v>1</v>
      </c>
      <c r="J401" s="3" t="e">
        <f>IFERROR(VLOOKUP(D401,'Справочник соответствий'!A$2:D$2996,2,FALSE),IF(VALUE(D401)=0,0,VLOOKUP(D401,'Справочник соответствий'!A$2:D$2996,2,FALSE)))</f>
        <v>#VALUE!</v>
      </c>
      <c r="K401" s="3" t="str">
        <f t="shared" si="42"/>
        <v>1</v>
      </c>
      <c r="L401" s="13" t="str">
        <f>IFERROR(VLOOKUP(C401,'Справочник соответствий'!A$2:D$2996,3,FALSE),IF(VALUE(C401)=0,"ЭТАЖ НЕ ОПРЕДЕЛЕН. ПРИНЯТ ПО ДОПУЩЕНИЮ 1",VLOOKUP(C401,'Справочник соответствий'!A$2:D$2996,3,FALSE)))</f>
        <v>ЭТАЖ ЗАДАН ЧИСЛОМ</v>
      </c>
      <c r="M401" s="13" t="b">
        <f t="shared" si="43"/>
        <v>1</v>
      </c>
      <c r="N401" s="13">
        <f t="shared" si="44"/>
        <v>1</v>
      </c>
      <c r="O401" s="13" t="str">
        <f t="shared" si="45"/>
        <v>ЭТАЖ ЗАДАН ЧИСЛОМ</v>
      </c>
      <c r="P401" s="13" t="str">
        <f t="shared" si="46"/>
        <v>ЭТАЖ ЗАДАН ЧИСЛОМ</v>
      </c>
      <c r="Q401" s="13" t="str">
        <f t="shared" si="47"/>
        <v>ГОТОВ</v>
      </c>
      <c r="R401" s="13">
        <f>IFERROR(VLOOKUP(P401,Лист1!A$1:B$20,2,FALSE),0)</f>
        <v>784</v>
      </c>
      <c r="S401" s="13">
        <f t="shared" si="48"/>
        <v>1</v>
      </c>
    </row>
    <row r="402" spans="1:19" x14ac:dyDescent="0.25">
      <c r="A402" t="s">
        <v>1601</v>
      </c>
      <c r="B402" s="4" t="s">
        <v>1190</v>
      </c>
      <c r="C402" s="3" t="s">
        <v>5</v>
      </c>
      <c r="G402" s="3" t="s">
        <v>1187</v>
      </c>
      <c r="I402" s="3" t="str">
        <f>IFERROR(VLOOKUP(C402,'Справочник соответствий'!A$2:D$2996,2,FALSE),IF(VALUE(C402)=0,1,VLOOKUP(C402,'Справочник соответствий'!A$2:D$2996,2,FALSE)))</f>
        <v>1</v>
      </c>
      <c r="J402" s="3">
        <f>IFERROR(VLOOKUP(D402,'Справочник соответствий'!A$2:D$2996,2,FALSE),IF(VALUE(D402)=0,0,VLOOKUP(D402,'Справочник соответствий'!A$2:D$2996,2,FALSE)))</f>
        <v>0</v>
      </c>
      <c r="K402" s="3" t="str">
        <f t="shared" si="42"/>
        <v>1</v>
      </c>
      <c r="L402" s="13" t="str">
        <f>IFERROR(VLOOKUP(C402,'Справочник соответствий'!A$2:D$2996,3,FALSE),IF(VALUE(C402)=0,"ЭТАЖ НЕ ОПРЕДЕЛЕН. ПРИНЯТ ПО ДОПУЩЕНИЮ 1",VLOOKUP(C402,'Справочник соответствий'!A$2:D$2996,3,FALSE)))</f>
        <v>ЭТАЖ ЗАДАН ЧИСЛОМ</v>
      </c>
      <c r="M402" s="13" t="b">
        <f t="shared" si="43"/>
        <v>0</v>
      </c>
      <c r="N402" s="13">
        <f t="shared" si="44"/>
        <v>1</v>
      </c>
      <c r="O402" s="13" t="str">
        <f t="shared" si="45"/>
        <v>ЭТАЖ ЗАДАН ЧИСЛОМ</v>
      </c>
      <c r="P402" s="13" t="str">
        <f t="shared" si="46"/>
        <v>ЭТАЖ ЗАДАН ЧИСЛОМ</v>
      </c>
      <c r="Q402" s="13" t="str">
        <f t="shared" si="47"/>
        <v>ГОТОВ_ИЗМЕНЕН</v>
      </c>
      <c r="R402" s="13">
        <f>IFERROR(VLOOKUP(P402,Лист1!A$1:B$20,2,FALSE),0)</f>
        <v>784</v>
      </c>
      <c r="S402" s="13">
        <f t="shared" si="48"/>
        <v>0</v>
      </c>
    </row>
    <row r="403" spans="1:19" x14ac:dyDescent="0.25">
      <c r="A403" t="s">
        <v>1602</v>
      </c>
      <c r="B403" s="4" t="s">
        <v>1190</v>
      </c>
      <c r="C403" s="3" t="s">
        <v>7</v>
      </c>
      <c r="G403" s="3" t="s">
        <v>1187</v>
      </c>
      <c r="I403" s="3" t="str">
        <f>IFERROR(VLOOKUP(C403,'Справочник соответствий'!A$2:D$2996,2,FALSE),IF(VALUE(C403)=0,1,VLOOKUP(C403,'Справочник соответствий'!A$2:D$2996,2,FALSE)))</f>
        <v>2</v>
      </c>
      <c r="J403" s="3">
        <f>IFERROR(VLOOKUP(D403,'Справочник соответствий'!A$2:D$2996,2,FALSE),IF(VALUE(D403)=0,0,VLOOKUP(D403,'Справочник соответствий'!A$2:D$2996,2,FALSE)))</f>
        <v>0</v>
      </c>
      <c r="K403" s="3" t="str">
        <f t="shared" si="42"/>
        <v>2</v>
      </c>
      <c r="L403" s="13" t="str">
        <f>IFERROR(VLOOKUP(C403,'Справочник соответствий'!A$2:D$2996,3,FALSE),IF(VALUE(C403)=0,"ЭТАЖ НЕ ОПРЕДЕЛЕН. ПРИНЯТ ПО ДОПУЩЕНИЮ 1",VLOOKUP(C403,'Справочник соответствий'!A$2:D$2996,3,FALSE)))</f>
        <v>ЭТАЖ ЗАДАН ЧИСЛОМ</v>
      </c>
      <c r="M403" s="13" t="b">
        <f t="shared" si="43"/>
        <v>0</v>
      </c>
      <c r="N403" s="13">
        <f t="shared" si="44"/>
        <v>2</v>
      </c>
      <c r="O403" s="13" t="str">
        <f t="shared" si="45"/>
        <v>ЭТАЖ ЗАДАН ЧИСЛОМ</v>
      </c>
      <c r="P403" s="13" t="str">
        <f t="shared" si="46"/>
        <v>ЭТАЖ ЗАДАН ЧИСЛОМ</v>
      </c>
      <c r="Q403" s="13" t="str">
        <f t="shared" si="47"/>
        <v>ГОТОВ_ИЗМЕНЕН</v>
      </c>
      <c r="R403" s="13">
        <f>IFERROR(VLOOKUP(P403,Лист1!A$1:B$20,2,FALSE),0)</f>
        <v>784</v>
      </c>
      <c r="S403" s="13">
        <f t="shared" si="48"/>
        <v>0</v>
      </c>
    </row>
    <row r="404" spans="1:19" x14ac:dyDescent="0.25">
      <c r="A404" t="s">
        <v>1603</v>
      </c>
      <c r="B404" s="4" t="s">
        <v>1190</v>
      </c>
      <c r="C404" s="3" t="s">
        <v>5</v>
      </c>
      <c r="G404" s="3" t="s">
        <v>1187</v>
      </c>
      <c r="I404" s="3" t="str">
        <f>IFERROR(VLOOKUP(C404,'Справочник соответствий'!A$2:D$2996,2,FALSE),IF(VALUE(C404)=0,1,VLOOKUP(C404,'Справочник соответствий'!A$2:D$2996,2,FALSE)))</f>
        <v>1</v>
      </c>
      <c r="J404" s="3">
        <f>IFERROR(VLOOKUP(D404,'Справочник соответствий'!A$2:D$2996,2,FALSE),IF(VALUE(D404)=0,0,VLOOKUP(D404,'Справочник соответствий'!A$2:D$2996,2,FALSE)))</f>
        <v>0</v>
      </c>
      <c r="K404" s="3" t="str">
        <f t="shared" si="42"/>
        <v>1</v>
      </c>
      <c r="L404" s="13" t="str">
        <f>IFERROR(VLOOKUP(C404,'Справочник соответствий'!A$2:D$2996,3,FALSE),IF(VALUE(C404)=0,"ЭТАЖ НЕ ОПРЕДЕЛЕН. ПРИНЯТ ПО ДОПУЩЕНИЮ 1",VLOOKUP(C404,'Справочник соответствий'!A$2:D$2996,3,FALSE)))</f>
        <v>ЭТАЖ ЗАДАН ЧИСЛОМ</v>
      </c>
      <c r="M404" s="13" t="b">
        <f t="shared" si="43"/>
        <v>0</v>
      </c>
      <c r="N404" s="13">
        <f t="shared" si="44"/>
        <v>1</v>
      </c>
      <c r="O404" s="13" t="str">
        <f t="shared" si="45"/>
        <v>ЭТАЖ ЗАДАН ЧИСЛОМ</v>
      </c>
      <c r="P404" s="13" t="str">
        <f t="shared" si="46"/>
        <v>ЭТАЖ ЗАДАН ЧИСЛОМ</v>
      </c>
      <c r="Q404" s="13" t="str">
        <f t="shared" si="47"/>
        <v>ГОТОВ_ИЗМЕНЕН</v>
      </c>
      <c r="R404" s="13">
        <f>IFERROR(VLOOKUP(P404,Лист1!A$1:B$20,2,FALSE),0)</f>
        <v>784</v>
      </c>
      <c r="S404" s="13">
        <f t="shared" si="48"/>
        <v>0</v>
      </c>
    </row>
    <row r="405" spans="1:19" x14ac:dyDescent="0.25">
      <c r="A405" t="s">
        <v>1604</v>
      </c>
      <c r="B405" s="4" t="s">
        <v>1190</v>
      </c>
      <c r="C405" s="3" t="s">
        <v>7</v>
      </c>
      <c r="G405" s="3" t="s">
        <v>1187</v>
      </c>
      <c r="I405" s="3" t="str">
        <f>IFERROR(VLOOKUP(C405,'Справочник соответствий'!A$2:D$2996,2,FALSE),IF(VALUE(C405)=0,1,VLOOKUP(C405,'Справочник соответствий'!A$2:D$2996,2,FALSE)))</f>
        <v>2</v>
      </c>
      <c r="J405" s="3">
        <f>IFERROR(VLOOKUP(D405,'Справочник соответствий'!A$2:D$2996,2,FALSE),IF(VALUE(D405)=0,0,VLOOKUP(D405,'Справочник соответствий'!A$2:D$2996,2,FALSE)))</f>
        <v>0</v>
      </c>
      <c r="K405" s="3" t="str">
        <f t="shared" si="42"/>
        <v>2</v>
      </c>
      <c r="L405" s="13" t="str">
        <f>IFERROR(VLOOKUP(C405,'Справочник соответствий'!A$2:D$2996,3,FALSE),IF(VALUE(C405)=0,"ЭТАЖ НЕ ОПРЕДЕЛЕН. ПРИНЯТ ПО ДОПУЩЕНИЮ 1",VLOOKUP(C405,'Справочник соответствий'!A$2:D$2996,3,FALSE)))</f>
        <v>ЭТАЖ ЗАДАН ЧИСЛОМ</v>
      </c>
      <c r="M405" s="13" t="b">
        <f t="shared" si="43"/>
        <v>0</v>
      </c>
      <c r="N405" s="13">
        <f t="shared" si="44"/>
        <v>2</v>
      </c>
      <c r="O405" s="13" t="str">
        <f t="shared" si="45"/>
        <v>ЭТАЖ ЗАДАН ЧИСЛОМ</v>
      </c>
      <c r="P405" s="13" t="str">
        <f t="shared" si="46"/>
        <v>ЭТАЖ ЗАДАН ЧИСЛОМ</v>
      </c>
      <c r="Q405" s="13" t="str">
        <f t="shared" si="47"/>
        <v>ГОТОВ_ИЗМЕНЕН</v>
      </c>
      <c r="R405" s="13">
        <f>IFERROR(VLOOKUP(P405,Лист1!A$1:B$20,2,FALSE),0)</f>
        <v>784</v>
      </c>
      <c r="S405" s="13">
        <f t="shared" si="48"/>
        <v>0</v>
      </c>
    </row>
    <row r="406" spans="1:19" x14ac:dyDescent="0.25">
      <c r="A406" t="s">
        <v>1605</v>
      </c>
      <c r="B406" s="4" t="s">
        <v>1182</v>
      </c>
      <c r="C406" s="3" t="s">
        <v>5</v>
      </c>
      <c r="E406" s="3" t="s">
        <v>5</v>
      </c>
      <c r="F406" t="s">
        <v>1045</v>
      </c>
      <c r="G406" s="3" t="s">
        <v>1198</v>
      </c>
      <c r="H406" s="7" t="s">
        <v>1184</v>
      </c>
      <c r="I406" s="3" t="str">
        <f>IFERROR(VLOOKUP(C406,'Справочник соответствий'!A$2:D$2996,2,FALSE),IF(VALUE(C406)=0,1,VLOOKUP(C406,'Справочник соответствий'!A$2:D$2996,2,FALSE)))</f>
        <v>1</v>
      </c>
      <c r="J406" s="3">
        <f>IFERROR(VLOOKUP(D406,'Справочник соответствий'!A$2:D$2996,2,FALSE),IF(VALUE(D406)=0,0,VLOOKUP(D406,'Справочник соответствий'!A$2:D$2996,2,FALSE)))</f>
        <v>0</v>
      </c>
      <c r="K406" s="3" t="str">
        <f t="shared" si="42"/>
        <v>1</v>
      </c>
      <c r="L406" s="13" t="str">
        <f>IFERROR(VLOOKUP(C406,'Справочник соответствий'!A$2:D$2996,3,FALSE),IF(VALUE(C406)=0,"ЭТАЖ НЕ ОПРЕДЕЛЕН. ПРИНЯТ ПО ДОПУЩЕНИЮ 1",VLOOKUP(C406,'Справочник соответствий'!A$2:D$2996,3,FALSE)))</f>
        <v>ЭТАЖ ЗАДАН ЧИСЛОМ</v>
      </c>
      <c r="M406" s="13" t="b">
        <f t="shared" si="43"/>
        <v>1</v>
      </c>
      <c r="N406" s="13">
        <f t="shared" si="44"/>
        <v>1</v>
      </c>
      <c r="O406" s="13" t="str">
        <f t="shared" si="45"/>
        <v>ЭТАЖ ЗАДАН ЧИСЛОМ</v>
      </c>
      <c r="P406" s="13" t="str">
        <f t="shared" si="46"/>
        <v>ЭТАЖ ЗАДАН ЧИСЛОМ</v>
      </c>
      <c r="Q406" s="13" t="str">
        <f t="shared" si="47"/>
        <v>ГОТОВ</v>
      </c>
      <c r="R406" s="13">
        <f>IFERROR(VLOOKUP(P406,Лист1!A$1:B$20,2,FALSE),0)</f>
        <v>784</v>
      </c>
      <c r="S406" s="13">
        <f t="shared" si="48"/>
        <v>1</v>
      </c>
    </row>
    <row r="407" spans="1:19" x14ac:dyDescent="0.25">
      <c r="A407" t="s">
        <v>1606</v>
      </c>
      <c r="B407" s="4" t="s">
        <v>1190</v>
      </c>
      <c r="C407" s="3" t="s">
        <v>5</v>
      </c>
      <c r="G407" s="3" t="s">
        <v>1191</v>
      </c>
      <c r="I407" s="3" t="str">
        <f>IFERROR(VLOOKUP(C407,'Справочник соответствий'!A$2:D$2996,2,FALSE),IF(VALUE(C407)=0,1,VLOOKUP(C407,'Справочник соответствий'!A$2:D$2996,2,FALSE)))</f>
        <v>1</v>
      </c>
      <c r="J407" s="3">
        <f>IFERROR(VLOOKUP(D407,'Справочник соответствий'!A$2:D$2996,2,FALSE),IF(VALUE(D407)=0,0,VLOOKUP(D407,'Справочник соответствий'!A$2:D$2996,2,FALSE)))</f>
        <v>0</v>
      </c>
      <c r="K407" s="3" t="str">
        <f t="shared" si="42"/>
        <v>1</v>
      </c>
      <c r="L407" s="13" t="str">
        <f>IFERROR(VLOOKUP(C407,'Справочник соответствий'!A$2:D$2996,3,FALSE),IF(VALUE(C407)=0,"ЭТАЖ НЕ ОПРЕДЕЛЕН. ПРИНЯТ ПО ДОПУЩЕНИЮ 1",VLOOKUP(C407,'Справочник соответствий'!A$2:D$2996,3,FALSE)))</f>
        <v>ЭТАЖ ЗАДАН ЧИСЛОМ</v>
      </c>
      <c r="M407" s="13" t="b">
        <f t="shared" si="43"/>
        <v>0</v>
      </c>
      <c r="N407" s="13">
        <f t="shared" si="44"/>
        <v>1</v>
      </c>
      <c r="O407" s="13" t="str">
        <f t="shared" si="45"/>
        <v>ЭТАЖ ЗАДАН ЧИСЛОМ</v>
      </c>
      <c r="P407" s="13" t="str">
        <f t="shared" si="46"/>
        <v>ЭТАЖ ЗАДАН ЧИСЛОМ</v>
      </c>
      <c r="Q407" s="13" t="str">
        <f t="shared" si="47"/>
        <v>ГОТОВ_ИЗМЕНЕН</v>
      </c>
      <c r="R407" s="13">
        <f>IFERROR(VLOOKUP(P407,Лист1!A$1:B$20,2,FALSE),0)</f>
        <v>784</v>
      </c>
      <c r="S407" s="13">
        <f t="shared" si="48"/>
        <v>0</v>
      </c>
    </row>
    <row r="408" spans="1:19" x14ac:dyDescent="0.25">
      <c r="A408" t="s">
        <v>1607</v>
      </c>
      <c r="B408" s="4" t="s">
        <v>1190</v>
      </c>
      <c r="G408" s="3" t="s">
        <v>1191</v>
      </c>
      <c r="I408" s="3">
        <f>IFERROR(VLOOKUP(C408,'Справочник соответствий'!A$2:D$2996,2,FALSE),IF(VALUE(C408)=0,1,VLOOKUP(C408,'Справочник соответствий'!A$2:D$2996,2,FALSE)))</f>
        <v>1</v>
      </c>
      <c r="J408" s="3">
        <f>IFERROR(VLOOKUP(D408,'Справочник соответствий'!A$2:D$2996,2,FALSE),IF(VALUE(D408)=0,0,VLOOKUP(D408,'Справочник соответствий'!A$2:D$2996,2,FALSE)))</f>
        <v>0</v>
      </c>
      <c r="K408" s="3">
        <f t="shared" si="42"/>
        <v>1</v>
      </c>
      <c r="L408" s="13" t="str">
        <f>IFERROR(VLOOKUP(C408,'Справочник соответствий'!A$2:D$2996,3,FALSE),IF(VALUE(C408)=0,"ЭТАЖ НЕ ОПРЕДЕЛЕН. ПРИНЯТ ПО ДОПУЩЕНИЮ 1",VLOOKUP(C408,'Справочник соответствий'!A$2:D$2996,3,FALSE)))</f>
        <v>ЭТАЖ НЕ ОПРЕДЕЛЕН. ПРИНЯТ ПО ДОПУЩЕНИЮ 1</v>
      </c>
      <c r="M408" s="13" t="b">
        <f t="shared" si="43"/>
        <v>0</v>
      </c>
      <c r="N408" s="13">
        <f t="shared" si="44"/>
        <v>1</v>
      </c>
      <c r="O408" s="13" t="str">
        <f t="shared" si="45"/>
        <v>ЭТАЖ НЕ ОПРЕДЕЛЕН. ПРИНЯТ ПО ДОПУЩЕНИЮ 1</v>
      </c>
      <c r="P408" s="13" t="str">
        <f t="shared" si="46"/>
        <v>ЭТАЖ НЕ ОПРЕДЕЛЕН. ПРИНЯТ ПО ДОПУЩЕНИЮ 1</v>
      </c>
      <c r="Q408" s="13" t="str">
        <f t="shared" si="47"/>
        <v>ГОТОВ_ИЗМЕНЕН</v>
      </c>
      <c r="R408" s="13">
        <f>IFERROR(VLOOKUP(P408,Лист1!A$1:B$20,2,FALSE),0)</f>
        <v>788</v>
      </c>
      <c r="S408" s="13">
        <f t="shared" si="48"/>
        <v>0</v>
      </c>
    </row>
    <row r="409" spans="1:19" x14ac:dyDescent="0.25">
      <c r="A409" t="s">
        <v>1608</v>
      </c>
      <c r="B409" s="4" t="s">
        <v>1190</v>
      </c>
      <c r="C409" s="3" t="s">
        <v>5</v>
      </c>
      <c r="G409" s="3" t="s">
        <v>1191</v>
      </c>
      <c r="I409" s="3" t="str">
        <f>IFERROR(VLOOKUP(C409,'Справочник соответствий'!A$2:D$2996,2,FALSE),IF(VALUE(C409)=0,1,VLOOKUP(C409,'Справочник соответствий'!A$2:D$2996,2,FALSE)))</f>
        <v>1</v>
      </c>
      <c r="J409" s="3">
        <f>IFERROR(VLOOKUP(D409,'Справочник соответствий'!A$2:D$2996,2,FALSE),IF(VALUE(D409)=0,0,VLOOKUP(D409,'Справочник соответствий'!A$2:D$2996,2,FALSE)))</f>
        <v>0</v>
      </c>
      <c r="K409" s="3" t="str">
        <f t="shared" si="42"/>
        <v>1</v>
      </c>
      <c r="L409" s="13" t="str">
        <f>IFERROR(VLOOKUP(C409,'Справочник соответствий'!A$2:D$2996,3,FALSE),IF(VALUE(C409)=0,"ЭТАЖ НЕ ОПРЕДЕЛЕН. ПРИНЯТ ПО ДОПУЩЕНИЮ 1",VLOOKUP(C409,'Справочник соответствий'!A$2:D$2996,3,FALSE)))</f>
        <v>ЭТАЖ ЗАДАН ЧИСЛОМ</v>
      </c>
      <c r="M409" s="13" t="b">
        <f t="shared" si="43"/>
        <v>0</v>
      </c>
      <c r="N409" s="13">
        <f t="shared" si="44"/>
        <v>1</v>
      </c>
      <c r="O409" s="13" t="str">
        <f t="shared" si="45"/>
        <v>ЭТАЖ ЗАДАН ЧИСЛОМ</v>
      </c>
      <c r="P409" s="13" t="str">
        <f t="shared" si="46"/>
        <v>ЭТАЖ ЗАДАН ЧИСЛОМ</v>
      </c>
      <c r="Q409" s="13" t="str">
        <f t="shared" si="47"/>
        <v>ГОТОВ_ИЗМЕНЕН</v>
      </c>
      <c r="R409" s="13">
        <f>IFERROR(VLOOKUP(P409,Лист1!A$1:B$20,2,FALSE),0)</f>
        <v>784</v>
      </c>
      <c r="S409" s="13">
        <f t="shared" si="48"/>
        <v>0</v>
      </c>
    </row>
    <row r="410" spans="1:19" x14ac:dyDescent="0.25">
      <c r="A410" t="s">
        <v>1609</v>
      </c>
      <c r="B410" s="4" t="s">
        <v>1182</v>
      </c>
      <c r="G410" s="3" t="s">
        <v>1191</v>
      </c>
      <c r="I410" s="3">
        <f>IFERROR(VLOOKUP(C410,'Справочник соответствий'!A$2:D$2996,2,FALSE),IF(VALUE(C410)=0,1,VLOOKUP(C410,'Справочник соответствий'!A$2:D$2996,2,FALSE)))</f>
        <v>1</v>
      </c>
      <c r="J410" s="3">
        <f>IFERROR(VLOOKUP(D410,'Справочник соответствий'!A$2:D$2996,2,FALSE),IF(VALUE(D410)=0,0,VLOOKUP(D410,'Справочник соответствий'!A$2:D$2996,2,FALSE)))</f>
        <v>0</v>
      </c>
      <c r="K410" s="3">
        <f t="shared" si="42"/>
        <v>1</v>
      </c>
      <c r="L410" s="13" t="str">
        <f>IFERROR(VLOOKUP(C410,'Справочник соответствий'!A$2:D$2996,3,FALSE),IF(VALUE(C410)=0,"ЭТАЖ НЕ ОПРЕДЕЛЕН. ПРИНЯТ ПО ДОПУЩЕНИЮ 1",VLOOKUP(C410,'Справочник соответствий'!A$2:D$2996,3,FALSE)))</f>
        <v>ЭТАЖ НЕ ОПРЕДЕЛЕН. ПРИНЯТ ПО ДОПУЩЕНИЮ 1</v>
      </c>
      <c r="M410" s="13" t="b">
        <f t="shared" si="43"/>
        <v>0</v>
      </c>
      <c r="N410" s="13">
        <f t="shared" si="44"/>
        <v>1</v>
      </c>
      <c r="O410" s="13" t="str">
        <f t="shared" si="45"/>
        <v>ЭТАЖ НЕ ОПРЕДЕЛЕН. ПРИНЯТ ПО ДОПУЩЕНИЮ 1</v>
      </c>
      <c r="P410" s="13" t="str">
        <f t="shared" si="46"/>
        <v>ЭТАЖ НЕ ОПРЕДЕЛЕН. ПРИНЯТ ПО ДОПУЩЕНИЮ 1</v>
      </c>
      <c r="Q410" s="13" t="str">
        <f t="shared" si="47"/>
        <v>ГОТОВ_ИЗМЕНЕН</v>
      </c>
      <c r="R410" s="13">
        <f>IFERROR(VLOOKUP(P410,Лист1!A$1:B$20,2,FALSE),0)</f>
        <v>788</v>
      </c>
      <c r="S410" s="13">
        <f t="shared" si="48"/>
        <v>0</v>
      </c>
    </row>
    <row r="411" spans="1:19" x14ac:dyDescent="0.25">
      <c r="A411" t="s">
        <v>1610</v>
      </c>
      <c r="B411" s="4" t="s">
        <v>1190</v>
      </c>
      <c r="C411" s="3" t="s">
        <v>5</v>
      </c>
      <c r="G411" s="3" t="s">
        <v>1191</v>
      </c>
      <c r="I411" s="3" t="str">
        <f>IFERROR(VLOOKUP(C411,'Справочник соответствий'!A$2:D$2996,2,FALSE),IF(VALUE(C411)=0,1,VLOOKUP(C411,'Справочник соответствий'!A$2:D$2996,2,FALSE)))</f>
        <v>1</v>
      </c>
      <c r="J411" s="3">
        <f>IFERROR(VLOOKUP(D411,'Справочник соответствий'!A$2:D$2996,2,FALSE),IF(VALUE(D411)=0,0,VLOOKUP(D411,'Справочник соответствий'!A$2:D$2996,2,FALSE)))</f>
        <v>0</v>
      </c>
      <c r="K411" s="3" t="str">
        <f t="shared" si="42"/>
        <v>1</v>
      </c>
      <c r="L411" s="13" t="str">
        <f>IFERROR(VLOOKUP(C411,'Справочник соответствий'!A$2:D$2996,3,FALSE),IF(VALUE(C411)=0,"ЭТАЖ НЕ ОПРЕДЕЛЕН. ПРИНЯТ ПО ДОПУЩЕНИЮ 1",VLOOKUP(C411,'Справочник соответствий'!A$2:D$2996,3,FALSE)))</f>
        <v>ЭТАЖ ЗАДАН ЧИСЛОМ</v>
      </c>
      <c r="M411" s="13" t="b">
        <f t="shared" si="43"/>
        <v>0</v>
      </c>
      <c r="N411" s="13">
        <f t="shared" si="44"/>
        <v>1</v>
      </c>
      <c r="O411" s="13" t="str">
        <f t="shared" si="45"/>
        <v>ЭТАЖ ЗАДАН ЧИСЛОМ</v>
      </c>
      <c r="P411" s="13" t="str">
        <f t="shared" si="46"/>
        <v>ЭТАЖ ЗАДАН ЧИСЛОМ</v>
      </c>
      <c r="Q411" s="13" t="str">
        <f t="shared" si="47"/>
        <v>ГОТОВ_ИЗМЕНЕН</v>
      </c>
      <c r="R411" s="13">
        <f>IFERROR(VLOOKUP(P411,Лист1!A$1:B$20,2,FALSE),0)</f>
        <v>784</v>
      </c>
      <c r="S411" s="13">
        <f t="shared" si="48"/>
        <v>0</v>
      </c>
    </row>
    <row r="412" spans="1:19" x14ac:dyDescent="0.25">
      <c r="A412" t="s">
        <v>1611</v>
      </c>
      <c r="B412" s="4" t="s">
        <v>1190</v>
      </c>
      <c r="C412" s="3" t="s">
        <v>7</v>
      </c>
      <c r="D412" s="3" t="s">
        <v>5</v>
      </c>
      <c r="G412" s="3" t="s">
        <v>1191</v>
      </c>
      <c r="I412" s="3" t="str">
        <f>IFERROR(VLOOKUP(C412,'Справочник соответствий'!A$2:D$2996,2,FALSE),IF(VALUE(C412)=0,1,VLOOKUP(C412,'Справочник соответствий'!A$2:D$2996,2,FALSE)))</f>
        <v>2</v>
      </c>
      <c r="J412" s="3" t="str">
        <f>IFERROR(VLOOKUP(D412,'Справочник соответствий'!A$2:D$2996,2,FALSE),IF(VALUE(D412)=0,0,VLOOKUP(D412,'Справочник соответствий'!A$2:D$2996,2,FALSE)))</f>
        <v>1</v>
      </c>
      <c r="K412" s="3" t="str">
        <f t="shared" si="42"/>
        <v>2</v>
      </c>
      <c r="L412" s="13" t="str">
        <f>IFERROR(VLOOKUP(C412,'Справочник соответствий'!A$2:D$2996,3,FALSE),IF(VALUE(C412)=0,"ЭТАЖ НЕ ОПРЕДЕЛЕН. ПРИНЯТ ПО ДОПУЩЕНИЮ 1",VLOOKUP(C412,'Справочник соответствий'!A$2:D$2996,3,FALSE)))</f>
        <v>ЭТАЖ ЗАДАН ЧИСЛОМ</v>
      </c>
      <c r="M412" s="13" t="b">
        <f t="shared" si="43"/>
        <v>0</v>
      </c>
      <c r="N412" s="13">
        <f t="shared" si="44"/>
        <v>2</v>
      </c>
      <c r="O412" s="13" t="str">
        <f t="shared" si="45"/>
        <v>ЭТАЖ ЗАДАН ЧИСЛОМ</v>
      </c>
      <c r="P412" s="13" t="str">
        <f t="shared" si="46"/>
        <v>ЭТАЖ ЗАДАН ЧИСЛОМ</v>
      </c>
      <c r="Q412" s="13" t="str">
        <f t="shared" si="47"/>
        <v>ГОТОВ_ИЗМЕНЕН</v>
      </c>
      <c r="R412" s="13">
        <f>IFERROR(VLOOKUP(P412,Лист1!A$1:B$20,2,FALSE),0)</f>
        <v>784</v>
      </c>
      <c r="S412" s="13">
        <f t="shared" si="48"/>
        <v>0</v>
      </c>
    </row>
    <row r="413" spans="1:19" x14ac:dyDescent="0.25">
      <c r="A413" t="s">
        <v>1612</v>
      </c>
      <c r="B413" s="4" t="s">
        <v>1182</v>
      </c>
      <c r="C413" s="3" t="s">
        <v>5</v>
      </c>
      <c r="G413" s="3" t="s">
        <v>1183</v>
      </c>
      <c r="I413" s="3" t="str">
        <f>IFERROR(VLOOKUP(C413,'Справочник соответствий'!A$2:D$2996,2,FALSE),IF(VALUE(C413)=0,1,VLOOKUP(C413,'Справочник соответствий'!A$2:D$2996,2,FALSE)))</f>
        <v>1</v>
      </c>
      <c r="J413" s="3">
        <f>IFERROR(VLOOKUP(D413,'Справочник соответствий'!A$2:D$2996,2,FALSE),IF(VALUE(D413)=0,0,VLOOKUP(D413,'Справочник соответствий'!A$2:D$2996,2,FALSE)))</f>
        <v>0</v>
      </c>
      <c r="K413" s="3" t="str">
        <f t="shared" si="42"/>
        <v>1</v>
      </c>
      <c r="L413" s="13" t="str">
        <f>IFERROR(VLOOKUP(C413,'Справочник соответствий'!A$2:D$2996,3,FALSE),IF(VALUE(C413)=0,"ЭТАЖ НЕ ОПРЕДЕЛЕН. ПРИНЯТ ПО ДОПУЩЕНИЮ 1",VLOOKUP(C413,'Справочник соответствий'!A$2:D$2996,3,FALSE)))</f>
        <v>ЭТАЖ ЗАДАН ЧИСЛОМ</v>
      </c>
      <c r="M413" s="13" t="b">
        <f t="shared" si="43"/>
        <v>0</v>
      </c>
      <c r="N413" s="13">
        <f t="shared" si="44"/>
        <v>1</v>
      </c>
      <c r="O413" s="13" t="str">
        <f t="shared" si="45"/>
        <v>ЭТАЖ ЗАДАН ЧИСЛОМ</v>
      </c>
      <c r="P413" s="13" t="str">
        <f t="shared" si="46"/>
        <v>ЭТАЖ ЗАДАН ЧИСЛОМ</v>
      </c>
      <c r="Q413" s="13" t="str">
        <f t="shared" si="47"/>
        <v>ГОТОВ_ИЗМЕНЕН</v>
      </c>
      <c r="R413" s="13">
        <f>IFERROR(VLOOKUP(P413,Лист1!A$1:B$20,2,FALSE),0)</f>
        <v>784</v>
      </c>
      <c r="S413" s="13">
        <f t="shared" si="48"/>
        <v>0</v>
      </c>
    </row>
    <row r="414" spans="1:19" x14ac:dyDescent="0.25">
      <c r="A414" t="s">
        <v>1613</v>
      </c>
      <c r="B414" s="4" t="s">
        <v>1190</v>
      </c>
      <c r="C414" s="3" t="s">
        <v>5</v>
      </c>
      <c r="G414" s="3" t="s">
        <v>1183</v>
      </c>
      <c r="I414" s="3" t="str">
        <f>IFERROR(VLOOKUP(C414,'Справочник соответствий'!A$2:D$2996,2,FALSE),IF(VALUE(C414)=0,1,VLOOKUP(C414,'Справочник соответствий'!A$2:D$2996,2,FALSE)))</f>
        <v>1</v>
      </c>
      <c r="J414" s="3">
        <f>IFERROR(VLOOKUP(D414,'Справочник соответствий'!A$2:D$2996,2,FALSE),IF(VALUE(D414)=0,0,VLOOKUP(D414,'Справочник соответствий'!A$2:D$2996,2,FALSE)))</f>
        <v>0</v>
      </c>
      <c r="K414" s="3" t="str">
        <f t="shared" si="42"/>
        <v>1</v>
      </c>
      <c r="L414" s="13" t="str">
        <f>IFERROR(VLOOKUP(C414,'Справочник соответствий'!A$2:D$2996,3,FALSE),IF(VALUE(C414)=0,"ЭТАЖ НЕ ОПРЕДЕЛЕН. ПРИНЯТ ПО ДОПУЩЕНИЮ 1",VLOOKUP(C414,'Справочник соответствий'!A$2:D$2996,3,FALSE)))</f>
        <v>ЭТАЖ ЗАДАН ЧИСЛОМ</v>
      </c>
      <c r="M414" s="13" t="b">
        <f t="shared" si="43"/>
        <v>0</v>
      </c>
      <c r="N414" s="13">
        <f t="shared" si="44"/>
        <v>1</v>
      </c>
      <c r="O414" s="13" t="str">
        <f t="shared" si="45"/>
        <v>ЭТАЖ ЗАДАН ЧИСЛОМ</v>
      </c>
      <c r="P414" s="13" t="str">
        <f t="shared" si="46"/>
        <v>ЭТАЖ ЗАДАН ЧИСЛОМ</v>
      </c>
      <c r="Q414" s="13" t="str">
        <f t="shared" si="47"/>
        <v>ГОТОВ_ИЗМЕНЕН</v>
      </c>
      <c r="R414" s="13">
        <f>IFERROR(VLOOKUP(P414,Лист1!A$1:B$20,2,FALSE),0)</f>
        <v>784</v>
      </c>
      <c r="S414" s="13">
        <f t="shared" si="48"/>
        <v>0</v>
      </c>
    </row>
    <row r="415" spans="1:19" x14ac:dyDescent="0.25">
      <c r="A415" t="s">
        <v>1614</v>
      </c>
      <c r="B415" s="4" t="s">
        <v>1190</v>
      </c>
      <c r="C415" s="3" t="s">
        <v>7</v>
      </c>
      <c r="G415" s="3" t="s">
        <v>1183</v>
      </c>
      <c r="I415" s="3" t="str">
        <f>IFERROR(VLOOKUP(C415,'Справочник соответствий'!A$2:D$2996,2,FALSE),IF(VALUE(C415)=0,1,VLOOKUP(C415,'Справочник соответствий'!A$2:D$2996,2,FALSE)))</f>
        <v>2</v>
      </c>
      <c r="J415" s="3">
        <f>IFERROR(VLOOKUP(D415,'Справочник соответствий'!A$2:D$2996,2,FALSE),IF(VALUE(D415)=0,0,VLOOKUP(D415,'Справочник соответствий'!A$2:D$2996,2,FALSE)))</f>
        <v>0</v>
      </c>
      <c r="K415" s="3" t="str">
        <f t="shared" si="42"/>
        <v>2</v>
      </c>
      <c r="L415" s="13" t="str">
        <f>IFERROR(VLOOKUP(C415,'Справочник соответствий'!A$2:D$2996,3,FALSE),IF(VALUE(C415)=0,"ЭТАЖ НЕ ОПРЕДЕЛЕН. ПРИНЯТ ПО ДОПУЩЕНИЮ 1",VLOOKUP(C415,'Справочник соответствий'!A$2:D$2996,3,FALSE)))</f>
        <v>ЭТАЖ ЗАДАН ЧИСЛОМ</v>
      </c>
      <c r="M415" s="13" t="b">
        <f t="shared" si="43"/>
        <v>0</v>
      </c>
      <c r="N415" s="13">
        <f t="shared" si="44"/>
        <v>2</v>
      </c>
      <c r="O415" s="13" t="str">
        <f t="shared" si="45"/>
        <v>ЭТАЖ ЗАДАН ЧИСЛОМ</v>
      </c>
      <c r="P415" s="13" t="str">
        <f t="shared" si="46"/>
        <v>ЭТАЖ ЗАДАН ЧИСЛОМ</v>
      </c>
      <c r="Q415" s="13" t="str">
        <f t="shared" si="47"/>
        <v>ГОТОВ_ИЗМЕНЕН</v>
      </c>
      <c r="R415" s="13">
        <f>IFERROR(VLOOKUP(P415,Лист1!A$1:B$20,2,FALSE),0)</f>
        <v>784</v>
      </c>
      <c r="S415" s="13">
        <f t="shared" si="48"/>
        <v>0</v>
      </c>
    </row>
    <row r="416" spans="1:19" x14ac:dyDescent="0.25">
      <c r="A416" t="s">
        <v>1615</v>
      </c>
      <c r="B416" s="4" t="s">
        <v>1182</v>
      </c>
      <c r="G416" s="3" t="s">
        <v>1183</v>
      </c>
      <c r="I416" s="3">
        <f>IFERROR(VLOOKUP(C416,'Справочник соответствий'!A$2:D$2996,2,FALSE),IF(VALUE(C416)=0,1,VLOOKUP(C416,'Справочник соответствий'!A$2:D$2996,2,FALSE)))</f>
        <v>1</v>
      </c>
      <c r="J416" s="3">
        <f>IFERROR(VLOOKUP(D416,'Справочник соответствий'!A$2:D$2996,2,FALSE),IF(VALUE(D416)=0,0,VLOOKUP(D416,'Справочник соответствий'!A$2:D$2996,2,FALSE)))</f>
        <v>0</v>
      </c>
      <c r="K416" s="3">
        <f t="shared" si="42"/>
        <v>1</v>
      </c>
      <c r="L416" s="13" t="str">
        <f>IFERROR(VLOOKUP(C416,'Справочник соответствий'!A$2:D$2996,3,FALSE),IF(VALUE(C416)=0,"ЭТАЖ НЕ ОПРЕДЕЛЕН. ПРИНЯТ ПО ДОПУЩЕНИЮ 1",VLOOKUP(C416,'Справочник соответствий'!A$2:D$2996,3,FALSE)))</f>
        <v>ЭТАЖ НЕ ОПРЕДЕЛЕН. ПРИНЯТ ПО ДОПУЩЕНИЮ 1</v>
      </c>
      <c r="M416" s="13" t="b">
        <f t="shared" si="43"/>
        <v>0</v>
      </c>
      <c r="N416" s="13">
        <f t="shared" si="44"/>
        <v>1</v>
      </c>
      <c r="O416" s="13" t="str">
        <f t="shared" si="45"/>
        <v>ЭТАЖ НЕ ОПРЕДЕЛЕН. ПРИНЯТ ПО ДОПУЩЕНИЮ 1</v>
      </c>
      <c r="P416" s="13" t="str">
        <f t="shared" si="46"/>
        <v>ЭТАЖ НЕ ОПРЕДЕЛЕН. ПРИНЯТ ПО ДОПУЩЕНИЮ 1</v>
      </c>
      <c r="Q416" s="13" t="str">
        <f t="shared" si="47"/>
        <v>ГОТОВ_ИЗМЕНЕН</v>
      </c>
      <c r="R416" s="13">
        <f>IFERROR(VLOOKUP(P416,Лист1!A$1:B$20,2,FALSE),0)</f>
        <v>788</v>
      </c>
      <c r="S416" s="13">
        <f t="shared" si="48"/>
        <v>0</v>
      </c>
    </row>
    <row r="417" spans="1:19" x14ac:dyDescent="0.25">
      <c r="A417" t="s">
        <v>1616</v>
      </c>
      <c r="B417" s="4" t="s">
        <v>1190</v>
      </c>
      <c r="C417" s="3" t="s">
        <v>7</v>
      </c>
      <c r="G417" s="3" t="s">
        <v>1183</v>
      </c>
      <c r="I417" s="3" t="str">
        <f>IFERROR(VLOOKUP(C417,'Справочник соответствий'!A$2:D$2996,2,FALSE),IF(VALUE(C417)=0,1,VLOOKUP(C417,'Справочник соответствий'!A$2:D$2996,2,FALSE)))</f>
        <v>2</v>
      </c>
      <c r="J417" s="3">
        <f>IFERROR(VLOOKUP(D417,'Справочник соответствий'!A$2:D$2996,2,FALSE),IF(VALUE(D417)=0,0,VLOOKUP(D417,'Справочник соответствий'!A$2:D$2996,2,FALSE)))</f>
        <v>0</v>
      </c>
      <c r="K417" s="3" t="str">
        <f t="shared" si="42"/>
        <v>2</v>
      </c>
      <c r="L417" s="13" t="str">
        <f>IFERROR(VLOOKUP(C417,'Справочник соответствий'!A$2:D$2996,3,FALSE),IF(VALUE(C417)=0,"ЭТАЖ НЕ ОПРЕДЕЛЕН. ПРИНЯТ ПО ДОПУЩЕНИЮ 1",VLOOKUP(C417,'Справочник соответствий'!A$2:D$2996,3,FALSE)))</f>
        <v>ЭТАЖ ЗАДАН ЧИСЛОМ</v>
      </c>
      <c r="M417" s="13" t="b">
        <f t="shared" si="43"/>
        <v>0</v>
      </c>
      <c r="N417" s="13">
        <f t="shared" si="44"/>
        <v>2</v>
      </c>
      <c r="O417" s="13" t="str">
        <f t="shared" si="45"/>
        <v>ЭТАЖ ЗАДАН ЧИСЛОМ</v>
      </c>
      <c r="P417" s="13" t="str">
        <f t="shared" si="46"/>
        <v>ЭТАЖ ЗАДАН ЧИСЛОМ</v>
      </c>
      <c r="Q417" s="13" t="str">
        <f t="shared" si="47"/>
        <v>ГОТОВ_ИЗМЕНЕН</v>
      </c>
      <c r="R417" s="13">
        <f>IFERROR(VLOOKUP(P417,Лист1!A$1:B$20,2,FALSE),0)</f>
        <v>784</v>
      </c>
      <c r="S417" s="13">
        <f t="shared" si="48"/>
        <v>0</v>
      </c>
    </row>
    <row r="418" spans="1:19" x14ac:dyDescent="0.25">
      <c r="A418" t="s">
        <v>1617</v>
      </c>
      <c r="B418" s="4" t="s">
        <v>1190</v>
      </c>
      <c r="C418" s="3" t="s">
        <v>5</v>
      </c>
      <c r="G418" s="3" t="s">
        <v>1198</v>
      </c>
      <c r="I418" s="3" t="str">
        <f>IFERROR(VLOOKUP(C418,'Справочник соответствий'!A$2:D$2996,2,FALSE),IF(VALUE(C418)=0,1,VLOOKUP(C418,'Справочник соответствий'!A$2:D$2996,2,FALSE)))</f>
        <v>1</v>
      </c>
      <c r="J418" s="3">
        <f>IFERROR(VLOOKUP(D418,'Справочник соответствий'!A$2:D$2996,2,FALSE),IF(VALUE(D418)=0,0,VLOOKUP(D418,'Справочник соответствий'!A$2:D$2996,2,FALSE)))</f>
        <v>0</v>
      </c>
      <c r="K418" s="3" t="str">
        <f t="shared" si="42"/>
        <v>1</v>
      </c>
      <c r="L418" s="13" t="str">
        <f>IFERROR(VLOOKUP(C418,'Справочник соответствий'!A$2:D$2996,3,FALSE),IF(VALUE(C418)=0,"ЭТАЖ НЕ ОПРЕДЕЛЕН. ПРИНЯТ ПО ДОПУЩЕНИЮ 1",VLOOKUP(C418,'Справочник соответствий'!A$2:D$2996,3,FALSE)))</f>
        <v>ЭТАЖ ЗАДАН ЧИСЛОМ</v>
      </c>
      <c r="M418" s="13" t="b">
        <f t="shared" si="43"/>
        <v>0</v>
      </c>
      <c r="N418" s="13">
        <f t="shared" si="44"/>
        <v>1</v>
      </c>
      <c r="O418" s="13" t="str">
        <f t="shared" si="45"/>
        <v>ЭТАЖ ЗАДАН ЧИСЛОМ</v>
      </c>
      <c r="P418" s="13" t="str">
        <f t="shared" si="46"/>
        <v>ЭТАЖ ЗАДАН ЧИСЛОМ</v>
      </c>
      <c r="Q418" s="13" t="str">
        <f t="shared" si="47"/>
        <v>ГОТОВ_ИЗМЕНЕН</v>
      </c>
      <c r="R418" s="13">
        <f>IFERROR(VLOOKUP(P418,Лист1!A$1:B$20,2,FALSE),0)</f>
        <v>784</v>
      </c>
      <c r="S418" s="13">
        <f t="shared" si="48"/>
        <v>0</v>
      </c>
    </row>
    <row r="419" spans="1:19" x14ac:dyDescent="0.25">
      <c r="A419" t="s">
        <v>1618</v>
      </c>
      <c r="B419" s="4" t="s">
        <v>1182</v>
      </c>
      <c r="G419" s="3" t="s">
        <v>1198</v>
      </c>
      <c r="I419" s="3">
        <f>IFERROR(VLOOKUP(C419,'Справочник соответствий'!A$2:D$2996,2,FALSE),IF(VALUE(C419)=0,1,VLOOKUP(C419,'Справочник соответствий'!A$2:D$2996,2,FALSE)))</f>
        <v>1</v>
      </c>
      <c r="J419" s="3">
        <f>IFERROR(VLOOKUP(D419,'Справочник соответствий'!A$2:D$2996,2,FALSE),IF(VALUE(D419)=0,0,VLOOKUP(D419,'Справочник соответствий'!A$2:D$2996,2,FALSE)))</f>
        <v>0</v>
      </c>
      <c r="K419" s="3">
        <f t="shared" si="42"/>
        <v>1</v>
      </c>
      <c r="L419" s="13" t="str">
        <f>IFERROR(VLOOKUP(C419,'Справочник соответствий'!A$2:D$2996,3,FALSE),IF(VALUE(C419)=0,"ЭТАЖ НЕ ОПРЕДЕЛЕН. ПРИНЯТ ПО ДОПУЩЕНИЮ 1",VLOOKUP(C419,'Справочник соответствий'!A$2:D$2996,3,FALSE)))</f>
        <v>ЭТАЖ НЕ ОПРЕДЕЛЕН. ПРИНЯТ ПО ДОПУЩЕНИЮ 1</v>
      </c>
      <c r="M419" s="13" t="b">
        <f t="shared" si="43"/>
        <v>0</v>
      </c>
      <c r="N419" s="13">
        <f t="shared" si="44"/>
        <v>1</v>
      </c>
      <c r="O419" s="13" t="str">
        <f t="shared" si="45"/>
        <v>ЭТАЖ НЕ ОПРЕДЕЛЕН. ПРИНЯТ ПО ДОПУЩЕНИЮ 1</v>
      </c>
      <c r="P419" s="13" t="str">
        <f t="shared" si="46"/>
        <v>ЭТАЖ НЕ ОПРЕДЕЛЕН. ПРИНЯТ ПО ДОПУЩЕНИЮ 1</v>
      </c>
      <c r="Q419" s="13" t="str">
        <f t="shared" si="47"/>
        <v>ГОТОВ_ИЗМЕНЕН</v>
      </c>
      <c r="R419" s="13">
        <f>IFERROR(VLOOKUP(P419,Лист1!A$1:B$20,2,FALSE),0)</f>
        <v>788</v>
      </c>
      <c r="S419" s="13">
        <f t="shared" si="48"/>
        <v>0</v>
      </c>
    </row>
    <row r="420" spans="1:19" x14ac:dyDescent="0.25">
      <c r="A420" t="s">
        <v>1619</v>
      </c>
      <c r="B420" s="4" t="s">
        <v>1190</v>
      </c>
      <c r="C420" s="3" t="s">
        <v>5</v>
      </c>
      <c r="G420" s="3" t="s">
        <v>1198</v>
      </c>
      <c r="I420" s="3" t="str">
        <f>IFERROR(VLOOKUP(C420,'Справочник соответствий'!A$2:D$2996,2,FALSE),IF(VALUE(C420)=0,1,VLOOKUP(C420,'Справочник соответствий'!A$2:D$2996,2,FALSE)))</f>
        <v>1</v>
      </c>
      <c r="J420" s="3">
        <f>IFERROR(VLOOKUP(D420,'Справочник соответствий'!A$2:D$2996,2,FALSE),IF(VALUE(D420)=0,0,VLOOKUP(D420,'Справочник соответствий'!A$2:D$2996,2,FALSE)))</f>
        <v>0</v>
      </c>
      <c r="K420" s="3" t="str">
        <f t="shared" si="42"/>
        <v>1</v>
      </c>
      <c r="L420" s="13" t="str">
        <f>IFERROR(VLOOKUP(C420,'Справочник соответствий'!A$2:D$2996,3,FALSE),IF(VALUE(C420)=0,"ЭТАЖ НЕ ОПРЕДЕЛЕН. ПРИНЯТ ПО ДОПУЩЕНИЮ 1",VLOOKUP(C420,'Справочник соответствий'!A$2:D$2996,3,FALSE)))</f>
        <v>ЭТАЖ ЗАДАН ЧИСЛОМ</v>
      </c>
      <c r="M420" s="13" t="b">
        <f t="shared" si="43"/>
        <v>0</v>
      </c>
      <c r="N420" s="13">
        <f t="shared" si="44"/>
        <v>1</v>
      </c>
      <c r="O420" s="13" t="str">
        <f t="shared" si="45"/>
        <v>ЭТАЖ ЗАДАН ЧИСЛОМ</v>
      </c>
      <c r="P420" s="13" t="str">
        <f t="shared" si="46"/>
        <v>ЭТАЖ ЗАДАН ЧИСЛОМ</v>
      </c>
      <c r="Q420" s="13" t="str">
        <f t="shared" si="47"/>
        <v>ГОТОВ_ИЗМЕНЕН</v>
      </c>
      <c r="R420" s="13">
        <f>IFERROR(VLOOKUP(P420,Лист1!A$1:B$20,2,FALSE),0)</f>
        <v>784</v>
      </c>
      <c r="S420" s="13">
        <f t="shared" si="48"/>
        <v>0</v>
      </c>
    </row>
    <row r="421" spans="1:19" x14ac:dyDescent="0.25">
      <c r="A421" t="s">
        <v>1620</v>
      </c>
      <c r="B421" s="4" t="s">
        <v>1182</v>
      </c>
      <c r="C421" s="3" t="s">
        <v>5</v>
      </c>
      <c r="G421" s="3" t="s">
        <v>1198</v>
      </c>
      <c r="I421" s="3" t="str">
        <f>IFERROR(VLOOKUP(C421,'Справочник соответствий'!A$2:D$2996,2,FALSE),IF(VALUE(C421)=0,1,VLOOKUP(C421,'Справочник соответствий'!A$2:D$2996,2,FALSE)))</f>
        <v>1</v>
      </c>
      <c r="J421" s="3">
        <f>IFERROR(VLOOKUP(D421,'Справочник соответствий'!A$2:D$2996,2,FALSE),IF(VALUE(D421)=0,0,VLOOKUP(D421,'Справочник соответствий'!A$2:D$2996,2,FALSE)))</f>
        <v>0</v>
      </c>
      <c r="K421" s="3" t="str">
        <f t="shared" si="42"/>
        <v>1</v>
      </c>
      <c r="L421" s="13" t="str">
        <f>IFERROR(VLOOKUP(C421,'Справочник соответствий'!A$2:D$2996,3,FALSE),IF(VALUE(C421)=0,"ЭТАЖ НЕ ОПРЕДЕЛЕН. ПРИНЯТ ПО ДОПУЩЕНИЮ 1",VLOOKUP(C421,'Справочник соответствий'!A$2:D$2996,3,FALSE)))</f>
        <v>ЭТАЖ ЗАДАН ЧИСЛОМ</v>
      </c>
      <c r="M421" s="13" t="b">
        <f t="shared" si="43"/>
        <v>0</v>
      </c>
      <c r="N421" s="13">
        <f t="shared" si="44"/>
        <v>1</v>
      </c>
      <c r="O421" s="13" t="str">
        <f t="shared" si="45"/>
        <v>ЭТАЖ ЗАДАН ЧИСЛОМ</v>
      </c>
      <c r="P421" s="13" t="str">
        <f t="shared" si="46"/>
        <v>ЭТАЖ ЗАДАН ЧИСЛОМ</v>
      </c>
      <c r="Q421" s="13" t="str">
        <f t="shared" si="47"/>
        <v>ГОТОВ_ИЗМЕНЕН</v>
      </c>
      <c r="R421" s="13">
        <f>IFERROR(VLOOKUP(P421,Лист1!A$1:B$20,2,FALSE),0)</f>
        <v>784</v>
      </c>
      <c r="S421" s="13">
        <f t="shared" si="48"/>
        <v>0</v>
      </c>
    </row>
    <row r="422" spans="1:19" x14ac:dyDescent="0.25">
      <c r="A422" t="s">
        <v>1621</v>
      </c>
      <c r="B422" s="4" t="s">
        <v>1182</v>
      </c>
      <c r="G422" s="3" t="s">
        <v>1198</v>
      </c>
      <c r="I422" s="3">
        <f>IFERROR(VLOOKUP(C422,'Справочник соответствий'!A$2:D$2996,2,FALSE),IF(VALUE(C422)=0,1,VLOOKUP(C422,'Справочник соответствий'!A$2:D$2996,2,FALSE)))</f>
        <v>1</v>
      </c>
      <c r="J422" s="3">
        <f>IFERROR(VLOOKUP(D422,'Справочник соответствий'!A$2:D$2996,2,FALSE),IF(VALUE(D422)=0,0,VLOOKUP(D422,'Справочник соответствий'!A$2:D$2996,2,FALSE)))</f>
        <v>0</v>
      </c>
      <c r="K422" s="3">
        <f t="shared" si="42"/>
        <v>1</v>
      </c>
      <c r="L422" s="13" t="str">
        <f>IFERROR(VLOOKUP(C422,'Справочник соответствий'!A$2:D$2996,3,FALSE),IF(VALUE(C422)=0,"ЭТАЖ НЕ ОПРЕДЕЛЕН. ПРИНЯТ ПО ДОПУЩЕНИЮ 1",VLOOKUP(C422,'Справочник соответствий'!A$2:D$2996,3,FALSE)))</f>
        <v>ЭТАЖ НЕ ОПРЕДЕЛЕН. ПРИНЯТ ПО ДОПУЩЕНИЮ 1</v>
      </c>
      <c r="M422" s="13" t="b">
        <f t="shared" si="43"/>
        <v>0</v>
      </c>
      <c r="N422" s="13">
        <f t="shared" si="44"/>
        <v>1</v>
      </c>
      <c r="O422" s="13" t="str">
        <f t="shared" si="45"/>
        <v>ЭТАЖ НЕ ОПРЕДЕЛЕН. ПРИНЯТ ПО ДОПУЩЕНИЮ 1</v>
      </c>
      <c r="P422" s="13" t="str">
        <f t="shared" si="46"/>
        <v>ЭТАЖ НЕ ОПРЕДЕЛЕН. ПРИНЯТ ПО ДОПУЩЕНИЮ 1</v>
      </c>
      <c r="Q422" s="13" t="str">
        <f t="shared" si="47"/>
        <v>ГОТОВ_ИЗМЕНЕН</v>
      </c>
      <c r="R422" s="13">
        <f>IFERROR(VLOOKUP(P422,Лист1!A$1:B$20,2,FALSE),0)</f>
        <v>788</v>
      </c>
      <c r="S422" s="13">
        <f t="shared" si="48"/>
        <v>0</v>
      </c>
    </row>
    <row r="423" spans="1:19" x14ac:dyDescent="0.25">
      <c r="A423" t="s">
        <v>1622</v>
      </c>
      <c r="B423" s="4" t="s">
        <v>1190</v>
      </c>
      <c r="G423" s="3" t="s">
        <v>1224</v>
      </c>
      <c r="I423" s="3">
        <f>IFERROR(VLOOKUP(C423,'Справочник соответствий'!A$2:D$2996,2,FALSE),IF(VALUE(C423)=0,1,VLOOKUP(C423,'Справочник соответствий'!A$2:D$2996,2,FALSE)))</f>
        <v>1</v>
      </c>
      <c r="J423" s="3">
        <f>IFERROR(VLOOKUP(D423,'Справочник соответствий'!A$2:D$2996,2,FALSE),IF(VALUE(D423)=0,0,VLOOKUP(D423,'Справочник соответствий'!A$2:D$2996,2,FALSE)))</f>
        <v>0</v>
      </c>
      <c r="K423" s="3">
        <f t="shared" si="42"/>
        <v>1</v>
      </c>
      <c r="L423" s="13" t="str">
        <f>IFERROR(VLOOKUP(C423,'Справочник соответствий'!A$2:D$2996,3,FALSE),IF(VALUE(C423)=0,"ЭТАЖ НЕ ОПРЕДЕЛЕН. ПРИНЯТ ПО ДОПУЩЕНИЮ 1",VLOOKUP(C423,'Справочник соответствий'!A$2:D$2996,3,FALSE)))</f>
        <v>ЭТАЖ НЕ ОПРЕДЕЛЕН. ПРИНЯТ ПО ДОПУЩЕНИЮ 1</v>
      </c>
      <c r="M423" s="13" t="b">
        <f t="shared" si="43"/>
        <v>0</v>
      </c>
      <c r="N423" s="13">
        <f t="shared" si="44"/>
        <v>1</v>
      </c>
      <c r="O423" s="13" t="str">
        <f t="shared" si="45"/>
        <v>ЭТАЖ НЕ ОПРЕДЕЛЕН. ПРИНЯТ ПО ДОПУЩЕНИЮ 1</v>
      </c>
      <c r="P423" s="13" t="str">
        <f t="shared" si="46"/>
        <v>ЭТАЖ НЕ ОПРЕДЕЛЕН. ПРИНЯТ ПО ДОПУЩЕНИЮ 1</v>
      </c>
      <c r="Q423" s="13" t="str">
        <f t="shared" si="47"/>
        <v>ГОТОВ_ИЗМЕНЕН</v>
      </c>
      <c r="R423" s="13">
        <f>IFERROR(VLOOKUP(P423,Лист1!A$1:B$20,2,FALSE),0)</f>
        <v>788</v>
      </c>
      <c r="S423" s="13">
        <f t="shared" si="48"/>
        <v>0</v>
      </c>
    </row>
    <row r="424" spans="1:19" x14ac:dyDescent="0.25">
      <c r="A424" t="s">
        <v>1623</v>
      </c>
      <c r="B424" s="4" t="s">
        <v>1190</v>
      </c>
      <c r="C424" s="3" t="s">
        <v>5</v>
      </c>
      <c r="G424" s="3" t="s">
        <v>1224</v>
      </c>
      <c r="I424" s="3" t="str">
        <f>IFERROR(VLOOKUP(C424,'Справочник соответствий'!A$2:D$2996,2,FALSE),IF(VALUE(C424)=0,1,VLOOKUP(C424,'Справочник соответствий'!A$2:D$2996,2,FALSE)))</f>
        <v>1</v>
      </c>
      <c r="J424" s="3">
        <f>IFERROR(VLOOKUP(D424,'Справочник соответствий'!A$2:D$2996,2,FALSE),IF(VALUE(D424)=0,0,VLOOKUP(D424,'Справочник соответствий'!A$2:D$2996,2,FALSE)))</f>
        <v>0</v>
      </c>
      <c r="K424" s="3" t="str">
        <f t="shared" si="42"/>
        <v>1</v>
      </c>
      <c r="L424" s="13" t="str">
        <f>IFERROR(VLOOKUP(C424,'Справочник соответствий'!A$2:D$2996,3,FALSE),IF(VALUE(C424)=0,"ЭТАЖ НЕ ОПРЕДЕЛЕН. ПРИНЯТ ПО ДОПУЩЕНИЮ 1",VLOOKUP(C424,'Справочник соответствий'!A$2:D$2996,3,FALSE)))</f>
        <v>ЭТАЖ ЗАДАН ЧИСЛОМ</v>
      </c>
      <c r="M424" s="13" t="b">
        <f t="shared" si="43"/>
        <v>0</v>
      </c>
      <c r="N424" s="13">
        <f t="shared" si="44"/>
        <v>1</v>
      </c>
      <c r="O424" s="13" t="str">
        <f t="shared" si="45"/>
        <v>ЭТАЖ ЗАДАН ЧИСЛОМ</v>
      </c>
      <c r="P424" s="13" t="str">
        <f t="shared" si="46"/>
        <v>ЭТАЖ ЗАДАН ЧИСЛОМ</v>
      </c>
      <c r="Q424" s="13" t="str">
        <f t="shared" si="47"/>
        <v>ГОТОВ_ИЗМЕНЕН</v>
      </c>
      <c r="R424" s="13">
        <f>IFERROR(VLOOKUP(P424,Лист1!A$1:B$20,2,FALSE),0)</f>
        <v>784</v>
      </c>
      <c r="S424" s="13">
        <f t="shared" si="48"/>
        <v>0</v>
      </c>
    </row>
    <row r="425" spans="1:19" x14ac:dyDescent="0.25">
      <c r="A425" t="s">
        <v>1624</v>
      </c>
      <c r="B425" s="4" t="s">
        <v>1190</v>
      </c>
      <c r="C425" s="3" t="s">
        <v>7</v>
      </c>
      <c r="G425" s="3" t="s">
        <v>1224</v>
      </c>
      <c r="I425" s="3" t="str">
        <f>IFERROR(VLOOKUP(C425,'Справочник соответствий'!A$2:D$2996,2,FALSE),IF(VALUE(C425)=0,1,VLOOKUP(C425,'Справочник соответствий'!A$2:D$2996,2,FALSE)))</f>
        <v>2</v>
      </c>
      <c r="J425" s="3">
        <f>IFERROR(VLOOKUP(D425,'Справочник соответствий'!A$2:D$2996,2,FALSE),IF(VALUE(D425)=0,0,VLOOKUP(D425,'Справочник соответствий'!A$2:D$2996,2,FALSE)))</f>
        <v>0</v>
      </c>
      <c r="K425" s="3" t="str">
        <f t="shared" si="42"/>
        <v>2</v>
      </c>
      <c r="L425" s="13" t="str">
        <f>IFERROR(VLOOKUP(C425,'Справочник соответствий'!A$2:D$2996,3,FALSE),IF(VALUE(C425)=0,"ЭТАЖ НЕ ОПРЕДЕЛЕН. ПРИНЯТ ПО ДОПУЩЕНИЮ 1",VLOOKUP(C425,'Справочник соответствий'!A$2:D$2996,3,FALSE)))</f>
        <v>ЭТАЖ ЗАДАН ЧИСЛОМ</v>
      </c>
      <c r="M425" s="13" t="b">
        <f t="shared" si="43"/>
        <v>0</v>
      </c>
      <c r="N425" s="13">
        <f t="shared" si="44"/>
        <v>2</v>
      </c>
      <c r="O425" s="13" t="str">
        <f t="shared" si="45"/>
        <v>ЭТАЖ ЗАДАН ЧИСЛОМ</v>
      </c>
      <c r="P425" s="13" t="str">
        <f t="shared" si="46"/>
        <v>ЭТАЖ ЗАДАН ЧИСЛОМ</v>
      </c>
      <c r="Q425" s="13" t="str">
        <f t="shared" si="47"/>
        <v>ГОТОВ_ИЗМЕНЕН</v>
      </c>
      <c r="R425" s="13">
        <f>IFERROR(VLOOKUP(P425,Лист1!A$1:B$20,2,FALSE),0)</f>
        <v>784</v>
      </c>
      <c r="S425" s="13">
        <f t="shared" si="48"/>
        <v>0</v>
      </c>
    </row>
    <row r="426" spans="1:19" x14ac:dyDescent="0.25">
      <c r="A426" t="s">
        <v>1625</v>
      </c>
      <c r="B426" s="4" t="s">
        <v>1190</v>
      </c>
      <c r="C426" s="3" t="s">
        <v>5</v>
      </c>
      <c r="G426" s="3" t="s">
        <v>1224</v>
      </c>
      <c r="I426" s="3" t="str">
        <f>IFERROR(VLOOKUP(C426,'Справочник соответствий'!A$2:D$2996,2,FALSE),IF(VALUE(C426)=0,1,VLOOKUP(C426,'Справочник соответствий'!A$2:D$2996,2,FALSE)))</f>
        <v>1</v>
      </c>
      <c r="J426" s="3">
        <f>IFERROR(VLOOKUP(D426,'Справочник соответствий'!A$2:D$2996,2,FALSE),IF(VALUE(D426)=0,0,VLOOKUP(D426,'Справочник соответствий'!A$2:D$2996,2,FALSE)))</f>
        <v>0</v>
      </c>
      <c r="K426" s="3" t="str">
        <f t="shared" si="42"/>
        <v>1</v>
      </c>
      <c r="L426" s="13" t="str">
        <f>IFERROR(VLOOKUP(C426,'Справочник соответствий'!A$2:D$2996,3,FALSE),IF(VALUE(C426)=0,"ЭТАЖ НЕ ОПРЕДЕЛЕН. ПРИНЯТ ПО ДОПУЩЕНИЮ 1",VLOOKUP(C426,'Справочник соответствий'!A$2:D$2996,3,FALSE)))</f>
        <v>ЭТАЖ ЗАДАН ЧИСЛОМ</v>
      </c>
      <c r="M426" s="13" t="b">
        <f t="shared" si="43"/>
        <v>0</v>
      </c>
      <c r="N426" s="13">
        <f t="shared" si="44"/>
        <v>1</v>
      </c>
      <c r="O426" s="13" t="str">
        <f t="shared" si="45"/>
        <v>ЭТАЖ ЗАДАН ЧИСЛОМ</v>
      </c>
      <c r="P426" s="13" t="str">
        <f t="shared" si="46"/>
        <v>ЭТАЖ ЗАДАН ЧИСЛОМ</v>
      </c>
      <c r="Q426" s="13" t="str">
        <f t="shared" si="47"/>
        <v>ГОТОВ_ИЗМЕНЕН</v>
      </c>
      <c r="R426" s="13">
        <f>IFERROR(VLOOKUP(P426,Лист1!A$1:B$20,2,FALSE),0)</f>
        <v>784</v>
      </c>
      <c r="S426" s="13">
        <f t="shared" si="48"/>
        <v>0</v>
      </c>
    </row>
    <row r="427" spans="1:19" x14ac:dyDescent="0.25">
      <c r="A427" t="s">
        <v>1626</v>
      </c>
      <c r="B427" s="4" t="s">
        <v>1190</v>
      </c>
      <c r="C427" s="3" t="s">
        <v>5</v>
      </c>
      <c r="G427" s="3" t="s">
        <v>1224</v>
      </c>
      <c r="I427" s="3" t="str">
        <f>IFERROR(VLOOKUP(C427,'Справочник соответствий'!A$2:D$2996,2,FALSE),IF(VALUE(C427)=0,1,VLOOKUP(C427,'Справочник соответствий'!A$2:D$2996,2,FALSE)))</f>
        <v>1</v>
      </c>
      <c r="J427" s="3">
        <f>IFERROR(VLOOKUP(D427,'Справочник соответствий'!A$2:D$2996,2,FALSE),IF(VALUE(D427)=0,0,VLOOKUP(D427,'Справочник соответствий'!A$2:D$2996,2,FALSE)))</f>
        <v>0</v>
      </c>
      <c r="K427" s="3" t="str">
        <f t="shared" si="42"/>
        <v>1</v>
      </c>
      <c r="L427" s="13" t="str">
        <f>IFERROR(VLOOKUP(C427,'Справочник соответствий'!A$2:D$2996,3,FALSE),IF(VALUE(C427)=0,"ЭТАЖ НЕ ОПРЕДЕЛЕН. ПРИНЯТ ПО ДОПУЩЕНИЮ 1",VLOOKUP(C427,'Справочник соответствий'!A$2:D$2996,3,FALSE)))</f>
        <v>ЭТАЖ ЗАДАН ЧИСЛОМ</v>
      </c>
      <c r="M427" s="13" t="b">
        <f t="shared" si="43"/>
        <v>0</v>
      </c>
      <c r="N427" s="13">
        <f t="shared" si="44"/>
        <v>1</v>
      </c>
      <c r="O427" s="13" t="str">
        <f t="shared" si="45"/>
        <v>ЭТАЖ ЗАДАН ЧИСЛОМ</v>
      </c>
      <c r="P427" s="13" t="str">
        <f t="shared" si="46"/>
        <v>ЭТАЖ ЗАДАН ЧИСЛОМ</v>
      </c>
      <c r="Q427" s="13" t="str">
        <f t="shared" si="47"/>
        <v>ГОТОВ_ИЗМЕНЕН</v>
      </c>
      <c r="R427" s="13">
        <f>IFERROR(VLOOKUP(P427,Лист1!A$1:B$20,2,FALSE),0)</f>
        <v>784</v>
      </c>
      <c r="S427" s="13">
        <f t="shared" si="48"/>
        <v>0</v>
      </c>
    </row>
    <row r="428" spans="1:19" x14ac:dyDescent="0.25">
      <c r="A428" t="s">
        <v>1627</v>
      </c>
      <c r="B428" s="4" t="s">
        <v>1190</v>
      </c>
      <c r="C428" s="3" t="s">
        <v>7</v>
      </c>
      <c r="G428" s="3" t="s">
        <v>1224</v>
      </c>
      <c r="I428" s="3" t="str">
        <f>IFERROR(VLOOKUP(C428,'Справочник соответствий'!A$2:D$2996,2,FALSE),IF(VALUE(C428)=0,1,VLOOKUP(C428,'Справочник соответствий'!A$2:D$2996,2,FALSE)))</f>
        <v>2</v>
      </c>
      <c r="J428" s="3">
        <f>IFERROR(VLOOKUP(D428,'Справочник соответствий'!A$2:D$2996,2,FALSE),IF(VALUE(D428)=0,0,VLOOKUP(D428,'Справочник соответствий'!A$2:D$2996,2,FALSE)))</f>
        <v>0</v>
      </c>
      <c r="K428" s="3" t="str">
        <f t="shared" si="42"/>
        <v>2</v>
      </c>
      <c r="L428" s="13" t="str">
        <f>IFERROR(VLOOKUP(C428,'Справочник соответствий'!A$2:D$2996,3,FALSE),IF(VALUE(C428)=0,"ЭТАЖ НЕ ОПРЕДЕЛЕН. ПРИНЯТ ПО ДОПУЩЕНИЮ 1",VLOOKUP(C428,'Справочник соответствий'!A$2:D$2996,3,FALSE)))</f>
        <v>ЭТАЖ ЗАДАН ЧИСЛОМ</v>
      </c>
      <c r="M428" s="13" t="b">
        <f t="shared" si="43"/>
        <v>0</v>
      </c>
      <c r="N428" s="13">
        <f t="shared" si="44"/>
        <v>2</v>
      </c>
      <c r="O428" s="13" t="str">
        <f t="shared" si="45"/>
        <v>ЭТАЖ ЗАДАН ЧИСЛОМ</v>
      </c>
      <c r="P428" s="13" t="str">
        <f t="shared" si="46"/>
        <v>ЭТАЖ ЗАДАН ЧИСЛОМ</v>
      </c>
      <c r="Q428" s="13" t="str">
        <f t="shared" si="47"/>
        <v>ГОТОВ_ИЗМЕНЕН</v>
      </c>
      <c r="R428" s="13">
        <f>IFERROR(VLOOKUP(P428,Лист1!A$1:B$20,2,FALSE),0)</f>
        <v>784</v>
      </c>
      <c r="S428" s="13">
        <f t="shared" si="48"/>
        <v>0</v>
      </c>
    </row>
    <row r="429" spans="1:19" x14ac:dyDescent="0.25">
      <c r="A429" t="s">
        <v>1628</v>
      </c>
      <c r="B429" s="4" t="s">
        <v>1190</v>
      </c>
      <c r="C429" s="3" t="s">
        <v>7</v>
      </c>
      <c r="G429" s="3" t="s">
        <v>1224</v>
      </c>
      <c r="I429" s="3" t="str">
        <f>IFERROR(VLOOKUP(C429,'Справочник соответствий'!A$2:D$2996,2,FALSE),IF(VALUE(C429)=0,1,VLOOKUP(C429,'Справочник соответствий'!A$2:D$2996,2,FALSE)))</f>
        <v>2</v>
      </c>
      <c r="J429" s="3">
        <f>IFERROR(VLOOKUP(D429,'Справочник соответствий'!A$2:D$2996,2,FALSE),IF(VALUE(D429)=0,0,VLOOKUP(D429,'Справочник соответствий'!A$2:D$2996,2,FALSE)))</f>
        <v>0</v>
      </c>
      <c r="K429" s="3" t="str">
        <f t="shared" si="42"/>
        <v>2</v>
      </c>
      <c r="L429" s="13" t="str">
        <f>IFERROR(VLOOKUP(C429,'Справочник соответствий'!A$2:D$2996,3,FALSE),IF(VALUE(C429)=0,"ЭТАЖ НЕ ОПРЕДЕЛЕН. ПРИНЯТ ПО ДОПУЩЕНИЮ 1",VLOOKUP(C429,'Справочник соответствий'!A$2:D$2996,3,FALSE)))</f>
        <v>ЭТАЖ ЗАДАН ЧИСЛОМ</v>
      </c>
      <c r="M429" s="13" t="b">
        <f t="shared" si="43"/>
        <v>0</v>
      </c>
      <c r="N429" s="13">
        <f t="shared" si="44"/>
        <v>2</v>
      </c>
      <c r="O429" s="13" t="str">
        <f t="shared" si="45"/>
        <v>ЭТАЖ ЗАДАН ЧИСЛОМ</v>
      </c>
      <c r="P429" s="13" t="str">
        <f t="shared" si="46"/>
        <v>ЭТАЖ ЗАДАН ЧИСЛОМ</v>
      </c>
      <c r="Q429" s="13" t="str">
        <f t="shared" si="47"/>
        <v>ГОТОВ_ИЗМЕНЕН</v>
      </c>
      <c r="R429" s="13">
        <f>IFERROR(VLOOKUP(P429,Лист1!A$1:B$20,2,FALSE),0)</f>
        <v>784</v>
      </c>
      <c r="S429" s="13">
        <f t="shared" si="48"/>
        <v>0</v>
      </c>
    </row>
    <row r="430" spans="1:19" x14ac:dyDescent="0.25">
      <c r="A430" t="s">
        <v>1629</v>
      </c>
      <c r="B430" s="4" t="s">
        <v>1182</v>
      </c>
      <c r="C430" s="3" t="s">
        <v>5</v>
      </c>
      <c r="E430" s="3" t="s">
        <v>5</v>
      </c>
      <c r="F430" t="s">
        <v>1186</v>
      </c>
      <c r="G430" s="3" t="s">
        <v>1187</v>
      </c>
      <c r="H430" s="7" t="s">
        <v>1184</v>
      </c>
      <c r="I430" s="3" t="str">
        <f>IFERROR(VLOOKUP(C430,'Справочник соответствий'!A$2:D$2996,2,FALSE),IF(VALUE(C430)=0,1,VLOOKUP(C430,'Справочник соответствий'!A$2:D$2996,2,FALSE)))</f>
        <v>1</v>
      </c>
      <c r="J430" s="3">
        <f>IFERROR(VLOOKUP(D430,'Справочник соответствий'!A$2:D$2996,2,FALSE),IF(VALUE(D430)=0,0,VLOOKUP(D430,'Справочник соответствий'!A$2:D$2996,2,FALSE)))</f>
        <v>0</v>
      </c>
      <c r="K430" s="3" t="str">
        <f t="shared" si="42"/>
        <v>1</v>
      </c>
      <c r="L430" s="13" t="str">
        <f>IFERROR(VLOOKUP(C430,'Справочник соответствий'!A$2:D$2996,3,FALSE),IF(VALUE(C430)=0,"ЭТАЖ НЕ ОПРЕДЕЛЕН. ПРИНЯТ ПО ДОПУЩЕНИЮ 1",VLOOKUP(C430,'Справочник соответствий'!A$2:D$2996,3,FALSE)))</f>
        <v>ЭТАЖ ЗАДАН ЧИСЛОМ</v>
      </c>
      <c r="M430" s="13" t="b">
        <f t="shared" si="43"/>
        <v>1</v>
      </c>
      <c r="N430" s="13">
        <f t="shared" si="44"/>
        <v>1</v>
      </c>
      <c r="O430" s="13" t="str">
        <f t="shared" si="45"/>
        <v>ЭТАЖ ЗАДАН ЧИСЛОМ</v>
      </c>
      <c r="P430" s="13" t="str">
        <f t="shared" si="46"/>
        <v>ЭТАЖ ЗАДАН ЧИСЛОМ</v>
      </c>
      <c r="Q430" s="13" t="str">
        <f t="shared" si="47"/>
        <v>ГОТОВ</v>
      </c>
      <c r="R430" s="13">
        <f>IFERROR(VLOOKUP(P430,Лист1!A$1:B$20,2,FALSE),0)</f>
        <v>784</v>
      </c>
      <c r="S430" s="13">
        <f t="shared" si="48"/>
        <v>1</v>
      </c>
    </row>
    <row r="431" spans="1:19" x14ac:dyDescent="0.25">
      <c r="A431" t="s">
        <v>1630</v>
      </c>
      <c r="B431" s="4" t="s">
        <v>1182</v>
      </c>
      <c r="C431" s="3" t="s">
        <v>5</v>
      </c>
      <c r="D431" s="3" t="s">
        <v>5</v>
      </c>
      <c r="E431" s="3" t="s">
        <v>5</v>
      </c>
      <c r="F431" t="s">
        <v>1186</v>
      </c>
      <c r="G431" s="3" t="s">
        <v>1191</v>
      </c>
      <c r="H431" s="7" t="s">
        <v>1184</v>
      </c>
      <c r="I431" s="3" t="str">
        <f>IFERROR(VLOOKUP(C431,'Справочник соответствий'!A$2:D$2996,2,FALSE),IF(VALUE(C431)=0,1,VLOOKUP(C431,'Справочник соответствий'!A$2:D$2996,2,FALSE)))</f>
        <v>1</v>
      </c>
      <c r="J431" s="3" t="str">
        <f>IFERROR(VLOOKUP(D431,'Справочник соответствий'!A$2:D$2996,2,FALSE),IF(VALUE(D431)=0,0,VLOOKUP(D431,'Справочник соответствий'!A$2:D$2996,2,FALSE)))</f>
        <v>1</v>
      </c>
      <c r="K431" s="3" t="str">
        <f t="shared" si="42"/>
        <v>1</v>
      </c>
      <c r="L431" s="13" t="str">
        <f>IFERROR(VLOOKUP(C431,'Справочник соответствий'!A$2:D$2996,3,FALSE),IF(VALUE(C431)=0,"ЭТАЖ НЕ ОПРЕДЕЛЕН. ПРИНЯТ ПО ДОПУЩЕНИЮ 1",VLOOKUP(C431,'Справочник соответствий'!A$2:D$2996,3,FALSE)))</f>
        <v>ЭТАЖ ЗАДАН ЧИСЛОМ</v>
      </c>
      <c r="M431" s="13" t="b">
        <f t="shared" si="43"/>
        <v>1</v>
      </c>
      <c r="N431" s="13">
        <f t="shared" si="44"/>
        <v>1</v>
      </c>
      <c r="O431" s="13" t="str">
        <f t="shared" si="45"/>
        <v>ЭТАЖ ЗАДАН ЧИСЛОМ</v>
      </c>
      <c r="P431" s="13" t="str">
        <f t="shared" si="46"/>
        <v>ЭТАЖ ЗАДАН ЧИСЛОМ</v>
      </c>
      <c r="Q431" s="13" t="str">
        <f t="shared" si="47"/>
        <v>ГОТОВ</v>
      </c>
      <c r="R431" s="13">
        <f>IFERROR(VLOOKUP(P431,Лист1!A$1:B$20,2,FALSE),0)</f>
        <v>784</v>
      </c>
      <c r="S431" s="13">
        <f t="shared" si="48"/>
        <v>1</v>
      </c>
    </row>
    <row r="432" spans="1:19" x14ac:dyDescent="0.25">
      <c r="A432" t="s">
        <v>1631</v>
      </c>
      <c r="B432" s="4" t="s">
        <v>1190</v>
      </c>
      <c r="C432" s="3" t="s">
        <v>5</v>
      </c>
      <c r="E432" s="3" t="s">
        <v>5</v>
      </c>
      <c r="F432" t="s">
        <v>1045</v>
      </c>
      <c r="G432" s="3" t="s">
        <v>1183</v>
      </c>
      <c r="H432" s="7" t="s">
        <v>1184</v>
      </c>
      <c r="I432" s="3" t="str">
        <f>IFERROR(VLOOKUP(C432,'Справочник соответствий'!A$2:D$2996,2,FALSE),IF(VALUE(C432)=0,1,VLOOKUP(C432,'Справочник соответствий'!A$2:D$2996,2,FALSE)))</f>
        <v>1</v>
      </c>
      <c r="J432" s="3">
        <f>IFERROR(VLOOKUP(D432,'Справочник соответствий'!A$2:D$2996,2,FALSE),IF(VALUE(D432)=0,0,VLOOKUP(D432,'Справочник соответствий'!A$2:D$2996,2,FALSE)))</f>
        <v>0</v>
      </c>
      <c r="K432" s="3" t="str">
        <f t="shared" si="42"/>
        <v>1</v>
      </c>
      <c r="L432" s="13" t="str">
        <f>IFERROR(VLOOKUP(C432,'Справочник соответствий'!A$2:D$2996,3,FALSE),IF(VALUE(C432)=0,"ЭТАЖ НЕ ОПРЕДЕЛЕН. ПРИНЯТ ПО ДОПУЩЕНИЮ 1",VLOOKUP(C432,'Справочник соответствий'!A$2:D$2996,3,FALSE)))</f>
        <v>ЭТАЖ ЗАДАН ЧИСЛОМ</v>
      </c>
      <c r="M432" s="13" t="b">
        <f t="shared" si="43"/>
        <v>1</v>
      </c>
      <c r="N432" s="13">
        <f t="shared" si="44"/>
        <v>1</v>
      </c>
      <c r="O432" s="13" t="str">
        <f t="shared" si="45"/>
        <v>ЭТАЖ ЗАДАН ЧИСЛОМ</v>
      </c>
      <c r="P432" s="13" t="str">
        <f t="shared" si="46"/>
        <v>ЭТАЖ ЗАДАН ЧИСЛОМ</v>
      </c>
      <c r="Q432" s="13" t="str">
        <f t="shared" si="47"/>
        <v>ГОТОВ</v>
      </c>
      <c r="R432" s="13">
        <f>IFERROR(VLOOKUP(P432,Лист1!A$1:B$20,2,FALSE),0)</f>
        <v>784</v>
      </c>
      <c r="S432" s="13">
        <f t="shared" si="48"/>
        <v>1</v>
      </c>
    </row>
    <row r="433" spans="1:19" x14ac:dyDescent="0.25">
      <c r="A433" t="s">
        <v>1632</v>
      </c>
      <c r="B433" s="4" t="s">
        <v>1182</v>
      </c>
      <c r="C433" s="3" t="s">
        <v>5</v>
      </c>
      <c r="E433" s="3" t="s">
        <v>5</v>
      </c>
      <c r="F433" t="s">
        <v>1186</v>
      </c>
      <c r="G433" s="3" t="s">
        <v>1187</v>
      </c>
      <c r="H433" s="7" t="s">
        <v>1184</v>
      </c>
      <c r="I433" s="3" t="str">
        <f>IFERROR(VLOOKUP(C433,'Справочник соответствий'!A$2:D$2996,2,FALSE),IF(VALUE(C433)=0,1,VLOOKUP(C433,'Справочник соответствий'!A$2:D$2996,2,FALSE)))</f>
        <v>1</v>
      </c>
      <c r="J433" s="3">
        <f>IFERROR(VLOOKUP(D433,'Справочник соответствий'!A$2:D$2996,2,FALSE),IF(VALUE(D433)=0,0,VLOOKUP(D433,'Справочник соответствий'!A$2:D$2996,2,FALSE)))</f>
        <v>0</v>
      </c>
      <c r="K433" s="3" t="str">
        <f t="shared" si="42"/>
        <v>1</v>
      </c>
      <c r="L433" s="13" t="str">
        <f>IFERROR(VLOOKUP(C433,'Справочник соответствий'!A$2:D$2996,3,FALSE),IF(VALUE(C433)=0,"ЭТАЖ НЕ ОПРЕДЕЛЕН. ПРИНЯТ ПО ДОПУЩЕНИЮ 1",VLOOKUP(C433,'Справочник соответствий'!A$2:D$2996,3,FALSE)))</f>
        <v>ЭТАЖ ЗАДАН ЧИСЛОМ</v>
      </c>
      <c r="M433" s="13" t="b">
        <f t="shared" si="43"/>
        <v>1</v>
      </c>
      <c r="N433" s="13">
        <f t="shared" si="44"/>
        <v>1</v>
      </c>
      <c r="O433" s="13" t="str">
        <f t="shared" si="45"/>
        <v>ЭТАЖ ЗАДАН ЧИСЛОМ</v>
      </c>
      <c r="P433" s="13" t="str">
        <f t="shared" si="46"/>
        <v>ЭТАЖ ЗАДАН ЧИСЛОМ</v>
      </c>
      <c r="Q433" s="13" t="str">
        <f t="shared" si="47"/>
        <v>ГОТОВ</v>
      </c>
      <c r="R433" s="13">
        <f>IFERROR(VLOOKUP(P433,Лист1!A$1:B$20,2,FALSE),0)</f>
        <v>784</v>
      </c>
      <c r="S433" s="13">
        <f t="shared" si="48"/>
        <v>1</v>
      </c>
    </row>
    <row r="434" spans="1:19" x14ac:dyDescent="0.25">
      <c r="A434" t="s">
        <v>1633</v>
      </c>
      <c r="B434" s="4" t="s">
        <v>1031</v>
      </c>
      <c r="C434" s="3" t="s">
        <v>7</v>
      </c>
      <c r="E434" s="3" t="s">
        <v>7</v>
      </c>
      <c r="F434" t="s">
        <v>1038</v>
      </c>
      <c r="G434" s="3" t="s">
        <v>1183</v>
      </c>
      <c r="H434" s="7" t="s">
        <v>1184</v>
      </c>
      <c r="I434" s="3" t="str">
        <f>IFERROR(VLOOKUP(C434,'Справочник соответствий'!A$2:D$2996,2,FALSE),IF(VALUE(C434)=0,1,VLOOKUP(C434,'Справочник соответствий'!A$2:D$2996,2,FALSE)))</f>
        <v>2</v>
      </c>
      <c r="J434" s="3">
        <f>IFERROR(VLOOKUP(D434,'Справочник соответствий'!A$2:D$2996,2,FALSE),IF(VALUE(D434)=0,0,VLOOKUP(D434,'Справочник соответствий'!A$2:D$2996,2,FALSE)))</f>
        <v>0</v>
      </c>
      <c r="K434" s="3">
        <f t="shared" si="42"/>
        <v>2</v>
      </c>
      <c r="L434" s="13" t="str">
        <f>IFERROR(VLOOKUP(C434,'Справочник соответствий'!A$2:D$2996,3,FALSE),IF(VALUE(C434)=0,"ЭТАЖ НЕ ОПРЕДЕЛЕН. ПРИНЯТ ПО ДОПУЩЕНИЮ 1",VLOOKUP(C434,'Справочник соответствий'!A$2:D$2996,3,FALSE)))</f>
        <v>ЭТАЖ ЗАДАН ЧИСЛОМ</v>
      </c>
      <c r="M434" s="13" t="b">
        <f t="shared" si="43"/>
        <v>1</v>
      </c>
      <c r="N434" s="13">
        <f t="shared" si="44"/>
        <v>2</v>
      </c>
      <c r="O434" s="13" t="str">
        <f t="shared" si="45"/>
        <v>ЭТАЖ ЗАДАН ЧИСЛОМ</v>
      </c>
      <c r="P434" s="13" t="str">
        <f t="shared" si="46"/>
        <v>МКД_ЭТАЖ ЗАДАН ЧИСЛОМ</v>
      </c>
      <c r="Q434" s="13" t="str">
        <f t="shared" si="47"/>
        <v>ГОТОВ</v>
      </c>
      <c r="R434" s="13">
        <f>IFERROR(VLOOKUP(P434,Лист1!A$1:B$20,2,FALSE),0)</f>
        <v>786</v>
      </c>
      <c r="S434" s="13">
        <f t="shared" si="48"/>
        <v>2</v>
      </c>
    </row>
    <row r="435" spans="1:19" x14ac:dyDescent="0.25">
      <c r="A435" t="s">
        <v>1634</v>
      </c>
      <c r="B435" s="4" t="s">
        <v>1182</v>
      </c>
      <c r="C435" s="3" t="s">
        <v>5</v>
      </c>
      <c r="D435" s="3" t="s">
        <v>1059</v>
      </c>
      <c r="E435" s="3" t="s">
        <v>5</v>
      </c>
      <c r="F435" t="s">
        <v>1045</v>
      </c>
      <c r="G435" s="3" t="s">
        <v>1183</v>
      </c>
      <c r="H435" s="7" t="s">
        <v>1184</v>
      </c>
      <c r="I435" s="3" t="str">
        <f>IFERROR(VLOOKUP(C435,'Справочник соответствий'!A$2:D$2996,2,FALSE),IF(VALUE(C435)=0,1,VLOOKUP(C435,'Справочник соответствий'!A$2:D$2996,2,FALSE)))</f>
        <v>1</v>
      </c>
      <c r="J435" s="3" t="str">
        <f>IFERROR(VLOOKUP(D435,'Справочник соответствий'!A$2:D$2996,2,FALSE),IF(VALUE(D435)=0,0,VLOOKUP(D435,'Справочник соответствий'!A$2:D$2996,2,FALSE)))</f>
        <v>1</v>
      </c>
      <c r="K435" s="3" t="str">
        <f t="shared" si="42"/>
        <v>1</v>
      </c>
      <c r="L435" s="13" t="str">
        <f>IFERROR(VLOOKUP(C435,'Справочник соответствий'!A$2:D$2996,3,FALSE),IF(VALUE(C435)=0,"ЭТАЖ НЕ ОПРЕДЕЛЕН. ПРИНЯТ ПО ДОПУЩЕНИЮ 1",VLOOKUP(C435,'Справочник соответствий'!A$2:D$2996,3,FALSE)))</f>
        <v>ЭТАЖ ЗАДАН ЧИСЛОМ</v>
      </c>
      <c r="M435" s="13" t="b">
        <f t="shared" si="43"/>
        <v>1</v>
      </c>
      <c r="N435" s="13">
        <f t="shared" si="44"/>
        <v>1</v>
      </c>
      <c r="O435" s="13" t="str">
        <f t="shared" si="45"/>
        <v>ЭТАЖ ЗАДАН ЧИСЛОМ</v>
      </c>
      <c r="P435" s="13" t="str">
        <f t="shared" si="46"/>
        <v>ЭТАЖ ЗАДАН ЧИСЛОМ</v>
      </c>
      <c r="Q435" s="13" t="str">
        <f t="shared" si="47"/>
        <v>ГОТОВ</v>
      </c>
      <c r="R435" s="13">
        <f>IFERROR(VLOOKUP(P435,Лист1!A$1:B$20,2,FALSE),0)</f>
        <v>784</v>
      </c>
      <c r="S435" s="13">
        <f t="shared" si="48"/>
        <v>1</v>
      </c>
    </row>
    <row r="436" spans="1:19" x14ac:dyDescent="0.25">
      <c r="A436" t="s">
        <v>1635</v>
      </c>
      <c r="B436" s="4" t="s">
        <v>1190</v>
      </c>
      <c r="C436" s="3" t="s">
        <v>7</v>
      </c>
      <c r="E436" s="3" t="s">
        <v>5</v>
      </c>
      <c r="F436" t="s">
        <v>1038</v>
      </c>
      <c r="G436" s="3" t="s">
        <v>1183</v>
      </c>
      <c r="H436" s="7" t="s">
        <v>1184</v>
      </c>
      <c r="I436" s="3" t="str">
        <f>IFERROR(VLOOKUP(C436,'Справочник соответствий'!A$2:D$2996,2,FALSE),IF(VALUE(C436)=0,1,VLOOKUP(C436,'Справочник соответствий'!A$2:D$2996,2,FALSE)))</f>
        <v>2</v>
      </c>
      <c r="J436" s="3">
        <f>IFERROR(VLOOKUP(D436,'Справочник соответствий'!A$2:D$2996,2,FALSE),IF(VALUE(D436)=0,0,VLOOKUP(D436,'Справочник соответствий'!A$2:D$2996,2,FALSE)))</f>
        <v>0</v>
      </c>
      <c r="K436" s="3" t="str">
        <f t="shared" si="42"/>
        <v>2</v>
      </c>
      <c r="L436" s="13" t="str">
        <f>IFERROR(VLOOKUP(C436,'Справочник соответствий'!A$2:D$2996,3,FALSE),IF(VALUE(C436)=0,"ЭТАЖ НЕ ОПРЕДЕЛЕН. ПРИНЯТ ПО ДОПУЩЕНИЮ 1",VLOOKUP(C436,'Справочник соответствий'!A$2:D$2996,3,FALSE)))</f>
        <v>ЭТАЖ ЗАДАН ЧИСЛОМ</v>
      </c>
      <c r="M436" s="13" t="b">
        <f t="shared" si="43"/>
        <v>0</v>
      </c>
      <c r="N436" s="13">
        <f t="shared" si="44"/>
        <v>2</v>
      </c>
      <c r="O436" s="13" t="str">
        <f t="shared" si="45"/>
        <v>ЭТАЖ ЗАДАН ЧИСЛОМ</v>
      </c>
      <c r="P436" s="13" t="str">
        <f t="shared" si="46"/>
        <v>ЭТАЖ ЗАДАН ЧИСЛОМ</v>
      </c>
      <c r="Q436" s="13" t="str">
        <f t="shared" si="47"/>
        <v>ГОТОВ_ИЗМЕНЕН</v>
      </c>
      <c r="R436" s="13">
        <f>IFERROR(VLOOKUP(P436,Лист1!A$1:B$20,2,FALSE),0)</f>
        <v>784</v>
      </c>
      <c r="S436" s="13">
        <f t="shared" si="48"/>
        <v>1</v>
      </c>
    </row>
    <row r="437" spans="1:19" x14ac:dyDescent="0.25">
      <c r="A437" t="s">
        <v>1636</v>
      </c>
      <c r="B437" s="4" t="s">
        <v>1190</v>
      </c>
      <c r="C437" s="3" t="s">
        <v>5</v>
      </c>
      <c r="D437" s="3" t="s">
        <v>5</v>
      </c>
      <c r="E437" s="3" t="s">
        <v>5</v>
      </c>
      <c r="F437" t="s">
        <v>1045</v>
      </c>
      <c r="G437" s="3" t="s">
        <v>1191</v>
      </c>
      <c r="H437" s="7" t="s">
        <v>1184</v>
      </c>
      <c r="I437" s="3" t="str">
        <f>IFERROR(VLOOKUP(C437,'Справочник соответствий'!A$2:D$2996,2,FALSE),IF(VALUE(C437)=0,1,VLOOKUP(C437,'Справочник соответствий'!A$2:D$2996,2,FALSE)))</f>
        <v>1</v>
      </c>
      <c r="J437" s="3" t="str">
        <f>IFERROR(VLOOKUP(D437,'Справочник соответствий'!A$2:D$2996,2,FALSE),IF(VALUE(D437)=0,0,VLOOKUP(D437,'Справочник соответствий'!A$2:D$2996,2,FALSE)))</f>
        <v>1</v>
      </c>
      <c r="K437" s="3" t="str">
        <f t="shared" si="42"/>
        <v>1</v>
      </c>
      <c r="L437" s="13" t="str">
        <f>IFERROR(VLOOKUP(C437,'Справочник соответствий'!A$2:D$2996,3,FALSE),IF(VALUE(C437)=0,"ЭТАЖ НЕ ОПРЕДЕЛЕН. ПРИНЯТ ПО ДОПУЩЕНИЮ 1",VLOOKUP(C437,'Справочник соответствий'!A$2:D$2996,3,FALSE)))</f>
        <v>ЭТАЖ ЗАДАН ЧИСЛОМ</v>
      </c>
      <c r="M437" s="13" t="b">
        <f t="shared" si="43"/>
        <v>1</v>
      </c>
      <c r="N437" s="13">
        <f t="shared" si="44"/>
        <v>1</v>
      </c>
      <c r="O437" s="13" t="str">
        <f t="shared" si="45"/>
        <v>ЭТАЖ ЗАДАН ЧИСЛОМ</v>
      </c>
      <c r="P437" s="13" t="str">
        <f t="shared" si="46"/>
        <v>ЭТАЖ ЗАДАН ЧИСЛОМ</v>
      </c>
      <c r="Q437" s="13" t="str">
        <f t="shared" si="47"/>
        <v>ГОТОВ</v>
      </c>
      <c r="R437" s="13">
        <f>IFERROR(VLOOKUP(P437,Лист1!A$1:B$20,2,FALSE),0)</f>
        <v>784</v>
      </c>
      <c r="S437" s="13">
        <f t="shared" si="48"/>
        <v>1</v>
      </c>
    </row>
    <row r="438" spans="1:19" x14ac:dyDescent="0.25">
      <c r="A438" t="s">
        <v>1637</v>
      </c>
      <c r="B438" s="4" t="s">
        <v>1190</v>
      </c>
      <c r="C438" s="3" t="s">
        <v>5</v>
      </c>
      <c r="G438" s="3" t="s">
        <v>1187</v>
      </c>
      <c r="I438" s="3" t="str">
        <f>IFERROR(VLOOKUP(C438,'Справочник соответствий'!A$2:D$2996,2,FALSE),IF(VALUE(C438)=0,1,VLOOKUP(C438,'Справочник соответствий'!A$2:D$2996,2,FALSE)))</f>
        <v>1</v>
      </c>
      <c r="J438" s="3">
        <f>IFERROR(VLOOKUP(D438,'Справочник соответствий'!A$2:D$2996,2,FALSE),IF(VALUE(D438)=0,0,VLOOKUP(D438,'Справочник соответствий'!A$2:D$2996,2,FALSE)))</f>
        <v>0</v>
      </c>
      <c r="K438" s="3" t="str">
        <f t="shared" si="42"/>
        <v>1</v>
      </c>
      <c r="L438" s="13" t="str">
        <f>IFERROR(VLOOKUP(C438,'Справочник соответствий'!A$2:D$2996,3,FALSE),IF(VALUE(C438)=0,"ЭТАЖ НЕ ОПРЕДЕЛЕН. ПРИНЯТ ПО ДОПУЩЕНИЮ 1",VLOOKUP(C438,'Справочник соответствий'!A$2:D$2996,3,FALSE)))</f>
        <v>ЭТАЖ ЗАДАН ЧИСЛОМ</v>
      </c>
      <c r="M438" s="13" t="b">
        <f t="shared" si="43"/>
        <v>0</v>
      </c>
      <c r="N438" s="13">
        <f t="shared" si="44"/>
        <v>1</v>
      </c>
      <c r="O438" s="13" t="str">
        <f t="shared" si="45"/>
        <v>ЭТАЖ ЗАДАН ЧИСЛОМ</v>
      </c>
      <c r="P438" s="13" t="str">
        <f t="shared" si="46"/>
        <v>ЭТАЖ ЗАДАН ЧИСЛОМ</v>
      </c>
      <c r="Q438" s="13" t="str">
        <f t="shared" si="47"/>
        <v>ГОТОВ_ИЗМЕНЕН</v>
      </c>
      <c r="R438" s="13">
        <f>IFERROR(VLOOKUP(P438,Лист1!A$1:B$20,2,FALSE),0)</f>
        <v>784</v>
      </c>
      <c r="S438" s="13">
        <f t="shared" si="48"/>
        <v>0</v>
      </c>
    </row>
    <row r="439" spans="1:19" x14ac:dyDescent="0.25">
      <c r="A439" t="s">
        <v>1638</v>
      </c>
      <c r="B439" s="4" t="s">
        <v>1190</v>
      </c>
      <c r="C439" s="3" t="s">
        <v>7</v>
      </c>
      <c r="G439" s="3" t="s">
        <v>1187</v>
      </c>
      <c r="I439" s="3" t="str">
        <f>IFERROR(VLOOKUP(C439,'Справочник соответствий'!A$2:D$2996,2,FALSE),IF(VALUE(C439)=0,1,VLOOKUP(C439,'Справочник соответствий'!A$2:D$2996,2,FALSE)))</f>
        <v>2</v>
      </c>
      <c r="J439" s="3">
        <f>IFERROR(VLOOKUP(D439,'Справочник соответствий'!A$2:D$2996,2,FALSE),IF(VALUE(D439)=0,0,VLOOKUP(D439,'Справочник соответствий'!A$2:D$2996,2,FALSE)))</f>
        <v>0</v>
      </c>
      <c r="K439" s="3" t="str">
        <f t="shared" si="42"/>
        <v>2</v>
      </c>
      <c r="L439" s="13" t="str">
        <f>IFERROR(VLOOKUP(C439,'Справочник соответствий'!A$2:D$2996,3,FALSE),IF(VALUE(C439)=0,"ЭТАЖ НЕ ОПРЕДЕЛЕН. ПРИНЯТ ПО ДОПУЩЕНИЮ 1",VLOOKUP(C439,'Справочник соответствий'!A$2:D$2996,3,FALSE)))</f>
        <v>ЭТАЖ ЗАДАН ЧИСЛОМ</v>
      </c>
      <c r="M439" s="13" t="b">
        <f t="shared" si="43"/>
        <v>0</v>
      </c>
      <c r="N439" s="13">
        <f t="shared" si="44"/>
        <v>2</v>
      </c>
      <c r="O439" s="13" t="str">
        <f t="shared" si="45"/>
        <v>ЭТАЖ ЗАДАН ЧИСЛОМ</v>
      </c>
      <c r="P439" s="13" t="str">
        <f t="shared" si="46"/>
        <v>ЭТАЖ ЗАДАН ЧИСЛОМ</v>
      </c>
      <c r="Q439" s="13" t="str">
        <f t="shared" si="47"/>
        <v>ГОТОВ_ИЗМЕНЕН</v>
      </c>
      <c r="R439" s="13">
        <f>IFERROR(VLOOKUP(P439,Лист1!A$1:B$20,2,FALSE),0)</f>
        <v>784</v>
      </c>
      <c r="S439" s="13">
        <f t="shared" si="48"/>
        <v>0</v>
      </c>
    </row>
    <row r="440" spans="1:19" x14ac:dyDescent="0.25">
      <c r="A440" t="s">
        <v>1639</v>
      </c>
      <c r="B440" s="4" t="s">
        <v>1182</v>
      </c>
      <c r="C440" s="3" t="s">
        <v>5</v>
      </c>
      <c r="G440" s="3" t="s">
        <v>1187</v>
      </c>
      <c r="I440" s="3" t="str">
        <f>IFERROR(VLOOKUP(C440,'Справочник соответствий'!A$2:D$2996,2,FALSE),IF(VALUE(C440)=0,1,VLOOKUP(C440,'Справочник соответствий'!A$2:D$2996,2,FALSE)))</f>
        <v>1</v>
      </c>
      <c r="J440" s="3">
        <f>IFERROR(VLOOKUP(D440,'Справочник соответствий'!A$2:D$2996,2,FALSE),IF(VALUE(D440)=0,0,VLOOKUP(D440,'Справочник соответствий'!A$2:D$2996,2,FALSE)))</f>
        <v>0</v>
      </c>
      <c r="K440" s="3" t="str">
        <f t="shared" si="42"/>
        <v>1</v>
      </c>
      <c r="L440" s="13" t="str">
        <f>IFERROR(VLOOKUP(C440,'Справочник соответствий'!A$2:D$2996,3,FALSE),IF(VALUE(C440)=0,"ЭТАЖ НЕ ОПРЕДЕЛЕН. ПРИНЯТ ПО ДОПУЩЕНИЮ 1",VLOOKUP(C440,'Справочник соответствий'!A$2:D$2996,3,FALSE)))</f>
        <v>ЭТАЖ ЗАДАН ЧИСЛОМ</v>
      </c>
      <c r="M440" s="13" t="b">
        <f t="shared" si="43"/>
        <v>0</v>
      </c>
      <c r="N440" s="13">
        <f t="shared" si="44"/>
        <v>1</v>
      </c>
      <c r="O440" s="13" t="str">
        <f t="shared" si="45"/>
        <v>ЭТАЖ ЗАДАН ЧИСЛОМ</v>
      </c>
      <c r="P440" s="13" t="str">
        <f t="shared" si="46"/>
        <v>ЭТАЖ ЗАДАН ЧИСЛОМ</v>
      </c>
      <c r="Q440" s="13" t="str">
        <f t="shared" si="47"/>
        <v>ГОТОВ_ИЗМЕНЕН</v>
      </c>
      <c r="R440" s="13">
        <f>IFERROR(VLOOKUP(P440,Лист1!A$1:B$20,2,FALSE),0)</f>
        <v>784</v>
      </c>
      <c r="S440" s="13">
        <f t="shared" si="48"/>
        <v>0</v>
      </c>
    </row>
    <row r="441" spans="1:19" x14ac:dyDescent="0.25">
      <c r="A441" t="s">
        <v>1640</v>
      </c>
      <c r="B441" s="4" t="s">
        <v>1190</v>
      </c>
      <c r="C441" s="3" t="s">
        <v>7</v>
      </c>
      <c r="G441" s="3" t="s">
        <v>1187</v>
      </c>
      <c r="I441" s="3" t="str">
        <f>IFERROR(VLOOKUP(C441,'Справочник соответствий'!A$2:D$2996,2,FALSE),IF(VALUE(C441)=0,1,VLOOKUP(C441,'Справочник соответствий'!A$2:D$2996,2,FALSE)))</f>
        <v>2</v>
      </c>
      <c r="J441" s="3">
        <f>IFERROR(VLOOKUP(D441,'Справочник соответствий'!A$2:D$2996,2,FALSE),IF(VALUE(D441)=0,0,VLOOKUP(D441,'Справочник соответствий'!A$2:D$2996,2,FALSE)))</f>
        <v>0</v>
      </c>
      <c r="K441" s="3" t="str">
        <f t="shared" si="42"/>
        <v>2</v>
      </c>
      <c r="L441" s="13" t="str">
        <f>IFERROR(VLOOKUP(C441,'Справочник соответствий'!A$2:D$2996,3,FALSE),IF(VALUE(C441)=0,"ЭТАЖ НЕ ОПРЕДЕЛЕН. ПРИНЯТ ПО ДОПУЩЕНИЮ 1",VLOOKUP(C441,'Справочник соответствий'!A$2:D$2996,3,FALSE)))</f>
        <v>ЭТАЖ ЗАДАН ЧИСЛОМ</v>
      </c>
      <c r="M441" s="13" t="b">
        <f t="shared" si="43"/>
        <v>0</v>
      </c>
      <c r="N441" s="13">
        <f t="shared" si="44"/>
        <v>2</v>
      </c>
      <c r="O441" s="13" t="str">
        <f t="shared" si="45"/>
        <v>ЭТАЖ ЗАДАН ЧИСЛОМ</v>
      </c>
      <c r="P441" s="13" t="str">
        <f t="shared" si="46"/>
        <v>ЭТАЖ ЗАДАН ЧИСЛОМ</v>
      </c>
      <c r="Q441" s="13" t="str">
        <f t="shared" si="47"/>
        <v>ГОТОВ_ИЗМЕНЕН</v>
      </c>
      <c r="R441" s="13">
        <f>IFERROR(VLOOKUP(P441,Лист1!A$1:B$20,2,FALSE),0)</f>
        <v>784</v>
      </c>
      <c r="S441" s="13">
        <f t="shared" si="48"/>
        <v>0</v>
      </c>
    </row>
    <row r="442" spans="1:19" x14ac:dyDescent="0.25">
      <c r="A442" t="s">
        <v>1641</v>
      </c>
      <c r="B442" s="4" t="s">
        <v>1190</v>
      </c>
      <c r="C442" s="3" t="s">
        <v>7</v>
      </c>
      <c r="G442" s="3" t="s">
        <v>1187</v>
      </c>
      <c r="I442" s="3" t="str">
        <f>IFERROR(VLOOKUP(C442,'Справочник соответствий'!A$2:D$2996,2,FALSE),IF(VALUE(C442)=0,1,VLOOKUP(C442,'Справочник соответствий'!A$2:D$2996,2,FALSE)))</f>
        <v>2</v>
      </c>
      <c r="J442" s="3">
        <f>IFERROR(VLOOKUP(D442,'Справочник соответствий'!A$2:D$2996,2,FALSE),IF(VALUE(D442)=0,0,VLOOKUP(D442,'Справочник соответствий'!A$2:D$2996,2,FALSE)))</f>
        <v>0</v>
      </c>
      <c r="K442" s="3" t="str">
        <f t="shared" si="42"/>
        <v>2</v>
      </c>
      <c r="L442" s="13" t="str">
        <f>IFERROR(VLOOKUP(C442,'Справочник соответствий'!A$2:D$2996,3,FALSE),IF(VALUE(C442)=0,"ЭТАЖ НЕ ОПРЕДЕЛЕН. ПРИНЯТ ПО ДОПУЩЕНИЮ 1",VLOOKUP(C442,'Справочник соответствий'!A$2:D$2996,3,FALSE)))</f>
        <v>ЭТАЖ ЗАДАН ЧИСЛОМ</v>
      </c>
      <c r="M442" s="13" t="b">
        <f t="shared" si="43"/>
        <v>0</v>
      </c>
      <c r="N442" s="13">
        <f t="shared" si="44"/>
        <v>2</v>
      </c>
      <c r="O442" s="13" t="str">
        <f t="shared" si="45"/>
        <v>ЭТАЖ ЗАДАН ЧИСЛОМ</v>
      </c>
      <c r="P442" s="13" t="str">
        <f t="shared" si="46"/>
        <v>ЭТАЖ ЗАДАН ЧИСЛОМ</v>
      </c>
      <c r="Q442" s="13" t="str">
        <f t="shared" si="47"/>
        <v>ГОТОВ_ИЗМЕНЕН</v>
      </c>
      <c r="R442" s="13">
        <f>IFERROR(VLOOKUP(P442,Лист1!A$1:B$20,2,FALSE),0)</f>
        <v>784</v>
      </c>
      <c r="S442" s="13">
        <f t="shared" si="48"/>
        <v>0</v>
      </c>
    </row>
    <row r="443" spans="1:19" x14ac:dyDescent="0.25">
      <c r="A443" t="s">
        <v>1642</v>
      </c>
      <c r="B443" s="4" t="s">
        <v>1182</v>
      </c>
      <c r="C443" s="3" t="s">
        <v>7</v>
      </c>
      <c r="E443" s="3" t="s">
        <v>5</v>
      </c>
      <c r="F443" t="s">
        <v>1045</v>
      </c>
      <c r="G443" s="3" t="s">
        <v>1198</v>
      </c>
      <c r="H443" s="7" t="s">
        <v>1184</v>
      </c>
      <c r="I443" s="3" t="str">
        <f>IFERROR(VLOOKUP(C443,'Справочник соответствий'!A$2:D$2996,2,FALSE),IF(VALUE(C443)=0,1,VLOOKUP(C443,'Справочник соответствий'!A$2:D$2996,2,FALSE)))</f>
        <v>2</v>
      </c>
      <c r="J443" s="3">
        <f>IFERROR(VLOOKUP(D443,'Справочник соответствий'!A$2:D$2996,2,FALSE),IF(VALUE(D443)=0,0,VLOOKUP(D443,'Справочник соответствий'!A$2:D$2996,2,FALSE)))</f>
        <v>0</v>
      </c>
      <c r="K443" s="3" t="str">
        <f t="shared" si="42"/>
        <v>2</v>
      </c>
      <c r="L443" s="13" t="str">
        <f>IFERROR(VLOOKUP(C443,'Справочник соответствий'!A$2:D$2996,3,FALSE),IF(VALUE(C443)=0,"ЭТАЖ НЕ ОПРЕДЕЛЕН. ПРИНЯТ ПО ДОПУЩЕНИЮ 1",VLOOKUP(C443,'Справочник соответствий'!A$2:D$2996,3,FALSE)))</f>
        <v>ЭТАЖ ЗАДАН ЧИСЛОМ</v>
      </c>
      <c r="M443" s="13" t="b">
        <f t="shared" si="43"/>
        <v>0</v>
      </c>
      <c r="N443" s="13">
        <f t="shared" si="44"/>
        <v>2</v>
      </c>
      <c r="O443" s="13" t="str">
        <f t="shared" si="45"/>
        <v>ЭТАЖ ЗАДАН ЧИСЛОМ</v>
      </c>
      <c r="P443" s="13" t="str">
        <f t="shared" si="46"/>
        <v>ЭТАЖ ЗАДАН ЧИСЛОМ</v>
      </c>
      <c r="Q443" s="13" t="str">
        <f t="shared" si="47"/>
        <v>ГОТОВ_ИЗМЕНЕН</v>
      </c>
      <c r="R443" s="13">
        <f>IFERROR(VLOOKUP(P443,Лист1!A$1:B$20,2,FALSE),0)</f>
        <v>784</v>
      </c>
      <c r="S443" s="13">
        <f t="shared" si="48"/>
        <v>1</v>
      </c>
    </row>
    <row r="444" spans="1:19" x14ac:dyDescent="0.25">
      <c r="A444" t="s">
        <v>1643</v>
      </c>
      <c r="B444" s="4" t="s">
        <v>1182</v>
      </c>
      <c r="G444" s="3" t="s">
        <v>1191</v>
      </c>
      <c r="I444" s="3">
        <f>IFERROR(VLOOKUP(C444,'Справочник соответствий'!A$2:D$2996,2,FALSE),IF(VALUE(C444)=0,1,VLOOKUP(C444,'Справочник соответствий'!A$2:D$2996,2,FALSE)))</f>
        <v>1</v>
      </c>
      <c r="J444" s="3">
        <f>IFERROR(VLOOKUP(D444,'Справочник соответствий'!A$2:D$2996,2,FALSE),IF(VALUE(D444)=0,0,VLOOKUP(D444,'Справочник соответствий'!A$2:D$2996,2,FALSE)))</f>
        <v>0</v>
      </c>
      <c r="K444" s="3">
        <f t="shared" si="42"/>
        <v>1</v>
      </c>
      <c r="L444" s="13" t="str">
        <f>IFERROR(VLOOKUP(C444,'Справочник соответствий'!A$2:D$2996,3,FALSE),IF(VALUE(C444)=0,"ЭТАЖ НЕ ОПРЕДЕЛЕН. ПРИНЯТ ПО ДОПУЩЕНИЮ 1",VLOOKUP(C444,'Справочник соответствий'!A$2:D$2996,3,FALSE)))</f>
        <v>ЭТАЖ НЕ ОПРЕДЕЛЕН. ПРИНЯТ ПО ДОПУЩЕНИЮ 1</v>
      </c>
      <c r="M444" s="13" t="b">
        <f t="shared" si="43"/>
        <v>0</v>
      </c>
      <c r="N444" s="13">
        <f t="shared" si="44"/>
        <v>1</v>
      </c>
      <c r="O444" s="13" t="str">
        <f t="shared" si="45"/>
        <v>ЭТАЖ НЕ ОПРЕДЕЛЕН. ПРИНЯТ ПО ДОПУЩЕНИЮ 1</v>
      </c>
      <c r="P444" s="13" t="str">
        <f t="shared" si="46"/>
        <v>ЭТАЖ НЕ ОПРЕДЕЛЕН. ПРИНЯТ ПО ДОПУЩЕНИЮ 1</v>
      </c>
      <c r="Q444" s="13" t="str">
        <f t="shared" si="47"/>
        <v>ГОТОВ_ИЗМЕНЕН</v>
      </c>
      <c r="R444" s="13">
        <f>IFERROR(VLOOKUP(P444,Лист1!A$1:B$20,2,FALSE),0)</f>
        <v>788</v>
      </c>
      <c r="S444" s="13">
        <f t="shared" si="48"/>
        <v>0</v>
      </c>
    </row>
    <row r="445" spans="1:19" x14ac:dyDescent="0.25">
      <c r="A445" t="s">
        <v>1644</v>
      </c>
      <c r="B445" s="4" t="s">
        <v>1190</v>
      </c>
      <c r="C445" s="3" t="s">
        <v>5</v>
      </c>
      <c r="G445" s="3" t="s">
        <v>1191</v>
      </c>
      <c r="I445" s="3" t="str">
        <f>IFERROR(VLOOKUP(C445,'Справочник соответствий'!A$2:D$2996,2,FALSE),IF(VALUE(C445)=0,1,VLOOKUP(C445,'Справочник соответствий'!A$2:D$2996,2,FALSE)))</f>
        <v>1</v>
      </c>
      <c r="J445" s="3">
        <f>IFERROR(VLOOKUP(D445,'Справочник соответствий'!A$2:D$2996,2,FALSE),IF(VALUE(D445)=0,0,VLOOKUP(D445,'Справочник соответствий'!A$2:D$2996,2,FALSE)))</f>
        <v>0</v>
      </c>
      <c r="K445" s="3" t="str">
        <f t="shared" si="42"/>
        <v>1</v>
      </c>
      <c r="L445" s="13" t="str">
        <f>IFERROR(VLOOKUP(C445,'Справочник соответствий'!A$2:D$2996,3,FALSE),IF(VALUE(C445)=0,"ЭТАЖ НЕ ОПРЕДЕЛЕН. ПРИНЯТ ПО ДОПУЩЕНИЮ 1",VLOOKUP(C445,'Справочник соответствий'!A$2:D$2996,3,FALSE)))</f>
        <v>ЭТАЖ ЗАДАН ЧИСЛОМ</v>
      </c>
      <c r="M445" s="13" t="b">
        <f t="shared" si="43"/>
        <v>0</v>
      </c>
      <c r="N445" s="13">
        <f t="shared" si="44"/>
        <v>1</v>
      </c>
      <c r="O445" s="13" t="str">
        <f t="shared" si="45"/>
        <v>ЭТАЖ ЗАДАН ЧИСЛОМ</v>
      </c>
      <c r="P445" s="13" t="str">
        <f t="shared" si="46"/>
        <v>ЭТАЖ ЗАДАН ЧИСЛОМ</v>
      </c>
      <c r="Q445" s="13" t="str">
        <f t="shared" si="47"/>
        <v>ГОТОВ_ИЗМЕНЕН</v>
      </c>
      <c r="R445" s="13">
        <f>IFERROR(VLOOKUP(P445,Лист1!A$1:B$20,2,FALSE),0)</f>
        <v>784</v>
      </c>
      <c r="S445" s="13">
        <f t="shared" si="48"/>
        <v>0</v>
      </c>
    </row>
    <row r="446" spans="1:19" x14ac:dyDescent="0.25">
      <c r="A446" t="s">
        <v>1645</v>
      </c>
      <c r="B446" s="4" t="s">
        <v>1190</v>
      </c>
      <c r="C446" s="3" t="s">
        <v>5</v>
      </c>
      <c r="G446" s="3" t="s">
        <v>1191</v>
      </c>
      <c r="I446" s="3" t="str">
        <f>IFERROR(VLOOKUP(C446,'Справочник соответствий'!A$2:D$2996,2,FALSE),IF(VALUE(C446)=0,1,VLOOKUP(C446,'Справочник соответствий'!A$2:D$2996,2,FALSE)))</f>
        <v>1</v>
      </c>
      <c r="J446" s="3">
        <f>IFERROR(VLOOKUP(D446,'Справочник соответствий'!A$2:D$2996,2,FALSE),IF(VALUE(D446)=0,0,VLOOKUP(D446,'Справочник соответствий'!A$2:D$2996,2,FALSE)))</f>
        <v>0</v>
      </c>
      <c r="K446" s="3" t="str">
        <f t="shared" si="42"/>
        <v>1</v>
      </c>
      <c r="L446" s="13" t="str">
        <f>IFERROR(VLOOKUP(C446,'Справочник соответствий'!A$2:D$2996,3,FALSE),IF(VALUE(C446)=0,"ЭТАЖ НЕ ОПРЕДЕЛЕН. ПРИНЯТ ПО ДОПУЩЕНИЮ 1",VLOOKUP(C446,'Справочник соответствий'!A$2:D$2996,3,FALSE)))</f>
        <v>ЭТАЖ ЗАДАН ЧИСЛОМ</v>
      </c>
      <c r="M446" s="13" t="b">
        <f t="shared" si="43"/>
        <v>0</v>
      </c>
      <c r="N446" s="13">
        <f t="shared" si="44"/>
        <v>1</v>
      </c>
      <c r="O446" s="13" t="str">
        <f t="shared" si="45"/>
        <v>ЭТАЖ ЗАДАН ЧИСЛОМ</v>
      </c>
      <c r="P446" s="13" t="str">
        <f t="shared" si="46"/>
        <v>ЭТАЖ ЗАДАН ЧИСЛОМ</v>
      </c>
      <c r="Q446" s="13" t="str">
        <f t="shared" si="47"/>
        <v>ГОТОВ_ИЗМЕНЕН</v>
      </c>
      <c r="R446" s="13">
        <f>IFERROR(VLOOKUP(P446,Лист1!A$1:B$20,2,FALSE),0)</f>
        <v>784</v>
      </c>
      <c r="S446" s="13">
        <f t="shared" si="48"/>
        <v>0</v>
      </c>
    </row>
    <row r="447" spans="1:19" x14ac:dyDescent="0.25">
      <c r="A447" t="s">
        <v>1646</v>
      </c>
      <c r="B447" s="4" t="s">
        <v>1190</v>
      </c>
      <c r="C447" s="3" t="s">
        <v>7</v>
      </c>
      <c r="G447" s="3" t="s">
        <v>1191</v>
      </c>
      <c r="I447" s="3" t="str">
        <f>IFERROR(VLOOKUP(C447,'Справочник соответствий'!A$2:D$2996,2,FALSE),IF(VALUE(C447)=0,1,VLOOKUP(C447,'Справочник соответствий'!A$2:D$2996,2,FALSE)))</f>
        <v>2</v>
      </c>
      <c r="J447" s="3">
        <f>IFERROR(VLOOKUP(D447,'Справочник соответствий'!A$2:D$2996,2,FALSE),IF(VALUE(D447)=0,0,VLOOKUP(D447,'Справочник соответствий'!A$2:D$2996,2,FALSE)))</f>
        <v>0</v>
      </c>
      <c r="K447" s="3" t="str">
        <f t="shared" si="42"/>
        <v>2</v>
      </c>
      <c r="L447" s="13" t="str">
        <f>IFERROR(VLOOKUP(C447,'Справочник соответствий'!A$2:D$2996,3,FALSE),IF(VALUE(C447)=0,"ЭТАЖ НЕ ОПРЕДЕЛЕН. ПРИНЯТ ПО ДОПУЩЕНИЮ 1",VLOOKUP(C447,'Справочник соответствий'!A$2:D$2996,3,FALSE)))</f>
        <v>ЭТАЖ ЗАДАН ЧИСЛОМ</v>
      </c>
      <c r="M447" s="13" t="b">
        <f t="shared" si="43"/>
        <v>0</v>
      </c>
      <c r="N447" s="13">
        <f t="shared" si="44"/>
        <v>2</v>
      </c>
      <c r="O447" s="13" t="str">
        <f t="shared" si="45"/>
        <v>ЭТАЖ ЗАДАН ЧИСЛОМ</v>
      </c>
      <c r="P447" s="13" t="str">
        <f t="shared" si="46"/>
        <v>ЭТАЖ ЗАДАН ЧИСЛОМ</v>
      </c>
      <c r="Q447" s="13" t="str">
        <f t="shared" si="47"/>
        <v>ГОТОВ_ИЗМЕНЕН</v>
      </c>
      <c r="R447" s="13">
        <f>IFERROR(VLOOKUP(P447,Лист1!A$1:B$20,2,FALSE),0)</f>
        <v>784</v>
      </c>
      <c r="S447" s="13">
        <f t="shared" si="48"/>
        <v>0</v>
      </c>
    </row>
    <row r="448" spans="1:19" x14ac:dyDescent="0.25">
      <c r="A448" t="s">
        <v>1647</v>
      </c>
      <c r="B448" s="4" t="s">
        <v>1190</v>
      </c>
      <c r="C448" s="3" t="s">
        <v>7</v>
      </c>
      <c r="G448" s="3" t="s">
        <v>1191</v>
      </c>
      <c r="I448" s="3" t="str">
        <f>IFERROR(VLOOKUP(C448,'Справочник соответствий'!A$2:D$2996,2,FALSE),IF(VALUE(C448)=0,1,VLOOKUP(C448,'Справочник соответствий'!A$2:D$2996,2,FALSE)))</f>
        <v>2</v>
      </c>
      <c r="J448" s="3">
        <f>IFERROR(VLOOKUP(D448,'Справочник соответствий'!A$2:D$2996,2,FALSE),IF(VALUE(D448)=0,0,VLOOKUP(D448,'Справочник соответствий'!A$2:D$2996,2,FALSE)))</f>
        <v>0</v>
      </c>
      <c r="K448" s="3" t="str">
        <f t="shared" si="42"/>
        <v>2</v>
      </c>
      <c r="L448" s="13" t="str">
        <f>IFERROR(VLOOKUP(C448,'Справочник соответствий'!A$2:D$2996,3,FALSE),IF(VALUE(C448)=0,"ЭТАЖ НЕ ОПРЕДЕЛЕН. ПРИНЯТ ПО ДОПУЩЕНИЮ 1",VLOOKUP(C448,'Справочник соответствий'!A$2:D$2996,3,FALSE)))</f>
        <v>ЭТАЖ ЗАДАН ЧИСЛОМ</v>
      </c>
      <c r="M448" s="13" t="b">
        <f t="shared" si="43"/>
        <v>0</v>
      </c>
      <c r="N448" s="13">
        <f t="shared" si="44"/>
        <v>2</v>
      </c>
      <c r="O448" s="13" t="str">
        <f t="shared" si="45"/>
        <v>ЭТАЖ ЗАДАН ЧИСЛОМ</v>
      </c>
      <c r="P448" s="13" t="str">
        <f t="shared" si="46"/>
        <v>ЭТАЖ ЗАДАН ЧИСЛОМ</v>
      </c>
      <c r="Q448" s="13" t="str">
        <f t="shared" si="47"/>
        <v>ГОТОВ_ИЗМЕНЕН</v>
      </c>
      <c r="R448" s="13">
        <f>IFERROR(VLOOKUP(P448,Лист1!A$1:B$20,2,FALSE),0)</f>
        <v>784</v>
      </c>
      <c r="S448" s="13">
        <f t="shared" si="48"/>
        <v>0</v>
      </c>
    </row>
    <row r="449" spans="1:19" x14ac:dyDescent="0.25">
      <c r="A449" t="s">
        <v>1648</v>
      </c>
      <c r="B449" s="4" t="s">
        <v>1190</v>
      </c>
      <c r="C449" s="3" t="s">
        <v>7</v>
      </c>
      <c r="G449" s="3" t="s">
        <v>1183</v>
      </c>
      <c r="I449" s="3" t="str">
        <f>IFERROR(VLOOKUP(C449,'Справочник соответствий'!A$2:D$2996,2,FALSE),IF(VALUE(C449)=0,1,VLOOKUP(C449,'Справочник соответствий'!A$2:D$2996,2,FALSE)))</f>
        <v>2</v>
      </c>
      <c r="J449" s="3">
        <f>IFERROR(VLOOKUP(D449,'Справочник соответствий'!A$2:D$2996,2,FALSE),IF(VALUE(D449)=0,0,VLOOKUP(D449,'Справочник соответствий'!A$2:D$2996,2,FALSE)))</f>
        <v>0</v>
      </c>
      <c r="K449" s="3" t="str">
        <f t="shared" si="42"/>
        <v>2</v>
      </c>
      <c r="L449" s="13" t="str">
        <f>IFERROR(VLOOKUP(C449,'Справочник соответствий'!A$2:D$2996,3,FALSE),IF(VALUE(C449)=0,"ЭТАЖ НЕ ОПРЕДЕЛЕН. ПРИНЯТ ПО ДОПУЩЕНИЮ 1",VLOOKUP(C449,'Справочник соответствий'!A$2:D$2996,3,FALSE)))</f>
        <v>ЭТАЖ ЗАДАН ЧИСЛОМ</v>
      </c>
      <c r="M449" s="13" t="b">
        <f t="shared" si="43"/>
        <v>0</v>
      </c>
      <c r="N449" s="13">
        <f t="shared" si="44"/>
        <v>2</v>
      </c>
      <c r="O449" s="13" t="str">
        <f t="shared" si="45"/>
        <v>ЭТАЖ ЗАДАН ЧИСЛОМ</v>
      </c>
      <c r="P449" s="13" t="str">
        <f t="shared" si="46"/>
        <v>ЭТАЖ ЗАДАН ЧИСЛОМ</v>
      </c>
      <c r="Q449" s="13" t="str">
        <f t="shared" si="47"/>
        <v>ГОТОВ_ИЗМЕНЕН</v>
      </c>
      <c r="R449" s="13">
        <f>IFERROR(VLOOKUP(P449,Лист1!A$1:B$20,2,FALSE),0)</f>
        <v>784</v>
      </c>
      <c r="S449" s="13">
        <f t="shared" si="48"/>
        <v>0</v>
      </c>
    </row>
    <row r="450" spans="1:19" x14ac:dyDescent="0.25">
      <c r="A450" t="s">
        <v>1649</v>
      </c>
      <c r="B450" s="4" t="s">
        <v>1190</v>
      </c>
      <c r="C450" s="3" t="s">
        <v>5</v>
      </c>
      <c r="G450" s="3" t="s">
        <v>1183</v>
      </c>
      <c r="I450" s="3" t="str">
        <f>IFERROR(VLOOKUP(C450,'Справочник соответствий'!A$2:D$2996,2,FALSE),IF(VALUE(C450)=0,1,VLOOKUP(C450,'Справочник соответствий'!A$2:D$2996,2,FALSE)))</f>
        <v>1</v>
      </c>
      <c r="J450" s="3">
        <f>IFERROR(VLOOKUP(D450,'Справочник соответствий'!A$2:D$2996,2,FALSE),IF(VALUE(D450)=0,0,VLOOKUP(D450,'Справочник соответствий'!A$2:D$2996,2,FALSE)))</f>
        <v>0</v>
      </c>
      <c r="K450" s="3" t="str">
        <f t="shared" ref="K450:K513" si="49">IF(B450="Многоквартирный дом",IF(I450-J450&gt;0,I450-J450,1),I450)</f>
        <v>1</v>
      </c>
      <c r="L450" s="13" t="str">
        <f>IFERROR(VLOOKUP(C450,'Справочник соответствий'!A$2:D$2996,3,FALSE),IF(VALUE(C450)=0,"ЭТАЖ НЕ ОПРЕДЕЛЕН. ПРИНЯТ ПО ДОПУЩЕНИЮ 1",VLOOKUP(C450,'Справочник соответствий'!A$2:D$2996,3,FALSE)))</f>
        <v>ЭТАЖ ЗАДАН ЧИСЛОМ</v>
      </c>
      <c r="M450" s="13" t="b">
        <f t="shared" ref="M450:M513" si="50">I450=E450</f>
        <v>0</v>
      </c>
      <c r="N450" s="13">
        <f t="shared" ref="N450:N513" si="51">IF(VALUE(E450)=0,VALUE(K450),IF(L450="ЭТАЖ НЕ ОПРЕДЕЛЕН. ПРИНЯТ ПО ДОПУЩЕНИЮ 1",VALUE(E450),VALUE(K450)))</f>
        <v>1</v>
      </c>
      <c r="O450" s="13" t="str">
        <f t="shared" ref="O450:O513" si="52">IF(VALUE(E450)=0,L450,IF(L450="ЭТАЖ НЕ ОПРЕДЕЛЕН. ПРИНЯТ ПО ДОПУЩЕНИЮ 1",F450,L450))</f>
        <v>ЭТАЖ ЗАДАН ЧИСЛОМ</v>
      </c>
      <c r="P450" s="13" t="str">
        <f t="shared" ref="P450:P513" si="53">IF(B450="Многоквартирный дом",CONCATENATE("МКД_",O450),O450)</f>
        <v>ЭТАЖ ЗАДАН ЧИСЛОМ</v>
      </c>
      <c r="Q450" s="13" t="str">
        <f t="shared" ref="Q450:Q513" si="54">IFERROR(IF(N450&gt;0,IF(N450=VALUE(E450),"ГОТОВ","ГОТОВ_ИЗМЕНЕН"),"НЕ ГОТОВ"),"НЕ ГОТОВ")</f>
        <v>ГОТОВ_ИЗМЕНЕН</v>
      </c>
      <c r="R450" s="13">
        <f>IFERROR(VLOOKUP(P450,Лист1!A$1:B$20,2,FALSE),0)</f>
        <v>784</v>
      </c>
      <c r="S450" s="13">
        <f t="shared" ref="S450:S513" si="55">VALUE(E450)</f>
        <v>0</v>
      </c>
    </row>
    <row r="451" spans="1:19" x14ac:dyDescent="0.25">
      <c r="A451" t="s">
        <v>1650</v>
      </c>
      <c r="B451" s="4" t="s">
        <v>1182</v>
      </c>
      <c r="C451" s="3" t="s">
        <v>7</v>
      </c>
      <c r="G451" s="3" t="s">
        <v>1183</v>
      </c>
      <c r="I451" s="3" t="str">
        <f>IFERROR(VLOOKUP(C451,'Справочник соответствий'!A$2:D$2996,2,FALSE),IF(VALUE(C451)=0,1,VLOOKUP(C451,'Справочник соответствий'!A$2:D$2996,2,FALSE)))</f>
        <v>2</v>
      </c>
      <c r="J451" s="3">
        <f>IFERROR(VLOOKUP(D451,'Справочник соответствий'!A$2:D$2996,2,FALSE),IF(VALUE(D451)=0,0,VLOOKUP(D451,'Справочник соответствий'!A$2:D$2996,2,FALSE)))</f>
        <v>0</v>
      </c>
      <c r="K451" s="3" t="str">
        <f t="shared" si="49"/>
        <v>2</v>
      </c>
      <c r="L451" s="13" t="str">
        <f>IFERROR(VLOOKUP(C451,'Справочник соответствий'!A$2:D$2996,3,FALSE),IF(VALUE(C451)=0,"ЭТАЖ НЕ ОПРЕДЕЛЕН. ПРИНЯТ ПО ДОПУЩЕНИЮ 1",VLOOKUP(C451,'Справочник соответствий'!A$2:D$2996,3,FALSE)))</f>
        <v>ЭТАЖ ЗАДАН ЧИСЛОМ</v>
      </c>
      <c r="M451" s="13" t="b">
        <f t="shared" si="50"/>
        <v>0</v>
      </c>
      <c r="N451" s="13">
        <f t="shared" si="51"/>
        <v>2</v>
      </c>
      <c r="O451" s="13" t="str">
        <f t="shared" si="52"/>
        <v>ЭТАЖ ЗАДАН ЧИСЛОМ</v>
      </c>
      <c r="P451" s="13" t="str">
        <f t="shared" si="53"/>
        <v>ЭТАЖ ЗАДАН ЧИСЛОМ</v>
      </c>
      <c r="Q451" s="13" t="str">
        <f t="shared" si="54"/>
        <v>ГОТОВ_ИЗМЕНЕН</v>
      </c>
      <c r="R451" s="13">
        <f>IFERROR(VLOOKUP(P451,Лист1!A$1:B$20,2,FALSE),0)</f>
        <v>784</v>
      </c>
      <c r="S451" s="13">
        <f t="shared" si="55"/>
        <v>0</v>
      </c>
    </row>
    <row r="452" spans="1:19" x14ac:dyDescent="0.25">
      <c r="A452" t="s">
        <v>1651</v>
      </c>
      <c r="B452" s="4" t="s">
        <v>1182</v>
      </c>
      <c r="C452" s="3" t="s">
        <v>5</v>
      </c>
      <c r="G452" s="3" t="s">
        <v>1183</v>
      </c>
      <c r="I452" s="3" t="str">
        <f>IFERROR(VLOOKUP(C452,'Справочник соответствий'!A$2:D$2996,2,FALSE),IF(VALUE(C452)=0,1,VLOOKUP(C452,'Справочник соответствий'!A$2:D$2996,2,FALSE)))</f>
        <v>1</v>
      </c>
      <c r="J452" s="3">
        <f>IFERROR(VLOOKUP(D452,'Справочник соответствий'!A$2:D$2996,2,FALSE),IF(VALUE(D452)=0,0,VLOOKUP(D452,'Справочник соответствий'!A$2:D$2996,2,FALSE)))</f>
        <v>0</v>
      </c>
      <c r="K452" s="3" t="str">
        <f t="shared" si="49"/>
        <v>1</v>
      </c>
      <c r="L452" s="13" t="str">
        <f>IFERROR(VLOOKUP(C452,'Справочник соответствий'!A$2:D$2996,3,FALSE),IF(VALUE(C452)=0,"ЭТАЖ НЕ ОПРЕДЕЛЕН. ПРИНЯТ ПО ДОПУЩЕНИЮ 1",VLOOKUP(C452,'Справочник соответствий'!A$2:D$2996,3,FALSE)))</f>
        <v>ЭТАЖ ЗАДАН ЧИСЛОМ</v>
      </c>
      <c r="M452" s="13" t="b">
        <f t="shared" si="50"/>
        <v>0</v>
      </c>
      <c r="N452" s="13">
        <f t="shared" si="51"/>
        <v>1</v>
      </c>
      <c r="O452" s="13" t="str">
        <f t="shared" si="52"/>
        <v>ЭТАЖ ЗАДАН ЧИСЛОМ</v>
      </c>
      <c r="P452" s="13" t="str">
        <f t="shared" si="53"/>
        <v>ЭТАЖ ЗАДАН ЧИСЛОМ</v>
      </c>
      <c r="Q452" s="13" t="str">
        <f t="shared" si="54"/>
        <v>ГОТОВ_ИЗМЕНЕН</v>
      </c>
      <c r="R452" s="13">
        <f>IFERROR(VLOOKUP(P452,Лист1!A$1:B$20,2,FALSE),0)</f>
        <v>784</v>
      </c>
      <c r="S452" s="13">
        <f t="shared" si="55"/>
        <v>0</v>
      </c>
    </row>
    <row r="453" spans="1:19" x14ac:dyDescent="0.25">
      <c r="A453" t="s">
        <v>1652</v>
      </c>
      <c r="B453" s="4" t="s">
        <v>1190</v>
      </c>
      <c r="C453" s="3" t="s">
        <v>5</v>
      </c>
      <c r="G453" s="3" t="s">
        <v>1183</v>
      </c>
      <c r="I453" s="3" t="str">
        <f>IFERROR(VLOOKUP(C453,'Справочник соответствий'!A$2:D$2996,2,FALSE),IF(VALUE(C453)=0,1,VLOOKUP(C453,'Справочник соответствий'!A$2:D$2996,2,FALSE)))</f>
        <v>1</v>
      </c>
      <c r="J453" s="3">
        <f>IFERROR(VLOOKUP(D453,'Справочник соответствий'!A$2:D$2996,2,FALSE),IF(VALUE(D453)=0,0,VLOOKUP(D453,'Справочник соответствий'!A$2:D$2996,2,FALSE)))</f>
        <v>0</v>
      </c>
      <c r="K453" s="3" t="str">
        <f t="shared" si="49"/>
        <v>1</v>
      </c>
      <c r="L453" s="13" t="str">
        <f>IFERROR(VLOOKUP(C453,'Справочник соответствий'!A$2:D$2996,3,FALSE),IF(VALUE(C453)=0,"ЭТАЖ НЕ ОПРЕДЕЛЕН. ПРИНЯТ ПО ДОПУЩЕНИЮ 1",VLOOKUP(C453,'Справочник соответствий'!A$2:D$2996,3,FALSE)))</f>
        <v>ЭТАЖ ЗАДАН ЧИСЛОМ</v>
      </c>
      <c r="M453" s="13" t="b">
        <f t="shared" si="50"/>
        <v>0</v>
      </c>
      <c r="N453" s="13">
        <f t="shared" si="51"/>
        <v>1</v>
      </c>
      <c r="O453" s="13" t="str">
        <f t="shared" si="52"/>
        <v>ЭТАЖ ЗАДАН ЧИСЛОМ</v>
      </c>
      <c r="P453" s="13" t="str">
        <f t="shared" si="53"/>
        <v>ЭТАЖ ЗАДАН ЧИСЛОМ</v>
      </c>
      <c r="Q453" s="13" t="str">
        <f t="shared" si="54"/>
        <v>ГОТОВ_ИЗМЕНЕН</v>
      </c>
      <c r="R453" s="13">
        <f>IFERROR(VLOOKUP(P453,Лист1!A$1:B$20,2,FALSE),0)</f>
        <v>784</v>
      </c>
      <c r="S453" s="13">
        <f t="shared" si="55"/>
        <v>0</v>
      </c>
    </row>
    <row r="454" spans="1:19" x14ac:dyDescent="0.25">
      <c r="A454" t="s">
        <v>1653</v>
      </c>
      <c r="B454" s="4" t="s">
        <v>1190</v>
      </c>
      <c r="C454" s="3" t="s">
        <v>5</v>
      </c>
      <c r="G454" s="3" t="s">
        <v>1183</v>
      </c>
      <c r="I454" s="3" t="str">
        <f>IFERROR(VLOOKUP(C454,'Справочник соответствий'!A$2:D$2996,2,FALSE),IF(VALUE(C454)=0,1,VLOOKUP(C454,'Справочник соответствий'!A$2:D$2996,2,FALSE)))</f>
        <v>1</v>
      </c>
      <c r="J454" s="3">
        <f>IFERROR(VLOOKUP(D454,'Справочник соответствий'!A$2:D$2996,2,FALSE),IF(VALUE(D454)=0,0,VLOOKUP(D454,'Справочник соответствий'!A$2:D$2996,2,FALSE)))</f>
        <v>0</v>
      </c>
      <c r="K454" s="3" t="str">
        <f t="shared" si="49"/>
        <v>1</v>
      </c>
      <c r="L454" s="13" t="str">
        <f>IFERROR(VLOOKUP(C454,'Справочник соответствий'!A$2:D$2996,3,FALSE),IF(VALUE(C454)=0,"ЭТАЖ НЕ ОПРЕДЕЛЕН. ПРИНЯТ ПО ДОПУЩЕНИЮ 1",VLOOKUP(C454,'Справочник соответствий'!A$2:D$2996,3,FALSE)))</f>
        <v>ЭТАЖ ЗАДАН ЧИСЛОМ</v>
      </c>
      <c r="M454" s="13" t="b">
        <f t="shared" si="50"/>
        <v>0</v>
      </c>
      <c r="N454" s="13">
        <f t="shared" si="51"/>
        <v>1</v>
      </c>
      <c r="O454" s="13" t="str">
        <f t="shared" si="52"/>
        <v>ЭТАЖ ЗАДАН ЧИСЛОМ</v>
      </c>
      <c r="P454" s="13" t="str">
        <f t="shared" si="53"/>
        <v>ЭТАЖ ЗАДАН ЧИСЛОМ</v>
      </c>
      <c r="Q454" s="13" t="str">
        <f t="shared" si="54"/>
        <v>ГОТОВ_ИЗМЕНЕН</v>
      </c>
      <c r="R454" s="13">
        <f>IFERROR(VLOOKUP(P454,Лист1!A$1:B$20,2,FALSE),0)</f>
        <v>784</v>
      </c>
      <c r="S454" s="13">
        <f t="shared" si="55"/>
        <v>0</v>
      </c>
    </row>
    <row r="455" spans="1:19" x14ac:dyDescent="0.25">
      <c r="A455" t="s">
        <v>1654</v>
      </c>
      <c r="B455" s="4" t="s">
        <v>1190</v>
      </c>
      <c r="C455" s="3" t="s">
        <v>5</v>
      </c>
      <c r="G455" s="3" t="s">
        <v>1198</v>
      </c>
      <c r="I455" s="3" t="str">
        <f>IFERROR(VLOOKUP(C455,'Справочник соответствий'!A$2:D$2996,2,FALSE),IF(VALUE(C455)=0,1,VLOOKUP(C455,'Справочник соответствий'!A$2:D$2996,2,FALSE)))</f>
        <v>1</v>
      </c>
      <c r="J455" s="3">
        <f>IFERROR(VLOOKUP(D455,'Справочник соответствий'!A$2:D$2996,2,FALSE),IF(VALUE(D455)=0,0,VLOOKUP(D455,'Справочник соответствий'!A$2:D$2996,2,FALSE)))</f>
        <v>0</v>
      </c>
      <c r="K455" s="3" t="str">
        <f t="shared" si="49"/>
        <v>1</v>
      </c>
      <c r="L455" s="13" t="str">
        <f>IFERROR(VLOOKUP(C455,'Справочник соответствий'!A$2:D$2996,3,FALSE),IF(VALUE(C455)=0,"ЭТАЖ НЕ ОПРЕДЕЛЕН. ПРИНЯТ ПО ДОПУЩЕНИЮ 1",VLOOKUP(C455,'Справочник соответствий'!A$2:D$2996,3,FALSE)))</f>
        <v>ЭТАЖ ЗАДАН ЧИСЛОМ</v>
      </c>
      <c r="M455" s="13" t="b">
        <f t="shared" si="50"/>
        <v>0</v>
      </c>
      <c r="N455" s="13">
        <f t="shared" si="51"/>
        <v>1</v>
      </c>
      <c r="O455" s="13" t="str">
        <f t="shared" si="52"/>
        <v>ЭТАЖ ЗАДАН ЧИСЛОМ</v>
      </c>
      <c r="P455" s="13" t="str">
        <f t="shared" si="53"/>
        <v>ЭТАЖ ЗАДАН ЧИСЛОМ</v>
      </c>
      <c r="Q455" s="13" t="str">
        <f t="shared" si="54"/>
        <v>ГОТОВ_ИЗМЕНЕН</v>
      </c>
      <c r="R455" s="13">
        <f>IFERROR(VLOOKUP(P455,Лист1!A$1:B$20,2,FALSE),0)</f>
        <v>784</v>
      </c>
      <c r="S455" s="13">
        <f t="shared" si="55"/>
        <v>0</v>
      </c>
    </row>
    <row r="456" spans="1:19" x14ac:dyDescent="0.25">
      <c r="A456" t="s">
        <v>1655</v>
      </c>
      <c r="B456" s="4" t="s">
        <v>1190</v>
      </c>
      <c r="C456" s="3" t="s">
        <v>7</v>
      </c>
      <c r="G456" s="3" t="s">
        <v>1198</v>
      </c>
      <c r="I456" s="3" t="str">
        <f>IFERROR(VLOOKUP(C456,'Справочник соответствий'!A$2:D$2996,2,FALSE),IF(VALUE(C456)=0,1,VLOOKUP(C456,'Справочник соответствий'!A$2:D$2996,2,FALSE)))</f>
        <v>2</v>
      </c>
      <c r="J456" s="3">
        <f>IFERROR(VLOOKUP(D456,'Справочник соответствий'!A$2:D$2996,2,FALSE),IF(VALUE(D456)=0,0,VLOOKUP(D456,'Справочник соответствий'!A$2:D$2996,2,FALSE)))</f>
        <v>0</v>
      </c>
      <c r="K456" s="3" t="str">
        <f t="shared" si="49"/>
        <v>2</v>
      </c>
      <c r="L456" s="13" t="str">
        <f>IFERROR(VLOOKUP(C456,'Справочник соответствий'!A$2:D$2996,3,FALSE),IF(VALUE(C456)=0,"ЭТАЖ НЕ ОПРЕДЕЛЕН. ПРИНЯТ ПО ДОПУЩЕНИЮ 1",VLOOKUP(C456,'Справочник соответствий'!A$2:D$2996,3,FALSE)))</f>
        <v>ЭТАЖ ЗАДАН ЧИСЛОМ</v>
      </c>
      <c r="M456" s="13" t="b">
        <f t="shared" si="50"/>
        <v>0</v>
      </c>
      <c r="N456" s="13">
        <f t="shared" si="51"/>
        <v>2</v>
      </c>
      <c r="O456" s="13" t="str">
        <f t="shared" si="52"/>
        <v>ЭТАЖ ЗАДАН ЧИСЛОМ</v>
      </c>
      <c r="P456" s="13" t="str">
        <f t="shared" si="53"/>
        <v>ЭТАЖ ЗАДАН ЧИСЛОМ</v>
      </c>
      <c r="Q456" s="13" t="str">
        <f t="shared" si="54"/>
        <v>ГОТОВ_ИЗМЕНЕН</v>
      </c>
      <c r="R456" s="13">
        <f>IFERROR(VLOOKUP(P456,Лист1!A$1:B$20,2,FALSE),0)</f>
        <v>784</v>
      </c>
      <c r="S456" s="13">
        <f t="shared" si="55"/>
        <v>0</v>
      </c>
    </row>
    <row r="457" spans="1:19" x14ac:dyDescent="0.25">
      <c r="A457" t="s">
        <v>1656</v>
      </c>
      <c r="B457" s="4" t="s">
        <v>1190</v>
      </c>
      <c r="C457" s="3" t="s">
        <v>8</v>
      </c>
      <c r="D457" s="3" t="s">
        <v>5</v>
      </c>
      <c r="G457" s="3" t="s">
        <v>1198</v>
      </c>
      <c r="I457" s="3" t="str">
        <f>IFERROR(VLOOKUP(C457,'Справочник соответствий'!A$2:D$2996,2,FALSE),IF(VALUE(C457)=0,1,VLOOKUP(C457,'Справочник соответствий'!A$2:D$2996,2,FALSE)))</f>
        <v>3</v>
      </c>
      <c r="J457" s="3" t="str">
        <f>IFERROR(VLOOKUP(D457,'Справочник соответствий'!A$2:D$2996,2,FALSE),IF(VALUE(D457)=0,0,VLOOKUP(D457,'Справочник соответствий'!A$2:D$2996,2,FALSE)))</f>
        <v>1</v>
      </c>
      <c r="K457" s="3" t="str">
        <f t="shared" si="49"/>
        <v>3</v>
      </c>
      <c r="L457" s="13" t="str">
        <f>IFERROR(VLOOKUP(C457,'Справочник соответствий'!A$2:D$2996,3,FALSE),IF(VALUE(C457)=0,"ЭТАЖ НЕ ОПРЕДЕЛЕН. ПРИНЯТ ПО ДОПУЩЕНИЮ 1",VLOOKUP(C457,'Справочник соответствий'!A$2:D$2996,3,FALSE)))</f>
        <v>ЭТАЖ ЗАДАН ЧИСЛОМ</v>
      </c>
      <c r="M457" s="13" t="b">
        <f t="shared" si="50"/>
        <v>0</v>
      </c>
      <c r="N457" s="13">
        <f t="shared" si="51"/>
        <v>3</v>
      </c>
      <c r="O457" s="13" t="str">
        <f t="shared" si="52"/>
        <v>ЭТАЖ ЗАДАН ЧИСЛОМ</v>
      </c>
      <c r="P457" s="13" t="str">
        <f t="shared" si="53"/>
        <v>ЭТАЖ ЗАДАН ЧИСЛОМ</v>
      </c>
      <c r="Q457" s="13" t="str">
        <f t="shared" si="54"/>
        <v>ГОТОВ_ИЗМЕНЕН</v>
      </c>
      <c r="R457" s="13">
        <f>IFERROR(VLOOKUP(P457,Лист1!A$1:B$20,2,FALSE),0)</f>
        <v>784</v>
      </c>
      <c r="S457" s="13">
        <f t="shared" si="55"/>
        <v>0</v>
      </c>
    </row>
    <row r="458" spans="1:19" x14ac:dyDescent="0.25">
      <c r="A458" t="s">
        <v>1657</v>
      </c>
      <c r="B458" s="4" t="s">
        <v>1182</v>
      </c>
      <c r="C458" s="3" t="s">
        <v>9</v>
      </c>
      <c r="G458" s="3" t="s">
        <v>1198</v>
      </c>
      <c r="I458" s="3" t="str">
        <f>IFERROR(VLOOKUP(C458,'Справочник соответствий'!A$2:D$2996,2,FALSE),IF(VALUE(C458)=0,1,VLOOKUP(C458,'Справочник соответствий'!A$2:D$2996,2,FALSE)))</f>
        <v>3</v>
      </c>
      <c r="J458" s="3">
        <f>IFERROR(VLOOKUP(D458,'Справочник соответствий'!A$2:D$2996,2,FALSE),IF(VALUE(D458)=0,0,VLOOKUP(D458,'Справочник соответствий'!A$2:D$2996,2,FALSE)))</f>
        <v>0</v>
      </c>
      <c r="K458" s="3" t="str">
        <f t="shared" si="49"/>
        <v>3</v>
      </c>
      <c r="L458" s="13" t="str">
        <f>IFERROR(VLOOKUP(C458,'Справочник соответствий'!A$2:D$2996,3,FALSE),IF(VALUE(C458)=0,"ЭТАЖ НЕ ОПРЕДЕЛЕН. ПРИНЯТ ПО ДОПУЩЕНИЮ 1",VLOOKUP(C458,'Справочник соответствий'!A$2:D$2996,3,FALSE)))</f>
        <v>СПРАВОЧНИК ЭТАЖНОСТИ</v>
      </c>
      <c r="M458" s="13" t="b">
        <f t="shared" si="50"/>
        <v>0</v>
      </c>
      <c r="N458" s="13">
        <f t="shared" si="51"/>
        <v>3</v>
      </c>
      <c r="O458" s="13" t="str">
        <f t="shared" si="52"/>
        <v>СПРАВОЧНИК ЭТАЖНОСТИ</v>
      </c>
      <c r="P458" s="13" t="str">
        <f t="shared" si="53"/>
        <v>СПРАВОЧНИК ЭТАЖНОСТИ</v>
      </c>
      <c r="Q458" s="13" t="str">
        <f t="shared" si="54"/>
        <v>ГОТОВ_ИЗМЕНЕН</v>
      </c>
      <c r="R458" s="13">
        <f>IFERROR(VLOOKUP(P458,Лист1!A$1:B$20,2,FALSE),0)</f>
        <v>785</v>
      </c>
      <c r="S458" s="13">
        <f t="shared" si="55"/>
        <v>0</v>
      </c>
    </row>
    <row r="459" spans="1:19" x14ac:dyDescent="0.25">
      <c r="A459" t="s">
        <v>1658</v>
      </c>
      <c r="B459" s="4" t="s">
        <v>1190</v>
      </c>
      <c r="C459" s="3" t="s">
        <v>7</v>
      </c>
      <c r="G459" s="3" t="s">
        <v>1198</v>
      </c>
      <c r="I459" s="3" t="str">
        <f>IFERROR(VLOOKUP(C459,'Справочник соответствий'!A$2:D$2996,2,FALSE),IF(VALUE(C459)=0,1,VLOOKUP(C459,'Справочник соответствий'!A$2:D$2996,2,FALSE)))</f>
        <v>2</v>
      </c>
      <c r="J459" s="3">
        <f>IFERROR(VLOOKUP(D459,'Справочник соответствий'!A$2:D$2996,2,FALSE),IF(VALUE(D459)=0,0,VLOOKUP(D459,'Справочник соответствий'!A$2:D$2996,2,FALSE)))</f>
        <v>0</v>
      </c>
      <c r="K459" s="3" t="str">
        <f t="shared" si="49"/>
        <v>2</v>
      </c>
      <c r="L459" s="13" t="str">
        <f>IFERROR(VLOOKUP(C459,'Справочник соответствий'!A$2:D$2996,3,FALSE),IF(VALUE(C459)=0,"ЭТАЖ НЕ ОПРЕДЕЛЕН. ПРИНЯТ ПО ДОПУЩЕНИЮ 1",VLOOKUP(C459,'Справочник соответствий'!A$2:D$2996,3,FALSE)))</f>
        <v>ЭТАЖ ЗАДАН ЧИСЛОМ</v>
      </c>
      <c r="M459" s="13" t="b">
        <f t="shared" si="50"/>
        <v>0</v>
      </c>
      <c r="N459" s="13">
        <f t="shared" si="51"/>
        <v>2</v>
      </c>
      <c r="O459" s="13" t="str">
        <f t="shared" si="52"/>
        <v>ЭТАЖ ЗАДАН ЧИСЛОМ</v>
      </c>
      <c r="P459" s="13" t="str">
        <f t="shared" si="53"/>
        <v>ЭТАЖ ЗАДАН ЧИСЛОМ</v>
      </c>
      <c r="Q459" s="13" t="str">
        <f t="shared" si="54"/>
        <v>ГОТОВ_ИЗМЕНЕН</v>
      </c>
      <c r="R459" s="13">
        <f>IFERROR(VLOOKUP(P459,Лист1!A$1:B$20,2,FALSE),0)</f>
        <v>784</v>
      </c>
      <c r="S459" s="13">
        <f t="shared" si="55"/>
        <v>0</v>
      </c>
    </row>
    <row r="460" spans="1:19" x14ac:dyDescent="0.25">
      <c r="A460" t="s">
        <v>1659</v>
      </c>
      <c r="B460" s="4" t="s">
        <v>1190</v>
      </c>
      <c r="C460" s="3" t="s">
        <v>5</v>
      </c>
      <c r="G460" s="3" t="s">
        <v>1224</v>
      </c>
      <c r="I460" s="3" t="str">
        <f>IFERROR(VLOOKUP(C460,'Справочник соответствий'!A$2:D$2996,2,FALSE),IF(VALUE(C460)=0,1,VLOOKUP(C460,'Справочник соответствий'!A$2:D$2996,2,FALSE)))</f>
        <v>1</v>
      </c>
      <c r="J460" s="3">
        <f>IFERROR(VLOOKUP(D460,'Справочник соответствий'!A$2:D$2996,2,FALSE),IF(VALUE(D460)=0,0,VLOOKUP(D460,'Справочник соответствий'!A$2:D$2996,2,FALSE)))</f>
        <v>0</v>
      </c>
      <c r="K460" s="3" t="str">
        <f t="shared" si="49"/>
        <v>1</v>
      </c>
      <c r="L460" s="13" t="str">
        <f>IFERROR(VLOOKUP(C460,'Справочник соответствий'!A$2:D$2996,3,FALSE),IF(VALUE(C460)=0,"ЭТАЖ НЕ ОПРЕДЕЛЕН. ПРИНЯТ ПО ДОПУЩЕНИЮ 1",VLOOKUP(C460,'Справочник соответствий'!A$2:D$2996,3,FALSE)))</f>
        <v>ЭТАЖ ЗАДАН ЧИСЛОМ</v>
      </c>
      <c r="M460" s="13" t="b">
        <f t="shared" si="50"/>
        <v>0</v>
      </c>
      <c r="N460" s="13">
        <f t="shared" si="51"/>
        <v>1</v>
      </c>
      <c r="O460" s="13" t="str">
        <f t="shared" si="52"/>
        <v>ЭТАЖ ЗАДАН ЧИСЛОМ</v>
      </c>
      <c r="P460" s="13" t="str">
        <f t="shared" si="53"/>
        <v>ЭТАЖ ЗАДАН ЧИСЛОМ</v>
      </c>
      <c r="Q460" s="13" t="str">
        <f t="shared" si="54"/>
        <v>ГОТОВ_ИЗМЕНЕН</v>
      </c>
      <c r="R460" s="13">
        <f>IFERROR(VLOOKUP(P460,Лист1!A$1:B$20,2,FALSE),0)</f>
        <v>784</v>
      </c>
      <c r="S460" s="13">
        <f t="shared" si="55"/>
        <v>0</v>
      </c>
    </row>
    <row r="461" spans="1:19" x14ac:dyDescent="0.25">
      <c r="A461" t="s">
        <v>1660</v>
      </c>
      <c r="B461" s="4" t="s">
        <v>1190</v>
      </c>
      <c r="C461" s="3" t="s">
        <v>7</v>
      </c>
      <c r="G461" s="3" t="s">
        <v>1224</v>
      </c>
      <c r="I461" s="3" t="str">
        <f>IFERROR(VLOOKUP(C461,'Справочник соответствий'!A$2:D$2996,2,FALSE),IF(VALUE(C461)=0,1,VLOOKUP(C461,'Справочник соответствий'!A$2:D$2996,2,FALSE)))</f>
        <v>2</v>
      </c>
      <c r="J461" s="3">
        <f>IFERROR(VLOOKUP(D461,'Справочник соответствий'!A$2:D$2996,2,FALSE),IF(VALUE(D461)=0,0,VLOOKUP(D461,'Справочник соответствий'!A$2:D$2996,2,FALSE)))</f>
        <v>0</v>
      </c>
      <c r="K461" s="3" t="str">
        <f t="shared" si="49"/>
        <v>2</v>
      </c>
      <c r="L461" s="13" t="str">
        <f>IFERROR(VLOOKUP(C461,'Справочник соответствий'!A$2:D$2996,3,FALSE),IF(VALUE(C461)=0,"ЭТАЖ НЕ ОПРЕДЕЛЕН. ПРИНЯТ ПО ДОПУЩЕНИЮ 1",VLOOKUP(C461,'Справочник соответствий'!A$2:D$2996,3,FALSE)))</f>
        <v>ЭТАЖ ЗАДАН ЧИСЛОМ</v>
      </c>
      <c r="M461" s="13" t="b">
        <f t="shared" si="50"/>
        <v>0</v>
      </c>
      <c r="N461" s="13">
        <f t="shared" si="51"/>
        <v>2</v>
      </c>
      <c r="O461" s="13" t="str">
        <f t="shared" si="52"/>
        <v>ЭТАЖ ЗАДАН ЧИСЛОМ</v>
      </c>
      <c r="P461" s="13" t="str">
        <f t="shared" si="53"/>
        <v>ЭТАЖ ЗАДАН ЧИСЛОМ</v>
      </c>
      <c r="Q461" s="13" t="str">
        <f t="shared" si="54"/>
        <v>ГОТОВ_ИЗМЕНЕН</v>
      </c>
      <c r="R461" s="13">
        <f>IFERROR(VLOOKUP(P461,Лист1!A$1:B$20,2,FALSE),0)</f>
        <v>784</v>
      </c>
      <c r="S461" s="13">
        <f t="shared" si="55"/>
        <v>0</v>
      </c>
    </row>
    <row r="462" spans="1:19" x14ac:dyDescent="0.25">
      <c r="A462" t="s">
        <v>1661</v>
      </c>
      <c r="B462" s="4" t="s">
        <v>1190</v>
      </c>
      <c r="C462" s="3" t="s">
        <v>7</v>
      </c>
      <c r="G462" s="3" t="s">
        <v>1224</v>
      </c>
      <c r="I462" s="3" t="str">
        <f>IFERROR(VLOOKUP(C462,'Справочник соответствий'!A$2:D$2996,2,FALSE),IF(VALUE(C462)=0,1,VLOOKUP(C462,'Справочник соответствий'!A$2:D$2996,2,FALSE)))</f>
        <v>2</v>
      </c>
      <c r="J462" s="3">
        <f>IFERROR(VLOOKUP(D462,'Справочник соответствий'!A$2:D$2996,2,FALSE),IF(VALUE(D462)=0,0,VLOOKUP(D462,'Справочник соответствий'!A$2:D$2996,2,FALSE)))</f>
        <v>0</v>
      </c>
      <c r="K462" s="3" t="str">
        <f t="shared" si="49"/>
        <v>2</v>
      </c>
      <c r="L462" s="13" t="str">
        <f>IFERROR(VLOOKUP(C462,'Справочник соответствий'!A$2:D$2996,3,FALSE),IF(VALUE(C462)=0,"ЭТАЖ НЕ ОПРЕДЕЛЕН. ПРИНЯТ ПО ДОПУЩЕНИЮ 1",VLOOKUP(C462,'Справочник соответствий'!A$2:D$2996,3,FALSE)))</f>
        <v>ЭТАЖ ЗАДАН ЧИСЛОМ</v>
      </c>
      <c r="M462" s="13" t="b">
        <f t="shared" si="50"/>
        <v>0</v>
      </c>
      <c r="N462" s="13">
        <f t="shared" si="51"/>
        <v>2</v>
      </c>
      <c r="O462" s="13" t="str">
        <f t="shared" si="52"/>
        <v>ЭТАЖ ЗАДАН ЧИСЛОМ</v>
      </c>
      <c r="P462" s="13" t="str">
        <f t="shared" si="53"/>
        <v>ЭТАЖ ЗАДАН ЧИСЛОМ</v>
      </c>
      <c r="Q462" s="13" t="str">
        <f t="shared" si="54"/>
        <v>ГОТОВ_ИЗМЕНЕН</v>
      </c>
      <c r="R462" s="13">
        <f>IFERROR(VLOOKUP(P462,Лист1!A$1:B$20,2,FALSE),0)</f>
        <v>784</v>
      </c>
      <c r="S462" s="13">
        <f t="shared" si="55"/>
        <v>0</v>
      </c>
    </row>
    <row r="463" spans="1:19" x14ac:dyDescent="0.25">
      <c r="A463" t="s">
        <v>1662</v>
      </c>
      <c r="B463" s="4" t="s">
        <v>1182</v>
      </c>
      <c r="G463" s="3" t="s">
        <v>1224</v>
      </c>
      <c r="I463" s="3">
        <f>IFERROR(VLOOKUP(C463,'Справочник соответствий'!A$2:D$2996,2,FALSE),IF(VALUE(C463)=0,1,VLOOKUP(C463,'Справочник соответствий'!A$2:D$2996,2,FALSE)))</f>
        <v>1</v>
      </c>
      <c r="J463" s="3">
        <f>IFERROR(VLOOKUP(D463,'Справочник соответствий'!A$2:D$2996,2,FALSE),IF(VALUE(D463)=0,0,VLOOKUP(D463,'Справочник соответствий'!A$2:D$2996,2,FALSE)))</f>
        <v>0</v>
      </c>
      <c r="K463" s="3">
        <f t="shared" si="49"/>
        <v>1</v>
      </c>
      <c r="L463" s="13" t="str">
        <f>IFERROR(VLOOKUP(C463,'Справочник соответствий'!A$2:D$2996,3,FALSE),IF(VALUE(C463)=0,"ЭТАЖ НЕ ОПРЕДЕЛЕН. ПРИНЯТ ПО ДОПУЩЕНИЮ 1",VLOOKUP(C463,'Справочник соответствий'!A$2:D$2996,3,FALSE)))</f>
        <v>ЭТАЖ НЕ ОПРЕДЕЛЕН. ПРИНЯТ ПО ДОПУЩЕНИЮ 1</v>
      </c>
      <c r="M463" s="13" t="b">
        <f t="shared" si="50"/>
        <v>0</v>
      </c>
      <c r="N463" s="13">
        <f t="shared" si="51"/>
        <v>1</v>
      </c>
      <c r="O463" s="13" t="str">
        <f t="shared" si="52"/>
        <v>ЭТАЖ НЕ ОПРЕДЕЛЕН. ПРИНЯТ ПО ДОПУЩЕНИЮ 1</v>
      </c>
      <c r="P463" s="13" t="str">
        <f t="shared" si="53"/>
        <v>ЭТАЖ НЕ ОПРЕДЕЛЕН. ПРИНЯТ ПО ДОПУЩЕНИЮ 1</v>
      </c>
      <c r="Q463" s="13" t="str">
        <f t="shared" si="54"/>
        <v>ГОТОВ_ИЗМЕНЕН</v>
      </c>
      <c r="R463" s="13">
        <f>IFERROR(VLOOKUP(P463,Лист1!A$1:B$20,2,FALSE),0)</f>
        <v>788</v>
      </c>
      <c r="S463" s="13">
        <f t="shared" si="55"/>
        <v>0</v>
      </c>
    </row>
    <row r="464" spans="1:19" x14ac:dyDescent="0.25">
      <c r="A464" t="s">
        <v>1663</v>
      </c>
      <c r="B464" s="4" t="s">
        <v>1182</v>
      </c>
      <c r="C464" s="3" t="s">
        <v>5</v>
      </c>
      <c r="G464" s="3" t="s">
        <v>1224</v>
      </c>
      <c r="I464" s="3" t="str">
        <f>IFERROR(VLOOKUP(C464,'Справочник соответствий'!A$2:D$2996,2,FALSE),IF(VALUE(C464)=0,1,VLOOKUP(C464,'Справочник соответствий'!A$2:D$2996,2,FALSE)))</f>
        <v>1</v>
      </c>
      <c r="J464" s="3">
        <f>IFERROR(VLOOKUP(D464,'Справочник соответствий'!A$2:D$2996,2,FALSE),IF(VALUE(D464)=0,0,VLOOKUP(D464,'Справочник соответствий'!A$2:D$2996,2,FALSE)))</f>
        <v>0</v>
      </c>
      <c r="K464" s="3" t="str">
        <f t="shared" si="49"/>
        <v>1</v>
      </c>
      <c r="L464" s="13" t="str">
        <f>IFERROR(VLOOKUP(C464,'Справочник соответствий'!A$2:D$2996,3,FALSE),IF(VALUE(C464)=0,"ЭТАЖ НЕ ОПРЕДЕЛЕН. ПРИНЯТ ПО ДОПУЩЕНИЮ 1",VLOOKUP(C464,'Справочник соответствий'!A$2:D$2996,3,FALSE)))</f>
        <v>ЭТАЖ ЗАДАН ЧИСЛОМ</v>
      </c>
      <c r="M464" s="13" t="b">
        <f t="shared" si="50"/>
        <v>0</v>
      </c>
      <c r="N464" s="13">
        <f t="shared" si="51"/>
        <v>1</v>
      </c>
      <c r="O464" s="13" t="str">
        <f t="shared" si="52"/>
        <v>ЭТАЖ ЗАДАН ЧИСЛОМ</v>
      </c>
      <c r="P464" s="13" t="str">
        <f t="shared" si="53"/>
        <v>ЭТАЖ ЗАДАН ЧИСЛОМ</v>
      </c>
      <c r="Q464" s="13" t="str">
        <f t="shared" si="54"/>
        <v>ГОТОВ_ИЗМЕНЕН</v>
      </c>
      <c r="R464" s="13">
        <f>IFERROR(VLOOKUP(P464,Лист1!A$1:B$20,2,FALSE),0)</f>
        <v>784</v>
      </c>
      <c r="S464" s="13">
        <f t="shared" si="55"/>
        <v>0</v>
      </c>
    </row>
    <row r="465" spans="1:19" x14ac:dyDescent="0.25">
      <c r="A465" t="s">
        <v>1664</v>
      </c>
      <c r="B465" s="4" t="s">
        <v>1190</v>
      </c>
      <c r="C465" s="3" t="s">
        <v>7</v>
      </c>
      <c r="G465" s="3" t="s">
        <v>1224</v>
      </c>
      <c r="I465" s="3" t="str">
        <f>IFERROR(VLOOKUP(C465,'Справочник соответствий'!A$2:D$2996,2,FALSE),IF(VALUE(C465)=0,1,VLOOKUP(C465,'Справочник соответствий'!A$2:D$2996,2,FALSE)))</f>
        <v>2</v>
      </c>
      <c r="J465" s="3">
        <f>IFERROR(VLOOKUP(D465,'Справочник соответствий'!A$2:D$2996,2,FALSE),IF(VALUE(D465)=0,0,VLOOKUP(D465,'Справочник соответствий'!A$2:D$2996,2,FALSE)))</f>
        <v>0</v>
      </c>
      <c r="K465" s="3" t="str">
        <f t="shared" si="49"/>
        <v>2</v>
      </c>
      <c r="L465" s="13" t="str">
        <f>IFERROR(VLOOKUP(C465,'Справочник соответствий'!A$2:D$2996,3,FALSE),IF(VALUE(C465)=0,"ЭТАЖ НЕ ОПРЕДЕЛЕН. ПРИНЯТ ПО ДОПУЩЕНИЮ 1",VLOOKUP(C465,'Справочник соответствий'!A$2:D$2996,3,FALSE)))</f>
        <v>ЭТАЖ ЗАДАН ЧИСЛОМ</v>
      </c>
      <c r="M465" s="13" t="b">
        <f t="shared" si="50"/>
        <v>0</v>
      </c>
      <c r="N465" s="13">
        <f t="shared" si="51"/>
        <v>2</v>
      </c>
      <c r="O465" s="13" t="str">
        <f t="shared" si="52"/>
        <v>ЭТАЖ ЗАДАН ЧИСЛОМ</v>
      </c>
      <c r="P465" s="13" t="str">
        <f t="shared" si="53"/>
        <v>ЭТАЖ ЗАДАН ЧИСЛОМ</v>
      </c>
      <c r="Q465" s="13" t="str">
        <f t="shared" si="54"/>
        <v>ГОТОВ_ИЗМЕНЕН</v>
      </c>
      <c r="R465" s="13">
        <f>IFERROR(VLOOKUP(P465,Лист1!A$1:B$20,2,FALSE),0)</f>
        <v>784</v>
      </c>
      <c r="S465" s="13">
        <f t="shared" si="55"/>
        <v>0</v>
      </c>
    </row>
    <row r="466" spans="1:19" x14ac:dyDescent="0.25">
      <c r="A466" t="s">
        <v>1665</v>
      </c>
      <c r="B466" s="4" t="s">
        <v>1182</v>
      </c>
      <c r="C466" s="3" t="s">
        <v>7</v>
      </c>
      <c r="G466" s="3" t="s">
        <v>1224</v>
      </c>
      <c r="I466" s="3" t="str">
        <f>IFERROR(VLOOKUP(C466,'Справочник соответствий'!A$2:D$2996,2,FALSE),IF(VALUE(C466)=0,1,VLOOKUP(C466,'Справочник соответствий'!A$2:D$2996,2,FALSE)))</f>
        <v>2</v>
      </c>
      <c r="J466" s="3">
        <f>IFERROR(VLOOKUP(D466,'Справочник соответствий'!A$2:D$2996,2,FALSE),IF(VALUE(D466)=0,0,VLOOKUP(D466,'Справочник соответствий'!A$2:D$2996,2,FALSE)))</f>
        <v>0</v>
      </c>
      <c r="K466" s="3" t="str">
        <f t="shared" si="49"/>
        <v>2</v>
      </c>
      <c r="L466" s="13" t="str">
        <f>IFERROR(VLOOKUP(C466,'Справочник соответствий'!A$2:D$2996,3,FALSE),IF(VALUE(C466)=0,"ЭТАЖ НЕ ОПРЕДЕЛЕН. ПРИНЯТ ПО ДОПУЩЕНИЮ 1",VLOOKUP(C466,'Справочник соответствий'!A$2:D$2996,3,FALSE)))</f>
        <v>ЭТАЖ ЗАДАН ЧИСЛОМ</v>
      </c>
      <c r="M466" s="13" t="b">
        <f t="shared" si="50"/>
        <v>0</v>
      </c>
      <c r="N466" s="13">
        <f t="shared" si="51"/>
        <v>2</v>
      </c>
      <c r="O466" s="13" t="str">
        <f t="shared" si="52"/>
        <v>ЭТАЖ ЗАДАН ЧИСЛОМ</v>
      </c>
      <c r="P466" s="13" t="str">
        <f t="shared" si="53"/>
        <v>ЭТАЖ ЗАДАН ЧИСЛОМ</v>
      </c>
      <c r="Q466" s="13" t="str">
        <f t="shared" si="54"/>
        <v>ГОТОВ_ИЗМЕНЕН</v>
      </c>
      <c r="R466" s="13">
        <f>IFERROR(VLOOKUP(P466,Лист1!A$1:B$20,2,FALSE),0)</f>
        <v>784</v>
      </c>
      <c r="S466" s="13">
        <f t="shared" si="55"/>
        <v>0</v>
      </c>
    </row>
    <row r="467" spans="1:19" x14ac:dyDescent="0.25">
      <c r="A467" t="s">
        <v>1666</v>
      </c>
      <c r="B467" s="4" t="s">
        <v>1182</v>
      </c>
      <c r="C467" s="3" t="s">
        <v>5</v>
      </c>
      <c r="E467" s="3" t="s">
        <v>5</v>
      </c>
      <c r="F467" t="s">
        <v>1186</v>
      </c>
      <c r="G467" s="3" t="s">
        <v>1183</v>
      </c>
      <c r="H467" s="7" t="s">
        <v>1184</v>
      </c>
      <c r="I467" s="3" t="str">
        <f>IFERROR(VLOOKUP(C467,'Справочник соответствий'!A$2:D$2996,2,FALSE),IF(VALUE(C467)=0,1,VLOOKUP(C467,'Справочник соответствий'!A$2:D$2996,2,FALSE)))</f>
        <v>1</v>
      </c>
      <c r="J467" s="3">
        <f>IFERROR(VLOOKUP(D467,'Справочник соответствий'!A$2:D$2996,2,FALSE),IF(VALUE(D467)=0,0,VLOOKUP(D467,'Справочник соответствий'!A$2:D$2996,2,FALSE)))</f>
        <v>0</v>
      </c>
      <c r="K467" s="3" t="str">
        <f t="shared" si="49"/>
        <v>1</v>
      </c>
      <c r="L467" s="13" t="str">
        <f>IFERROR(VLOOKUP(C467,'Справочник соответствий'!A$2:D$2996,3,FALSE),IF(VALUE(C467)=0,"ЭТАЖ НЕ ОПРЕДЕЛЕН. ПРИНЯТ ПО ДОПУЩЕНИЮ 1",VLOOKUP(C467,'Справочник соответствий'!A$2:D$2996,3,FALSE)))</f>
        <v>ЭТАЖ ЗАДАН ЧИСЛОМ</v>
      </c>
      <c r="M467" s="13" t="b">
        <f t="shared" si="50"/>
        <v>1</v>
      </c>
      <c r="N467" s="13">
        <f t="shared" si="51"/>
        <v>1</v>
      </c>
      <c r="O467" s="13" t="str">
        <f t="shared" si="52"/>
        <v>ЭТАЖ ЗАДАН ЧИСЛОМ</v>
      </c>
      <c r="P467" s="13" t="str">
        <f t="shared" si="53"/>
        <v>ЭТАЖ ЗАДАН ЧИСЛОМ</v>
      </c>
      <c r="Q467" s="13" t="str">
        <f t="shared" si="54"/>
        <v>ГОТОВ</v>
      </c>
      <c r="R467" s="13">
        <f>IFERROR(VLOOKUP(P467,Лист1!A$1:B$20,2,FALSE),0)</f>
        <v>784</v>
      </c>
      <c r="S467" s="13">
        <f t="shared" si="55"/>
        <v>1</v>
      </c>
    </row>
    <row r="468" spans="1:19" x14ac:dyDescent="0.25">
      <c r="A468" t="s">
        <v>1667</v>
      </c>
      <c r="B468" s="4" t="s">
        <v>1182</v>
      </c>
      <c r="C468" s="3" t="s">
        <v>5</v>
      </c>
      <c r="E468" s="3" t="s">
        <v>5</v>
      </c>
      <c r="F468" t="s">
        <v>1186</v>
      </c>
      <c r="G468" s="3" t="s">
        <v>1187</v>
      </c>
      <c r="H468" s="7" t="s">
        <v>1184</v>
      </c>
      <c r="I468" s="3" t="str">
        <f>IFERROR(VLOOKUP(C468,'Справочник соответствий'!A$2:D$2996,2,FALSE),IF(VALUE(C468)=0,1,VLOOKUP(C468,'Справочник соответствий'!A$2:D$2996,2,FALSE)))</f>
        <v>1</v>
      </c>
      <c r="J468" s="3">
        <f>IFERROR(VLOOKUP(D468,'Справочник соответствий'!A$2:D$2996,2,FALSE),IF(VALUE(D468)=0,0,VLOOKUP(D468,'Справочник соответствий'!A$2:D$2996,2,FALSE)))</f>
        <v>0</v>
      </c>
      <c r="K468" s="3" t="str">
        <f t="shared" si="49"/>
        <v>1</v>
      </c>
      <c r="L468" s="13" t="str">
        <f>IFERROR(VLOOKUP(C468,'Справочник соответствий'!A$2:D$2996,3,FALSE),IF(VALUE(C468)=0,"ЭТАЖ НЕ ОПРЕДЕЛЕН. ПРИНЯТ ПО ДОПУЩЕНИЮ 1",VLOOKUP(C468,'Справочник соответствий'!A$2:D$2996,3,FALSE)))</f>
        <v>ЭТАЖ ЗАДАН ЧИСЛОМ</v>
      </c>
      <c r="M468" s="13" t="b">
        <f t="shared" si="50"/>
        <v>1</v>
      </c>
      <c r="N468" s="13">
        <f t="shared" si="51"/>
        <v>1</v>
      </c>
      <c r="O468" s="13" t="str">
        <f t="shared" si="52"/>
        <v>ЭТАЖ ЗАДАН ЧИСЛОМ</v>
      </c>
      <c r="P468" s="13" t="str">
        <f t="shared" si="53"/>
        <v>ЭТАЖ ЗАДАН ЧИСЛОМ</v>
      </c>
      <c r="Q468" s="13" t="str">
        <f t="shared" si="54"/>
        <v>ГОТОВ</v>
      </c>
      <c r="R468" s="13">
        <f>IFERROR(VLOOKUP(P468,Лист1!A$1:B$20,2,FALSE),0)</f>
        <v>784</v>
      </c>
      <c r="S468" s="13">
        <f t="shared" si="55"/>
        <v>1</v>
      </c>
    </row>
    <row r="469" spans="1:19" x14ac:dyDescent="0.25">
      <c r="A469" t="s">
        <v>1668</v>
      </c>
      <c r="B469" s="4" t="s">
        <v>1190</v>
      </c>
      <c r="C469" s="3" t="s">
        <v>7</v>
      </c>
      <c r="E469" s="3" t="s">
        <v>5</v>
      </c>
      <c r="F469" t="s">
        <v>1038</v>
      </c>
      <c r="G469" s="3" t="s">
        <v>1183</v>
      </c>
      <c r="H469" s="7" t="s">
        <v>1184</v>
      </c>
      <c r="I469" s="3" t="str">
        <f>IFERROR(VLOOKUP(C469,'Справочник соответствий'!A$2:D$2996,2,FALSE),IF(VALUE(C469)=0,1,VLOOKUP(C469,'Справочник соответствий'!A$2:D$2996,2,FALSE)))</f>
        <v>2</v>
      </c>
      <c r="J469" s="3">
        <f>IFERROR(VLOOKUP(D469,'Справочник соответствий'!A$2:D$2996,2,FALSE),IF(VALUE(D469)=0,0,VLOOKUP(D469,'Справочник соответствий'!A$2:D$2996,2,FALSE)))</f>
        <v>0</v>
      </c>
      <c r="K469" s="3" t="str">
        <f t="shared" si="49"/>
        <v>2</v>
      </c>
      <c r="L469" s="13" t="str">
        <f>IFERROR(VLOOKUP(C469,'Справочник соответствий'!A$2:D$2996,3,FALSE),IF(VALUE(C469)=0,"ЭТАЖ НЕ ОПРЕДЕЛЕН. ПРИНЯТ ПО ДОПУЩЕНИЮ 1",VLOOKUP(C469,'Справочник соответствий'!A$2:D$2996,3,FALSE)))</f>
        <v>ЭТАЖ ЗАДАН ЧИСЛОМ</v>
      </c>
      <c r="M469" s="13" t="b">
        <f t="shared" si="50"/>
        <v>0</v>
      </c>
      <c r="N469" s="13">
        <f t="shared" si="51"/>
        <v>2</v>
      </c>
      <c r="O469" s="13" t="str">
        <f t="shared" si="52"/>
        <v>ЭТАЖ ЗАДАН ЧИСЛОМ</v>
      </c>
      <c r="P469" s="13" t="str">
        <f t="shared" si="53"/>
        <v>ЭТАЖ ЗАДАН ЧИСЛОМ</v>
      </c>
      <c r="Q469" s="13" t="str">
        <f t="shared" si="54"/>
        <v>ГОТОВ_ИЗМЕНЕН</v>
      </c>
      <c r="R469" s="13">
        <f>IFERROR(VLOOKUP(P469,Лист1!A$1:B$20,2,FALSE),0)</f>
        <v>784</v>
      </c>
      <c r="S469" s="13">
        <f t="shared" si="55"/>
        <v>1</v>
      </c>
    </row>
    <row r="470" spans="1:19" x14ac:dyDescent="0.25">
      <c r="A470" t="s">
        <v>1669</v>
      </c>
      <c r="B470" s="4" t="s">
        <v>1190</v>
      </c>
      <c r="C470" s="3" t="s">
        <v>5</v>
      </c>
      <c r="D470" s="3" t="s">
        <v>5</v>
      </c>
      <c r="E470" s="3" t="s">
        <v>5</v>
      </c>
      <c r="F470" t="s">
        <v>1045</v>
      </c>
      <c r="G470" s="3" t="s">
        <v>1187</v>
      </c>
      <c r="H470" s="7" t="s">
        <v>1184</v>
      </c>
      <c r="I470" s="3" t="str">
        <f>IFERROR(VLOOKUP(C470,'Справочник соответствий'!A$2:D$2996,2,FALSE),IF(VALUE(C470)=0,1,VLOOKUP(C470,'Справочник соответствий'!A$2:D$2996,2,FALSE)))</f>
        <v>1</v>
      </c>
      <c r="J470" s="3" t="str">
        <f>IFERROR(VLOOKUP(D470,'Справочник соответствий'!A$2:D$2996,2,FALSE),IF(VALUE(D470)=0,0,VLOOKUP(D470,'Справочник соответствий'!A$2:D$2996,2,FALSE)))</f>
        <v>1</v>
      </c>
      <c r="K470" s="3" t="str">
        <f t="shared" si="49"/>
        <v>1</v>
      </c>
      <c r="L470" s="13" t="str">
        <f>IFERROR(VLOOKUP(C470,'Справочник соответствий'!A$2:D$2996,3,FALSE),IF(VALUE(C470)=0,"ЭТАЖ НЕ ОПРЕДЕЛЕН. ПРИНЯТ ПО ДОПУЩЕНИЮ 1",VLOOKUP(C470,'Справочник соответствий'!A$2:D$2996,3,FALSE)))</f>
        <v>ЭТАЖ ЗАДАН ЧИСЛОМ</v>
      </c>
      <c r="M470" s="13" t="b">
        <f t="shared" si="50"/>
        <v>1</v>
      </c>
      <c r="N470" s="13">
        <f t="shared" si="51"/>
        <v>1</v>
      </c>
      <c r="O470" s="13" t="str">
        <f t="shared" si="52"/>
        <v>ЭТАЖ ЗАДАН ЧИСЛОМ</v>
      </c>
      <c r="P470" s="13" t="str">
        <f t="shared" si="53"/>
        <v>ЭТАЖ ЗАДАН ЧИСЛОМ</v>
      </c>
      <c r="Q470" s="13" t="str">
        <f t="shared" si="54"/>
        <v>ГОТОВ</v>
      </c>
      <c r="R470" s="13">
        <f>IFERROR(VLOOKUP(P470,Лист1!A$1:B$20,2,FALSE),0)</f>
        <v>784</v>
      </c>
      <c r="S470" s="13">
        <f t="shared" si="55"/>
        <v>1</v>
      </c>
    </row>
    <row r="471" spans="1:19" x14ac:dyDescent="0.25">
      <c r="A471" t="s">
        <v>1670</v>
      </c>
      <c r="B471" s="4" t="s">
        <v>1190</v>
      </c>
      <c r="C471" s="3" t="s">
        <v>7</v>
      </c>
      <c r="D471" s="3" t="s">
        <v>5</v>
      </c>
      <c r="E471" s="3" t="s">
        <v>7</v>
      </c>
      <c r="F471" t="s">
        <v>1045</v>
      </c>
      <c r="G471" s="3" t="s">
        <v>1198</v>
      </c>
      <c r="H471" s="7" t="s">
        <v>1184</v>
      </c>
      <c r="I471" s="3" t="str">
        <f>IFERROR(VLOOKUP(C471,'Справочник соответствий'!A$2:D$2996,2,FALSE),IF(VALUE(C471)=0,1,VLOOKUP(C471,'Справочник соответствий'!A$2:D$2996,2,FALSE)))</f>
        <v>2</v>
      </c>
      <c r="J471" s="3" t="str">
        <f>IFERROR(VLOOKUP(D471,'Справочник соответствий'!A$2:D$2996,2,FALSE),IF(VALUE(D471)=0,0,VLOOKUP(D471,'Справочник соответствий'!A$2:D$2996,2,FALSE)))</f>
        <v>1</v>
      </c>
      <c r="K471" s="3" t="str">
        <f t="shared" si="49"/>
        <v>2</v>
      </c>
      <c r="L471" s="13" t="str">
        <f>IFERROR(VLOOKUP(C471,'Справочник соответствий'!A$2:D$2996,3,FALSE),IF(VALUE(C471)=0,"ЭТАЖ НЕ ОПРЕДЕЛЕН. ПРИНЯТ ПО ДОПУЩЕНИЮ 1",VLOOKUP(C471,'Справочник соответствий'!A$2:D$2996,3,FALSE)))</f>
        <v>ЭТАЖ ЗАДАН ЧИСЛОМ</v>
      </c>
      <c r="M471" s="13" t="b">
        <f t="shared" si="50"/>
        <v>1</v>
      </c>
      <c r="N471" s="13">
        <f t="shared" si="51"/>
        <v>2</v>
      </c>
      <c r="O471" s="13" t="str">
        <f t="shared" si="52"/>
        <v>ЭТАЖ ЗАДАН ЧИСЛОМ</v>
      </c>
      <c r="P471" s="13" t="str">
        <f t="shared" si="53"/>
        <v>ЭТАЖ ЗАДАН ЧИСЛОМ</v>
      </c>
      <c r="Q471" s="13" t="str">
        <f t="shared" si="54"/>
        <v>ГОТОВ</v>
      </c>
      <c r="R471" s="13">
        <f>IFERROR(VLOOKUP(P471,Лист1!A$1:B$20,2,FALSE),0)</f>
        <v>784</v>
      </c>
      <c r="S471" s="13">
        <f t="shared" si="55"/>
        <v>2</v>
      </c>
    </row>
    <row r="472" spans="1:19" x14ac:dyDescent="0.25">
      <c r="A472" t="s">
        <v>1671</v>
      </c>
      <c r="B472" s="4" t="s">
        <v>1182</v>
      </c>
      <c r="C472" s="3" t="s">
        <v>5</v>
      </c>
      <c r="E472" s="3" t="s">
        <v>5</v>
      </c>
      <c r="F472" t="s">
        <v>1186</v>
      </c>
      <c r="G472" s="3" t="s">
        <v>1191</v>
      </c>
      <c r="H472" s="7" t="s">
        <v>1184</v>
      </c>
      <c r="I472" s="3" t="str">
        <f>IFERROR(VLOOKUP(C472,'Справочник соответствий'!A$2:D$2996,2,FALSE),IF(VALUE(C472)=0,1,VLOOKUP(C472,'Справочник соответствий'!A$2:D$2996,2,FALSE)))</f>
        <v>1</v>
      </c>
      <c r="J472" s="3">
        <f>IFERROR(VLOOKUP(D472,'Справочник соответствий'!A$2:D$2996,2,FALSE),IF(VALUE(D472)=0,0,VLOOKUP(D472,'Справочник соответствий'!A$2:D$2996,2,FALSE)))</f>
        <v>0</v>
      </c>
      <c r="K472" s="3" t="str">
        <f t="shared" si="49"/>
        <v>1</v>
      </c>
      <c r="L472" s="13" t="str">
        <f>IFERROR(VLOOKUP(C472,'Справочник соответствий'!A$2:D$2996,3,FALSE),IF(VALUE(C472)=0,"ЭТАЖ НЕ ОПРЕДЕЛЕН. ПРИНЯТ ПО ДОПУЩЕНИЮ 1",VLOOKUP(C472,'Справочник соответствий'!A$2:D$2996,3,FALSE)))</f>
        <v>ЭТАЖ ЗАДАН ЧИСЛОМ</v>
      </c>
      <c r="M472" s="13" t="b">
        <f t="shared" si="50"/>
        <v>1</v>
      </c>
      <c r="N472" s="13">
        <f t="shared" si="51"/>
        <v>1</v>
      </c>
      <c r="O472" s="13" t="str">
        <f t="shared" si="52"/>
        <v>ЭТАЖ ЗАДАН ЧИСЛОМ</v>
      </c>
      <c r="P472" s="13" t="str">
        <f t="shared" si="53"/>
        <v>ЭТАЖ ЗАДАН ЧИСЛОМ</v>
      </c>
      <c r="Q472" s="13" t="str">
        <f t="shared" si="54"/>
        <v>ГОТОВ</v>
      </c>
      <c r="R472" s="13">
        <f>IFERROR(VLOOKUP(P472,Лист1!A$1:B$20,2,FALSE),0)</f>
        <v>784</v>
      </c>
      <c r="S472" s="13">
        <f t="shared" si="55"/>
        <v>1</v>
      </c>
    </row>
    <row r="473" spans="1:19" x14ac:dyDescent="0.25">
      <c r="A473" t="s">
        <v>1672</v>
      </c>
      <c r="B473" s="4" t="s">
        <v>1182</v>
      </c>
      <c r="C473" s="3" t="s">
        <v>1673</v>
      </c>
      <c r="E473" s="3" t="s">
        <v>5</v>
      </c>
      <c r="F473" t="s">
        <v>1186</v>
      </c>
      <c r="G473" s="3" t="s">
        <v>1191</v>
      </c>
      <c r="H473" s="7" t="s">
        <v>1184</v>
      </c>
      <c r="I473" s="3" t="str">
        <f>IFERROR(VLOOKUP(C473,'Справочник соответствий'!A$2:D$2996,2,FALSE),IF(VALUE(C473)=0,1,VLOOKUP(C473,'Справочник соответствий'!A$2:D$2996,2,FALSE)))</f>
        <v>1</v>
      </c>
      <c r="J473" s="3">
        <f>IFERROR(VLOOKUP(D473,'Справочник соответствий'!A$2:D$2996,2,FALSE),IF(VALUE(D473)=0,0,VLOOKUP(D473,'Справочник соответствий'!A$2:D$2996,2,FALSE)))</f>
        <v>0</v>
      </c>
      <c r="K473" s="3" t="str">
        <f t="shared" si="49"/>
        <v>1</v>
      </c>
      <c r="L473" s="13" t="str">
        <f>IFERROR(VLOOKUP(C473,'Справочник соответствий'!A$2:D$2996,3,FALSE),IF(VALUE(C473)=0,"ЭТАЖ НЕ ОПРЕДЕЛЕН. ПРИНЯТ ПО ДОПУЩЕНИЮ 1",VLOOKUP(C473,'Справочник соответствий'!A$2:D$2996,3,FALSE)))</f>
        <v>СПРАВОЧНИК ЭТАЖНОСТИ</v>
      </c>
      <c r="M473" s="13" t="b">
        <f t="shared" si="50"/>
        <v>1</v>
      </c>
      <c r="N473" s="13">
        <f t="shared" si="51"/>
        <v>1</v>
      </c>
      <c r="O473" s="13" t="str">
        <f t="shared" si="52"/>
        <v>СПРАВОЧНИК ЭТАЖНОСТИ</v>
      </c>
      <c r="P473" s="13" t="str">
        <f t="shared" si="53"/>
        <v>СПРАВОЧНИК ЭТАЖНОСТИ</v>
      </c>
      <c r="Q473" s="13" t="str">
        <f t="shared" si="54"/>
        <v>ГОТОВ</v>
      </c>
      <c r="R473" s="13">
        <f>IFERROR(VLOOKUP(P473,Лист1!A$1:B$20,2,FALSE),0)</f>
        <v>785</v>
      </c>
      <c r="S473" s="13">
        <f t="shared" si="55"/>
        <v>1</v>
      </c>
    </row>
    <row r="474" spans="1:19" x14ac:dyDescent="0.25">
      <c r="A474" t="s">
        <v>1674</v>
      </c>
      <c r="B474" s="4" t="s">
        <v>1190</v>
      </c>
      <c r="C474" s="3" t="s">
        <v>7</v>
      </c>
      <c r="D474" s="3" t="s">
        <v>5</v>
      </c>
      <c r="E474" s="3" t="s">
        <v>7</v>
      </c>
      <c r="F474" t="s">
        <v>1045</v>
      </c>
      <c r="G474" s="3" t="s">
        <v>1198</v>
      </c>
      <c r="H474" s="7" t="s">
        <v>1184</v>
      </c>
      <c r="I474" s="3" t="str">
        <f>IFERROR(VLOOKUP(C474,'Справочник соответствий'!A$2:D$2996,2,FALSE),IF(VALUE(C474)=0,1,VLOOKUP(C474,'Справочник соответствий'!A$2:D$2996,2,FALSE)))</f>
        <v>2</v>
      </c>
      <c r="J474" s="3" t="str">
        <f>IFERROR(VLOOKUP(D474,'Справочник соответствий'!A$2:D$2996,2,FALSE),IF(VALUE(D474)=0,0,VLOOKUP(D474,'Справочник соответствий'!A$2:D$2996,2,FALSE)))</f>
        <v>1</v>
      </c>
      <c r="K474" s="3" t="str">
        <f t="shared" si="49"/>
        <v>2</v>
      </c>
      <c r="L474" s="13" t="str">
        <f>IFERROR(VLOOKUP(C474,'Справочник соответствий'!A$2:D$2996,3,FALSE),IF(VALUE(C474)=0,"ЭТАЖ НЕ ОПРЕДЕЛЕН. ПРИНЯТ ПО ДОПУЩЕНИЮ 1",VLOOKUP(C474,'Справочник соответствий'!A$2:D$2996,3,FALSE)))</f>
        <v>ЭТАЖ ЗАДАН ЧИСЛОМ</v>
      </c>
      <c r="M474" s="13" t="b">
        <f t="shared" si="50"/>
        <v>1</v>
      </c>
      <c r="N474" s="13">
        <f t="shared" si="51"/>
        <v>2</v>
      </c>
      <c r="O474" s="13" t="str">
        <f t="shared" si="52"/>
        <v>ЭТАЖ ЗАДАН ЧИСЛОМ</v>
      </c>
      <c r="P474" s="13" t="str">
        <f t="shared" si="53"/>
        <v>ЭТАЖ ЗАДАН ЧИСЛОМ</v>
      </c>
      <c r="Q474" s="13" t="str">
        <f t="shared" si="54"/>
        <v>ГОТОВ</v>
      </c>
      <c r="R474" s="13">
        <f>IFERROR(VLOOKUP(P474,Лист1!A$1:B$20,2,FALSE),0)</f>
        <v>784</v>
      </c>
      <c r="S474" s="13">
        <f t="shared" si="55"/>
        <v>2</v>
      </c>
    </row>
    <row r="475" spans="1:19" x14ac:dyDescent="0.25">
      <c r="A475" t="s">
        <v>1675</v>
      </c>
      <c r="B475" s="4" t="s">
        <v>1190</v>
      </c>
      <c r="C475" s="3" t="s">
        <v>7</v>
      </c>
      <c r="D475" s="3" t="s">
        <v>5</v>
      </c>
      <c r="E475" s="3" t="s">
        <v>7</v>
      </c>
      <c r="F475" t="s">
        <v>1045</v>
      </c>
      <c r="G475" s="3" t="s">
        <v>1183</v>
      </c>
      <c r="H475" s="7" t="s">
        <v>1184</v>
      </c>
      <c r="I475" s="3" t="str">
        <f>IFERROR(VLOOKUP(C475,'Справочник соответствий'!A$2:D$2996,2,FALSE),IF(VALUE(C475)=0,1,VLOOKUP(C475,'Справочник соответствий'!A$2:D$2996,2,FALSE)))</f>
        <v>2</v>
      </c>
      <c r="J475" s="3" t="str">
        <f>IFERROR(VLOOKUP(D475,'Справочник соответствий'!A$2:D$2996,2,FALSE),IF(VALUE(D475)=0,0,VLOOKUP(D475,'Справочник соответствий'!A$2:D$2996,2,FALSE)))</f>
        <v>1</v>
      </c>
      <c r="K475" s="3" t="str">
        <f t="shared" si="49"/>
        <v>2</v>
      </c>
      <c r="L475" s="13" t="str">
        <f>IFERROR(VLOOKUP(C475,'Справочник соответствий'!A$2:D$2996,3,FALSE),IF(VALUE(C475)=0,"ЭТАЖ НЕ ОПРЕДЕЛЕН. ПРИНЯТ ПО ДОПУЩЕНИЮ 1",VLOOKUP(C475,'Справочник соответствий'!A$2:D$2996,3,FALSE)))</f>
        <v>ЭТАЖ ЗАДАН ЧИСЛОМ</v>
      </c>
      <c r="M475" s="13" t="b">
        <f t="shared" si="50"/>
        <v>1</v>
      </c>
      <c r="N475" s="13">
        <f t="shared" si="51"/>
        <v>2</v>
      </c>
      <c r="O475" s="13" t="str">
        <f t="shared" si="52"/>
        <v>ЭТАЖ ЗАДАН ЧИСЛОМ</v>
      </c>
      <c r="P475" s="13" t="str">
        <f t="shared" si="53"/>
        <v>ЭТАЖ ЗАДАН ЧИСЛОМ</v>
      </c>
      <c r="Q475" s="13" t="str">
        <f t="shared" si="54"/>
        <v>ГОТОВ</v>
      </c>
      <c r="R475" s="13">
        <f>IFERROR(VLOOKUP(P475,Лист1!A$1:B$20,2,FALSE),0)</f>
        <v>784</v>
      </c>
      <c r="S475" s="13">
        <f t="shared" si="55"/>
        <v>2</v>
      </c>
    </row>
    <row r="476" spans="1:19" x14ac:dyDescent="0.25">
      <c r="A476" t="s">
        <v>1676</v>
      </c>
      <c r="B476" s="4" t="s">
        <v>1190</v>
      </c>
      <c r="C476" s="3" t="s">
        <v>5</v>
      </c>
      <c r="E476" s="3" t="s">
        <v>5</v>
      </c>
      <c r="F476" t="s">
        <v>1045</v>
      </c>
      <c r="G476" s="3" t="s">
        <v>1187</v>
      </c>
      <c r="H476" s="7" t="s">
        <v>1184</v>
      </c>
      <c r="I476" s="3" t="str">
        <f>IFERROR(VLOOKUP(C476,'Справочник соответствий'!A$2:D$2996,2,FALSE),IF(VALUE(C476)=0,1,VLOOKUP(C476,'Справочник соответствий'!A$2:D$2996,2,FALSE)))</f>
        <v>1</v>
      </c>
      <c r="J476" s="3">
        <f>IFERROR(VLOOKUP(D476,'Справочник соответствий'!A$2:D$2996,2,FALSE),IF(VALUE(D476)=0,0,VLOOKUP(D476,'Справочник соответствий'!A$2:D$2996,2,FALSE)))</f>
        <v>0</v>
      </c>
      <c r="K476" s="3" t="str">
        <f t="shared" si="49"/>
        <v>1</v>
      </c>
      <c r="L476" s="13" t="str">
        <f>IFERROR(VLOOKUP(C476,'Справочник соответствий'!A$2:D$2996,3,FALSE),IF(VALUE(C476)=0,"ЭТАЖ НЕ ОПРЕДЕЛЕН. ПРИНЯТ ПО ДОПУЩЕНИЮ 1",VLOOKUP(C476,'Справочник соответствий'!A$2:D$2996,3,FALSE)))</f>
        <v>ЭТАЖ ЗАДАН ЧИСЛОМ</v>
      </c>
      <c r="M476" s="13" t="b">
        <f t="shared" si="50"/>
        <v>1</v>
      </c>
      <c r="N476" s="13">
        <f t="shared" si="51"/>
        <v>1</v>
      </c>
      <c r="O476" s="13" t="str">
        <f t="shared" si="52"/>
        <v>ЭТАЖ ЗАДАН ЧИСЛОМ</v>
      </c>
      <c r="P476" s="13" t="str">
        <f t="shared" si="53"/>
        <v>ЭТАЖ ЗАДАН ЧИСЛОМ</v>
      </c>
      <c r="Q476" s="13" t="str">
        <f t="shared" si="54"/>
        <v>ГОТОВ</v>
      </c>
      <c r="R476" s="13">
        <f>IFERROR(VLOOKUP(P476,Лист1!A$1:B$20,2,FALSE),0)</f>
        <v>784</v>
      </c>
      <c r="S476" s="13">
        <f t="shared" si="55"/>
        <v>1</v>
      </c>
    </row>
    <row r="477" spans="1:19" x14ac:dyDescent="0.25">
      <c r="A477" t="s">
        <v>1677</v>
      </c>
      <c r="B477" s="4" t="s">
        <v>1190</v>
      </c>
      <c r="C477" s="3" t="s">
        <v>8</v>
      </c>
      <c r="D477" s="3" t="s">
        <v>5</v>
      </c>
      <c r="E477" s="3" t="s">
        <v>8</v>
      </c>
      <c r="F477" t="s">
        <v>1045</v>
      </c>
      <c r="G477" s="3" t="s">
        <v>1198</v>
      </c>
      <c r="H477" s="7" t="s">
        <v>1184</v>
      </c>
      <c r="I477" s="3" t="str">
        <f>IFERROR(VLOOKUP(C477,'Справочник соответствий'!A$2:D$2996,2,FALSE),IF(VALUE(C477)=0,1,VLOOKUP(C477,'Справочник соответствий'!A$2:D$2996,2,FALSE)))</f>
        <v>3</v>
      </c>
      <c r="J477" s="3" t="str">
        <f>IFERROR(VLOOKUP(D477,'Справочник соответствий'!A$2:D$2996,2,FALSE),IF(VALUE(D477)=0,0,VLOOKUP(D477,'Справочник соответствий'!A$2:D$2996,2,FALSE)))</f>
        <v>1</v>
      </c>
      <c r="K477" s="3" t="str">
        <f t="shared" si="49"/>
        <v>3</v>
      </c>
      <c r="L477" s="13" t="str">
        <f>IFERROR(VLOOKUP(C477,'Справочник соответствий'!A$2:D$2996,3,FALSE),IF(VALUE(C477)=0,"ЭТАЖ НЕ ОПРЕДЕЛЕН. ПРИНЯТ ПО ДОПУЩЕНИЮ 1",VLOOKUP(C477,'Справочник соответствий'!A$2:D$2996,3,FALSE)))</f>
        <v>ЭТАЖ ЗАДАН ЧИСЛОМ</v>
      </c>
      <c r="M477" s="13" t="b">
        <f t="shared" si="50"/>
        <v>1</v>
      </c>
      <c r="N477" s="13">
        <f t="shared" si="51"/>
        <v>3</v>
      </c>
      <c r="O477" s="13" t="str">
        <f t="shared" si="52"/>
        <v>ЭТАЖ ЗАДАН ЧИСЛОМ</v>
      </c>
      <c r="P477" s="13" t="str">
        <f t="shared" si="53"/>
        <v>ЭТАЖ ЗАДАН ЧИСЛОМ</v>
      </c>
      <c r="Q477" s="13" t="str">
        <f t="shared" si="54"/>
        <v>ГОТОВ</v>
      </c>
      <c r="R477" s="13">
        <f>IFERROR(VLOOKUP(P477,Лист1!A$1:B$20,2,FALSE),0)</f>
        <v>784</v>
      </c>
      <c r="S477" s="13">
        <f t="shared" si="55"/>
        <v>3</v>
      </c>
    </row>
    <row r="478" spans="1:19" x14ac:dyDescent="0.25">
      <c r="A478" t="s">
        <v>1678</v>
      </c>
      <c r="B478" s="4" t="s">
        <v>1182</v>
      </c>
      <c r="G478" s="3" t="s">
        <v>1187</v>
      </c>
      <c r="I478" s="3">
        <f>IFERROR(VLOOKUP(C478,'Справочник соответствий'!A$2:D$2996,2,FALSE),IF(VALUE(C478)=0,1,VLOOKUP(C478,'Справочник соответствий'!A$2:D$2996,2,FALSE)))</f>
        <v>1</v>
      </c>
      <c r="J478" s="3">
        <f>IFERROR(VLOOKUP(D478,'Справочник соответствий'!A$2:D$2996,2,FALSE),IF(VALUE(D478)=0,0,VLOOKUP(D478,'Справочник соответствий'!A$2:D$2996,2,FALSE)))</f>
        <v>0</v>
      </c>
      <c r="K478" s="3">
        <f t="shared" si="49"/>
        <v>1</v>
      </c>
      <c r="L478" s="13" t="str">
        <f>IFERROR(VLOOKUP(C478,'Справочник соответствий'!A$2:D$2996,3,FALSE),IF(VALUE(C478)=0,"ЭТАЖ НЕ ОПРЕДЕЛЕН. ПРИНЯТ ПО ДОПУЩЕНИЮ 1",VLOOKUP(C478,'Справочник соответствий'!A$2:D$2996,3,FALSE)))</f>
        <v>ЭТАЖ НЕ ОПРЕДЕЛЕН. ПРИНЯТ ПО ДОПУЩЕНИЮ 1</v>
      </c>
      <c r="M478" s="13" t="b">
        <f t="shared" si="50"/>
        <v>0</v>
      </c>
      <c r="N478" s="13">
        <f t="shared" si="51"/>
        <v>1</v>
      </c>
      <c r="O478" s="13" t="str">
        <f t="shared" si="52"/>
        <v>ЭТАЖ НЕ ОПРЕДЕЛЕН. ПРИНЯТ ПО ДОПУЩЕНИЮ 1</v>
      </c>
      <c r="P478" s="13" t="str">
        <f t="shared" si="53"/>
        <v>ЭТАЖ НЕ ОПРЕДЕЛЕН. ПРИНЯТ ПО ДОПУЩЕНИЮ 1</v>
      </c>
      <c r="Q478" s="13" t="str">
        <f t="shared" si="54"/>
        <v>ГОТОВ_ИЗМЕНЕН</v>
      </c>
      <c r="R478" s="13">
        <f>IFERROR(VLOOKUP(P478,Лист1!A$1:B$20,2,FALSE),0)</f>
        <v>788</v>
      </c>
      <c r="S478" s="13">
        <f t="shared" si="55"/>
        <v>0</v>
      </c>
    </row>
    <row r="479" spans="1:19" x14ac:dyDescent="0.25">
      <c r="A479" t="s">
        <v>1679</v>
      </c>
      <c r="B479" s="4" t="s">
        <v>1190</v>
      </c>
      <c r="C479" s="3" t="s">
        <v>5</v>
      </c>
      <c r="G479" s="3" t="s">
        <v>1187</v>
      </c>
      <c r="I479" s="3" t="str">
        <f>IFERROR(VLOOKUP(C479,'Справочник соответствий'!A$2:D$2996,2,FALSE),IF(VALUE(C479)=0,1,VLOOKUP(C479,'Справочник соответствий'!A$2:D$2996,2,FALSE)))</f>
        <v>1</v>
      </c>
      <c r="J479" s="3">
        <f>IFERROR(VLOOKUP(D479,'Справочник соответствий'!A$2:D$2996,2,FALSE),IF(VALUE(D479)=0,0,VLOOKUP(D479,'Справочник соответствий'!A$2:D$2996,2,FALSE)))</f>
        <v>0</v>
      </c>
      <c r="K479" s="3" t="str">
        <f t="shared" si="49"/>
        <v>1</v>
      </c>
      <c r="L479" s="13" t="str">
        <f>IFERROR(VLOOKUP(C479,'Справочник соответствий'!A$2:D$2996,3,FALSE),IF(VALUE(C479)=0,"ЭТАЖ НЕ ОПРЕДЕЛЕН. ПРИНЯТ ПО ДОПУЩЕНИЮ 1",VLOOKUP(C479,'Справочник соответствий'!A$2:D$2996,3,FALSE)))</f>
        <v>ЭТАЖ ЗАДАН ЧИСЛОМ</v>
      </c>
      <c r="M479" s="13" t="b">
        <f t="shared" si="50"/>
        <v>0</v>
      </c>
      <c r="N479" s="13">
        <f t="shared" si="51"/>
        <v>1</v>
      </c>
      <c r="O479" s="13" t="str">
        <f t="shared" si="52"/>
        <v>ЭТАЖ ЗАДАН ЧИСЛОМ</v>
      </c>
      <c r="P479" s="13" t="str">
        <f t="shared" si="53"/>
        <v>ЭТАЖ ЗАДАН ЧИСЛОМ</v>
      </c>
      <c r="Q479" s="13" t="str">
        <f t="shared" si="54"/>
        <v>ГОТОВ_ИЗМЕНЕН</v>
      </c>
      <c r="R479" s="13">
        <f>IFERROR(VLOOKUP(P479,Лист1!A$1:B$20,2,FALSE),0)</f>
        <v>784</v>
      </c>
      <c r="S479" s="13">
        <f t="shared" si="55"/>
        <v>0</v>
      </c>
    </row>
    <row r="480" spans="1:19" x14ac:dyDescent="0.25">
      <c r="A480" t="s">
        <v>1680</v>
      </c>
      <c r="B480" s="4" t="s">
        <v>1190</v>
      </c>
      <c r="C480" s="3" t="s">
        <v>5</v>
      </c>
      <c r="G480" s="3" t="s">
        <v>1187</v>
      </c>
      <c r="I480" s="3" t="str">
        <f>IFERROR(VLOOKUP(C480,'Справочник соответствий'!A$2:D$2996,2,FALSE),IF(VALUE(C480)=0,1,VLOOKUP(C480,'Справочник соответствий'!A$2:D$2996,2,FALSE)))</f>
        <v>1</v>
      </c>
      <c r="J480" s="3">
        <f>IFERROR(VLOOKUP(D480,'Справочник соответствий'!A$2:D$2996,2,FALSE),IF(VALUE(D480)=0,0,VLOOKUP(D480,'Справочник соответствий'!A$2:D$2996,2,FALSE)))</f>
        <v>0</v>
      </c>
      <c r="K480" s="3" t="str">
        <f t="shared" si="49"/>
        <v>1</v>
      </c>
      <c r="L480" s="13" t="str">
        <f>IFERROR(VLOOKUP(C480,'Справочник соответствий'!A$2:D$2996,3,FALSE),IF(VALUE(C480)=0,"ЭТАЖ НЕ ОПРЕДЕЛЕН. ПРИНЯТ ПО ДОПУЩЕНИЮ 1",VLOOKUP(C480,'Справочник соответствий'!A$2:D$2996,3,FALSE)))</f>
        <v>ЭТАЖ ЗАДАН ЧИСЛОМ</v>
      </c>
      <c r="M480" s="13" t="b">
        <f t="shared" si="50"/>
        <v>0</v>
      </c>
      <c r="N480" s="13">
        <f t="shared" si="51"/>
        <v>1</v>
      </c>
      <c r="O480" s="13" t="str">
        <f t="shared" si="52"/>
        <v>ЭТАЖ ЗАДАН ЧИСЛОМ</v>
      </c>
      <c r="P480" s="13" t="str">
        <f t="shared" si="53"/>
        <v>ЭТАЖ ЗАДАН ЧИСЛОМ</v>
      </c>
      <c r="Q480" s="13" t="str">
        <f t="shared" si="54"/>
        <v>ГОТОВ_ИЗМЕНЕН</v>
      </c>
      <c r="R480" s="13">
        <f>IFERROR(VLOOKUP(P480,Лист1!A$1:B$20,2,FALSE),0)</f>
        <v>784</v>
      </c>
      <c r="S480" s="13">
        <f t="shared" si="55"/>
        <v>0</v>
      </c>
    </row>
    <row r="481" spans="1:19" x14ac:dyDescent="0.25">
      <c r="A481" t="s">
        <v>1681</v>
      </c>
      <c r="B481" s="4" t="s">
        <v>1190</v>
      </c>
      <c r="C481" s="3" t="s">
        <v>7</v>
      </c>
      <c r="G481" s="3" t="s">
        <v>1187</v>
      </c>
      <c r="I481" s="3" t="str">
        <f>IFERROR(VLOOKUP(C481,'Справочник соответствий'!A$2:D$2996,2,FALSE),IF(VALUE(C481)=0,1,VLOOKUP(C481,'Справочник соответствий'!A$2:D$2996,2,FALSE)))</f>
        <v>2</v>
      </c>
      <c r="J481" s="3">
        <f>IFERROR(VLOOKUP(D481,'Справочник соответствий'!A$2:D$2996,2,FALSE),IF(VALUE(D481)=0,0,VLOOKUP(D481,'Справочник соответствий'!A$2:D$2996,2,FALSE)))</f>
        <v>0</v>
      </c>
      <c r="K481" s="3" t="str">
        <f t="shared" si="49"/>
        <v>2</v>
      </c>
      <c r="L481" s="13" t="str">
        <f>IFERROR(VLOOKUP(C481,'Справочник соответствий'!A$2:D$2996,3,FALSE),IF(VALUE(C481)=0,"ЭТАЖ НЕ ОПРЕДЕЛЕН. ПРИНЯТ ПО ДОПУЩЕНИЮ 1",VLOOKUP(C481,'Справочник соответствий'!A$2:D$2996,3,FALSE)))</f>
        <v>ЭТАЖ ЗАДАН ЧИСЛОМ</v>
      </c>
      <c r="M481" s="13" t="b">
        <f t="shared" si="50"/>
        <v>0</v>
      </c>
      <c r="N481" s="13">
        <f t="shared" si="51"/>
        <v>2</v>
      </c>
      <c r="O481" s="13" t="str">
        <f t="shared" si="52"/>
        <v>ЭТАЖ ЗАДАН ЧИСЛОМ</v>
      </c>
      <c r="P481" s="13" t="str">
        <f t="shared" si="53"/>
        <v>ЭТАЖ ЗАДАН ЧИСЛОМ</v>
      </c>
      <c r="Q481" s="13" t="str">
        <f t="shared" si="54"/>
        <v>ГОТОВ_ИЗМЕНЕН</v>
      </c>
      <c r="R481" s="13">
        <f>IFERROR(VLOOKUP(P481,Лист1!A$1:B$20,2,FALSE),0)</f>
        <v>784</v>
      </c>
      <c r="S481" s="13">
        <f t="shared" si="55"/>
        <v>0</v>
      </c>
    </row>
    <row r="482" spans="1:19" x14ac:dyDescent="0.25">
      <c r="A482" t="s">
        <v>1682</v>
      </c>
      <c r="B482" s="4" t="s">
        <v>1182</v>
      </c>
      <c r="C482" s="3" t="s">
        <v>7</v>
      </c>
      <c r="G482" s="3" t="s">
        <v>1187</v>
      </c>
      <c r="I482" s="3" t="str">
        <f>IFERROR(VLOOKUP(C482,'Справочник соответствий'!A$2:D$2996,2,FALSE),IF(VALUE(C482)=0,1,VLOOKUP(C482,'Справочник соответствий'!A$2:D$2996,2,FALSE)))</f>
        <v>2</v>
      </c>
      <c r="J482" s="3">
        <f>IFERROR(VLOOKUP(D482,'Справочник соответствий'!A$2:D$2996,2,FALSE),IF(VALUE(D482)=0,0,VLOOKUP(D482,'Справочник соответствий'!A$2:D$2996,2,FALSE)))</f>
        <v>0</v>
      </c>
      <c r="K482" s="3" t="str">
        <f t="shared" si="49"/>
        <v>2</v>
      </c>
      <c r="L482" s="13" t="str">
        <f>IFERROR(VLOOKUP(C482,'Справочник соответствий'!A$2:D$2996,3,FALSE),IF(VALUE(C482)=0,"ЭТАЖ НЕ ОПРЕДЕЛЕН. ПРИНЯТ ПО ДОПУЩЕНИЮ 1",VLOOKUP(C482,'Справочник соответствий'!A$2:D$2996,3,FALSE)))</f>
        <v>ЭТАЖ ЗАДАН ЧИСЛОМ</v>
      </c>
      <c r="M482" s="13" t="b">
        <f t="shared" si="50"/>
        <v>0</v>
      </c>
      <c r="N482" s="13">
        <f t="shared" si="51"/>
        <v>2</v>
      </c>
      <c r="O482" s="13" t="str">
        <f t="shared" si="52"/>
        <v>ЭТАЖ ЗАДАН ЧИСЛОМ</v>
      </c>
      <c r="P482" s="13" t="str">
        <f t="shared" si="53"/>
        <v>ЭТАЖ ЗАДАН ЧИСЛОМ</v>
      </c>
      <c r="Q482" s="13" t="str">
        <f t="shared" si="54"/>
        <v>ГОТОВ_ИЗМЕНЕН</v>
      </c>
      <c r="R482" s="13">
        <f>IFERROR(VLOOKUP(P482,Лист1!A$1:B$20,2,FALSE),0)</f>
        <v>784</v>
      </c>
      <c r="S482" s="13">
        <f t="shared" si="55"/>
        <v>0</v>
      </c>
    </row>
    <row r="483" spans="1:19" x14ac:dyDescent="0.25">
      <c r="A483" t="s">
        <v>1683</v>
      </c>
      <c r="B483" s="4" t="s">
        <v>1182</v>
      </c>
      <c r="C483" s="3" t="s">
        <v>12</v>
      </c>
      <c r="D483" s="3" t="s">
        <v>5</v>
      </c>
      <c r="G483" s="3" t="s">
        <v>1187</v>
      </c>
      <c r="I483" s="3" t="str">
        <f>IFERROR(VLOOKUP(C483,'Справочник соответствий'!A$2:D$2996,2,FALSE),IF(VALUE(C483)=0,1,VLOOKUP(C483,'Справочник соответствий'!A$2:D$2996,2,FALSE)))</f>
        <v>4</v>
      </c>
      <c r="J483" s="3" t="str">
        <f>IFERROR(VLOOKUP(D483,'Справочник соответствий'!A$2:D$2996,2,FALSE),IF(VALUE(D483)=0,0,VLOOKUP(D483,'Справочник соответствий'!A$2:D$2996,2,FALSE)))</f>
        <v>1</v>
      </c>
      <c r="K483" s="3" t="str">
        <f t="shared" si="49"/>
        <v>4</v>
      </c>
      <c r="L483" s="13" t="str">
        <f>IFERROR(VLOOKUP(C483,'Справочник соответствий'!A$2:D$2996,3,FALSE),IF(VALUE(C483)=0,"ЭТАЖ НЕ ОПРЕДЕЛЕН. ПРИНЯТ ПО ДОПУЩЕНИЮ 1",VLOOKUP(C483,'Справочник соответствий'!A$2:D$2996,3,FALSE)))</f>
        <v>ЭТАЖ ЗАДАН ЧИСЛОМ</v>
      </c>
      <c r="M483" s="13" t="b">
        <f t="shared" si="50"/>
        <v>0</v>
      </c>
      <c r="N483" s="13">
        <f t="shared" si="51"/>
        <v>4</v>
      </c>
      <c r="O483" s="13" t="str">
        <f t="shared" si="52"/>
        <v>ЭТАЖ ЗАДАН ЧИСЛОМ</v>
      </c>
      <c r="P483" s="13" t="str">
        <f t="shared" si="53"/>
        <v>ЭТАЖ ЗАДАН ЧИСЛОМ</v>
      </c>
      <c r="Q483" s="13" t="str">
        <f t="shared" si="54"/>
        <v>ГОТОВ_ИЗМЕНЕН</v>
      </c>
      <c r="R483" s="13">
        <f>IFERROR(VLOOKUP(P483,Лист1!A$1:B$20,2,FALSE),0)</f>
        <v>784</v>
      </c>
      <c r="S483" s="13">
        <f t="shared" si="55"/>
        <v>0</v>
      </c>
    </row>
    <row r="484" spans="1:19" x14ac:dyDescent="0.25">
      <c r="A484" t="s">
        <v>1684</v>
      </c>
      <c r="B484" s="4" t="s">
        <v>1190</v>
      </c>
      <c r="C484" s="3" t="s">
        <v>5</v>
      </c>
      <c r="G484" s="3" t="s">
        <v>1191</v>
      </c>
      <c r="I484" s="3" t="str">
        <f>IFERROR(VLOOKUP(C484,'Справочник соответствий'!A$2:D$2996,2,FALSE),IF(VALUE(C484)=0,1,VLOOKUP(C484,'Справочник соответствий'!A$2:D$2996,2,FALSE)))</f>
        <v>1</v>
      </c>
      <c r="J484" s="3">
        <f>IFERROR(VLOOKUP(D484,'Справочник соответствий'!A$2:D$2996,2,FALSE),IF(VALUE(D484)=0,0,VLOOKUP(D484,'Справочник соответствий'!A$2:D$2996,2,FALSE)))</f>
        <v>0</v>
      </c>
      <c r="K484" s="3" t="str">
        <f t="shared" si="49"/>
        <v>1</v>
      </c>
      <c r="L484" s="13" t="str">
        <f>IFERROR(VLOOKUP(C484,'Справочник соответствий'!A$2:D$2996,3,FALSE),IF(VALUE(C484)=0,"ЭТАЖ НЕ ОПРЕДЕЛЕН. ПРИНЯТ ПО ДОПУЩЕНИЮ 1",VLOOKUP(C484,'Справочник соответствий'!A$2:D$2996,3,FALSE)))</f>
        <v>ЭТАЖ ЗАДАН ЧИСЛОМ</v>
      </c>
      <c r="M484" s="13" t="b">
        <f t="shared" si="50"/>
        <v>0</v>
      </c>
      <c r="N484" s="13">
        <f t="shared" si="51"/>
        <v>1</v>
      </c>
      <c r="O484" s="13" t="str">
        <f t="shared" si="52"/>
        <v>ЭТАЖ ЗАДАН ЧИСЛОМ</v>
      </c>
      <c r="P484" s="13" t="str">
        <f t="shared" si="53"/>
        <v>ЭТАЖ ЗАДАН ЧИСЛОМ</v>
      </c>
      <c r="Q484" s="13" t="str">
        <f t="shared" si="54"/>
        <v>ГОТОВ_ИЗМЕНЕН</v>
      </c>
      <c r="R484" s="13">
        <f>IFERROR(VLOOKUP(P484,Лист1!A$1:B$20,2,FALSE),0)</f>
        <v>784</v>
      </c>
      <c r="S484" s="13">
        <f t="shared" si="55"/>
        <v>0</v>
      </c>
    </row>
    <row r="485" spans="1:19" x14ac:dyDescent="0.25">
      <c r="A485" t="s">
        <v>1685</v>
      </c>
      <c r="B485" s="4" t="s">
        <v>1182</v>
      </c>
      <c r="C485" s="3" t="s">
        <v>7</v>
      </c>
      <c r="G485" s="3" t="s">
        <v>1191</v>
      </c>
      <c r="I485" s="3" t="str">
        <f>IFERROR(VLOOKUP(C485,'Справочник соответствий'!A$2:D$2996,2,FALSE),IF(VALUE(C485)=0,1,VLOOKUP(C485,'Справочник соответствий'!A$2:D$2996,2,FALSE)))</f>
        <v>2</v>
      </c>
      <c r="J485" s="3">
        <f>IFERROR(VLOOKUP(D485,'Справочник соответствий'!A$2:D$2996,2,FALSE),IF(VALUE(D485)=0,0,VLOOKUP(D485,'Справочник соответствий'!A$2:D$2996,2,FALSE)))</f>
        <v>0</v>
      </c>
      <c r="K485" s="3" t="str">
        <f t="shared" si="49"/>
        <v>2</v>
      </c>
      <c r="L485" s="13" t="str">
        <f>IFERROR(VLOOKUP(C485,'Справочник соответствий'!A$2:D$2996,3,FALSE),IF(VALUE(C485)=0,"ЭТАЖ НЕ ОПРЕДЕЛЕН. ПРИНЯТ ПО ДОПУЩЕНИЮ 1",VLOOKUP(C485,'Справочник соответствий'!A$2:D$2996,3,FALSE)))</f>
        <v>ЭТАЖ ЗАДАН ЧИСЛОМ</v>
      </c>
      <c r="M485" s="13" t="b">
        <f t="shared" si="50"/>
        <v>0</v>
      </c>
      <c r="N485" s="13">
        <f t="shared" si="51"/>
        <v>2</v>
      </c>
      <c r="O485" s="13" t="str">
        <f t="shared" si="52"/>
        <v>ЭТАЖ ЗАДАН ЧИСЛОМ</v>
      </c>
      <c r="P485" s="13" t="str">
        <f t="shared" si="53"/>
        <v>ЭТАЖ ЗАДАН ЧИСЛОМ</v>
      </c>
      <c r="Q485" s="13" t="str">
        <f t="shared" si="54"/>
        <v>ГОТОВ_ИЗМЕНЕН</v>
      </c>
      <c r="R485" s="13">
        <f>IFERROR(VLOOKUP(P485,Лист1!A$1:B$20,2,FALSE),0)</f>
        <v>784</v>
      </c>
      <c r="S485" s="13">
        <f t="shared" si="55"/>
        <v>0</v>
      </c>
    </row>
    <row r="486" spans="1:19" x14ac:dyDescent="0.25">
      <c r="A486" t="s">
        <v>1686</v>
      </c>
      <c r="B486" s="4" t="s">
        <v>1182</v>
      </c>
      <c r="C486" s="3" t="s">
        <v>5</v>
      </c>
      <c r="G486" s="3" t="s">
        <v>1191</v>
      </c>
      <c r="I486" s="3" t="str">
        <f>IFERROR(VLOOKUP(C486,'Справочник соответствий'!A$2:D$2996,2,FALSE),IF(VALUE(C486)=0,1,VLOOKUP(C486,'Справочник соответствий'!A$2:D$2996,2,FALSE)))</f>
        <v>1</v>
      </c>
      <c r="J486" s="3">
        <f>IFERROR(VLOOKUP(D486,'Справочник соответствий'!A$2:D$2996,2,FALSE),IF(VALUE(D486)=0,0,VLOOKUP(D486,'Справочник соответствий'!A$2:D$2996,2,FALSE)))</f>
        <v>0</v>
      </c>
      <c r="K486" s="3" t="str">
        <f t="shared" si="49"/>
        <v>1</v>
      </c>
      <c r="L486" s="13" t="str">
        <f>IFERROR(VLOOKUP(C486,'Справочник соответствий'!A$2:D$2996,3,FALSE),IF(VALUE(C486)=0,"ЭТАЖ НЕ ОПРЕДЕЛЕН. ПРИНЯТ ПО ДОПУЩЕНИЮ 1",VLOOKUP(C486,'Справочник соответствий'!A$2:D$2996,3,FALSE)))</f>
        <v>ЭТАЖ ЗАДАН ЧИСЛОМ</v>
      </c>
      <c r="M486" s="13" t="b">
        <f t="shared" si="50"/>
        <v>0</v>
      </c>
      <c r="N486" s="13">
        <f t="shared" si="51"/>
        <v>1</v>
      </c>
      <c r="O486" s="13" t="str">
        <f t="shared" si="52"/>
        <v>ЭТАЖ ЗАДАН ЧИСЛОМ</v>
      </c>
      <c r="P486" s="13" t="str">
        <f t="shared" si="53"/>
        <v>ЭТАЖ ЗАДАН ЧИСЛОМ</v>
      </c>
      <c r="Q486" s="13" t="str">
        <f t="shared" si="54"/>
        <v>ГОТОВ_ИЗМЕНЕН</v>
      </c>
      <c r="R486" s="13">
        <f>IFERROR(VLOOKUP(P486,Лист1!A$1:B$20,2,FALSE),0)</f>
        <v>784</v>
      </c>
      <c r="S486" s="13">
        <f t="shared" si="55"/>
        <v>0</v>
      </c>
    </row>
    <row r="487" spans="1:19" x14ac:dyDescent="0.25">
      <c r="A487" t="s">
        <v>1687</v>
      </c>
      <c r="B487" s="4" t="s">
        <v>1182</v>
      </c>
      <c r="C487" s="3" t="s">
        <v>5</v>
      </c>
      <c r="G487" s="3" t="s">
        <v>1191</v>
      </c>
      <c r="I487" s="3" t="str">
        <f>IFERROR(VLOOKUP(C487,'Справочник соответствий'!A$2:D$2996,2,FALSE),IF(VALUE(C487)=0,1,VLOOKUP(C487,'Справочник соответствий'!A$2:D$2996,2,FALSE)))</f>
        <v>1</v>
      </c>
      <c r="J487" s="3">
        <f>IFERROR(VLOOKUP(D487,'Справочник соответствий'!A$2:D$2996,2,FALSE),IF(VALUE(D487)=0,0,VLOOKUP(D487,'Справочник соответствий'!A$2:D$2996,2,FALSE)))</f>
        <v>0</v>
      </c>
      <c r="K487" s="3" t="str">
        <f t="shared" si="49"/>
        <v>1</v>
      </c>
      <c r="L487" s="13" t="str">
        <f>IFERROR(VLOOKUP(C487,'Справочник соответствий'!A$2:D$2996,3,FALSE),IF(VALUE(C487)=0,"ЭТАЖ НЕ ОПРЕДЕЛЕН. ПРИНЯТ ПО ДОПУЩЕНИЮ 1",VLOOKUP(C487,'Справочник соответствий'!A$2:D$2996,3,FALSE)))</f>
        <v>ЭТАЖ ЗАДАН ЧИСЛОМ</v>
      </c>
      <c r="M487" s="13" t="b">
        <f t="shared" si="50"/>
        <v>0</v>
      </c>
      <c r="N487" s="13">
        <f t="shared" si="51"/>
        <v>1</v>
      </c>
      <c r="O487" s="13" t="str">
        <f t="shared" si="52"/>
        <v>ЭТАЖ ЗАДАН ЧИСЛОМ</v>
      </c>
      <c r="P487" s="13" t="str">
        <f t="shared" si="53"/>
        <v>ЭТАЖ ЗАДАН ЧИСЛОМ</v>
      </c>
      <c r="Q487" s="13" t="str">
        <f t="shared" si="54"/>
        <v>ГОТОВ_ИЗМЕНЕН</v>
      </c>
      <c r="R487" s="13">
        <f>IFERROR(VLOOKUP(P487,Лист1!A$1:B$20,2,FALSE),0)</f>
        <v>784</v>
      </c>
      <c r="S487" s="13">
        <f t="shared" si="55"/>
        <v>0</v>
      </c>
    </row>
    <row r="488" spans="1:19" x14ac:dyDescent="0.25">
      <c r="A488" t="s">
        <v>1688</v>
      </c>
      <c r="B488" s="4" t="s">
        <v>1190</v>
      </c>
      <c r="C488" s="3" t="s">
        <v>7</v>
      </c>
      <c r="D488" s="3" t="s">
        <v>5</v>
      </c>
      <c r="G488" s="3" t="s">
        <v>1191</v>
      </c>
      <c r="I488" s="3" t="str">
        <f>IFERROR(VLOOKUP(C488,'Справочник соответствий'!A$2:D$2996,2,FALSE),IF(VALUE(C488)=0,1,VLOOKUP(C488,'Справочник соответствий'!A$2:D$2996,2,FALSE)))</f>
        <v>2</v>
      </c>
      <c r="J488" s="3" t="str">
        <f>IFERROR(VLOOKUP(D488,'Справочник соответствий'!A$2:D$2996,2,FALSE),IF(VALUE(D488)=0,0,VLOOKUP(D488,'Справочник соответствий'!A$2:D$2996,2,FALSE)))</f>
        <v>1</v>
      </c>
      <c r="K488" s="3" t="str">
        <f t="shared" si="49"/>
        <v>2</v>
      </c>
      <c r="L488" s="13" t="str">
        <f>IFERROR(VLOOKUP(C488,'Справочник соответствий'!A$2:D$2996,3,FALSE),IF(VALUE(C488)=0,"ЭТАЖ НЕ ОПРЕДЕЛЕН. ПРИНЯТ ПО ДОПУЩЕНИЮ 1",VLOOKUP(C488,'Справочник соответствий'!A$2:D$2996,3,FALSE)))</f>
        <v>ЭТАЖ ЗАДАН ЧИСЛОМ</v>
      </c>
      <c r="M488" s="13" t="b">
        <f t="shared" si="50"/>
        <v>0</v>
      </c>
      <c r="N488" s="13">
        <f t="shared" si="51"/>
        <v>2</v>
      </c>
      <c r="O488" s="13" t="str">
        <f t="shared" si="52"/>
        <v>ЭТАЖ ЗАДАН ЧИСЛОМ</v>
      </c>
      <c r="P488" s="13" t="str">
        <f t="shared" si="53"/>
        <v>ЭТАЖ ЗАДАН ЧИСЛОМ</v>
      </c>
      <c r="Q488" s="13" t="str">
        <f t="shared" si="54"/>
        <v>ГОТОВ_ИЗМЕНЕН</v>
      </c>
      <c r="R488" s="13">
        <f>IFERROR(VLOOKUP(P488,Лист1!A$1:B$20,2,FALSE),0)</f>
        <v>784</v>
      </c>
      <c r="S488" s="13">
        <f t="shared" si="55"/>
        <v>0</v>
      </c>
    </row>
    <row r="489" spans="1:19" x14ac:dyDescent="0.25">
      <c r="A489" t="s">
        <v>1689</v>
      </c>
      <c r="B489" s="4" t="s">
        <v>1190</v>
      </c>
      <c r="C489" s="3" t="s">
        <v>5</v>
      </c>
      <c r="G489" s="3" t="s">
        <v>1183</v>
      </c>
      <c r="I489" s="3" t="str">
        <f>IFERROR(VLOOKUP(C489,'Справочник соответствий'!A$2:D$2996,2,FALSE),IF(VALUE(C489)=0,1,VLOOKUP(C489,'Справочник соответствий'!A$2:D$2996,2,FALSE)))</f>
        <v>1</v>
      </c>
      <c r="J489" s="3">
        <f>IFERROR(VLOOKUP(D489,'Справочник соответствий'!A$2:D$2996,2,FALSE),IF(VALUE(D489)=0,0,VLOOKUP(D489,'Справочник соответствий'!A$2:D$2996,2,FALSE)))</f>
        <v>0</v>
      </c>
      <c r="K489" s="3" t="str">
        <f t="shared" si="49"/>
        <v>1</v>
      </c>
      <c r="L489" s="13" t="str">
        <f>IFERROR(VLOOKUP(C489,'Справочник соответствий'!A$2:D$2996,3,FALSE),IF(VALUE(C489)=0,"ЭТАЖ НЕ ОПРЕДЕЛЕН. ПРИНЯТ ПО ДОПУЩЕНИЮ 1",VLOOKUP(C489,'Справочник соответствий'!A$2:D$2996,3,FALSE)))</f>
        <v>ЭТАЖ ЗАДАН ЧИСЛОМ</v>
      </c>
      <c r="M489" s="13" t="b">
        <f t="shared" si="50"/>
        <v>0</v>
      </c>
      <c r="N489" s="13">
        <f t="shared" si="51"/>
        <v>1</v>
      </c>
      <c r="O489" s="13" t="str">
        <f t="shared" si="52"/>
        <v>ЭТАЖ ЗАДАН ЧИСЛОМ</v>
      </c>
      <c r="P489" s="13" t="str">
        <f t="shared" si="53"/>
        <v>ЭТАЖ ЗАДАН ЧИСЛОМ</v>
      </c>
      <c r="Q489" s="13" t="str">
        <f t="shared" si="54"/>
        <v>ГОТОВ_ИЗМЕНЕН</v>
      </c>
      <c r="R489" s="13">
        <f>IFERROR(VLOOKUP(P489,Лист1!A$1:B$20,2,FALSE),0)</f>
        <v>784</v>
      </c>
      <c r="S489" s="13">
        <f t="shared" si="55"/>
        <v>0</v>
      </c>
    </row>
    <row r="490" spans="1:19" x14ac:dyDescent="0.25">
      <c r="A490" t="s">
        <v>1690</v>
      </c>
      <c r="B490" s="4" t="s">
        <v>1182</v>
      </c>
      <c r="C490" s="3" t="s">
        <v>7</v>
      </c>
      <c r="G490" s="3" t="s">
        <v>1183</v>
      </c>
      <c r="I490" s="3" t="str">
        <f>IFERROR(VLOOKUP(C490,'Справочник соответствий'!A$2:D$2996,2,FALSE),IF(VALUE(C490)=0,1,VLOOKUP(C490,'Справочник соответствий'!A$2:D$2996,2,FALSE)))</f>
        <v>2</v>
      </c>
      <c r="J490" s="3">
        <f>IFERROR(VLOOKUP(D490,'Справочник соответствий'!A$2:D$2996,2,FALSE),IF(VALUE(D490)=0,0,VLOOKUP(D490,'Справочник соответствий'!A$2:D$2996,2,FALSE)))</f>
        <v>0</v>
      </c>
      <c r="K490" s="3" t="str">
        <f t="shared" si="49"/>
        <v>2</v>
      </c>
      <c r="L490" s="13" t="str">
        <f>IFERROR(VLOOKUP(C490,'Справочник соответствий'!A$2:D$2996,3,FALSE),IF(VALUE(C490)=0,"ЭТАЖ НЕ ОПРЕДЕЛЕН. ПРИНЯТ ПО ДОПУЩЕНИЮ 1",VLOOKUP(C490,'Справочник соответствий'!A$2:D$2996,3,FALSE)))</f>
        <v>ЭТАЖ ЗАДАН ЧИСЛОМ</v>
      </c>
      <c r="M490" s="13" t="b">
        <f t="shared" si="50"/>
        <v>0</v>
      </c>
      <c r="N490" s="13">
        <f t="shared" si="51"/>
        <v>2</v>
      </c>
      <c r="O490" s="13" t="str">
        <f t="shared" si="52"/>
        <v>ЭТАЖ ЗАДАН ЧИСЛОМ</v>
      </c>
      <c r="P490" s="13" t="str">
        <f t="shared" si="53"/>
        <v>ЭТАЖ ЗАДАН ЧИСЛОМ</v>
      </c>
      <c r="Q490" s="13" t="str">
        <f t="shared" si="54"/>
        <v>ГОТОВ_ИЗМЕНЕН</v>
      </c>
      <c r="R490" s="13">
        <f>IFERROR(VLOOKUP(P490,Лист1!A$1:B$20,2,FALSE),0)</f>
        <v>784</v>
      </c>
      <c r="S490" s="13">
        <f t="shared" si="55"/>
        <v>0</v>
      </c>
    </row>
    <row r="491" spans="1:19" x14ac:dyDescent="0.25">
      <c r="A491" t="s">
        <v>1691</v>
      </c>
      <c r="B491" s="4" t="s">
        <v>1182</v>
      </c>
      <c r="C491" s="3" t="s">
        <v>7</v>
      </c>
      <c r="G491" s="3" t="s">
        <v>1183</v>
      </c>
      <c r="I491" s="3" t="str">
        <f>IFERROR(VLOOKUP(C491,'Справочник соответствий'!A$2:D$2996,2,FALSE),IF(VALUE(C491)=0,1,VLOOKUP(C491,'Справочник соответствий'!A$2:D$2996,2,FALSE)))</f>
        <v>2</v>
      </c>
      <c r="J491" s="3">
        <f>IFERROR(VLOOKUP(D491,'Справочник соответствий'!A$2:D$2996,2,FALSE),IF(VALUE(D491)=0,0,VLOOKUP(D491,'Справочник соответствий'!A$2:D$2996,2,FALSE)))</f>
        <v>0</v>
      </c>
      <c r="K491" s="3" t="str">
        <f t="shared" si="49"/>
        <v>2</v>
      </c>
      <c r="L491" s="13" t="str">
        <f>IFERROR(VLOOKUP(C491,'Справочник соответствий'!A$2:D$2996,3,FALSE),IF(VALUE(C491)=0,"ЭТАЖ НЕ ОПРЕДЕЛЕН. ПРИНЯТ ПО ДОПУЩЕНИЮ 1",VLOOKUP(C491,'Справочник соответствий'!A$2:D$2996,3,FALSE)))</f>
        <v>ЭТАЖ ЗАДАН ЧИСЛОМ</v>
      </c>
      <c r="M491" s="13" t="b">
        <f t="shared" si="50"/>
        <v>0</v>
      </c>
      <c r="N491" s="13">
        <f t="shared" si="51"/>
        <v>2</v>
      </c>
      <c r="O491" s="13" t="str">
        <f t="shared" si="52"/>
        <v>ЭТАЖ ЗАДАН ЧИСЛОМ</v>
      </c>
      <c r="P491" s="13" t="str">
        <f t="shared" si="53"/>
        <v>ЭТАЖ ЗАДАН ЧИСЛОМ</v>
      </c>
      <c r="Q491" s="13" t="str">
        <f t="shared" si="54"/>
        <v>ГОТОВ_ИЗМЕНЕН</v>
      </c>
      <c r="R491" s="13">
        <f>IFERROR(VLOOKUP(P491,Лист1!A$1:B$20,2,FALSE),0)</f>
        <v>784</v>
      </c>
      <c r="S491" s="13">
        <f t="shared" si="55"/>
        <v>0</v>
      </c>
    </row>
    <row r="492" spans="1:19" x14ac:dyDescent="0.25">
      <c r="A492" t="s">
        <v>1692</v>
      </c>
      <c r="B492" s="4" t="s">
        <v>1190</v>
      </c>
      <c r="C492" s="3" t="s">
        <v>7</v>
      </c>
      <c r="G492" s="3" t="s">
        <v>1183</v>
      </c>
      <c r="I492" s="3" t="str">
        <f>IFERROR(VLOOKUP(C492,'Справочник соответствий'!A$2:D$2996,2,FALSE),IF(VALUE(C492)=0,1,VLOOKUP(C492,'Справочник соответствий'!A$2:D$2996,2,FALSE)))</f>
        <v>2</v>
      </c>
      <c r="J492" s="3">
        <f>IFERROR(VLOOKUP(D492,'Справочник соответствий'!A$2:D$2996,2,FALSE),IF(VALUE(D492)=0,0,VLOOKUP(D492,'Справочник соответствий'!A$2:D$2996,2,FALSE)))</f>
        <v>0</v>
      </c>
      <c r="K492" s="3" t="str">
        <f t="shared" si="49"/>
        <v>2</v>
      </c>
      <c r="L492" s="13" t="str">
        <f>IFERROR(VLOOKUP(C492,'Справочник соответствий'!A$2:D$2996,3,FALSE),IF(VALUE(C492)=0,"ЭТАЖ НЕ ОПРЕДЕЛЕН. ПРИНЯТ ПО ДОПУЩЕНИЮ 1",VLOOKUP(C492,'Справочник соответствий'!A$2:D$2996,3,FALSE)))</f>
        <v>ЭТАЖ ЗАДАН ЧИСЛОМ</v>
      </c>
      <c r="M492" s="13" t="b">
        <f t="shared" si="50"/>
        <v>0</v>
      </c>
      <c r="N492" s="13">
        <f t="shared" si="51"/>
        <v>2</v>
      </c>
      <c r="O492" s="13" t="str">
        <f t="shared" si="52"/>
        <v>ЭТАЖ ЗАДАН ЧИСЛОМ</v>
      </c>
      <c r="P492" s="13" t="str">
        <f t="shared" si="53"/>
        <v>ЭТАЖ ЗАДАН ЧИСЛОМ</v>
      </c>
      <c r="Q492" s="13" t="str">
        <f t="shared" si="54"/>
        <v>ГОТОВ_ИЗМЕНЕН</v>
      </c>
      <c r="R492" s="13">
        <f>IFERROR(VLOOKUP(P492,Лист1!A$1:B$20,2,FALSE),0)</f>
        <v>784</v>
      </c>
      <c r="S492" s="13">
        <f t="shared" si="55"/>
        <v>0</v>
      </c>
    </row>
    <row r="493" spans="1:19" x14ac:dyDescent="0.25">
      <c r="A493" t="s">
        <v>1693</v>
      </c>
      <c r="B493" s="4" t="s">
        <v>1190</v>
      </c>
      <c r="C493" s="3" t="s">
        <v>5</v>
      </c>
      <c r="G493" s="3" t="s">
        <v>1183</v>
      </c>
      <c r="I493" s="3" t="str">
        <f>IFERROR(VLOOKUP(C493,'Справочник соответствий'!A$2:D$2996,2,FALSE),IF(VALUE(C493)=0,1,VLOOKUP(C493,'Справочник соответствий'!A$2:D$2996,2,FALSE)))</f>
        <v>1</v>
      </c>
      <c r="J493" s="3">
        <f>IFERROR(VLOOKUP(D493,'Справочник соответствий'!A$2:D$2996,2,FALSE),IF(VALUE(D493)=0,0,VLOOKUP(D493,'Справочник соответствий'!A$2:D$2996,2,FALSE)))</f>
        <v>0</v>
      </c>
      <c r="K493" s="3" t="str">
        <f t="shared" si="49"/>
        <v>1</v>
      </c>
      <c r="L493" s="13" t="str">
        <f>IFERROR(VLOOKUP(C493,'Справочник соответствий'!A$2:D$2996,3,FALSE),IF(VALUE(C493)=0,"ЭТАЖ НЕ ОПРЕДЕЛЕН. ПРИНЯТ ПО ДОПУЩЕНИЮ 1",VLOOKUP(C493,'Справочник соответствий'!A$2:D$2996,3,FALSE)))</f>
        <v>ЭТАЖ ЗАДАН ЧИСЛОМ</v>
      </c>
      <c r="M493" s="13" t="b">
        <f t="shared" si="50"/>
        <v>0</v>
      </c>
      <c r="N493" s="13">
        <f t="shared" si="51"/>
        <v>1</v>
      </c>
      <c r="O493" s="13" t="str">
        <f t="shared" si="52"/>
        <v>ЭТАЖ ЗАДАН ЧИСЛОМ</v>
      </c>
      <c r="P493" s="13" t="str">
        <f t="shared" si="53"/>
        <v>ЭТАЖ ЗАДАН ЧИСЛОМ</v>
      </c>
      <c r="Q493" s="13" t="str">
        <f t="shared" si="54"/>
        <v>ГОТОВ_ИЗМЕНЕН</v>
      </c>
      <c r="R493" s="13">
        <f>IFERROR(VLOOKUP(P493,Лист1!A$1:B$20,2,FALSE),0)</f>
        <v>784</v>
      </c>
      <c r="S493" s="13">
        <f t="shared" si="55"/>
        <v>0</v>
      </c>
    </row>
    <row r="494" spans="1:19" x14ac:dyDescent="0.25">
      <c r="A494" t="s">
        <v>1694</v>
      </c>
      <c r="B494" s="4" t="s">
        <v>1190</v>
      </c>
      <c r="C494" s="3" t="s">
        <v>5</v>
      </c>
      <c r="G494" s="3" t="s">
        <v>1183</v>
      </c>
      <c r="I494" s="3" t="str">
        <f>IFERROR(VLOOKUP(C494,'Справочник соответствий'!A$2:D$2996,2,FALSE),IF(VALUE(C494)=0,1,VLOOKUP(C494,'Справочник соответствий'!A$2:D$2996,2,FALSE)))</f>
        <v>1</v>
      </c>
      <c r="J494" s="3">
        <f>IFERROR(VLOOKUP(D494,'Справочник соответствий'!A$2:D$2996,2,FALSE),IF(VALUE(D494)=0,0,VLOOKUP(D494,'Справочник соответствий'!A$2:D$2996,2,FALSE)))</f>
        <v>0</v>
      </c>
      <c r="K494" s="3" t="str">
        <f t="shared" si="49"/>
        <v>1</v>
      </c>
      <c r="L494" s="13" t="str">
        <f>IFERROR(VLOOKUP(C494,'Справочник соответствий'!A$2:D$2996,3,FALSE),IF(VALUE(C494)=0,"ЭТАЖ НЕ ОПРЕДЕЛЕН. ПРИНЯТ ПО ДОПУЩЕНИЮ 1",VLOOKUP(C494,'Справочник соответствий'!A$2:D$2996,3,FALSE)))</f>
        <v>ЭТАЖ ЗАДАН ЧИСЛОМ</v>
      </c>
      <c r="M494" s="13" t="b">
        <f t="shared" si="50"/>
        <v>0</v>
      </c>
      <c r="N494" s="13">
        <f t="shared" si="51"/>
        <v>1</v>
      </c>
      <c r="O494" s="13" t="str">
        <f t="shared" si="52"/>
        <v>ЭТАЖ ЗАДАН ЧИСЛОМ</v>
      </c>
      <c r="P494" s="13" t="str">
        <f t="shared" si="53"/>
        <v>ЭТАЖ ЗАДАН ЧИСЛОМ</v>
      </c>
      <c r="Q494" s="13" t="str">
        <f t="shared" si="54"/>
        <v>ГОТОВ_ИЗМЕНЕН</v>
      </c>
      <c r="R494" s="13">
        <f>IFERROR(VLOOKUP(P494,Лист1!A$1:B$20,2,FALSE),0)</f>
        <v>784</v>
      </c>
      <c r="S494" s="13">
        <f t="shared" si="55"/>
        <v>0</v>
      </c>
    </row>
    <row r="495" spans="1:19" x14ac:dyDescent="0.25">
      <c r="A495" t="s">
        <v>1695</v>
      </c>
      <c r="B495" s="4" t="s">
        <v>1182</v>
      </c>
      <c r="C495" s="3" t="s">
        <v>5</v>
      </c>
      <c r="G495" s="3" t="s">
        <v>1198</v>
      </c>
      <c r="I495" s="3" t="str">
        <f>IFERROR(VLOOKUP(C495,'Справочник соответствий'!A$2:D$2996,2,FALSE),IF(VALUE(C495)=0,1,VLOOKUP(C495,'Справочник соответствий'!A$2:D$2996,2,FALSE)))</f>
        <v>1</v>
      </c>
      <c r="J495" s="3">
        <f>IFERROR(VLOOKUP(D495,'Справочник соответствий'!A$2:D$2996,2,FALSE),IF(VALUE(D495)=0,0,VLOOKUP(D495,'Справочник соответствий'!A$2:D$2996,2,FALSE)))</f>
        <v>0</v>
      </c>
      <c r="K495" s="3" t="str">
        <f t="shared" si="49"/>
        <v>1</v>
      </c>
      <c r="L495" s="13" t="str">
        <f>IFERROR(VLOOKUP(C495,'Справочник соответствий'!A$2:D$2996,3,FALSE),IF(VALUE(C495)=0,"ЭТАЖ НЕ ОПРЕДЕЛЕН. ПРИНЯТ ПО ДОПУЩЕНИЮ 1",VLOOKUP(C495,'Справочник соответствий'!A$2:D$2996,3,FALSE)))</f>
        <v>ЭТАЖ ЗАДАН ЧИСЛОМ</v>
      </c>
      <c r="M495" s="13" t="b">
        <f t="shared" si="50"/>
        <v>0</v>
      </c>
      <c r="N495" s="13">
        <f t="shared" si="51"/>
        <v>1</v>
      </c>
      <c r="O495" s="13" t="str">
        <f t="shared" si="52"/>
        <v>ЭТАЖ ЗАДАН ЧИСЛОМ</v>
      </c>
      <c r="P495" s="13" t="str">
        <f t="shared" si="53"/>
        <v>ЭТАЖ ЗАДАН ЧИСЛОМ</v>
      </c>
      <c r="Q495" s="13" t="str">
        <f t="shared" si="54"/>
        <v>ГОТОВ_ИЗМЕНЕН</v>
      </c>
      <c r="R495" s="13">
        <f>IFERROR(VLOOKUP(P495,Лист1!A$1:B$20,2,FALSE),0)</f>
        <v>784</v>
      </c>
      <c r="S495" s="13">
        <f t="shared" si="55"/>
        <v>0</v>
      </c>
    </row>
    <row r="496" spans="1:19" x14ac:dyDescent="0.25">
      <c r="A496" t="s">
        <v>1696</v>
      </c>
      <c r="B496" s="4" t="s">
        <v>1190</v>
      </c>
      <c r="C496" s="3" t="s">
        <v>7</v>
      </c>
      <c r="G496" s="3" t="s">
        <v>1198</v>
      </c>
      <c r="I496" s="3" t="str">
        <f>IFERROR(VLOOKUP(C496,'Справочник соответствий'!A$2:D$2996,2,FALSE),IF(VALUE(C496)=0,1,VLOOKUP(C496,'Справочник соответствий'!A$2:D$2996,2,FALSE)))</f>
        <v>2</v>
      </c>
      <c r="J496" s="3">
        <f>IFERROR(VLOOKUP(D496,'Справочник соответствий'!A$2:D$2996,2,FALSE),IF(VALUE(D496)=0,0,VLOOKUP(D496,'Справочник соответствий'!A$2:D$2996,2,FALSE)))</f>
        <v>0</v>
      </c>
      <c r="K496" s="3" t="str">
        <f t="shared" si="49"/>
        <v>2</v>
      </c>
      <c r="L496" s="13" t="str">
        <f>IFERROR(VLOOKUP(C496,'Справочник соответствий'!A$2:D$2996,3,FALSE),IF(VALUE(C496)=0,"ЭТАЖ НЕ ОПРЕДЕЛЕН. ПРИНЯТ ПО ДОПУЩЕНИЮ 1",VLOOKUP(C496,'Справочник соответствий'!A$2:D$2996,3,FALSE)))</f>
        <v>ЭТАЖ ЗАДАН ЧИСЛОМ</v>
      </c>
      <c r="M496" s="13" t="b">
        <f t="shared" si="50"/>
        <v>0</v>
      </c>
      <c r="N496" s="13">
        <f t="shared" si="51"/>
        <v>2</v>
      </c>
      <c r="O496" s="13" t="str">
        <f t="shared" si="52"/>
        <v>ЭТАЖ ЗАДАН ЧИСЛОМ</v>
      </c>
      <c r="P496" s="13" t="str">
        <f t="shared" si="53"/>
        <v>ЭТАЖ ЗАДАН ЧИСЛОМ</v>
      </c>
      <c r="Q496" s="13" t="str">
        <f t="shared" si="54"/>
        <v>ГОТОВ_ИЗМЕНЕН</v>
      </c>
      <c r="R496" s="13">
        <f>IFERROR(VLOOKUP(P496,Лист1!A$1:B$20,2,FALSE),0)</f>
        <v>784</v>
      </c>
      <c r="S496" s="13">
        <f t="shared" si="55"/>
        <v>0</v>
      </c>
    </row>
    <row r="497" spans="1:19" x14ac:dyDescent="0.25">
      <c r="A497" t="s">
        <v>1697</v>
      </c>
      <c r="B497" s="4" t="s">
        <v>1190</v>
      </c>
      <c r="C497" s="3" t="s">
        <v>5</v>
      </c>
      <c r="G497" s="3" t="s">
        <v>1198</v>
      </c>
      <c r="I497" s="3" t="str">
        <f>IFERROR(VLOOKUP(C497,'Справочник соответствий'!A$2:D$2996,2,FALSE),IF(VALUE(C497)=0,1,VLOOKUP(C497,'Справочник соответствий'!A$2:D$2996,2,FALSE)))</f>
        <v>1</v>
      </c>
      <c r="J497" s="3">
        <f>IFERROR(VLOOKUP(D497,'Справочник соответствий'!A$2:D$2996,2,FALSE),IF(VALUE(D497)=0,0,VLOOKUP(D497,'Справочник соответствий'!A$2:D$2996,2,FALSE)))</f>
        <v>0</v>
      </c>
      <c r="K497" s="3" t="str">
        <f t="shared" si="49"/>
        <v>1</v>
      </c>
      <c r="L497" s="13" t="str">
        <f>IFERROR(VLOOKUP(C497,'Справочник соответствий'!A$2:D$2996,3,FALSE),IF(VALUE(C497)=0,"ЭТАЖ НЕ ОПРЕДЕЛЕН. ПРИНЯТ ПО ДОПУЩЕНИЮ 1",VLOOKUP(C497,'Справочник соответствий'!A$2:D$2996,3,FALSE)))</f>
        <v>ЭТАЖ ЗАДАН ЧИСЛОМ</v>
      </c>
      <c r="M497" s="13" t="b">
        <f t="shared" si="50"/>
        <v>0</v>
      </c>
      <c r="N497" s="13">
        <f t="shared" si="51"/>
        <v>1</v>
      </c>
      <c r="O497" s="13" t="str">
        <f t="shared" si="52"/>
        <v>ЭТАЖ ЗАДАН ЧИСЛОМ</v>
      </c>
      <c r="P497" s="13" t="str">
        <f t="shared" si="53"/>
        <v>ЭТАЖ ЗАДАН ЧИСЛОМ</v>
      </c>
      <c r="Q497" s="13" t="str">
        <f t="shared" si="54"/>
        <v>ГОТОВ_ИЗМЕНЕН</v>
      </c>
      <c r="R497" s="13">
        <f>IFERROR(VLOOKUP(P497,Лист1!A$1:B$20,2,FALSE),0)</f>
        <v>784</v>
      </c>
      <c r="S497" s="13">
        <f t="shared" si="55"/>
        <v>0</v>
      </c>
    </row>
    <row r="498" spans="1:19" x14ac:dyDescent="0.25">
      <c r="A498" t="s">
        <v>1698</v>
      </c>
      <c r="B498" s="4" t="s">
        <v>1182</v>
      </c>
      <c r="C498" s="3" t="s">
        <v>5</v>
      </c>
      <c r="G498" s="3" t="s">
        <v>1198</v>
      </c>
      <c r="I498" s="3" t="str">
        <f>IFERROR(VLOOKUP(C498,'Справочник соответствий'!A$2:D$2996,2,FALSE),IF(VALUE(C498)=0,1,VLOOKUP(C498,'Справочник соответствий'!A$2:D$2996,2,FALSE)))</f>
        <v>1</v>
      </c>
      <c r="J498" s="3">
        <f>IFERROR(VLOOKUP(D498,'Справочник соответствий'!A$2:D$2996,2,FALSE),IF(VALUE(D498)=0,0,VLOOKUP(D498,'Справочник соответствий'!A$2:D$2996,2,FALSE)))</f>
        <v>0</v>
      </c>
      <c r="K498" s="3" t="str">
        <f t="shared" si="49"/>
        <v>1</v>
      </c>
      <c r="L498" s="13" t="str">
        <f>IFERROR(VLOOKUP(C498,'Справочник соответствий'!A$2:D$2996,3,FALSE),IF(VALUE(C498)=0,"ЭТАЖ НЕ ОПРЕДЕЛЕН. ПРИНЯТ ПО ДОПУЩЕНИЮ 1",VLOOKUP(C498,'Справочник соответствий'!A$2:D$2996,3,FALSE)))</f>
        <v>ЭТАЖ ЗАДАН ЧИСЛОМ</v>
      </c>
      <c r="M498" s="13" t="b">
        <f t="shared" si="50"/>
        <v>0</v>
      </c>
      <c r="N498" s="13">
        <f t="shared" si="51"/>
        <v>1</v>
      </c>
      <c r="O498" s="13" t="str">
        <f t="shared" si="52"/>
        <v>ЭТАЖ ЗАДАН ЧИСЛОМ</v>
      </c>
      <c r="P498" s="13" t="str">
        <f t="shared" si="53"/>
        <v>ЭТАЖ ЗАДАН ЧИСЛОМ</v>
      </c>
      <c r="Q498" s="13" t="str">
        <f t="shared" si="54"/>
        <v>ГОТОВ_ИЗМЕНЕН</v>
      </c>
      <c r="R498" s="13">
        <f>IFERROR(VLOOKUP(P498,Лист1!A$1:B$20,2,FALSE),0)</f>
        <v>784</v>
      </c>
      <c r="S498" s="13">
        <f t="shared" si="55"/>
        <v>0</v>
      </c>
    </row>
    <row r="499" spans="1:19" x14ac:dyDescent="0.25">
      <c r="A499" t="s">
        <v>1699</v>
      </c>
      <c r="B499" s="4" t="s">
        <v>1182</v>
      </c>
      <c r="G499" s="3" t="s">
        <v>1198</v>
      </c>
      <c r="I499" s="3">
        <f>IFERROR(VLOOKUP(C499,'Справочник соответствий'!A$2:D$2996,2,FALSE),IF(VALUE(C499)=0,1,VLOOKUP(C499,'Справочник соответствий'!A$2:D$2996,2,FALSE)))</f>
        <v>1</v>
      </c>
      <c r="J499" s="3">
        <f>IFERROR(VLOOKUP(D499,'Справочник соответствий'!A$2:D$2996,2,FALSE),IF(VALUE(D499)=0,0,VLOOKUP(D499,'Справочник соответствий'!A$2:D$2996,2,FALSE)))</f>
        <v>0</v>
      </c>
      <c r="K499" s="3">
        <f t="shared" si="49"/>
        <v>1</v>
      </c>
      <c r="L499" s="13" t="str">
        <f>IFERROR(VLOOKUP(C499,'Справочник соответствий'!A$2:D$2996,3,FALSE),IF(VALUE(C499)=0,"ЭТАЖ НЕ ОПРЕДЕЛЕН. ПРИНЯТ ПО ДОПУЩЕНИЮ 1",VLOOKUP(C499,'Справочник соответствий'!A$2:D$2996,3,FALSE)))</f>
        <v>ЭТАЖ НЕ ОПРЕДЕЛЕН. ПРИНЯТ ПО ДОПУЩЕНИЮ 1</v>
      </c>
      <c r="M499" s="13" t="b">
        <f t="shared" si="50"/>
        <v>0</v>
      </c>
      <c r="N499" s="13">
        <f t="shared" si="51"/>
        <v>1</v>
      </c>
      <c r="O499" s="13" t="str">
        <f t="shared" si="52"/>
        <v>ЭТАЖ НЕ ОПРЕДЕЛЕН. ПРИНЯТ ПО ДОПУЩЕНИЮ 1</v>
      </c>
      <c r="P499" s="13" t="str">
        <f t="shared" si="53"/>
        <v>ЭТАЖ НЕ ОПРЕДЕЛЕН. ПРИНЯТ ПО ДОПУЩЕНИЮ 1</v>
      </c>
      <c r="Q499" s="13" t="str">
        <f t="shared" si="54"/>
        <v>ГОТОВ_ИЗМЕНЕН</v>
      </c>
      <c r="R499" s="13">
        <f>IFERROR(VLOOKUP(P499,Лист1!A$1:B$20,2,FALSE),0)</f>
        <v>788</v>
      </c>
      <c r="S499" s="13">
        <f t="shared" si="55"/>
        <v>0</v>
      </c>
    </row>
    <row r="500" spans="1:19" x14ac:dyDescent="0.25">
      <c r="A500" t="s">
        <v>1700</v>
      </c>
      <c r="B500" s="4" t="s">
        <v>1182</v>
      </c>
      <c r="C500" s="3" t="s">
        <v>7</v>
      </c>
      <c r="G500" s="3" t="s">
        <v>1224</v>
      </c>
      <c r="I500" s="3" t="str">
        <f>IFERROR(VLOOKUP(C500,'Справочник соответствий'!A$2:D$2996,2,FALSE),IF(VALUE(C500)=0,1,VLOOKUP(C500,'Справочник соответствий'!A$2:D$2996,2,FALSE)))</f>
        <v>2</v>
      </c>
      <c r="J500" s="3">
        <f>IFERROR(VLOOKUP(D500,'Справочник соответствий'!A$2:D$2996,2,FALSE),IF(VALUE(D500)=0,0,VLOOKUP(D500,'Справочник соответствий'!A$2:D$2996,2,FALSE)))</f>
        <v>0</v>
      </c>
      <c r="K500" s="3" t="str">
        <f t="shared" si="49"/>
        <v>2</v>
      </c>
      <c r="L500" s="13" t="str">
        <f>IFERROR(VLOOKUP(C500,'Справочник соответствий'!A$2:D$2996,3,FALSE),IF(VALUE(C500)=0,"ЭТАЖ НЕ ОПРЕДЕЛЕН. ПРИНЯТ ПО ДОПУЩЕНИЮ 1",VLOOKUP(C500,'Справочник соответствий'!A$2:D$2996,3,FALSE)))</f>
        <v>ЭТАЖ ЗАДАН ЧИСЛОМ</v>
      </c>
      <c r="M500" s="13" t="b">
        <f t="shared" si="50"/>
        <v>0</v>
      </c>
      <c r="N500" s="13">
        <f t="shared" si="51"/>
        <v>2</v>
      </c>
      <c r="O500" s="13" t="str">
        <f t="shared" si="52"/>
        <v>ЭТАЖ ЗАДАН ЧИСЛОМ</v>
      </c>
      <c r="P500" s="13" t="str">
        <f t="shared" si="53"/>
        <v>ЭТАЖ ЗАДАН ЧИСЛОМ</v>
      </c>
      <c r="Q500" s="13" t="str">
        <f t="shared" si="54"/>
        <v>ГОТОВ_ИЗМЕНЕН</v>
      </c>
      <c r="R500" s="13">
        <f>IFERROR(VLOOKUP(P500,Лист1!A$1:B$20,2,FALSE),0)</f>
        <v>784</v>
      </c>
      <c r="S500" s="13">
        <f t="shared" si="55"/>
        <v>0</v>
      </c>
    </row>
    <row r="501" spans="1:19" x14ac:dyDescent="0.25">
      <c r="A501" t="s">
        <v>1701</v>
      </c>
      <c r="B501" s="4" t="s">
        <v>1190</v>
      </c>
      <c r="C501" s="3" t="s">
        <v>7</v>
      </c>
      <c r="G501" s="3" t="s">
        <v>1224</v>
      </c>
      <c r="I501" s="3" t="str">
        <f>IFERROR(VLOOKUP(C501,'Справочник соответствий'!A$2:D$2996,2,FALSE),IF(VALUE(C501)=0,1,VLOOKUP(C501,'Справочник соответствий'!A$2:D$2996,2,FALSE)))</f>
        <v>2</v>
      </c>
      <c r="J501" s="3">
        <f>IFERROR(VLOOKUP(D501,'Справочник соответствий'!A$2:D$2996,2,FALSE),IF(VALUE(D501)=0,0,VLOOKUP(D501,'Справочник соответствий'!A$2:D$2996,2,FALSE)))</f>
        <v>0</v>
      </c>
      <c r="K501" s="3" t="str">
        <f t="shared" si="49"/>
        <v>2</v>
      </c>
      <c r="L501" s="13" t="str">
        <f>IFERROR(VLOOKUP(C501,'Справочник соответствий'!A$2:D$2996,3,FALSE),IF(VALUE(C501)=0,"ЭТАЖ НЕ ОПРЕДЕЛЕН. ПРИНЯТ ПО ДОПУЩЕНИЮ 1",VLOOKUP(C501,'Справочник соответствий'!A$2:D$2996,3,FALSE)))</f>
        <v>ЭТАЖ ЗАДАН ЧИСЛОМ</v>
      </c>
      <c r="M501" s="13" t="b">
        <f t="shared" si="50"/>
        <v>0</v>
      </c>
      <c r="N501" s="13">
        <f t="shared" si="51"/>
        <v>2</v>
      </c>
      <c r="O501" s="13" t="str">
        <f t="shared" si="52"/>
        <v>ЭТАЖ ЗАДАН ЧИСЛОМ</v>
      </c>
      <c r="P501" s="13" t="str">
        <f t="shared" si="53"/>
        <v>ЭТАЖ ЗАДАН ЧИСЛОМ</v>
      </c>
      <c r="Q501" s="13" t="str">
        <f t="shared" si="54"/>
        <v>ГОТОВ_ИЗМЕНЕН</v>
      </c>
      <c r="R501" s="13">
        <f>IFERROR(VLOOKUP(P501,Лист1!A$1:B$20,2,FALSE),0)</f>
        <v>784</v>
      </c>
      <c r="S501" s="13">
        <f t="shared" si="55"/>
        <v>0</v>
      </c>
    </row>
    <row r="502" spans="1:19" x14ac:dyDescent="0.25">
      <c r="A502" t="s">
        <v>1702</v>
      </c>
      <c r="B502" s="4" t="s">
        <v>1190</v>
      </c>
      <c r="C502" s="3" t="s">
        <v>7</v>
      </c>
      <c r="G502" s="3" t="s">
        <v>1224</v>
      </c>
      <c r="I502" s="3" t="str">
        <f>IFERROR(VLOOKUP(C502,'Справочник соответствий'!A$2:D$2996,2,FALSE),IF(VALUE(C502)=0,1,VLOOKUP(C502,'Справочник соответствий'!A$2:D$2996,2,FALSE)))</f>
        <v>2</v>
      </c>
      <c r="J502" s="3">
        <f>IFERROR(VLOOKUP(D502,'Справочник соответствий'!A$2:D$2996,2,FALSE),IF(VALUE(D502)=0,0,VLOOKUP(D502,'Справочник соответствий'!A$2:D$2996,2,FALSE)))</f>
        <v>0</v>
      </c>
      <c r="K502" s="3" t="str">
        <f t="shared" si="49"/>
        <v>2</v>
      </c>
      <c r="L502" s="13" t="str">
        <f>IFERROR(VLOOKUP(C502,'Справочник соответствий'!A$2:D$2996,3,FALSE),IF(VALUE(C502)=0,"ЭТАЖ НЕ ОПРЕДЕЛЕН. ПРИНЯТ ПО ДОПУЩЕНИЮ 1",VLOOKUP(C502,'Справочник соответствий'!A$2:D$2996,3,FALSE)))</f>
        <v>ЭТАЖ ЗАДАН ЧИСЛОМ</v>
      </c>
      <c r="M502" s="13" t="b">
        <f t="shared" si="50"/>
        <v>0</v>
      </c>
      <c r="N502" s="13">
        <f t="shared" si="51"/>
        <v>2</v>
      </c>
      <c r="O502" s="13" t="str">
        <f t="shared" si="52"/>
        <v>ЭТАЖ ЗАДАН ЧИСЛОМ</v>
      </c>
      <c r="P502" s="13" t="str">
        <f t="shared" si="53"/>
        <v>ЭТАЖ ЗАДАН ЧИСЛОМ</v>
      </c>
      <c r="Q502" s="13" t="str">
        <f t="shared" si="54"/>
        <v>ГОТОВ_ИЗМЕНЕН</v>
      </c>
      <c r="R502" s="13">
        <f>IFERROR(VLOOKUP(P502,Лист1!A$1:B$20,2,FALSE),0)</f>
        <v>784</v>
      </c>
      <c r="S502" s="13">
        <f t="shared" si="55"/>
        <v>0</v>
      </c>
    </row>
    <row r="503" spans="1:19" x14ac:dyDescent="0.25">
      <c r="A503" t="s">
        <v>1703</v>
      </c>
      <c r="B503" s="4" t="s">
        <v>1190</v>
      </c>
      <c r="C503" s="3" t="s">
        <v>5</v>
      </c>
      <c r="G503" s="3" t="s">
        <v>1224</v>
      </c>
      <c r="I503" s="3" t="str">
        <f>IFERROR(VLOOKUP(C503,'Справочник соответствий'!A$2:D$2996,2,FALSE),IF(VALUE(C503)=0,1,VLOOKUP(C503,'Справочник соответствий'!A$2:D$2996,2,FALSE)))</f>
        <v>1</v>
      </c>
      <c r="J503" s="3">
        <f>IFERROR(VLOOKUP(D503,'Справочник соответствий'!A$2:D$2996,2,FALSE),IF(VALUE(D503)=0,0,VLOOKUP(D503,'Справочник соответствий'!A$2:D$2996,2,FALSE)))</f>
        <v>0</v>
      </c>
      <c r="K503" s="3" t="str">
        <f t="shared" si="49"/>
        <v>1</v>
      </c>
      <c r="L503" s="13" t="str">
        <f>IFERROR(VLOOKUP(C503,'Справочник соответствий'!A$2:D$2996,3,FALSE),IF(VALUE(C503)=0,"ЭТАЖ НЕ ОПРЕДЕЛЕН. ПРИНЯТ ПО ДОПУЩЕНИЮ 1",VLOOKUP(C503,'Справочник соответствий'!A$2:D$2996,3,FALSE)))</f>
        <v>ЭТАЖ ЗАДАН ЧИСЛОМ</v>
      </c>
      <c r="M503" s="13" t="b">
        <f t="shared" si="50"/>
        <v>0</v>
      </c>
      <c r="N503" s="13">
        <f t="shared" si="51"/>
        <v>1</v>
      </c>
      <c r="O503" s="13" t="str">
        <f t="shared" si="52"/>
        <v>ЭТАЖ ЗАДАН ЧИСЛОМ</v>
      </c>
      <c r="P503" s="13" t="str">
        <f t="shared" si="53"/>
        <v>ЭТАЖ ЗАДАН ЧИСЛОМ</v>
      </c>
      <c r="Q503" s="13" t="str">
        <f t="shared" si="54"/>
        <v>ГОТОВ_ИЗМЕНЕН</v>
      </c>
      <c r="R503" s="13">
        <f>IFERROR(VLOOKUP(P503,Лист1!A$1:B$20,2,FALSE),0)</f>
        <v>784</v>
      </c>
      <c r="S503" s="13">
        <f t="shared" si="55"/>
        <v>0</v>
      </c>
    </row>
    <row r="504" spans="1:19" x14ac:dyDescent="0.25">
      <c r="A504" t="s">
        <v>1704</v>
      </c>
      <c r="B504" s="4" t="s">
        <v>1182</v>
      </c>
      <c r="C504" s="3" t="s">
        <v>5</v>
      </c>
      <c r="G504" s="3" t="s">
        <v>1224</v>
      </c>
      <c r="I504" s="3" t="str">
        <f>IFERROR(VLOOKUP(C504,'Справочник соответствий'!A$2:D$2996,2,FALSE),IF(VALUE(C504)=0,1,VLOOKUP(C504,'Справочник соответствий'!A$2:D$2996,2,FALSE)))</f>
        <v>1</v>
      </c>
      <c r="J504" s="3">
        <f>IFERROR(VLOOKUP(D504,'Справочник соответствий'!A$2:D$2996,2,FALSE),IF(VALUE(D504)=0,0,VLOOKUP(D504,'Справочник соответствий'!A$2:D$2996,2,FALSE)))</f>
        <v>0</v>
      </c>
      <c r="K504" s="3" t="str">
        <f t="shared" si="49"/>
        <v>1</v>
      </c>
      <c r="L504" s="13" t="str">
        <f>IFERROR(VLOOKUP(C504,'Справочник соответствий'!A$2:D$2996,3,FALSE),IF(VALUE(C504)=0,"ЭТАЖ НЕ ОПРЕДЕЛЕН. ПРИНЯТ ПО ДОПУЩЕНИЮ 1",VLOOKUP(C504,'Справочник соответствий'!A$2:D$2996,3,FALSE)))</f>
        <v>ЭТАЖ ЗАДАН ЧИСЛОМ</v>
      </c>
      <c r="M504" s="13" t="b">
        <f t="shared" si="50"/>
        <v>0</v>
      </c>
      <c r="N504" s="13">
        <f t="shared" si="51"/>
        <v>1</v>
      </c>
      <c r="O504" s="13" t="str">
        <f t="shared" si="52"/>
        <v>ЭТАЖ ЗАДАН ЧИСЛОМ</v>
      </c>
      <c r="P504" s="13" t="str">
        <f t="shared" si="53"/>
        <v>ЭТАЖ ЗАДАН ЧИСЛОМ</v>
      </c>
      <c r="Q504" s="13" t="str">
        <f t="shared" si="54"/>
        <v>ГОТОВ_ИЗМЕНЕН</v>
      </c>
      <c r="R504" s="13">
        <f>IFERROR(VLOOKUP(P504,Лист1!A$1:B$20,2,FALSE),0)</f>
        <v>784</v>
      </c>
      <c r="S504" s="13">
        <f t="shared" si="55"/>
        <v>0</v>
      </c>
    </row>
    <row r="505" spans="1:19" x14ac:dyDescent="0.25">
      <c r="A505" t="s">
        <v>1705</v>
      </c>
      <c r="B505" s="4" t="s">
        <v>1182</v>
      </c>
      <c r="C505" s="3" t="s">
        <v>5</v>
      </c>
      <c r="G505" s="3" t="s">
        <v>1224</v>
      </c>
      <c r="I505" s="3" t="str">
        <f>IFERROR(VLOOKUP(C505,'Справочник соответствий'!A$2:D$2996,2,FALSE),IF(VALUE(C505)=0,1,VLOOKUP(C505,'Справочник соответствий'!A$2:D$2996,2,FALSE)))</f>
        <v>1</v>
      </c>
      <c r="J505" s="3">
        <f>IFERROR(VLOOKUP(D505,'Справочник соответствий'!A$2:D$2996,2,FALSE),IF(VALUE(D505)=0,0,VLOOKUP(D505,'Справочник соответствий'!A$2:D$2996,2,FALSE)))</f>
        <v>0</v>
      </c>
      <c r="K505" s="3" t="str">
        <f t="shared" si="49"/>
        <v>1</v>
      </c>
      <c r="L505" s="13" t="str">
        <f>IFERROR(VLOOKUP(C505,'Справочник соответствий'!A$2:D$2996,3,FALSE),IF(VALUE(C505)=0,"ЭТАЖ НЕ ОПРЕДЕЛЕН. ПРИНЯТ ПО ДОПУЩЕНИЮ 1",VLOOKUP(C505,'Справочник соответствий'!A$2:D$2996,3,FALSE)))</f>
        <v>ЭТАЖ ЗАДАН ЧИСЛОМ</v>
      </c>
      <c r="M505" s="13" t="b">
        <f t="shared" si="50"/>
        <v>0</v>
      </c>
      <c r="N505" s="13">
        <f t="shared" si="51"/>
        <v>1</v>
      </c>
      <c r="O505" s="13" t="str">
        <f t="shared" si="52"/>
        <v>ЭТАЖ ЗАДАН ЧИСЛОМ</v>
      </c>
      <c r="P505" s="13" t="str">
        <f t="shared" si="53"/>
        <v>ЭТАЖ ЗАДАН ЧИСЛОМ</v>
      </c>
      <c r="Q505" s="13" t="str">
        <f t="shared" si="54"/>
        <v>ГОТОВ_ИЗМЕНЕН</v>
      </c>
      <c r="R505" s="13">
        <f>IFERROR(VLOOKUP(P505,Лист1!A$1:B$20,2,FALSE),0)</f>
        <v>784</v>
      </c>
      <c r="S505" s="13">
        <f t="shared" si="55"/>
        <v>0</v>
      </c>
    </row>
    <row r="506" spans="1:19" x14ac:dyDescent="0.25">
      <c r="A506" t="s">
        <v>1706</v>
      </c>
      <c r="B506" s="4" t="s">
        <v>1190</v>
      </c>
      <c r="C506" s="3" t="s">
        <v>7</v>
      </c>
      <c r="G506" s="3" t="s">
        <v>1224</v>
      </c>
      <c r="I506" s="3" t="str">
        <f>IFERROR(VLOOKUP(C506,'Справочник соответствий'!A$2:D$2996,2,FALSE),IF(VALUE(C506)=0,1,VLOOKUP(C506,'Справочник соответствий'!A$2:D$2996,2,FALSE)))</f>
        <v>2</v>
      </c>
      <c r="J506" s="3">
        <f>IFERROR(VLOOKUP(D506,'Справочник соответствий'!A$2:D$2996,2,FALSE),IF(VALUE(D506)=0,0,VLOOKUP(D506,'Справочник соответствий'!A$2:D$2996,2,FALSE)))</f>
        <v>0</v>
      </c>
      <c r="K506" s="3" t="str">
        <f t="shared" si="49"/>
        <v>2</v>
      </c>
      <c r="L506" s="13" t="str">
        <f>IFERROR(VLOOKUP(C506,'Справочник соответствий'!A$2:D$2996,3,FALSE),IF(VALUE(C506)=0,"ЭТАЖ НЕ ОПРЕДЕЛЕН. ПРИНЯТ ПО ДОПУЩЕНИЮ 1",VLOOKUP(C506,'Справочник соответствий'!A$2:D$2996,3,FALSE)))</f>
        <v>ЭТАЖ ЗАДАН ЧИСЛОМ</v>
      </c>
      <c r="M506" s="13" t="b">
        <f t="shared" si="50"/>
        <v>0</v>
      </c>
      <c r="N506" s="13">
        <f t="shared" si="51"/>
        <v>2</v>
      </c>
      <c r="O506" s="13" t="str">
        <f t="shared" si="52"/>
        <v>ЭТАЖ ЗАДАН ЧИСЛОМ</v>
      </c>
      <c r="P506" s="13" t="str">
        <f t="shared" si="53"/>
        <v>ЭТАЖ ЗАДАН ЧИСЛОМ</v>
      </c>
      <c r="Q506" s="13" t="str">
        <f t="shared" si="54"/>
        <v>ГОТОВ_ИЗМЕНЕН</v>
      </c>
      <c r="R506" s="13">
        <f>IFERROR(VLOOKUP(P506,Лист1!A$1:B$20,2,FALSE),0)</f>
        <v>784</v>
      </c>
      <c r="S506" s="13">
        <f t="shared" si="55"/>
        <v>0</v>
      </c>
    </row>
    <row r="507" spans="1:19" x14ac:dyDescent="0.25">
      <c r="A507" t="s">
        <v>1707</v>
      </c>
      <c r="B507" s="4" t="s">
        <v>1182</v>
      </c>
      <c r="C507" s="3" t="s">
        <v>5</v>
      </c>
      <c r="E507" s="3" t="s">
        <v>5</v>
      </c>
      <c r="F507" t="s">
        <v>1186</v>
      </c>
      <c r="G507" s="3" t="s">
        <v>1187</v>
      </c>
      <c r="H507" s="7" t="s">
        <v>1184</v>
      </c>
      <c r="I507" s="3" t="str">
        <f>IFERROR(VLOOKUP(C507,'Справочник соответствий'!A$2:D$2996,2,FALSE),IF(VALUE(C507)=0,1,VLOOKUP(C507,'Справочник соответствий'!A$2:D$2996,2,FALSE)))</f>
        <v>1</v>
      </c>
      <c r="J507" s="3">
        <f>IFERROR(VLOOKUP(D507,'Справочник соответствий'!A$2:D$2996,2,FALSE),IF(VALUE(D507)=0,0,VLOOKUP(D507,'Справочник соответствий'!A$2:D$2996,2,FALSE)))</f>
        <v>0</v>
      </c>
      <c r="K507" s="3" t="str">
        <f t="shared" si="49"/>
        <v>1</v>
      </c>
      <c r="L507" s="13" t="str">
        <f>IFERROR(VLOOKUP(C507,'Справочник соответствий'!A$2:D$2996,3,FALSE),IF(VALUE(C507)=0,"ЭТАЖ НЕ ОПРЕДЕЛЕН. ПРИНЯТ ПО ДОПУЩЕНИЮ 1",VLOOKUP(C507,'Справочник соответствий'!A$2:D$2996,3,FALSE)))</f>
        <v>ЭТАЖ ЗАДАН ЧИСЛОМ</v>
      </c>
      <c r="M507" s="13" t="b">
        <f t="shared" si="50"/>
        <v>1</v>
      </c>
      <c r="N507" s="13">
        <f t="shared" si="51"/>
        <v>1</v>
      </c>
      <c r="O507" s="13" t="str">
        <f t="shared" si="52"/>
        <v>ЭТАЖ ЗАДАН ЧИСЛОМ</v>
      </c>
      <c r="P507" s="13" t="str">
        <f t="shared" si="53"/>
        <v>ЭТАЖ ЗАДАН ЧИСЛОМ</v>
      </c>
      <c r="Q507" s="13" t="str">
        <f t="shared" si="54"/>
        <v>ГОТОВ</v>
      </c>
      <c r="R507" s="13">
        <f>IFERROR(VLOOKUP(P507,Лист1!A$1:B$20,2,FALSE),0)</f>
        <v>784</v>
      </c>
      <c r="S507" s="13">
        <f t="shared" si="55"/>
        <v>1</v>
      </c>
    </row>
    <row r="508" spans="1:19" x14ac:dyDescent="0.25">
      <c r="A508" t="s">
        <v>1708</v>
      </c>
      <c r="B508" s="4" t="s">
        <v>1182</v>
      </c>
      <c r="C508" s="3" t="s">
        <v>5</v>
      </c>
      <c r="E508" s="3" t="s">
        <v>5</v>
      </c>
      <c r="F508" t="s">
        <v>1045</v>
      </c>
      <c r="G508" s="3" t="s">
        <v>1183</v>
      </c>
      <c r="H508" s="7" t="s">
        <v>1184</v>
      </c>
      <c r="I508" s="3" t="str">
        <f>IFERROR(VLOOKUP(C508,'Справочник соответствий'!A$2:D$2996,2,FALSE),IF(VALUE(C508)=0,1,VLOOKUP(C508,'Справочник соответствий'!A$2:D$2996,2,FALSE)))</f>
        <v>1</v>
      </c>
      <c r="J508" s="3">
        <f>IFERROR(VLOOKUP(D508,'Справочник соответствий'!A$2:D$2996,2,FALSE),IF(VALUE(D508)=0,0,VLOOKUP(D508,'Справочник соответствий'!A$2:D$2996,2,FALSE)))</f>
        <v>0</v>
      </c>
      <c r="K508" s="3" t="str">
        <f t="shared" si="49"/>
        <v>1</v>
      </c>
      <c r="L508" s="13" t="str">
        <f>IFERROR(VLOOKUP(C508,'Справочник соответствий'!A$2:D$2996,3,FALSE),IF(VALUE(C508)=0,"ЭТАЖ НЕ ОПРЕДЕЛЕН. ПРИНЯТ ПО ДОПУЩЕНИЮ 1",VLOOKUP(C508,'Справочник соответствий'!A$2:D$2996,3,FALSE)))</f>
        <v>ЭТАЖ ЗАДАН ЧИСЛОМ</v>
      </c>
      <c r="M508" s="13" t="b">
        <f t="shared" si="50"/>
        <v>1</v>
      </c>
      <c r="N508" s="13">
        <f t="shared" si="51"/>
        <v>1</v>
      </c>
      <c r="O508" s="13" t="str">
        <f t="shared" si="52"/>
        <v>ЭТАЖ ЗАДАН ЧИСЛОМ</v>
      </c>
      <c r="P508" s="13" t="str">
        <f t="shared" si="53"/>
        <v>ЭТАЖ ЗАДАН ЧИСЛОМ</v>
      </c>
      <c r="Q508" s="13" t="str">
        <f t="shared" si="54"/>
        <v>ГОТОВ</v>
      </c>
      <c r="R508" s="13">
        <f>IFERROR(VLOOKUP(P508,Лист1!A$1:B$20,2,FALSE),0)</f>
        <v>784</v>
      </c>
      <c r="S508" s="13">
        <f t="shared" si="55"/>
        <v>1</v>
      </c>
    </row>
    <row r="509" spans="1:19" x14ac:dyDescent="0.25">
      <c r="A509" t="s">
        <v>1709</v>
      </c>
      <c r="B509" s="4" t="s">
        <v>1190</v>
      </c>
      <c r="C509" s="3" t="s">
        <v>7</v>
      </c>
      <c r="E509" s="3" t="s">
        <v>5</v>
      </c>
      <c r="F509" t="s">
        <v>1038</v>
      </c>
      <c r="G509" s="3" t="s">
        <v>1224</v>
      </c>
      <c r="H509" s="7" t="s">
        <v>1184</v>
      </c>
      <c r="I509" s="3" t="str">
        <f>IFERROR(VLOOKUP(C509,'Справочник соответствий'!A$2:D$2996,2,FALSE),IF(VALUE(C509)=0,1,VLOOKUP(C509,'Справочник соответствий'!A$2:D$2996,2,FALSE)))</f>
        <v>2</v>
      </c>
      <c r="J509" s="3">
        <f>IFERROR(VLOOKUP(D509,'Справочник соответствий'!A$2:D$2996,2,FALSE),IF(VALUE(D509)=0,0,VLOOKUP(D509,'Справочник соответствий'!A$2:D$2996,2,FALSE)))</f>
        <v>0</v>
      </c>
      <c r="K509" s="3" t="str">
        <f t="shared" si="49"/>
        <v>2</v>
      </c>
      <c r="L509" s="13" t="str">
        <f>IFERROR(VLOOKUP(C509,'Справочник соответствий'!A$2:D$2996,3,FALSE),IF(VALUE(C509)=0,"ЭТАЖ НЕ ОПРЕДЕЛЕН. ПРИНЯТ ПО ДОПУЩЕНИЮ 1",VLOOKUP(C509,'Справочник соответствий'!A$2:D$2996,3,FALSE)))</f>
        <v>ЭТАЖ ЗАДАН ЧИСЛОМ</v>
      </c>
      <c r="M509" s="13" t="b">
        <f t="shared" si="50"/>
        <v>0</v>
      </c>
      <c r="N509" s="13">
        <f t="shared" si="51"/>
        <v>2</v>
      </c>
      <c r="O509" s="13" t="str">
        <f t="shared" si="52"/>
        <v>ЭТАЖ ЗАДАН ЧИСЛОМ</v>
      </c>
      <c r="P509" s="13" t="str">
        <f t="shared" si="53"/>
        <v>ЭТАЖ ЗАДАН ЧИСЛОМ</v>
      </c>
      <c r="Q509" s="13" t="str">
        <f t="shared" si="54"/>
        <v>ГОТОВ_ИЗМЕНЕН</v>
      </c>
      <c r="R509" s="13">
        <f>IFERROR(VLOOKUP(P509,Лист1!A$1:B$20,2,FALSE),0)</f>
        <v>784</v>
      </c>
      <c r="S509" s="13">
        <f t="shared" si="55"/>
        <v>1</v>
      </c>
    </row>
    <row r="510" spans="1:19" x14ac:dyDescent="0.25">
      <c r="A510" t="s">
        <v>1710</v>
      </c>
      <c r="B510" s="4" t="s">
        <v>1190</v>
      </c>
      <c r="C510" s="3" t="s">
        <v>7</v>
      </c>
      <c r="E510" s="3" t="s">
        <v>5</v>
      </c>
      <c r="F510" t="s">
        <v>1038</v>
      </c>
      <c r="G510" s="3" t="s">
        <v>1183</v>
      </c>
      <c r="H510" s="7" t="s">
        <v>1184</v>
      </c>
      <c r="I510" s="3" t="str">
        <f>IFERROR(VLOOKUP(C510,'Справочник соответствий'!A$2:D$2996,2,FALSE),IF(VALUE(C510)=0,1,VLOOKUP(C510,'Справочник соответствий'!A$2:D$2996,2,FALSE)))</f>
        <v>2</v>
      </c>
      <c r="J510" s="3">
        <f>IFERROR(VLOOKUP(D510,'Справочник соответствий'!A$2:D$2996,2,FALSE),IF(VALUE(D510)=0,0,VLOOKUP(D510,'Справочник соответствий'!A$2:D$2996,2,FALSE)))</f>
        <v>0</v>
      </c>
      <c r="K510" s="3" t="str">
        <f t="shared" si="49"/>
        <v>2</v>
      </c>
      <c r="L510" s="13" t="str">
        <f>IFERROR(VLOOKUP(C510,'Справочник соответствий'!A$2:D$2996,3,FALSE),IF(VALUE(C510)=0,"ЭТАЖ НЕ ОПРЕДЕЛЕН. ПРИНЯТ ПО ДОПУЩЕНИЮ 1",VLOOKUP(C510,'Справочник соответствий'!A$2:D$2996,3,FALSE)))</f>
        <v>ЭТАЖ ЗАДАН ЧИСЛОМ</v>
      </c>
      <c r="M510" s="13" t="b">
        <f t="shared" si="50"/>
        <v>0</v>
      </c>
      <c r="N510" s="13">
        <f t="shared" si="51"/>
        <v>2</v>
      </c>
      <c r="O510" s="13" t="str">
        <f t="shared" si="52"/>
        <v>ЭТАЖ ЗАДАН ЧИСЛОМ</v>
      </c>
      <c r="P510" s="13" t="str">
        <f t="shared" si="53"/>
        <v>ЭТАЖ ЗАДАН ЧИСЛОМ</v>
      </c>
      <c r="Q510" s="13" t="str">
        <f t="shared" si="54"/>
        <v>ГОТОВ_ИЗМЕНЕН</v>
      </c>
      <c r="R510" s="13">
        <f>IFERROR(VLOOKUP(P510,Лист1!A$1:B$20,2,FALSE),0)</f>
        <v>784</v>
      </c>
      <c r="S510" s="13">
        <f t="shared" si="55"/>
        <v>1</v>
      </c>
    </row>
    <row r="511" spans="1:19" x14ac:dyDescent="0.25">
      <c r="A511" t="s">
        <v>1711</v>
      </c>
      <c r="B511" s="4" t="s">
        <v>1190</v>
      </c>
      <c r="C511" s="3" t="s">
        <v>7</v>
      </c>
      <c r="E511" s="3" t="s">
        <v>5</v>
      </c>
      <c r="F511" t="s">
        <v>1038</v>
      </c>
      <c r="G511" s="3" t="s">
        <v>1224</v>
      </c>
      <c r="H511" s="7" t="s">
        <v>1184</v>
      </c>
      <c r="I511" s="3" t="str">
        <f>IFERROR(VLOOKUP(C511,'Справочник соответствий'!A$2:D$2996,2,FALSE),IF(VALUE(C511)=0,1,VLOOKUP(C511,'Справочник соответствий'!A$2:D$2996,2,FALSE)))</f>
        <v>2</v>
      </c>
      <c r="J511" s="3">
        <f>IFERROR(VLOOKUP(D511,'Справочник соответствий'!A$2:D$2996,2,FALSE),IF(VALUE(D511)=0,0,VLOOKUP(D511,'Справочник соответствий'!A$2:D$2996,2,FALSE)))</f>
        <v>0</v>
      </c>
      <c r="K511" s="3" t="str">
        <f t="shared" si="49"/>
        <v>2</v>
      </c>
      <c r="L511" s="13" t="str">
        <f>IFERROR(VLOOKUP(C511,'Справочник соответствий'!A$2:D$2996,3,FALSE),IF(VALUE(C511)=0,"ЭТАЖ НЕ ОПРЕДЕЛЕН. ПРИНЯТ ПО ДОПУЩЕНИЮ 1",VLOOKUP(C511,'Справочник соответствий'!A$2:D$2996,3,FALSE)))</f>
        <v>ЭТАЖ ЗАДАН ЧИСЛОМ</v>
      </c>
      <c r="M511" s="13" t="b">
        <f t="shared" si="50"/>
        <v>0</v>
      </c>
      <c r="N511" s="13">
        <f t="shared" si="51"/>
        <v>2</v>
      </c>
      <c r="O511" s="13" t="str">
        <f t="shared" si="52"/>
        <v>ЭТАЖ ЗАДАН ЧИСЛОМ</v>
      </c>
      <c r="P511" s="13" t="str">
        <f t="shared" si="53"/>
        <v>ЭТАЖ ЗАДАН ЧИСЛОМ</v>
      </c>
      <c r="Q511" s="13" t="str">
        <f t="shared" si="54"/>
        <v>ГОТОВ_ИЗМЕНЕН</v>
      </c>
      <c r="R511" s="13">
        <f>IFERROR(VLOOKUP(P511,Лист1!A$1:B$20,2,FALSE),0)</f>
        <v>784</v>
      </c>
      <c r="S511" s="13">
        <f t="shared" si="55"/>
        <v>1</v>
      </c>
    </row>
    <row r="512" spans="1:19" x14ac:dyDescent="0.25">
      <c r="A512" t="s">
        <v>1712</v>
      </c>
      <c r="B512" s="4" t="s">
        <v>1182</v>
      </c>
      <c r="C512" s="3" t="s">
        <v>5</v>
      </c>
      <c r="E512" s="3" t="s">
        <v>5</v>
      </c>
      <c r="F512" t="s">
        <v>1186</v>
      </c>
      <c r="G512" s="3" t="s">
        <v>1191</v>
      </c>
      <c r="H512" s="7" t="s">
        <v>1184</v>
      </c>
      <c r="I512" s="3" t="str">
        <f>IFERROR(VLOOKUP(C512,'Справочник соответствий'!A$2:D$2996,2,FALSE),IF(VALUE(C512)=0,1,VLOOKUP(C512,'Справочник соответствий'!A$2:D$2996,2,FALSE)))</f>
        <v>1</v>
      </c>
      <c r="J512" s="3">
        <f>IFERROR(VLOOKUP(D512,'Справочник соответствий'!A$2:D$2996,2,FALSE),IF(VALUE(D512)=0,0,VLOOKUP(D512,'Справочник соответствий'!A$2:D$2996,2,FALSE)))</f>
        <v>0</v>
      </c>
      <c r="K512" s="3" t="str">
        <f t="shared" si="49"/>
        <v>1</v>
      </c>
      <c r="L512" s="13" t="str">
        <f>IFERROR(VLOOKUP(C512,'Справочник соответствий'!A$2:D$2996,3,FALSE),IF(VALUE(C512)=0,"ЭТАЖ НЕ ОПРЕДЕЛЕН. ПРИНЯТ ПО ДОПУЩЕНИЮ 1",VLOOKUP(C512,'Справочник соответствий'!A$2:D$2996,3,FALSE)))</f>
        <v>ЭТАЖ ЗАДАН ЧИСЛОМ</v>
      </c>
      <c r="M512" s="13" t="b">
        <f t="shared" si="50"/>
        <v>1</v>
      </c>
      <c r="N512" s="13">
        <f t="shared" si="51"/>
        <v>1</v>
      </c>
      <c r="O512" s="13" t="str">
        <f t="shared" si="52"/>
        <v>ЭТАЖ ЗАДАН ЧИСЛОМ</v>
      </c>
      <c r="P512" s="13" t="str">
        <f t="shared" si="53"/>
        <v>ЭТАЖ ЗАДАН ЧИСЛОМ</v>
      </c>
      <c r="Q512" s="13" t="str">
        <f t="shared" si="54"/>
        <v>ГОТОВ</v>
      </c>
      <c r="R512" s="13">
        <f>IFERROR(VLOOKUP(P512,Лист1!A$1:B$20,2,FALSE),0)</f>
        <v>784</v>
      </c>
      <c r="S512" s="13">
        <f t="shared" si="55"/>
        <v>1</v>
      </c>
    </row>
    <row r="513" spans="1:19" x14ac:dyDescent="0.25">
      <c r="A513" t="s">
        <v>1713</v>
      </c>
      <c r="B513" s="4" t="s">
        <v>1182</v>
      </c>
      <c r="C513" s="3" t="s">
        <v>1714</v>
      </c>
      <c r="E513" s="3" t="s">
        <v>5</v>
      </c>
      <c r="F513" t="s">
        <v>1186</v>
      </c>
      <c r="G513" s="3" t="s">
        <v>1191</v>
      </c>
      <c r="H513" s="7" t="s">
        <v>1184</v>
      </c>
      <c r="I513" s="3" t="str">
        <f>IFERROR(VLOOKUP(C513,'Справочник соответствий'!A$2:D$2996,2,FALSE),IF(VALUE(C513)=0,1,VLOOKUP(C513,'Справочник соответствий'!A$2:D$2996,2,FALSE)))</f>
        <v>1</v>
      </c>
      <c r="J513" s="3">
        <f>IFERROR(VLOOKUP(D513,'Справочник соответствий'!A$2:D$2996,2,FALSE),IF(VALUE(D513)=0,0,VLOOKUP(D513,'Справочник соответствий'!A$2:D$2996,2,FALSE)))</f>
        <v>0</v>
      </c>
      <c r="K513" s="3" t="str">
        <f t="shared" si="49"/>
        <v>1</v>
      </c>
      <c r="L513" s="13" t="str">
        <f>IFERROR(VLOOKUP(C513,'Справочник соответствий'!A$2:D$2996,3,FALSE),IF(VALUE(C513)=0,"ЭТАЖ НЕ ОПРЕДЕЛЕН. ПРИНЯТ ПО ДОПУЩЕНИЮ 1",VLOOKUP(C513,'Справочник соответствий'!A$2:D$2996,3,FALSE)))</f>
        <v>СПРАВОЧНИК ЭТАЖНОСТИ</v>
      </c>
      <c r="M513" s="13" t="b">
        <f t="shared" si="50"/>
        <v>1</v>
      </c>
      <c r="N513" s="13">
        <f t="shared" si="51"/>
        <v>1</v>
      </c>
      <c r="O513" s="13" t="str">
        <f t="shared" si="52"/>
        <v>СПРАВОЧНИК ЭТАЖНОСТИ</v>
      </c>
      <c r="P513" s="13" t="str">
        <f t="shared" si="53"/>
        <v>СПРАВОЧНИК ЭТАЖНОСТИ</v>
      </c>
      <c r="Q513" s="13" t="str">
        <f t="shared" si="54"/>
        <v>ГОТОВ</v>
      </c>
      <c r="R513" s="13">
        <f>IFERROR(VLOOKUP(P513,Лист1!A$1:B$20,2,FALSE),0)</f>
        <v>785</v>
      </c>
      <c r="S513" s="13">
        <f t="shared" si="55"/>
        <v>1</v>
      </c>
    </row>
    <row r="514" spans="1:19" x14ac:dyDescent="0.25">
      <c r="A514" t="s">
        <v>1715</v>
      </c>
      <c r="B514" s="4" t="s">
        <v>1190</v>
      </c>
      <c r="C514" s="3" t="s">
        <v>7</v>
      </c>
      <c r="E514" s="3" t="s">
        <v>5</v>
      </c>
      <c r="F514" t="s">
        <v>1038</v>
      </c>
      <c r="G514" s="3" t="s">
        <v>1191</v>
      </c>
      <c r="H514" s="7" t="s">
        <v>1184</v>
      </c>
      <c r="I514" s="3" t="str">
        <f>IFERROR(VLOOKUP(C514,'Справочник соответствий'!A$2:D$2996,2,FALSE),IF(VALUE(C514)=0,1,VLOOKUP(C514,'Справочник соответствий'!A$2:D$2996,2,FALSE)))</f>
        <v>2</v>
      </c>
      <c r="J514" s="3">
        <f>IFERROR(VLOOKUP(D514,'Справочник соответствий'!A$2:D$2996,2,FALSE),IF(VALUE(D514)=0,0,VLOOKUP(D514,'Справочник соответствий'!A$2:D$2996,2,FALSE)))</f>
        <v>0</v>
      </c>
      <c r="K514" s="3" t="str">
        <f t="shared" ref="K514:K577" si="56">IF(B514="Многоквартирный дом",IF(I514-J514&gt;0,I514-J514,1),I514)</f>
        <v>2</v>
      </c>
      <c r="L514" s="13" t="str">
        <f>IFERROR(VLOOKUP(C514,'Справочник соответствий'!A$2:D$2996,3,FALSE),IF(VALUE(C514)=0,"ЭТАЖ НЕ ОПРЕДЕЛЕН. ПРИНЯТ ПО ДОПУЩЕНИЮ 1",VLOOKUP(C514,'Справочник соответствий'!A$2:D$2996,3,FALSE)))</f>
        <v>ЭТАЖ ЗАДАН ЧИСЛОМ</v>
      </c>
      <c r="M514" s="13" t="b">
        <f t="shared" ref="M514:M577" si="57">I514=E514</f>
        <v>0</v>
      </c>
      <c r="N514" s="13">
        <f t="shared" ref="N514:N577" si="58">IF(VALUE(E514)=0,VALUE(K514),IF(L514="ЭТАЖ НЕ ОПРЕДЕЛЕН. ПРИНЯТ ПО ДОПУЩЕНИЮ 1",VALUE(E514),VALUE(K514)))</f>
        <v>2</v>
      </c>
      <c r="O514" s="13" t="str">
        <f t="shared" ref="O514:O577" si="59">IF(VALUE(E514)=0,L514,IF(L514="ЭТАЖ НЕ ОПРЕДЕЛЕН. ПРИНЯТ ПО ДОПУЩЕНИЮ 1",F514,L514))</f>
        <v>ЭТАЖ ЗАДАН ЧИСЛОМ</v>
      </c>
      <c r="P514" s="13" t="str">
        <f t="shared" ref="P514:P577" si="60">IF(B514="Многоквартирный дом",CONCATENATE("МКД_",O514),O514)</f>
        <v>ЭТАЖ ЗАДАН ЧИСЛОМ</v>
      </c>
      <c r="Q514" s="13" t="str">
        <f t="shared" ref="Q514:Q577" si="61">IFERROR(IF(N514&gt;0,IF(N514=VALUE(E514),"ГОТОВ","ГОТОВ_ИЗМЕНЕН"),"НЕ ГОТОВ"),"НЕ ГОТОВ")</f>
        <v>ГОТОВ_ИЗМЕНЕН</v>
      </c>
      <c r="R514" s="13">
        <f>IFERROR(VLOOKUP(P514,Лист1!A$1:B$20,2,FALSE),0)</f>
        <v>784</v>
      </c>
      <c r="S514" s="13">
        <f t="shared" ref="S514:S577" si="62">VALUE(E514)</f>
        <v>1</v>
      </c>
    </row>
    <row r="515" spans="1:19" x14ac:dyDescent="0.25">
      <c r="A515" t="s">
        <v>1716</v>
      </c>
      <c r="B515" s="4" t="s">
        <v>1190</v>
      </c>
      <c r="C515" s="3" t="s">
        <v>7</v>
      </c>
      <c r="D515" s="3" t="s">
        <v>5</v>
      </c>
      <c r="E515" s="3" t="s">
        <v>5</v>
      </c>
      <c r="F515" t="s">
        <v>1045</v>
      </c>
      <c r="G515" s="3" t="s">
        <v>1183</v>
      </c>
      <c r="H515" s="7" t="s">
        <v>1184</v>
      </c>
      <c r="I515" s="3" t="str">
        <f>IFERROR(VLOOKUP(C515,'Справочник соответствий'!A$2:D$2996,2,FALSE),IF(VALUE(C515)=0,1,VLOOKUP(C515,'Справочник соответствий'!A$2:D$2996,2,FALSE)))</f>
        <v>2</v>
      </c>
      <c r="J515" s="3" t="str">
        <f>IFERROR(VLOOKUP(D515,'Справочник соответствий'!A$2:D$2996,2,FALSE),IF(VALUE(D515)=0,0,VLOOKUP(D515,'Справочник соответствий'!A$2:D$2996,2,FALSE)))</f>
        <v>1</v>
      </c>
      <c r="K515" s="3" t="str">
        <f t="shared" si="56"/>
        <v>2</v>
      </c>
      <c r="L515" s="13" t="str">
        <f>IFERROR(VLOOKUP(C515,'Справочник соответствий'!A$2:D$2996,3,FALSE),IF(VALUE(C515)=0,"ЭТАЖ НЕ ОПРЕДЕЛЕН. ПРИНЯТ ПО ДОПУЩЕНИЮ 1",VLOOKUP(C515,'Справочник соответствий'!A$2:D$2996,3,FALSE)))</f>
        <v>ЭТАЖ ЗАДАН ЧИСЛОМ</v>
      </c>
      <c r="M515" s="13" t="b">
        <f t="shared" si="57"/>
        <v>0</v>
      </c>
      <c r="N515" s="13">
        <f t="shared" si="58"/>
        <v>2</v>
      </c>
      <c r="O515" s="13" t="str">
        <f t="shared" si="59"/>
        <v>ЭТАЖ ЗАДАН ЧИСЛОМ</v>
      </c>
      <c r="P515" s="13" t="str">
        <f t="shared" si="60"/>
        <v>ЭТАЖ ЗАДАН ЧИСЛОМ</v>
      </c>
      <c r="Q515" s="13" t="str">
        <f t="shared" si="61"/>
        <v>ГОТОВ_ИЗМЕНЕН</v>
      </c>
      <c r="R515" s="13">
        <f>IFERROR(VLOOKUP(P515,Лист1!A$1:B$20,2,FALSE),0)</f>
        <v>784</v>
      </c>
      <c r="S515" s="13">
        <f t="shared" si="62"/>
        <v>1</v>
      </c>
    </row>
    <row r="516" spans="1:19" x14ac:dyDescent="0.25">
      <c r="A516" t="s">
        <v>1717</v>
      </c>
      <c r="B516" s="4" t="s">
        <v>1190</v>
      </c>
      <c r="C516" s="3" t="s">
        <v>7</v>
      </c>
      <c r="D516" s="3" t="s">
        <v>5</v>
      </c>
      <c r="E516" s="3" t="s">
        <v>7</v>
      </c>
      <c r="F516" t="s">
        <v>1045</v>
      </c>
      <c r="G516" s="3" t="s">
        <v>1198</v>
      </c>
      <c r="H516" s="7" t="s">
        <v>1184</v>
      </c>
      <c r="I516" s="3" t="str">
        <f>IFERROR(VLOOKUP(C516,'Справочник соответствий'!A$2:D$2996,2,FALSE),IF(VALUE(C516)=0,1,VLOOKUP(C516,'Справочник соответствий'!A$2:D$2996,2,FALSE)))</f>
        <v>2</v>
      </c>
      <c r="J516" s="3" t="str">
        <f>IFERROR(VLOOKUP(D516,'Справочник соответствий'!A$2:D$2996,2,FALSE),IF(VALUE(D516)=0,0,VLOOKUP(D516,'Справочник соответствий'!A$2:D$2996,2,FALSE)))</f>
        <v>1</v>
      </c>
      <c r="K516" s="3" t="str">
        <f t="shared" si="56"/>
        <v>2</v>
      </c>
      <c r="L516" s="13" t="str">
        <f>IFERROR(VLOOKUP(C516,'Справочник соответствий'!A$2:D$2996,3,FALSE),IF(VALUE(C516)=0,"ЭТАЖ НЕ ОПРЕДЕЛЕН. ПРИНЯТ ПО ДОПУЩЕНИЮ 1",VLOOKUP(C516,'Справочник соответствий'!A$2:D$2996,3,FALSE)))</f>
        <v>ЭТАЖ ЗАДАН ЧИСЛОМ</v>
      </c>
      <c r="M516" s="13" t="b">
        <f t="shared" si="57"/>
        <v>1</v>
      </c>
      <c r="N516" s="13">
        <f t="shared" si="58"/>
        <v>2</v>
      </c>
      <c r="O516" s="13" t="str">
        <f t="shared" si="59"/>
        <v>ЭТАЖ ЗАДАН ЧИСЛОМ</v>
      </c>
      <c r="P516" s="13" t="str">
        <f t="shared" si="60"/>
        <v>ЭТАЖ ЗАДАН ЧИСЛОМ</v>
      </c>
      <c r="Q516" s="13" t="str">
        <f t="shared" si="61"/>
        <v>ГОТОВ</v>
      </c>
      <c r="R516" s="13">
        <f>IFERROR(VLOOKUP(P516,Лист1!A$1:B$20,2,FALSE),0)</f>
        <v>784</v>
      </c>
      <c r="S516" s="13">
        <f t="shared" si="62"/>
        <v>2</v>
      </c>
    </row>
    <row r="517" spans="1:19" x14ac:dyDescent="0.25">
      <c r="A517" t="s">
        <v>1718</v>
      </c>
      <c r="B517" s="4" t="s">
        <v>1190</v>
      </c>
      <c r="C517" s="3" t="s">
        <v>8</v>
      </c>
      <c r="D517" s="3" t="s">
        <v>5</v>
      </c>
      <c r="G517" s="3" t="s">
        <v>1187</v>
      </c>
      <c r="I517" s="3" t="str">
        <f>IFERROR(VLOOKUP(C517,'Справочник соответствий'!A$2:D$2996,2,FALSE),IF(VALUE(C517)=0,1,VLOOKUP(C517,'Справочник соответствий'!A$2:D$2996,2,FALSE)))</f>
        <v>3</v>
      </c>
      <c r="J517" s="3" t="str">
        <f>IFERROR(VLOOKUP(D517,'Справочник соответствий'!A$2:D$2996,2,FALSE),IF(VALUE(D517)=0,0,VLOOKUP(D517,'Справочник соответствий'!A$2:D$2996,2,FALSE)))</f>
        <v>1</v>
      </c>
      <c r="K517" s="3" t="str">
        <f t="shared" si="56"/>
        <v>3</v>
      </c>
      <c r="L517" s="13" t="str">
        <f>IFERROR(VLOOKUP(C517,'Справочник соответствий'!A$2:D$2996,3,FALSE),IF(VALUE(C517)=0,"ЭТАЖ НЕ ОПРЕДЕЛЕН. ПРИНЯТ ПО ДОПУЩЕНИЮ 1",VLOOKUP(C517,'Справочник соответствий'!A$2:D$2996,3,FALSE)))</f>
        <v>ЭТАЖ ЗАДАН ЧИСЛОМ</v>
      </c>
      <c r="M517" s="13" t="b">
        <f t="shared" si="57"/>
        <v>0</v>
      </c>
      <c r="N517" s="13">
        <f t="shared" si="58"/>
        <v>3</v>
      </c>
      <c r="O517" s="13" t="str">
        <f t="shared" si="59"/>
        <v>ЭТАЖ ЗАДАН ЧИСЛОМ</v>
      </c>
      <c r="P517" s="13" t="str">
        <f t="shared" si="60"/>
        <v>ЭТАЖ ЗАДАН ЧИСЛОМ</v>
      </c>
      <c r="Q517" s="13" t="str">
        <f t="shared" si="61"/>
        <v>ГОТОВ_ИЗМЕНЕН</v>
      </c>
      <c r="R517" s="13">
        <f>IFERROR(VLOOKUP(P517,Лист1!A$1:B$20,2,FALSE),0)</f>
        <v>784</v>
      </c>
      <c r="S517" s="13">
        <f t="shared" si="62"/>
        <v>0</v>
      </c>
    </row>
    <row r="518" spans="1:19" x14ac:dyDescent="0.25">
      <c r="A518" t="s">
        <v>1719</v>
      </c>
      <c r="B518" s="4" t="s">
        <v>1190</v>
      </c>
      <c r="C518" s="3" t="s">
        <v>5</v>
      </c>
      <c r="G518" s="3" t="s">
        <v>1187</v>
      </c>
      <c r="I518" s="3" t="str">
        <f>IFERROR(VLOOKUP(C518,'Справочник соответствий'!A$2:D$2996,2,FALSE),IF(VALUE(C518)=0,1,VLOOKUP(C518,'Справочник соответствий'!A$2:D$2996,2,FALSE)))</f>
        <v>1</v>
      </c>
      <c r="J518" s="3">
        <f>IFERROR(VLOOKUP(D518,'Справочник соответствий'!A$2:D$2996,2,FALSE),IF(VALUE(D518)=0,0,VLOOKUP(D518,'Справочник соответствий'!A$2:D$2996,2,FALSE)))</f>
        <v>0</v>
      </c>
      <c r="K518" s="3" t="str">
        <f t="shared" si="56"/>
        <v>1</v>
      </c>
      <c r="L518" s="13" t="str">
        <f>IFERROR(VLOOKUP(C518,'Справочник соответствий'!A$2:D$2996,3,FALSE),IF(VALUE(C518)=0,"ЭТАЖ НЕ ОПРЕДЕЛЕН. ПРИНЯТ ПО ДОПУЩЕНИЮ 1",VLOOKUP(C518,'Справочник соответствий'!A$2:D$2996,3,FALSE)))</f>
        <v>ЭТАЖ ЗАДАН ЧИСЛОМ</v>
      </c>
      <c r="M518" s="13" t="b">
        <f t="shared" si="57"/>
        <v>0</v>
      </c>
      <c r="N518" s="13">
        <f t="shared" si="58"/>
        <v>1</v>
      </c>
      <c r="O518" s="13" t="str">
        <f t="shared" si="59"/>
        <v>ЭТАЖ ЗАДАН ЧИСЛОМ</v>
      </c>
      <c r="P518" s="13" t="str">
        <f t="shared" si="60"/>
        <v>ЭТАЖ ЗАДАН ЧИСЛОМ</v>
      </c>
      <c r="Q518" s="13" t="str">
        <f t="shared" si="61"/>
        <v>ГОТОВ_ИЗМЕНЕН</v>
      </c>
      <c r="R518" s="13">
        <f>IFERROR(VLOOKUP(P518,Лист1!A$1:B$20,2,FALSE),0)</f>
        <v>784</v>
      </c>
      <c r="S518" s="13">
        <f t="shared" si="62"/>
        <v>0</v>
      </c>
    </row>
    <row r="519" spans="1:19" x14ac:dyDescent="0.25">
      <c r="A519" t="s">
        <v>1720</v>
      </c>
      <c r="B519" s="4" t="s">
        <v>1190</v>
      </c>
      <c r="C519" s="3" t="s">
        <v>5</v>
      </c>
      <c r="G519" s="3" t="s">
        <v>1187</v>
      </c>
      <c r="I519" s="3" t="str">
        <f>IFERROR(VLOOKUP(C519,'Справочник соответствий'!A$2:D$2996,2,FALSE),IF(VALUE(C519)=0,1,VLOOKUP(C519,'Справочник соответствий'!A$2:D$2996,2,FALSE)))</f>
        <v>1</v>
      </c>
      <c r="J519" s="3">
        <f>IFERROR(VLOOKUP(D519,'Справочник соответствий'!A$2:D$2996,2,FALSE),IF(VALUE(D519)=0,0,VLOOKUP(D519,'Справочник соответствий'!A$2:D$2996,2,FALSE)))</f>
        <v>0</v>
      </c>
      <c r="K519" s="3" t="str">
        <f t="shared" si="56"/>
        <v>1</v>
      </c>
      <c r="L519" s="13" t="str">
        <f>IFERROR(VLOOKUP(C519,'Справочник соответствий'!A$2:D$2996,3,FALSE),IF(VALUE(C519)=0,"ЭТАЖ НЕ ОПРЕДЕЛЕН. ПРИНЯТ ПО ДОПУЩЕНИЮ 1",VLOOKUP(C519,'Справочник соответствий'!A$2:D$2996,3,FALSE)))</f>
        <v>ЭТАЖ ЗАДАН ЧИСЛОМ</v>
      </c>
      <c r="M519" s="13" t="b">
        <f t="shared" si="57"/>
        <v>0</v>
      </c>
      <c r="N519" s="13">
        <f t="shared" si="58"/>
        <v>1</v>
      </c>
      <c r="O519" s="13" t="str">
        <f t="shared" si="59"/>
        <v>ЭТАЖ ЗАДАН ЧИСЛОМ</v>
      </c>
      <c r="P519" s="13" t="str">
        <f t="shared" si="60"/>
        <v>ЭТАЖ ЗАДАН ЧИСЛОМ</v>
      </c>
      <c r="Q519" s="13" t="str">
        <f t="shared" si="61"/>
        <v>ГОТОВ_ИЗМЕНЕН</v>
      </c>
      <c r="R519" s="13">
        <f>IFERROR(VLOOKUP(P519,Лист1!A$1:B$20,2,FALSE),0)</f>
        <v>784</v>
      </c>
      <c r="S519" s="13">
        <f t="shared" si="62"/>
        <v>0</v>
      </c>
    </row>
    <row r="520" spans="1:19" x14ac:dyDescent="0.25">
      <c r="A520" t="s">
        <v>1721</v>
      </c>
      <c r="B520" s="4" t="s">
        <v>1190</v>
      </c>
      <c r="C520" s="3" t="s">
        <v>5</v>
      </c>
      <c r="G520" s="3" t="s">
        <v>1187</v>
      </c>
      <c r="I520" s="3" t="str">
        <f>IFERROR(VLOOKUP(C520,'Справочник соответствий'!A$2:D$2996,2,FALSE),IF(VALUE(C520)=0,1,VLOOKUP(C520,'Справочник соответствий'!A$2:D$2996,2,FALSE)))</f>
        <v>1</v>
      </c>
      <c r="J520" s="3">
        <f>IFERROR(VLOOKUP(D520,'Справочник соответствий'!A$2:D$2996,2,FALSE),IF(VALUE(D520)=0,0,VLOOKUP(D520,'Справочник соответствий'!A$2:D$2996,2,FALSE)))</f>
        <v>0</v>
      </c>
      <c r="K520" s="3" t="str">
        <f t="shared" si="56"/>
        <v>1</v>
      </c>
      <c r="L520" s="13" t="str">
        <f>IFERROR(VLOOKUP(C520,'Справочник соответствий'!A$2:D$2996,3,FALSE),IF(VALUE(C520)=0,"ЭТАЖ НЕ ОПРЕДЕЛЕН. ПРИНЯТ ПО ДОПУЩЕНИЮ 1",VLOOKUP(C520,'Справочник соответствий'!A$2:D$2996,3,FALSE)))</f>
        <v>ЭТАЖ ЗАДАН ЧИСЛОМ</v>
      </c>
      <c r="M520" s="13" t="b">
        <f t="shared" si="57"/>
        <v>0</v>
      </c>
      <c r="N520" s="13">
        <f t="shared" si="58"/>
        <v>1</v>
      </c>
      <c r="O520" s="13" t="str">
        <f t="shared" si="59"/>
        <v>ЭТАЖ ЗАДАН ЧИСЛОМ</v>
      </c>
      <c r="P520" s="13" t="str">
        <f t="shared" si="60"/>
        <v>ЭТАЖ ЗАДАН ЧИСЛОМ</v>
      </c>
      <c r="Q520" s="13" t="str">
        <f t="shared" si="61"/>
        <v>ГОТОВ_ИЗМЕНЕН</v>
      </c>
      <c r="R520" s="13">
        <f>IFERROR(VLOOKUP(P520,Лист1!A$1:B$20,2,FALSE),0)</f>
        <v>784</v>
      </c>
      <c r="S520" s="13">
        <f t="shared" si="62"/>
        <v>0</v>
      </c>
    </row>
    <row r="521" spans="1:19" x14ac:dyDescent="0.25">
      <c r="A521" t="s">
        <v>1722</v>
      </c>
      <c r="B521" s="4" t="s">
        <v>1190</v>
      </c>
      <c r="C521" s="3" t="s">
        <v>5</v>
      </c>
      <c r="G521" s="3" t="s">
        <v>1187</v>
      </c>
      <c r="I521" s="3" t="str">
        <f>IFERROR(VLOOKUP(C521,'Справочник соответствий'!A$2:D$2996,2,FALSE),IF(VALUE(C521)=0,1,VLOOKUP(C521,'Справочник соответствий'!A$2:D$2996,2,FALSE)))</f>
        <v>1</v>
      </c>
      <c r="J521" s="3">
        <f>IFERROR(VLOOKUP(D521,'Справочник соответствий'!A$2:D$2996,2,FALSE),IF(VALUE(D521)=0,0,VLOOKUP(D521,'Справочник соответствий'!A$2:D$2996,2,FALSE)))</f>
        <v>0</v>
      </c>
      <c r="K521" s="3" t="str">
        <f t="shared" si="56"/>
        <v>1</v>
      </c>
      <c r="L521" s="13" t="str">
        <f>IFERROR(VLOOKUP(C521,'Справочник соответствий'!A$2:D$2996,3,FALSE),IF(VALUE(C521)=0,"ЭТАЖ НЕ ОПРЕДЕЛЕН. ПРИНЯТ ПО ДОПУЩЕНИЮ 1",VLOOKUP(C521,'Справочник соответствий'!A$2:D$2996,3,FALSE)))</f>
        <v>ЭТАЖ ЗАДАН ЧИСЛОМ</v>
      </c>
      <c r="M521" s="13" t="b">
        <f t="shared" si="57"/>
        <v>0</v>
      </c>
      <c r="N521" s="13">
        <f t="shared" si="58"/>
        <v>1</v>
      </c>
      <c r="O521" s="13" t="str">
        <f t="shared" si="59"/>
        <v>ЭТАЖ ЗАДАН ЧИСЛОМ</v>
      </c>
      <c r="P521" s="13" t="str">
        <f t="shared" si="60"/>
        <v>ЭТАЖ ЗАДАН ЧИСЛОМ</v>
      </c>
      <c r="Q521" s="13" t="str">
        <f t="shared" si="61"/>
        <v>ГОТОВ_ИЗМЕНЕН</v>
      </c>
      <c r="R521" s="13">
        <f>IFERROR(VLOOKUP(P521,Лист1!A$1:B$20,2,FALSE),0)</f>
        <v>784</v>
      </c>
      <c r="S521" s="13">
        <f t="shared" si="62"/>
        <v>0</v>
      </c>
    </row>
    <row r="522" spans="1:19" x14ac:dyDescent="0.25">
      <c r="A522" t="s">
        <v>1723</v>
      </c>
      <c r="B522" s="4" t="s">
        <v>1182</v>
      </c>
      <c r="C522" s="3" t="s">
        <v>8</v>
      </c>
      <c r="D522" s="3" t="s">
        <v>5</v>
      </c>
      <c r="G522" s="3" t="s">
        <v>1187</v>
      </c>
      <c r="I522" s="3" t="str">
        <f>IFERROR(VLOOKUP(C522,'Справочник соответствий'!A$2:D$2996,2,FALSE),IF(VALUE(C522)=0,1,VLOOKUP(C522,'Справочник соответствий'!A$2:D$2996,2,FALSE)))</f>
        <v>3</v>
      </c>
      <c r="J522" s="3" t="str">
        <f>IFERROR(VLOOKUP(D522,'Справочник соответствий'!A$2:D$2996,2,FALSE),IF(VALUE(D522)=0,0,VLOOKUP(D522,'Справочник соответствий'!A$2:D$2996,2,FALSE)))</f>
        <v>1</v>
      </c>
      <c r="K522" s="3" t="str">
        <f t="shared" si="56"/>
        <v>3</v>
      </c>
      <c r="L522" s="13" t="str">
        <f>IFERROR(VLOOKUP(C522,'Справочник соответствий'!A$2:D$2996,3,FALSE),IF(VALUE(C522)=0,"ЭТАЖ НЕ ОПРЕДЕЛЕН. ПРИНЯТ ПО ДОПУЩЕНИЮ 1",VLOOKUP(C522,'Справочник соответствий'!A$2:D$2996,3,FALSE)))</f>
        <v>ЭТАЖ ЗАДАН ЧИСЛОМ</v>
      </c>
      <c r="M522" s="13" t="b">
        <f t="shared" si="57"/>
        <v>0</v>
      </c>
      <c r="N522" s="13">
        <f t="shared" si="58"/>
        <v>3</v>
      </c>
      <c r="O522" s="13" t="str">
        <f t="shared" si="59"/>
        <v>ЭТАЖ ЗАДАН ЧИСЛОМ</v>
      </c>
      <c r="P522" s="13" t="str">
        <f t="shared" si="60"/>
        <v>ЭТАЖ ЗАДАН ЧИСЛОМ</v>
      </c>
      <c r="Q522" s="13" t="str">
        <f t="shared" si="61"/>
        <v>ГОТОВ_ИЗМЕНЕН</v>
      </c>
      <c r="R522" s="13">
        <f>IFERROR(VLOOKUP(P522,Лист1!A$1:B$20,2,FALSE),0)</f>
        <v>784</v>
      </c>
      <c r="S522" s="13">
        <f t="shared" si="62"/>
        <v>0</v>
      </c>
    </row>
    <row r="523" spans="1:19" x14ac:dyDescent="0.25">
      <c r="A523" t="s">
        <v>1724</v>
      </c>
      <c r="B523" s="4" t="s">
        <v>1190</v>
      </c>
      <c r="C523" s="3" t="s">
        <v>5</v>
      </c>
      <c r="G523" s="3" t="s">
        <v>1191</v>
      </c>
      <c r="I523" s="3" t="str">
        <f>IFERROR(VLOOKUP(C523,'Справочник соответствий'!A$2:D$2996,2,FALSE),IF(VALUE(C523)=0,1,VLOOKUP(C523,'Справочник соответствий'!A$2:D$2996,2,FALSE)))</f>
        <v>1</v>
      </c>
      <c r="J523" s="3">
        <f>IFERROR(VLOOKUP(D523,'Справочник соответствий'!A$2:D$2996,2,FALSE),IF(VALUE(D523)=0,0,VLOOKUP(D523,'Справочник соответствий'!A$2:D$2996,2,FALSE)))</f>
        <v>0</v>
      </c>
      <c r="K523" s="3" t="str">
        <f t="shared" si="56"/>
        <v>1</v>
      </c>
      <c r="L523" s="13" t="str">
        <f>IFERROR(VLOOKUP(C523,'Справочник соответствий'!A$2:D$2996,3,FALSE),IF(VALUE(C523)=0,"ЭТАЖ НЕ ОПРЕДЕЛЕН. ПРИНЯТ ПО ДОПУЩЕНИЮ 1",VLOOKUP(C523,'Справочник соответствий'!A$2:D$2996,3,FALSE)))</f>
        <v>ЭТАЖ ЗАДАН ЧИСЛОМ</v>
      </c>
      <c r="M523" s="13" t="b">
        <f t="shared" si="57"/>
        <v>0</v>
      </c>
      <c r="N523" s="13">
        <f t="shared" si="58"/>
        <v>1</v>
      </c>
      <c r="O523" s="13" t="str">
        <f t="shared" si="59"/>
        <v>ЭТАЖ ЗАДАН ЧИСЛОМ</v>
      </c>
      <c r="P523" s="13" t="str">
        <f t="shared" si="60"/>
        <v>ЭТАЖ ЗАДАН ЧИСЛОМ</v>
      </c>
      <c r="Q523" s="13" t="str">
        <f t="shared" si="61"/>
        <v>ГОТОВ_ИЗМЕНЕН</v>
      </c>
      <c r="R523" s="13">
        <f>IFERROR(VLOOKUP(P523,Лист1!A$1:B$20,2,FALSE),0)</f>
        <v>784</v>
      </c>
      <c r="S523" s="13">
        <f t="shared" si="62"/>
        <v>0</v>
      </c>
    </row>
    <row r="524" spans="1:19" x14ac:dyDescent="0.25">
      <c r="A524" t="s">
        <v>1725</v>
      </c>
      <c r="B524" s="4" t="s">
        <v>1190</v>
      </c>
      <c r="C524" s="3" t="s">
        <v>7</v>
      </c>
      <c r="G524" s="3" t="s">
        <v>1191</v>
      </c>
      <c r="I524" s="3" t="str">
        <f>IFERROR(VLOOKUP(C524,'Справочник соответствий'!A$2:D$2996,2,FALSE),IF(VALUE(C524)=0,1,VLOOKUP(C524,'Справочник соответствий'!A$2:D$2996,2,FALSE)))</f>
        <v>2</v>
      </c>
      <c r="J524" s="3">
        <f>IFERROR(VLOOKUP(D524,'Справочник соответствий'!A$2:D$2996,2,FALSE),IF(VALUE(D524)=0,0,VLOOKUP(D524,'Справочник соответствий'!A$2:D$2996,2,FALSE)))</f>
        <v>0</v>
      </c>
      <c r="K524" s="3" t="str">
        <f t="shared" si="56"/>
        <v>2</v>
      </c>
      <c r="L524" s="13" t="str">
        <f>IFERROR(VLOOKUP(C524,'Справочник соответствий'!A$2:D$2996,3,FALSE),IF(VALUE(C524)=0,"ЭТАЖ НЕ ОПРЕДЕЛЕН. ПРИНЯТ ПО ДОПУЩЕНИЮ 1",VLOOKUP(C524,'Справочник соответствий'!A$2:D$2996,3,FALSE)))</f>
        <v>ЭТАЖ ЗАДАН ЧИСЛОМ</v>
      </c>
      <c r="M524" s="13" t="b">
        <f t="shared" si="57"/>
        <v>0</v>
      </c>
      <c r="N524" s="13">
        <f t="shared" si="58"/>
        <v>2</v>
      </c>
      <c r="O524" s="13" t="str">
        <f t="shared" si="59"/>
        <v>ЭТАЖ ЗАДАН ЧИСЛОМ</v>
      </c>
      <c r="P524" s="13" t="str">
        <f t="shared" si="60"/>
        <v>ЭТАЖ ЗАДАН ЧИСЛОМ</v>
      </c>
      <c r="Q524" s="13" t="str">
        <f t="shared" si="61"/>
        <v>ГОТОВ_ИЗМЕНЕН</v>
      </c>
      <c r="R524" s="13">
        <f>IFERROR(VLOOKUP(P524,Лист1!A$1:B$20,2,FALSE),0)</f>
        <v>784</v>
      </c>
      <c r="S524" s="13">
        <f t="shared" si="62"/>
        <v>0</v>
      </c>
    </row>
    <row r="525" spans="1:19" x14ac:dyDescent="0.25">
      <c r="A525" t="s">
        <v>1726</v>
      </c>
      <c r="B525" s="4" t="s">
        <v>1190</v>
      </c>
      <c r="C525" s="3" t="s">
        <v>5</v>
      </c>
      <c r="G525" s="3" t="s">
        <v>1191</v>
      </c>
      <c r="I525" s="3" t="str">
        <f>IFERROR(VLOOKUP(C525,'Справочник соответствий'!A$2:D$2996,2,FALSE),IF(VALUE(C525)=0,1,VLOOKUP(C525,'Справочник соответствий'!A$2:D$2996,2,FALSE)))</f>
        <v>1</v>
      </c>
      <c r="J525" s="3">
        <f>IFERROR(VLOOKUP(D525,'Справочник соответствий'!A$2:D$2996,2,FALSE),IF(VALUE(D525)=0,0,VLOOKUP(D525,'Справочник соответствий'!A$2:D$2996,2,FALSE)))</f>
        <v>0</v>
      </c>
      <c r="K525" s="3" t="str">
        <f t="shared" si="56"/>
        <v>1</v>
      </c>
      <c r="L525" s="13" t="str">
        <f>IFERROR(VLOOKUP(C525,'Справочник соответствий'!A$2:D$2996,3,FALSE),IF(VALUE(C525)=0,"ЭТАЖ НЕ ОПРЕДЕЛЕН. ПРИНЯТ ПО ДОПУЩЕНИЮ 1",VLOOKUP(C525,'Справочник соответствий'!A$2:D$2996,3,FALSE)))</f>
        <v>ЭТАЖ ЗАДАН ЧИСЛОМ</v>
      </c>
      <c r="M525" s="13" t="b">
        <f t="shared" si="57"/>
        <v>0</v>
      </c>
      <c r="N525" s="13">
        <f t="shared" si="58"/>
        <v>1</v>
      </c>
      <c r="O525" s="13" t="str">
        <f t="shared" si="59"/>
        <v>ЭТАЖ ЗАДАН ЧИСЛОМ</v>
      </c>
      <c r="P525" s="13" t="str">
        <f t="shared" si="60"/>
        <v>ЭТАЖ ЗАДАН ЧИСЛОМ</v>
      </c>
      <c r="Q525" s="13" t="str">
        <f t="shared" si="61"/>
        <v>ГОТОВ_ИЗМЕНЕН</v>
      </c>
      <c r="R525" s="13">
        <f>IFERROR(VLOOKUP(P525,Лист1!A$1:B$20,2,FALSE),0)</f>
        <v>784</v>
      </c>
      <c r="S525" s="13">
        <f t="shared" si="62"/>
        <v>0</v>
      </c>
    </row>
    <row r="526" spans="1:19" x14ac:dyDescent="0.25">
      <c r="A526" t="s">
        <v>1727</v>
      </c>
      <c r="B526" s="4" t="s">
        <v>1190</v>
      </c>
      <c r="C526" s="3" t="s">
        <v>7</v>
      </c>
      <c r="G526" s="3" t="s">
        <v>1191</v>
      </c>
      <c r="I526" s="3" t="str">
        <f>IFERROR(VLOOKUP(C526,'Справочник соответствий'!A$2:D$2996,2,FALSE),IF(VALUE(C526)=0,1,VLOOKUP(C526,'Справочник соответствий'!A$2:D$2996,2,FALSE)))</f>
        <v>2</v>
      </c>
      <c r="J526" s="3">
        <f>IFERROR(VLOOKUP(D526,'Справочник соответствий'!A$2:D$2996,2,FALSE),IF(VALUE(D526)=0,0,VLOOKUP(D526,'Справочник соответствий'!A$2:D$2996,2,FALSE)))</f>
        <v>0</v>
      </c>
      <c r="K526" s="3" t="str">
        <f t="shared" si="56"/>
        <v>2</v>
      </c>
      <c r="L526" s="13" t="str">
        <f>IFERROR(VLOOKUP(C526,'Справочник соответствий'!A$2:D$2996,3,FALSE),IF(VALUE(C526)=0,"ЭТАЖ НЕ ОПРЕДЕЛЕН. ПРИНЯТ ПО ДОПУЩЕНИЮ 1",VLOOKUP(C526,'Справочник соответствий'!A$2:D$2996,3,FALSE)))</f>
        <v>ЭТАЖ ЗАДАН ЧИСЛОМ</v>
      </c>
      <c r="M526" s="13" t="b">
        <f t="shared" si="57"/>
        <v>0</v>
      </c>
      <c r="N526" s="13">
        <f t="shared" si="58"/>
        <v>2</v>
      </c>
      <c r="O526" s="13" t="str">
        <f t="shared" si="59"/>
        <v>ЭТАЖ ЗАДАН ЧИСЛОМ</v>
      </c>
      <c r="P526" s="13" t="str">
        <f t="shared" si="60"/>
        <v>ЭТАЖ ЗАДАН ЧИСЛОМ</v>
      </c>
      <c r="Q526" s="13" t="str">
        <f t="shared" si="61"/>
        <v>ГОТОВ_ИЗМЕНЕН</v>
      </c>
      <c r="R526" s="13">
        <f>IFERROR(VLOOKUP(P526,Лист1!A$1:B$20,2,FALSE),0)</f>
        <v>784</v>
      </c>
      <c r="S526" s="13">
        <f t="shared" si="62"/>
        <v>0</v>
      </c>
    </row>
    <row r="527" spans="1:19" x14ac:dyDescent="0.25">
      <c r="A527" t="s">
        <v>1728</v>
      </c>
      <c r="B527" s="4" t="s">
        <v>1182</v>
      </c>
      <c r="G527" s="3" t="s">
        <v>1191</v>
      </c>
      <c r="I527" s="3">
        <f>IFERROR(VLOOKUP(C527,'Справочник соответствий'!A$2:D$2996,2,FALSE),IF(VALUE(C527)=0,1,VLOOKUP(C527,'Справочник соответствий'!A$2:D$2996,2,FALSE)))</f>
        <v>1</v>
      </c>
      <c r="J527" s="3">
        <f>IFERROR(VLOOKUP(D527,'Справочник соответствий'!A$2:D$2996,2,FALSE),IF(VALUE(D527)=0,0,VLOOKUP(D527,'Справочник соответствий'!A$2:D$2996,2,FALSE)))</f>
        <v>0</v>
      </c>
      <c r="K527" s="3">
        <f t="shared" si="56"/>
        <v>1</v>
      </c>
      <c r="L527" s="13" t="str">
        <f>IFERROR(VLOOKUP(C527,'Справочник соответствий'!A$2:D$2996,3,FALSE),IF(VALUE(C527)=0,"ЭТАЖ НЕ ОПРЕДЕЛЕН. ПРИНЯТ ПО ДОПУЩЕНИЮ 1",VLOOKUP(C527,'Справочник соответствий'!A$2:D$2996,3,FALSE)))</f>
        <v>ЭТАЖ НЕ ОПРЕДЕЛЕН. ПРИНЯТ ПО ДОПУЩЕНИЮ 1</v>
      </c>
      <c r="M527" s="13" t="b">
        <f t="shared" si="57"/>
        <v>0</v>
      </c>
      <c r="N527" s="13">
        <f t="shared" si="58"/>
        <v>1</v>
      </c>
      <c r="O527" s="13" t="str">
        <f t="shared" si="59"/>
        <v>ЭТАЖ НЕ ОПРЕДЕЛЕН. ПРИНЯТ ПО ДОПУЩЕНИЮ 1</v>
      </c>
      <c r="P527" s="13" t="str">
        <f t="shared" si="60"/>
        <v>ЭТАЖ НЕ ОПРЕДЕЛЕН. ПРИНЯТ ПО ДОПУЩЕНИЮ 1</v>
      </c>
      <c r="Q527" s="13" t="str">
        <f t="shared" si="61"/>
        <v>ГОТОВ_ИЗМЕНЕН</v>
      </c>
      <c r="R527" s="13">
        <f>IFERROR(VLOOKUP(P527,Лист1!A$1:B$20,2,FALSE),0)</f>
        <v>788</v>
      </c>
      <c r="S527" s="13">
        <f t="shared" si="62"/>
        <v>0</v>
      </c>
    </row>
    <row r="528" spans="1:19" x14ac:dyDescent="0.25">
      <c r="A528" t="s">
        <v>1729</v>
      </c>
      <c r="B528" s="4" t="s">
        <v>1190</v>
      </c>
      <c r="C528" s="3" t="s">
        <v>5</v>
      </c>
      <c r="G528" s="3" t="s">
        <v>1183</v>
      </c>
      <c r="I528" s="3" t="str">
        <f>IFERROR(VLOOKUP(C528,'Справочник соответствий'!A$2:D$2996,2,FALSE),IF(VALUE(C528)=0,1,VLOOKUP(C528,'Справочник соответствий'!A$2:D$2996,2,FALSE)))</f>
        <v>1</v>
      </c>
      <c r="J528" s="3">
        <f>IFERROR(VLOOKUP(D528,'Справочник соответствий'!A$2:D$2996,2,FALSE),IF(VALUE(D528)=0,0,VLOOKUP(D528,'Справочник соответствий'!A$2:D$2996,2,FALSE)))</f>
        <v>0</v>
      </c>
      <c r="K528" s="3" t="str">
        <f t="shared" si="56"/>
        <v>1</v>
      </c>
      <c r="L528" s="13" t="str">
        <f>IFERROR(VLOOKUP(C528,'Справочник соответствий'!A$2:D$2996,3,FALSE),IF(VALUE(C528)=0,"ЭТАЖ НЕ ОПРЕДЕЛЕН. ПРИНЯТ ПО ДОПУЩЕНИЮ 1",VLOOKUP(C528,'Справочник соответствий'!A$2:D$2996,3,FALSE)))</f>
        <v>ЭТАЖ ЗАДАН ЧИСЛОМ</v>
      </c>
      <c r="M528" s="13" t="b">
        <f t="shared" si="57"/>
        <v>0</v>
      </c>
      <c r="N528" s="13">
        <f t="shared" si="58"/>
        <v>1</v>
      </c>
      <c r="O528" s="13" t="str">
        <f t="shared" si="59"/>
        <v>ЭТАЖ ЗАДАН ЧИСЛОМ</v>
      </c>
      <c r="P528" s="13" t="str">
        <f t="shared" si="60"/>
        <v>ЭТАЖ ЗАДАН ЧИСЛОМ</v>
      </c>
      <c r="Q528" s="13" t="str">
        <f t="shared" si="61"/>
        <v>ГОТОВ_ИЗМЕНЕН</v>
      </c>
      <c r="R528" s="13">
        <f>IFERROR(VLOOKUP(P528,Лист1!A$1:B$20,2,FALSE),0)</f>
        <v>784</v>
      </c>
      <c r="S528" s="13">
        <f t="shared" si="62"/>
        <v>0</v>
      </c>
    </row>
    <row r="529" spans="1:19" x14ac:dyDescent="0.25">
      <c r="A529" t="s">
        <v>1730</v>
      </c>
      <c r="B529" s="4" t="s">
        <v>1182</v>
      </c>
      <c r="C529" s="3" t="s">
        <v>5</v>
      </c>
      <c r="G529" s="3" t="s">
        <v>1183</v>
      </c>
      <c r="I529" s="3" t="str">
        <f>IFERROR(VLOOKUP(C529,'Справочник соответствий'!A$2:D$2996,2,FALSE),IF(VALUE(C529)=0,1,VLOOKUP(C529,'Справочник соответствий'!A$2:D$2996,2,FALSE)))</f>
        <v>1</v>
      </c>
      <c r="J529" s="3">
        <f>IFERROR(VLOOKUP(D529,'Справочник соответствий'!A$2:D$2996,2,FALSE),IF(VALUE(D529)=0,0,VLOOKUP(D529,'Справочник соответствий'!A$2:D$2996,2,FALSE)))</f>
        <v>0</v>
      </c>
      <c r="K529" s="3" t="str">
        <f t="shared" si="56"/>
        <v>1</v>
      </c>
      <c r="L529" s="13" t="str">
        <f>IFERROR(VLOOKUP(C529,'Справочник соответствий'!A$2:D$2996,3,FALSE),IF(VALUE(C529)=0,"ЭТАЖ НЕ ОПРЕДЕЛЕН. ПРИНЯТ ПО ДОПУЩЕНИЮ 1",VLOOKUP(C529,'Справочник соответствий'!A$2:D$2996,3,FALSE)))</f>
        <v>ЭТАЖ ЗАДАН ЧИСЛОМ</v>
      </c>
      <c r="M529" s="13" t="b">
        <f t="shared" si="57"/>
        <v>0</v>
      </c>
      <c r="N529" s="13">
        <f t="shared" si="58"/>
        <v>1</v>
      </c>
      <c r="O529" s="13" t="str">
        <f t="shared" si="59"/>
        <v>ЭТАЖ ЗАДАН ЧИСЛОМ</v>
      </c>
      <c r="P529" s="13" t="str">
        <f t="shared" si="60"/>
        <v>ЭТАЖ ЗАДАН ЧИСЛОМ</v>
      </c>
      <c r="Q529" s="13" t="str">
        <f t="shared" si="61"/>
        <v>ГОТОВ_ИЗМЕНЕН</v>
      </c>
      <c r="R529" s="13">
        <f>IFERROR(VLOOKUP(P529,Лист1!A$1:B$20,2,FALSE),0)</f>
        <v>784</v>
      </c>
      <c r="S529" s="13">
        <f t="shared" si="62"/>
        <v>0</v>
      </c>
    </row>
    <row r="530" spans="1:19" x14ac:dyDescent="0.25">
      <c r="A530" t="s">
        <v>1731</v>
      </c>
      <c r="B530" s="4" t="s">
        <v>1182</v>
      </c>
      <c r="C530" s="3" t="s">
        <v>5</v>
      </c>
      <c r="G530" s="3" t="s">
        <v>1183</v>
      </c>
      <c r="I530" s="3" t="str">
        <f>IFERROR(VLOOKUP(C530,'Справочник соответствий'!A$2:D$2996,2,FALSE),IF(VALUE(C530)=0,1,VLOOKUP(C530,'Справочник соответствий'!A$2:D$2996,2,FALSE)))</f>
        <v>1</v>
      </c>
      <c r="J530" s="3">
        <f>IFERROR(VLOOKUP(D530,'Справочник соответствий'!A$2:D$2996,2,FALSE),IF(VALUE(D530)=0,0,VLOOKUP(D530,'Справочник соответствий'!A$2:D$2996,2,FALSE)))</f>
        <v>0</v>
      </c>
      <c r="K530" s="3" t="str">
        <f t="shared" si="56"/>
        <v>1</v>
      </c>
      <c r="L530" s="13" t="str">
        <f>IFERROR(VLOOKUP(C530,'Справочник соответствий'!A$2:D$2996,3,FALSE),IF(VALUE(C530)=0,"ЭТАЖ НЕ ОПРЕДЕЛЕН. ПРИНЯТ ПО ДОПУЩЕНИЮ 1",VLOOKUP(C530,'Справочник соответствий'!A$2:D$2996,3,FALSE)))</f>
        <v>ЭТАЖ ЗАДАН ЧИСЛОМ</v>
      </c>
      <c r="M530" s="13" t="b">
        <f t="shared" si="57"/>
        <v>0</v>
      </c>
      <c r="N530" s="13">
        <f t="shared" si="58"/>
        <v>1</v>
      </c>
      <c r="O530" s="13" t="str">
        <f t="shared" si="59"/>
        <v>ЭТАЖ ЗАДАН ЧИСЛОМ</v>
      </c>
      <c r="P530" s="13" t="str">
        <f t="shared" si="60"/>
        <v>ЭТАЖ ЗАДАН ЧИСЛОМ</v>
      </c>
      <c r="Q530" s="13" t="str">
        <f t="shared" si="61"/>
        <v>ГОТОВ_ИЗМЕНЕН</v>
      </c>
      <c r="R530" s="13">
        <f>IFERROR(VLOOKUP(P530,Лист1!A$1:B$20,2,FALSE),0)</f>
        <v>784</v>
      </c>
      <c r="S530" s="13">
        <f t="shared" si="62"/>
        <v>0</v>
      </c>
    </row>
    <row r="531" spans="1:19" x14ac:dyDescent="0.25">
      <c r="A531" t="s">
        <v>1732</v>
      </c>
      <c r="B531" s="4" t="s">
        <v>1190</v>
      </c>
      <c r="C531" s="3" t="s">
        <v>5</v>
      </c>
      <c r="G531" s="3" t="s">
        <v>1183</v>
      </c>
      <c r="I531" s="3" t="str">
        <f>IFERROR(VLOOKUP(C531,'Справочник соответствий'!A$2:D$2996,2,FALSE),IF(VALUE(C531)=0,1,VLOOKUP(C531,'Справочник соответствий'!A$2:D$2996,2,FALSE)))</f>
        <v>1</v>
      </c>
      <c r="J531" s="3">
        <f>IFERROR(VLOOKUP(D531,'Справочник соответствий'!A$2:D$2996,2,FALSE),IF(VALUE(D531)=0,0,VLOOKUP(D531,'Справочник соответствий'!A$2:D$2996,2,FALSE)))</f>
        <v>0</v>
      </c>
      <c r="K531" s="3" t="str">
        <f t="shared" si="56"/>
        <v>1</v>
      </c>
      <c r="L531" s="13" t="str">
        <f>IFERROR(VLOOKUP(C531,'Справочник соответствий'!A$2:D$2996,3,FALSE),IF(VALUE(C531)=0,"ЭТАЖ НЕ ОПРЕДЕЛЕН. ПРИНЯТ ПО ДОПУЩЕНИЮ 1",VLOOKUP(C531,'Справочник соответствий'!A$2:D$2996,3,FALSE)))</f>
        <v>ЭТАЖ ЗАДАН ЧИСЛОМ</v>
      </c>
      <c r="M531" s="13" t="b">
        <f t="shared" si="57"/>
        <v>0</v>
      </c>
      <c r="N531" s="13">
        <f t="shared" si="58"/>
        <v>1</v>
      </c>
      <c r="O531" s="13" t="str">
        <f t="shared" si="59"/>
        <v>ЭТАЖ ЗАДАН ЧИСЛОМ</v>
      </c>
      <c r="P531" s="13" t="str">
        <f t="shared" si="60"/>
        <v>ЭТАЖ ЗАДАН ЧИСЛОМ</v>
      </c>
      <c r="Q531" s="13" t="str">
        <f t="shared" si="61"/>
        <v>ГОТОВ_ИЗМЕНЕН</v>
      </c>
      <c r="R531" s="13">
        <f>IFERROR(VLOOKUP(P531,Лист1!A$1:B$20,2,FALSE),0)</f>
        <v>784</v>
      </c>
      <c r="S531" s="13">
        <f t="shared" si="62"/>
        <v>0</v>
      </c>
    </row>
    <row r="532" spans="1:19" x14ac:dyDescent="0.25">
      <c r="A532" t="s">
        <v>1733</v>
      </c>
      <c r="B532" s="4" t="s">
        <v>1182</v>
      </c>
      <c r="C532" s="3" t="s">
        <v>5</v>
      </c>
      <c r="G532" s="3" t="s">
        <v>1183</v>
      </c>
      <c r="I532" s="3" t="str">
        <f>IFERROR(VLOOKUP(C532,'Справочник соответствий'!A$2:D$2996,2,FALSE),IF(VALUE(C532)=0,1,VLOOKUP(C532,'Справочник соответствий'!A$2:D$2996,2,FALSE)))</f>
        <v>1</v>
      </c>
      <c r="J532" s="3">
        <f>IFERROR(VLOOKUP(D532,'Справочник соответствий'!A$2:D$2996,2,FALSE),IF(VALUE(D532)=0,0,VLOOKUP(D532,'Справочник соответствий'!A$2:D$2996,2,FALSE)))</f>
        <v>0</v>
      </c>
      <c r="K532" s="3" t="str">
        <f t="shared" si="56"/>
        <v>1</v>
      </c>
      <c r="L532" s="13" t="str">
        <f>IFERROR(VLOOKUP(C532,'Справочник соответствий'!A$2:D$2996,3,FALSE),IF(VALUE(C532)=0,"ЭТАЖ НЕ ОПРЕДЕЛЕН. ПРИНЯТ ПО ДОПУЩЕНИЮ 1",VLOOKUP(C532,'Справочник соответствий'!A$2:D$2996,3,FALSE)))</f>
        <v>ЭТАЖ ЗАДАН ЧИСЛОМ</v>
      </c>
      <c r="M532" s="13" t="b">
        <f t="shared" si="57"/>
        <v>0</v>
      </c>
      <c r="N532" s="13">
        <f t="shared" si="58"/>
        <v>1</v>
      </c>
      <c r="O532" s="13" t="str">
        <f t="shared" si="59"/>
        <v>ЭТАЖ ЗАДАН ЧИСЛОМ</v>
      </c>
      <c r="P532" s="13" t="str">
        <f t="shared" si="60"/>
        <v>ЭТАЖ ЗАДАН ЧИСЛОМ</v>
      </c>
      <c r="Q532" s="13" t="str">
        <f t="shared" si="61"/>
        <v>ГОТОВ_ИЗМЕНЕН</v>
      </c>
      <c r="R532" s="13">
        <f>IFERROR(VLOOKUP(P532,Лист1!A$1:B$20,2,FALSE),0)</f>
        <v>784</v>
      </c>
      <c r="S532" s="13">
        <f t="shared" si="62"/>
        <v>0</v>
      </c>
    </row>
    <row r="533" spans="1:19" x14ac:dyDescent="0.25">
      <c r="A533" t="s">
        <v>1734</v>
      </c>
      <c r="B533" s="4" t="s">
        <v>1182</v>
      </c>
      <c r="C533" s="3" t="s">
        <v>5</v>
      </c>
      <c r="G533" s="3" t="s">
        <v>1183</v>
      </c>
      <c r="I533" s="3" t="str">
        <f>IFERROR(VLOOKUP(C533,'Справочник соответствий'!A$2:D$2996,2,FALSE),IF(VALUE(C533)=0,1,VLOOKUP(C533,'Справочник соответствий'!A$2:D$2996,2,FALSE)))</f>
        <v>1</v>
      </c>
      <c r="J533" s="3">
        <f>IFERROR(VLOOKUP(D533,'Справочник соответствий'!A$2:D$2996,2,FALSE),IF(VALUE(D533)=0,0,VLOOKUP(D533,'Справочник соответствий'!A$2:D$2996,2,FALSE)))</f>
        <v>0</v>
      </c>
      <c r="K533" s="3" t="str">
        <f t="shared" si="56"/>
        <v>1</v>
      </c>
      <c r="L533" s="13" t="str">
        <f>IFERROR(VLOOKUP(C533,'Справочник соответствий'!A$2:D$2996,3,FALSE),IF(VALUE(C533)=0,"ЭТАЖ НЕ ОПРЕДЕЛЕН. ПРИНЯТ ПО ДОПУЩЕНИЮ 1",VLOOKUP(C533,'Справочник соответствий'!A$2:D$2996,3,FALSE)))</f>
        <v>ЭТАЖ ЗАДАН ЧИСЛОМ</v>
      </c>
      <c r="M533" s="13" t="b">
        <f t="shared" si="57"/>
        <v>0</v>
      </c>
      <c r="N533" s="13">
        <f t="shared" si="58"/>
        <v>1</v>
      </c>
      <c r="O533" s="13" t="str">
        <f t="shared" si="59"/>
        <v>ЭТАЖ ЗАДАН ЧИСЛОМ</v>
      </c>
      <c r="P533" s="13" t="str">
        <f t="shared" si="60"/>
        <v>ЭТАЖ ЗАДАН ЧИСЛОМ</v>
      </c>
      <c r="Q533" s="13" t="str">
        <f t="shared" si="61"/>
        <v>ГОТОВ_ИЗМЕНЕН</v>
      </c>
      <c r="R533" s="13">
        <f>IFERROR(VLOOKUP(P533,Лист1!A$1:B$20,2,FALSE),0)</f>
        <v>784</v>
      </c>
      <c r="S533" s="13">
        <f t="shared" si="62"/>
        <v>0</v>
      </c>
    </row>
    <row r="534" spans="1:19" x14ac:dyDescent="0.25">
      <c r="A534" t="s">
        <v>1735</v>
      </c>
      <c r="B534" s="4" t="s">
        <v>1190</v>
      </c>
      <c r="C534" s="3" t="s">
        <v>8</v>
      </c>
      <c r="D534" s="3" t="s">
        <v>5</v>
      </c>
      <c r="G534" s="3" t="s">
        <v>1198</v>
      </c>
      <c r="I534" s="3" t="str">
        <f>IFERROR(VLOOKUP(C534,'Справочник соответствий'!A$2:D$2996,2,FALSE),IF(VALUE(C534)=0,1,VLOOKUP(C534,'Справочник соответствий'!A$2:D$2996,2,FALSE)))</f>
        <v>3</v>
      </c>
      <c r="J534" s="3" t="str">
        <f>IFERROR(VLOOKUP(D534,'Справочник соответствий'!A$2:D$2996,2,FALSE),IF(VALUE(D534)=0,0,VLOOKUP(D534,'Справочник соответствий'!A$2:D$2996,2,FALSE)))</f>
        <v>1</v>
      </c>
      <c r="K534" s="3" t="str">
        <f t="shared" si="56"/>
        <v>3</v>
      </c>
      <c r="L534" s="13" t="str">
        <f>IFERROR(VLOOKUP(C534,'Справочник соответствий'!A$2:D$2996,3,FALSE),IF(VALUE(C534)=0,"ЭТАЖ НЕ ОПРЕДЕЛЕН. ПРИНЯТ ПО ДОПУЩЕНИЮ 1",VLOOKUP(C534,'Справочник соответствий'!A$2:D$2996,3,FALSE)))</f>
        <v>ЭТАЖ ЗАДАН ЧИСЛОМ</v>
      </c>
      <c r="M534" s="13" t="b">
        <f t="shared" si="57"/>
        <v>0</v>
      </c>
      <c r="N534" s="13">
        <f t="shared" si="58"/>
        <v>3</v>
      </c>
      <c r="O534" s="13" t="str">
        <f t="shared" si="59"/>
        <v>ЭТАЖ ЗАДАН ЧИСЛОМ</v>
      </c>
      <c r="P534" s="13" t="str">
        <f t="shared" si="60"/>
        <v>ЭТАЖ ЗАДАН ЧИСЛОМ</v>
      </c>
      <c r="Q534" s="13" t="str">
        <f t="shared" si="61"/>
        <v>ГОТОВ_ИЗМЕНЕН</v>
      </c>
      <c r="R534" s="13">
        <f>IFERROR(VLOOKUP(P534,Лист1!A$1:B$20,2,FALSE),0)</f>
        <v>784</v>
      </c>
      <c r="S534" s="13">
        <f t="shared" si="62"/>
        <v>0</v>
      </c>
    </row>
    <row r="535" spans="1:19" x14ac:dyDescent="0.25">
      <c r="A535" t="s">
        <v>1736</v>
      </c>
      <c r="B535" s="4" t="s">
        <v>1190</v>
      </c>
      <c r="C535" s="3" t="s">
        <v>5</v>
      </c>
      <c r="G535" s="3" t="s">
        <v>1198</v>
      </c>
      <c r="I535" s="3" t="str">
        <f>IFERROR(VLOOKUP(C535,'Справочник соответствий'!A$2:D$2996,2,FALSE),IF(VALUE(C535)=0,1,VLOOKUP(C535,'Справочник соответствий'!A$2:D$2996,2,FALSE)))</f>
        <v>1</v>
      </c>
      <c r="J535" s="3">
        <f>IFERROR(VLOOKUP(D535,'Справочник соответствий'!A$2:D$2996,2,FALSE),IF(VALUE(D535)=0,0,VLOOKUP(D535,'Справочник соответствий'!A$2:D$2996,2,FALSE)))</f>
        <v>0</v>
      </c>
      <c r="K535" s="3" t="str">
        <f t="shared" si="56"/>
        <v>1</v>
      </c>
      <c r="L535" s="13" t="str">
        <f>IFERROR(VLOOKUP(C535,'Справочник соответствий'!A$2:D$2996,3,FALSE),IF(VALUE(C535)=0,"ЭТАЖ НЕ ОПРЕДЕЛЕН. ПРИНЯТ ПО ДОПУЩЕНИЮ 1",VLOOKUP(C535,'Справочник соответствий'!A$2:D$2996,3,FALSE)))</f>
        <v>ЭТАЖ ЗАДАН ЧИСЛОМ</v>
      </c>
      <c r="M535" s="13" t="b">
        <f t="shared" si="57"/>
        <v>0</v>
      </c>
      <c r="N535" s="13">
        <f t="shared" si="58"/>
        <v>1</v>
      </c>
      <c r="O535" s="13" t="str">
        <f t="shared" si="59"/>
        <v>ЭТАЖ ЗАДАН ЧИСЛОМ</v>
      </c>
      <c r="P535" s="13" t="str">
        <f t="shared" si="60"/>
        <v>ЭТАЖ ЗАДАН ЧИСЛОМ</v>
      </c>
      <c r="Q535" s="13" t="str">
        <f t="shared" si="61"/>
        <v>ГОТОВ_ИЗМЕНЕН</v>
      </c>
      <c r="R535" s="13">
        <f>IFERROR(VLOOKUP(P535,Лист1!A$1:B$20,2,FALSE),0)</f>
        <v>784</v>
      </c>
      <c r="S535" s="13">
        <f t="shared" si="62"/>
        <v>0</v>
      </c>
    </row>
    <row r="536" spans="1:19" x14ac:dyDescent="0.25">
      <c r="A536" t="s">
        <v>1737</v>
      </c>
      <c r="B536" s="4" t="s">
        <v>1182</v>
      </c>
      <c r="C536" s="3" t="s">
        <v>5</v>
      </c>
      <c r="G536" s="3" t="s">
        <v>1198</v>
      </c>
      <c r="I536" s="3" t="str">
        <f>IFERROR(VLOOKUP(C536,'Справочник соответствий'!A$2:D$2996,2,FALSE),IF(VALUE(C536)=0,1,VLOOKUP(C536,'Справочник соответствий'!A$2:D$2996,2,FALSE)))</f>
        <v>1</v>
      </c>
      <c r="J536" s="3">
        <f>IFERROR(VLOOKUP(D536,'Справочник соответствий'!A$2:D$2996,2,FALSE),IF(VALUE(D536)=0,0,VLOOKUP(D536,'Справочник соответствий'!A$2:D$2996,2,FALSE)))</f>
        <v>0</v>
      </c>
      <c r="K536" s="3" t="str">
        <f t="shared" si="56"/>
        <v>1</v>
      </c>
      <c r="L536" s="13" t="str">
        <f>IFERROR(VLOOKUP(C536,'Справочник соответствий'!A$2:D$2996,3,FALSE),IF(VALUE(C536)=0,"ЭТАЖ НЕ ОПРЕДЕЛЕН. ПРИНЯТ ПО ДОПУЩЕНИЮ 1",VLOOKUP(C536,'Справочник соответствий'!A$2:D$2996,3,FALSE)))</f>
        <v>ЭТАЖ ЗАДАН ЧИСЛОМ</v>
      </c>
      <c r="M536" s="13" t="b">
        <f t="shared" si="57"/>
        <v>0</v>
      </c>
      <c r="N536" s="13">
        <f t="shared" si="58"/>
        <v>1</v>
      </c>
      <c r="O536" s="13" t="str">
        <f t="shared" si="59"/>
        <v>ЭТАЖ ЗАДАН ЧИСЛОМ</v>
      </c>
      <c r="P536" s="13" t="str">
        <f t="shared" si="60"/>
        <v>ЭТАЖ ЗАДАН ЧИСЛОМ</v>
      </c>
      <c r="Q536" s="13" t="str">
        <f t="shared" si="61"/>
        <v>ГОТОВ_ИЗМЕНЕН</v>
      </c>
      <c r="R536" s="13">
        <f>IFERROR(VLOOKUP(P536,Лист1!A$1:B$20,2,FALSE),0)</f>
        <v>784</v>
      </c>
      <c r="S536" s="13">
        <f t="shared" si="62"/>
        <v>0</v>
      </c>
    </row>
    <row r="537" spans="1:19" x14ac:dyDescent="0.25">
      <c r="A537" t="s">
        <v>1738</v>
      </c>
      <c r="B537" s="4" t="s">
        <v>1182</v>
      </c>
      <c r="C537" s="3" t="s">
        <v>5</v>
      </c>
      <c r="G537" s="3" t="s">
        <v>1198</v>
      </c>
      <c r="I537" s="3" t="str">
        <f>IFERROR(VLOOKUP(C537,'Справочник соответствий'!A$2:D$2996,2,FALSE),IF(VALUE(C537)=0,1,VLOOKUP(C537,'Справочник соответствий'!A$2:D$2996,2,FALSE)))</f>
        <v>1</v>
      </c>
      <c r="J537" s="3">
        <f>IFERROR(VLOOKUP(D537,'Справочник соответствий'!A$2:D$2996,2,FALSE),IF(VALUE(D537)=0,0,VLOOKUP(D537,'Справочник соответствий'!A$2:D$2996,2,FALSE)))</f>
        <v>0</v>
      </c>
      <c r="K537" s="3" t="str">
        <f t="shared" si="56"/>
        <v>1</v>
      </c>
      <c r="L537" s="13" t="str">
        <f>IFERROR(VLOOKUP(C537,'Справочник соответствий'!A$2:D$2996,3,FALSE),IF(VALUE(C537)=0,"ЭТАЖ НЕ ОПРЕДЕЛЕН. ПРИНЯТ ПО ДОПУЩЕНИЮ 1",VLOOKUP(C537,'Справочник соответствий'!A$2:D$2996,3,FALSE)))</f>
        <v>ЭТАЖ ЗАДАН ЧИСЛОМ</v>
      </c>
      <c r="M537" s="13" t="b">
        <f t="shared" si="57"/>
        <v>0</v>
      </c>
      <c r="N537" s="13">
        <f t="shared" si="58"/>
        <v>1</v>
      </c>
      <c r="O537" s="13" t="str">
        <f t="shared" si="59"/>
        <v>ЭТАЖ ЗАДАН ЧИСЛОМ</v>
      </c>
      <c r="P537" s="13" t="str">
        <f t="shared" si="60"/>
        <v>ЭТАЖ ЗАДАН ЧИСЛОМ</v>
      </c>
      <c r="Q537" s="13" t="str">
        <f t="shared" si="61"/>
        <v>ГОТОВ_ИЗМЕНЕН</v>
      </c>
      <c r="R537" s="13">
        <f>IFERROR(VLOOKUP(P537,Лист1!A$1:B$20,2,FALSE),0)</f>
        <v>784</v>
      </c>
      <c r="S537" s="13">
        <f t="shared" si="62"/>
        <v>0</v>
      </c>
    </row>
    <row r="538" spans="1:19" x14ac:dyDescent="0.25">
      <c r="A538" t="s">
        <v>1739</v>
      </c>
      <c r="B538" s="4" t="s">
        <v>1190</v>
      </c>
      <c r="C538" s="3" t="s">
        <v>5</v>
      </c>
      <c r="G538" s="3" t="s">
        <v>1198</v>
      </c>
      <c r="I538" s="3" t="str">
        <f>IFERROR(VLOOKUP(C538,'Справочник соответствий'!A$2:D$2996,2,FALSE),IF(VALUE(C538)=0,1,VLOOKUP(C538,'Справочник соответствий'!A$2:D$2996,2,FALSE)))</f>
        <v>1</v>
      </c>
      <c r="J538" s="3">
        <f>IFERROR(VLOOKUP(D538,'Справочник соответствий'!A$2:D$2996,2,FALSE),IF(VALUE(D538)=0,0,VLOOKUP(D538,'Справочник соответствий'!A$2:D$2996,2,FALSE)))</f>
        <v>0</v>
      </c>
      <c r="K538" s="3" t="str">
        <f t="shared" si="56"/>
        <v>1</v>
      </c>
      <c r="L538" s="13" t="str">
        <f>IFERROR(VLOOKUP(C538,'Справочник соответствий'!A$2:D$2996,3,FALSE),IF(VALUE(C538)=0,"ЭТАЖ НЕ ОПРЕДЕЛЕН. ПРИНЯТ ПО ДОПУЩЕНИЮ 1",VLOOKUP(C538,'Справочник соответствий'!A$2:D$2996,3,FALSE)))</f>
        <v>ЭТАЖ ЗАДАН ЧИСЛОМ</v>
      </c>
      <c r="M538" s="13" t="b">
        <f t="shared" si="57"/>
        <v>0</v>
      </c>
      <c r="N538" s="13">
        <f t="shared" si="58"/>
        <v>1</v>
      </c>
      <c r="O538" s="13" t="str">
        <f t="shared" si="59"/>
        <v>ЭТАЖ ЗАДАН ЧИСЛОМ</v>
      </c>
      <c r="P538" s="13" t="str">
        <f t="shared" si="60"/>
        <v>ЭТАЖ ЗАДАН ЧИСЛОМ</v>
      </c>
      <c r="Q538" s="13" t="str">
        <f t="shared" si="61"/>
        <v>ГОТОВ_ИЗМЕНЕН</v>
      </c>
      <c r="R538" s="13">
        <f>IFERROR(VLOOKUP(P538,Лист1!A$1:B$20,2,FALSE),0)</f>
        <v>784</v>
      </c>
      <c r="S538" s="13">
        <f t="shared" si="62"/>
        <v>0</v>
      </c>
    </row>
    <row r="539" spans="1:19" x14ac:dyDescent="0.25">
      <c r="A539" t="s">
        <v>1740</v>
      </c>
      <c r="B539" s="4" t="s">
        <v>1182</v>
      </c>
      <c r="C539" s="3" t="s">
        <v>5</v>
      </c>
      <c r="G539" s="3" t="s">
        <v>1224</v>
      </c>
      <c r="I539" s="3" t="str">
        <f>IFERROR(VLOOKUP(C539,'Справочник соответствий'!A$2:D$2996,2,FALSE),IF(VALUE(C539)=0,1,VLOOKUP(C539,'Справочник соответствий'!A$2:D$2996,2,FALSE)))</f>
        <v>1</v>
      </c>
      <c r="J539" s="3">
        <f>IFERROR(VLOOKUP(D539,'Справочник соответствий'!A$2:D$2996,2,FALSE),IF(VALUE(D539)=0,0,VLOOKUP(D539,'Справочник соответствий'!A$2:D$2996,2,FALSE)))</f>
        <v>0</v>
      </c>
      <c r="K539" s="3" t="str">
        <f t="shared" si="56"/>
        <v>1</v>
      </c>
      <c r="L539" s="13" t="str">
        <f>IFERROR(VLOOKUP(C539,'Справочник соответствий'!A$2:D$2996,3,FALSE),IF(VALUE(C539)=0,"ЭТАЖ НЕ ОПРЕДЕЛЕН. ПРИНЯТ ПО ДОПУЩЕНИЮ 1",VLOOKUP(C539,'Справочник соответствий'!A$2:D$2996,3,FALSE)))</f>
        <v>ЭТАЖ ЗАДАН ЧИСЛОМ</v>
      </c>
      <c r="M539" s="13" t="b">
        <f t="shared" si="57"/>
        <v>0</v>
      </c>
      <c r="N539" s="13">
        <f t="shared" si="58"/>
        <v>1</v>
      </c>
      <c r="O539" s="13" t="str">
        <f t="shared" si="59"/>
        <v>ЭТАЖ ЗАДАН ЧИСЛОМ</v>
      </c>
      <c r="P539" s="13" t="str">
        <f t="shared" si="60"/>
        <v>ЭТАЖ ЗАДАН ЧИСЛОМ</v>
      </c>
      <c r="Q539" s="13" t="str">
        <f t="shared" si="61"/>
        <v>ГОТОВ_ИЗМЕНЕН</v>
      </c>
      <c r="R539" s="13">
        <f>IFERROR(VLOOKUP(P539,Лист1!A$1:B$20,2,FALSE),0)</f>
        <v>784</v>
      </c>
      <c r="S539" s="13">
        <f t="shared" si="62"/>
        <v>0</v>
      </c>
    </row>
    <row r="540" spans="1:19" x14ac:dyDescent="0.25">
      <c r="A540" t="s">
        <v>1741</v>
      </c>
      <c r="B540" s="4" t="s">
        <v>1190</v>
      </c>
      <c r="C540" s="3" t="s">
        <v>7</v>
      </c>
      <c r="G540" s="3" t="s">
        <v>1224</v>
      </c>
      <c r="I540" s="3" t="str">
        <f>IFERROR(VLOOKUP(C540,'Справочник соответствий'!A$2:D$2996,2,FALSE),IF(VALUE(C540)=0,1,VLOOKUP(C540,'Справочник соответствий'!A$2:D$2996,2,FALSE)))</f>
        <v>2</v>
      </c>
      <c r="J540" s="3">
        <f>IFERROR(VLOOKUP(D540,'Справочник соответствий'!A$2:D$2996,2,FALSE),IF(VALUE(D540)=0,0,VLOOKUP(D540,'Справочник соответствий'!A$2:D$2996,2,FALSE)))</f>
        <v>0</v>
      </c>
      <c r="K540" s="3" t="str">
        <f t="shared" si="56"/>
        <v>2</v>
      </c>
      <c r="L540" s="13" t="str">
        <f>IFERROR(VLOOKUP(C540,'Справочник соответствий'!A$2:D$2996,3,FALSE),IF(VALUE(C540)=0,"ЭТАЖ НЕ ОПРЕДЕЛЕН. ПРИНЯТ ПО ДОПУЩЕНИЮ 1",VLOOKUP(C540,'Справочник соответствий'!A$2:D$2996,3,FALSE)))</f>
        <v>ЭТАЖ ЗАДАН ЧИСЛОМ</v>
      </c>
      <c r="M540" s="13" t="b">
        <f t="shared" si="57"/>
        <v>0</v>
      </c>
      <c r="N540" s="13">
        <f t="shared" si="58"/>
        <v>2</v>
      </c>
      <c r="O540" s="13" t="str">
        <f t="shared" si="59"/>
        <v>ЭТАЖ ЗАДАН ЧИСЛОМ</v>
      </c>
      <c r="P540" s="13" t="str">
        <f t="shared" si="60"/>
        <v>ЭТАЖ ЗАДАН ЧИСЛОМ</v>
      </c>
      <c r="Q540" s="13" t="str">
        <f t="shared" si="61"/>
        <v>ГОТОВ_ИЗМЕНЕН</v>
      </c>
      <c r="R540" s="13">
        <f>IFERROR(VLOOKUP(P540,Лист1!A$1:B$20,2,FALSE),0)</f>
        <v>784</v>
      </c>
      <c r="S540" s="13">
        <f t="shared" si="62"/>
        <v>0</v>
      </c>
    </row>
    <row r="541" spans="1:19" x14ac:dyDescent="0.25">
      <c r="A541" t="s">
        <v>1742</v>
      </c>
      <c r="B541" s="4" t="s">
        <v>1190</v>
      </c>
      <c r="C541" s="3" t="s">
        <v>5</v>
      </c>
      <c r="G541" s="3" t="s">
        <v>1224</v>
      </c>
      <c r="I541" s="3" t="str">
        <f>IFERROR(VLOOKUP(C541,'Справочник соответствий'!A$2:D$2996,2,FALSE),IF(VALUE(C541)=0,1,VLOOKUP(C541,'Справочник соответствий'!A$2:D$2996,2,FALSE)))</f>
        <v>1</v>
      </c>
      <c r="J541" s="3">
        <f>IFERROR(VLOOKUP(D541,'Справочник соответствий'!A$2:D$2996,2,FALSE),IF(VALUE(D541)=0,0,VLOOKUP(D541,'Справочник соответствий'!A$2:D$2996,2,FALSE)))</f>
        <v>0</v>
      </c>
      <c r="K541" s="3" t="str">
        <f t="shared" si="56"/>
        <v>1</v>
      </c>
      <c r="L541" s="13" t="str">
        <f>IFERROR(VLOOKUP(C541,'Справочник соответствий'!A$2:D$2996,3,FALSE),IF(VALUE(C541)=0,"ЭТАЖ НЕ ОПРЕДЕЛЕН. ПРИНЯТ ПО ДОПУЩЕНИЮ 1",VLOOKUP(C541,'Справочник соответствий'!A$2:D$2996,3,FALSE)))</f>
        <v>ЭТАЖ ЗАДАН ЧИСЛОМ</v>
      </c>
      <c r="M541" s="13" t="b">
        <f t="shared" si="57"/>
        <v>0</v>
      </c>
      <c r="N541" s="13">
        <f t="shared" si="58"/>
        <v>1</v>
      </c>
      <c r="O541" s="13" t="str">
        <f t="shared" si="59"/>
        <v>ЭТАЖ ЗАДАН ЧИСЛОМ</v>
      </c>
      <c r="P541" s="13" t="str">
        <f t="shared" si="60"/>
        <v>ЭТАЖ ЗАДАН ЧИСЛОМ</v>
      </c>
      <c r="Q541" s="13" t="str">
        <f t="shared" si="61"/>
        <v>ГОТОВ_ИЗМЕНЕН</v>
      </c>
      <c r="R541" s="13">
        <f>IFERROR(VLOOKUP(P541,Лист1!A$1:B$20,2,FALSE),0)</f>
        <v>784</v>
      </c>
      <c r="S541" s="13">
        <f t="shared" si="62"/>
        <v>0</v>
      </c>
    </row>
    <row r="542" spans="1:19" x14ac:dyDescent="0.25">
      <c r="A542" t="s">
        <v>1743</v>
      </c>
      <c r="B542" s="4" t="s">
        <v>1182</v>
      </c>
      <c r="C542" s="3" t="s">
        <v>5</v>
      </c>
      <c r="G542" s="3" t="s">
        <v>1224</v>
      </c>
      <c r="I542" s="3" t="str">
        <f>IFERROR(VLOOKUP(C542,'Справочник соответствий'!A$2:D$2996,2,FALSE),IF(VALUE(C542)=0,1,VLOOKUP(C542,'Справочник соответствий'!A$2:D$2996,2,FALSE)))</f>
        <v>1</v>
      </c>
      <c r="J542" s="3">
        <f>IFERROR(VLOOKUP(D542,'Справочник соответствий'!A$2:D$2996,2,FALSE),IF(VALUE(D542)=0,0,VLOOKUP(D542,'Справочник соответствий'!A$2:D$2996,2,FALSE)))</f>
        <v>0</v>
      </c>
      <c r="K542" s="3" t="str">
        <f t="shared" si="56"/>
        <v>1</v>
      </c>
      <c r="L542" s="13" t="str">
        <f>IFERROR(VLOOKUP(C542,'Справочник соответствий'!A$2:D$2996,3,FALSE),IF(VALUE(C542)=0,"ЭТАЖ НЕ ОПРЕДЕЛЕН. ПРИНЯТ ПО ДОПУЩЕНИЮ 1",VLOOKUP(C542,'Справочник соответствий'!A$2:D$2996,3,FALSE)))</f>
        <v>ЭТАЖ ЗАДАН ЧИСЛОМ</v>
      </c>
      <c r="M542" s="13" t="b">
        <f t="shared" si="57"/>
        <v>0</v>
      </c>
      <c r="N542" s="13">
        <f t="shared" si="58"/>
        <v>1</v>
      </c>
      <c r="O542" s="13" t="str">
        <f t="shared" si="59"/>
        <v>ЭТАЖ ЗАДАН ЧИСЛОМ</v>
      </c>
      <c r="P542" s="13" t="str">
        <f t="shared" si="60"/>
        <v>ЭТАЖ ЗАДАН ЧИСЛОМ</v>
      </c>
      <c r="Q542" s="13" t="str">
        <f t="shared" si="61"/>
        <v>ГОТОВ_ИЗМЕНЕН</v>
      </c>
      <c r="R542" s="13">
        <f>IFERROR(VLOOKUP(P542,Лист1!A$1:B$20,2,FALSE),0)</f>
        <v>784</v>
      </c>
      <c r="S542" s="13">
        <f t="shared" si="62"/>
        <v>0</v>
      </c>
    </row>
    <row r="543" spans="1:19" x14ac:dyDescent="0.25">
      <c r="A543" t="s">
        <v>1744</v>
      </c>
      <c r="B543" s="4" t="s">
        <v>1190</v>
      </c>
      <c r="C543" s="3" t="s">
        <v>5</v>
      </c>
      <c r="G543" s="3" t="s">
        <v>1224</v>
      </c>
      <c r="I543" s="3" t="str">
        <f>IFERROR(VLOOKUP(C543,'Справочник соответствий'!A$2:D$2996,2,FALSE),IF(VALUE(C543)=0,1,VLOOKUP(C543,'Справочник соответствий'!A$2:D$2996,2,FALSE)))</f>
        <v>1</v>
      </c>
      <c r="J543" s="3">
        <f>IFERROR(VLOOKUP(D543,'Справочник соответствий'!A$2:D$2996,2,FALSE),IF(VALUE(D543)=0,0,VLOOKUP(D543,'Справочник соответствий'!A$2:D$2996,2,FALSE)))</f>
        <v>0</v>
      </c>
      <c r="K543" s="3" t="str">
        <f t="shared" si="56"/>
        <v>1</v>
      </c>
      <c r="L543" s="13" t="str">
        <f>IFERROR(VLOOKUP(C543,'Справочник соответствий'!A$2:D$2996,3,FALSE),IF(VALUE(C543)=0,"ЭТАЖ НЕ ОПРЕДЕЛЕН. ПРИНЯТ ПО ДОПУЩЕНИЮ 1",VLOOKUP(C543,'Справочник соответствий'!A$2:D$2996,3,FALSE)))</f>
        <v>ЭТАЖ ЗАДАН ЧИСЛОМ</v>
      </c>
      <c r="M543" s="13" t="b">
        <f t="shared" si="57"/>
        <v>0</v>
      </c>
      <c r="N543" s="13">
        <f t="shared" si="58"/>
        <v>1</v>
      </c>
      <c r="O543" s="13" t="str">
        <f t="shared" si="59"/>
        <v>ЭТАЖ ЗАДАН ЧИСЛОМ</v>
      </c>
      <c r="P543" s="13" t="str">
        <f t="shared" si="60"/>
        <v>ЭТАЖ ЗАДАН ЧИСЛОМ</v>
      </c>
      <c r="Q543" s="13" t="str">
        <f t="shared" si="61"/>
        <v>ГОТОВ_ИЗМЕНЕН</v>
      </c>
      <c r="R543" s="13">
        <f>IFERROR(VLOOKUP(P543,Лист1!A$1:B$20,2,FALSE),0)</f>
        <v>784</v>
      </c>
      <c r="S543" s="13">
        <f t="shared" si="62"/>
        <v>0</v>
      </c>
    </row>
    <row r="544" spans="1:19" x14ac:dyDescent="0.25">
      <c r="A544" t="s">
        <v>1745</v>
      </c>
      <c r="B544" s="4" t="s">
        <v>1190</v>
      </c>
      <c r="G544" s="3" t="s">
        <v>1224</v>
      </c>
      <c r="I544" s="3">
        <f>IFERROR(VLOOKUP(C544,'Справочник соответствий'!A$2:D$2996,2,FALSE),IF(VALUE(C544)=0,1,VLOOKUP(C544,'Справочник соответствий'!A$2:D$2996,2,FALSE)))</f>
        <v>1</v>
      </c>
      <c r="J544" s="3">
        <f>IFERROR(VLOOKUP(D544,'Справочник соответствий'!A$2:D$2996,2,FALSE),IF(VALUE(D544)=0,0,VLOOKUP(D544,'Справочник соответствий'!A$2:D$2996,2,FALSE)))</f>
        <v>0</v>
      </c>
      <c r="K544" s="3">
        <f t="shared" si="56"/>
        <v>1</v>
      </c>
      <c r="L544" s="13" t="str">
        <f>IFERROR(VLOOKUP(C544,'Справочник соответствий'!A$2:D$2996,3,FALSE),IF(VALUE(C544)=0,"ЭТАЖ НЕ ОПРЕДЕЛЕН. ПРИНЯТ ПО ДОПУЩЕНИЮ 1",VLOOKUP(C544,'Справочник соответствий'!A$2:D$2996,3,FALSE)))</f>
        <v>ЭТАЖ НЕ ОПРЕДЕЛЕН. ПРИНЯТ ПО ДОПУЩЕНИЮ 1</v>
      </c>
      <c r="M544" s="13" t="b">
        <f t="shared" si="57"/>
        <v>0</v>
      </c>
      <c r="N544" s="13">
        <f t="shared" si="58"/>
        <v>1</v>
      </c>
      <c r="O544" s="13" t="str">
        <f t="shared" si="59"/>
        <v>ЭТАЖ НЕ ОПРЕДЕЛЕН. ПРИНЯТ ПО ДОПУЩЕНИЮ 1</v>
      </c>
      <c r="P544" s="13" t="str">
        <f t="shared" si="60"/>
        <v>ЭТАЖ НЕ ОПРЕДЕЛЕН. ПРИНЯТ ПО ДОПУЩЕНИЮ 1</v>
      </c>
      <c r="Q544" s="13" t="str">
        <f t="shared" si="61"/>
        <v>ГОТОВ_ИЗМЕНЕН</v>
      </c>
      <c r="R544" s="13">
        <f>IFERROR(VLOOKUP(P544,Лист1!A$1:B$20,2,FALSE),0)</f>
        <v>788</v>
      </c>
      <c r="S544" s="13">
        <f t="shared" si="62"/>
        <v>0</v>
      </c>
    </row>
    <row r="545" spans="1:19" x14ac:dyDescent="0.25">
      <c r="A545" t="s">
        <v>1746</v>
      </c>
      <c r="B545" s="4" t="s">
        <v>1190</v>
      </c>
      <c r="C545" s="3" t="s">
        <v>5</v>
      </c>
      <c r="G545" s="3" t="s">
        <v>1224</v>
      </c>
      <c r="I545" s="3" t="str">
        <f>IFERROR(VLOOKUP(C545,'Справочник соответствий'!A$2:D$2996,2,FALSE),IF(VALUE(C545)=0,1,VLOOKUP(C545,'Справочник соответствий'!A$2:D$2996,2,FALSE)))</f>
        <v>1</v>
      </c>
      <c r="J545" s="3">
        <f>IFERROR(VLOOKUP(D545,'Справочник соответствий'!A$2:D$2996,2,FALSE),IF(VALUE(D545)=0,0,VLOOKUP(D545,'Справочник соответствий'!A$2:D$2996,2,FALSE)))</f>
        <v>0</v>
      </c>
      <c r="K545" s="3" t="str">
        <f t="shared" si="56"/>
        <v>1</v>
      </c>
      <c r="L545" s="13" t="str">
        <f>IFERROR(VLOOKUP(C545,'Справочник соответствий'!A$2:D$2996,3,FALSE),IF(VALUE(C545)=0,"ЭТАЖ НЕ ОПРЕДЕЛЕН. ПРИНЯТ ПО ДОПУЩЕНИЮ 1",VLOOKUP(C545,'Справочник соответствий'!A$2:D$2996,3,FALSE)))</f>
        <v>ЭТАЖ ЗАДАН ЧИСЛОМ</v>
      </c>
      <c r="M545" s="13" t="b">
        <f t="shared" si="57"/>
        <v>0</v>
      </c>
      <c r="N545" s="13">
        <f t="shared" si="58"/>
        <v>1</v>
      </c>
      <c r="O545" s="13" t="str">
        <f t="shared" si="59"/>
        <v>ЭТАЖ ЗАДАН ЧИСЛОМ</v>
      </c>
      <c r="P545" s="13" t="str">
        <f t="shared" si="60"/>
        <v>ЭТАЖ ЗАДАН ЧИСЛОМ</v>
      </c>
      <c r="Q545" s="13" t="str">
        <f t="shared" si="61"/>
        <v>ГОТОВ_ИЗМЕНЕН</v>
      </c>
      <c r="R545" s="13">
        <f>IFERROR(VLOOKUP(P545,Лист1!A$1:B$20,2,FALSE),0)</f>
        <v>784</v>
      </c>
      <c r="S545" s="13">
        <f t="shared" si="62"/>
        <v>0</v>
      </c>
    </row>
    <row r="546" spans="1:19" x14ac:dyDescent="0.25">
      <c r="A546" t="s">
        <v>1747</v>
      </c>
      <c r="B546" s="4" t="s">
        <v>1182</v>
      </c>
      <c r="C546" s="3" t="s">
        <v>5</v>
      </c>
      <c r="D546" s="3" t="s">
        <v>5</v>
      </c>
      <c r="E546" s="3" t="s">
        <v>5</v>
      </c>
      <c r="F546" t="s">
        <v>1186</v>
      </c>
      <c r="G546" s="3" t="s">
        <v>1183</v>
      </c>
      <c r="H546" s="7" t="s">
        <v>1184</v>
      </c>
      <c r="I546" s="3" t="str">
        <f>IFERROR(VLOOKUP(C546,'Справочник соответствий'!A$2:D$2996,2,FALSE),IF(VALUE(C546)=0,1,VLOOKUP(C546,'Справочник соответствий'!A$2:D$2996,2,FALSE)))</f>
        <v>1</v>
      </c>
      <c r="J546" s="3" t="str">
        <f>IFERROR(VLOOKUP(D546,'Справочник соответствий'!A$2:D$2996,2,FALSE),IF(VALUE(D546)=0,0,VLOOKUP(D546,'Справочник соответствий'!A$2:D$2996,2,FALSE)))</f>
        <v>1</v>
      </c>
      <c r="K546" s="3" t="str">
        <f t="shared" si="56"/>
        <v>1</v>
      </c>
      <c r="L546" s="13" t="str">
        <f>IFERROR(VLOOKUP(C546,'Справочник соответствий'!A$2:D$2996,3,FALSE),IF(VALUE(C546)=0,"ЭТАЖ НЕ ОПРЕДЕЛЕН. ПРИНЯТ ПО ДОПУЩЕНИЮ 1",VLOOKUP(C546,'Справочник соответствий'!A$2:D$2996,3,FALSE)))</f>
        <v>ЭТАЖ ЗАДАН ЧИСЛОМ</v>
      </c>
      <c r="M546" s="13" t="b">
        <f t="shared" si="57"/>
        <v>1</v>
      </c>
      <c r="N546" s="13">
        <f t="shared" si="58"/>
        <v>1</v>
      </c>
      <c r="O546" s="13" t="str">
        <f t="shared" si="59"/>
        <v>ЭТАЖ ЗАДАН ЧИСЛОМ</v>
      </c>
      <c r="P546" s="13" t="str">
        <f t="shared" si="60"/>
        <v>ЭТАЖ ЗАДАН ЧИСЛОМ</v>
      </c>
      <c r="Q546" s="13" t="str">
        <f t="shared" si="61"/>
        <v>ГОТОВ</v>
      </c>
      <c r="R546" s="13">
        <f>IFERROR(VLOOKUP(P546,Лист1!A$1:B$20,2,FALSE),0)</f>
        <v>784</v>
      </c>
      <c r="S546" s="13">
        <f t="shared" si="62"/>
        <v>1</v>
      </c>
    </row>
    <row r="547" spans="1:19" x14ac:dyDescent="0.25">
      <c r="A547" t="s">
        <v>1748</v>
      </c>
      <c r="B547" s="4" t="s">
        <v>1182</v>
      </c>
      <c r="C547" s="3" t="s">
        <v>5</v>
      </c>
      <c r="E547" s="3" t="s">
        <v>5</v>
      </c>
      <c r="F547" t="s">
        <v>1186</v>
      </c>
      <c r="G547" s="3" t="s">
        <v>1187</v>
      </c>
      <c r="H547" s="7" t="s">
        <v>1184</v>
      </c>
      <c r="I547" s="3" t="str">
        <f>IFERROR(VLOOKUP(C547,'Справочник соответствий'!A$2:D$2996,2,FALSE),IF(VALUE(C547)=0,1,VLOOKUP(C547,'Справочник соответствий'!A$2:D$2996,2,FALSE)))</f>
        <v>1</v>
      </c>
      <c r="J547" s="3">
        <f>IFERROR(VLOOKUP(D547,'Справочник соответствий'!A$2:D$2996,2,FALSE),IF(VALUE(D547)=0,0,VLOOKUP(D547,'Справочник соответствий'!A$2:D$2996,2,FALSE)))</f>
        <v>0</v>
      </c>
      <c r="K547" s="3" t="str">
        <f t="shared" si="56"/>
        <v>1</v>
      </c>
      <c r="L547" s="13" t="str">
        <f>IFERROR(VLOOKUP(C547,'Справочник соответствий'!A$2:D$2996,3,FALSE),IF(VALUE(C547)=0,"ЭТАЖ НЕ ОПРЕДЕЛЕН. ПРИНЯТ ПО ДОПУЩЕНИЮ 1",VLOOKUP(C547,'Справочник соответствий'!A$2:D$2996,3,FALSE)))</f>
        <v>ЭТАЖ ЗАДАН ЧИСЛОМ</v>
      </c>
      <c r="M547" s="13" t="b">
        <f t="shared" si="57"/>
        <v>1</v>
      </c>
      <c r="N547" s="13">
        <f t="shared" si="58"/>
        <v>1</v>
      </c>
      <c r="O547" s="13" t="str">
        <f t="shared" si="59"/>
        <v>ЭТАЖ ЗАДАН ЧИСЛОМ</v>
      </c>
      <c r="P547" s="13" t="str">
        <f t="shared" si="60"/>
        <v>ЭТАЖ ЗАДАН ЧИСЛОМ</v>
      </c>
      <c r="Q547" s="13" t="str">
        <f t="shared" si="61"/>
        <v>ГОТОВ</v>
      </c>
      <c r="R547" s="13">
        <f>IFERROR(VLOOKUP(P547,Лист1!A$1:B$20,2,FALSE),0)</f>
        <v>784</v>
      </c>
      <c r="S547" s="13">
        <f t="shared" si="62"/>
        <v>1</v>
      </c>
    </row>
    <row r="548" spans="1:19" x14ac:dyDescent="0.25">
      <c r="A548" t="s">
        <v>1749</v>
      </c>
      <c r="B548" s="4" t="s">
        <v>1190</v>
      </c>
      <c r="C548" s="3" t="s">
        <v>7</v>
      </c>
      <c r="D548" s="3" t="s">
        <v>5</v>
      </c>
      <c r="E548" s="3" t="s">
        <v>7</v>
      </c>
      <c r="F548" t="s">
        <v>1045</v>
      </c>
      <c r="G548" s="3" t="s">
        <v>1198</v>
      </c>
      <c r="H548" s="7" t="s">
        <v>1184</v>
      </c>
      <c r="I548" s="3" t="str">
        <f>IFERROR(VLOOKUP(C548,'Справочник соответствий'!A$2:D$2996,2,FALSE),IF(VALUE(C548)=0,1,VLOOKUP(C548,'Справочник соответствий'!A$2:D$2996,2,FALSE)))</f>
        <v>2</v>
      </c>
      <c r="J548" s="3" t="str">
        <f>IFERROR(VLOOKUP(D548,'Справочник соответствий'!A$2:D$2996,2,FALSE),IF(VALUE(D548)=0,0,VLOOKUP(D548,'Справочник соответствий'!A$2:D$2996,2,FALSE)))</f>
        <v>1</v>
      </c>
      <c r="K548" s="3" t="str">
        <f t="shared" si="56"/>
        <v>2</v>
      </c>
      <c r="L548" s="13" t="str">
        <f>IFERROR(VLOOKUP(C548,'Справочник соответствий'!A$2:D$2996,3,FALSE),IF(VALUE(C548)=0,"ЭТАЖ НЕ ОПРЕДЕЛЕН. ПРИНЯТ ПО ДОПУЩЕНИЮ 1",VLOOKUP(C548,'Справочник соответствий'!A$2:D$2996,3,FALSE)))</f>
        <v>ЭТАЖ ЗАДАН ЧИСЛОМ</v>
      </c>
      <c r="M548" s="13" t="b">
        <f t="shared" si="57"/>
        <v>1</v>
      </c>
      <c r="N548" s="13">
        <f t="shared" si="58"/>
        <v>2</v>
      </c>
      <c r="O548" s="13" t="str">
        <f t="shared" si="59"/>
        <v>ЭТАЖ ЗАДАН ЧИСЛОМ</v>
      </c>
      <c r="P548" s="13" t="str">
        <f t="shared" si="60"/>
        <v>ЭТАЖ ЗАДАН ЧИСЛОМ</v>
      </c>
      <c r="Q548" s="13" t="str">
        <f t="shared" si="61"/>
        <v>ГОТОВ</v>
      </c>
      <c r="R548" s="13">
        <f>IFERROR(VLOOKUP(P548,Лист1!A$1:B$20,2,FALSE),0)</f>
        <v>784</v>
      </c>
      <c r="S548" s="13">
        <f t="shared" si="62"/>
        <v>2</v>
      </c>
    </row>
    <row r="549" spans="1:19" x14ac:dyDescent="0.25">
      <c r="A549" t="s">
        <v>1750</v>
      </c>
      <c r="B549" s="4" t="s">
        <v>1190</v>
      </c>
      <c r="C549" s="3" t="s">
        <v>7</v>
      </c>
      <c r="D549" s="3" t="s">
        <v>5</v>
      </c>
      <c r="E549" s="3" t="s">
        <v>5</v>
      </c>
      <c r="F549" t="s">
        <v>1038</v>
      </c>
      <c r="G549" s="3" t="s">
        <v>1183</v>
      </c>
      <c r="H549" s="7" t="s">
        <v>1184</v>
      </c>
      <c r="I549" s="3" t="str">
        <f>IFERROR(VLOOKUP(C549,'Справочник соответствий'!A$2:D$2996,2,FALSE),IF(VALUE(C549)=0,1,VLOOKUP(C549,'Справочник соответствий'!A$2:D$2996,2,FALSE)))</f>
        <v>2</v>
      </c>
      <c r="J549" s="3" t="str">
        <f>IFERROR(VLOOKUP(D549,'Справочник соответствий'!A$2:D$2996,2,FALSE),IF(VALUE(D549)=0,0,VLOOKUP(D549,'Справочник соответствий'!A$2:D$2996,2,FALSE)))</f>
        <v>1</v>
      </c>
      <c r="K549" s="3" t="str">
        <f t="shared" si="56"/>
        <v>2</v>
      </c>
      <c r="L549" s="13" t="str">
        <f>IFERROR(VLOOKUP(C549,'Справочник соответствий'!A$2:D$2996,3,FALSE),IF(VALUE(C549)=0,"ЭТАЖ НЕ ОПРЕДЕЛЕН. ПРИНЯТ ПО ДОПУЩЕНИЮ 1",VLOOKUP(C549,'Справочник соответствий'!A$2:D$2996,3,FALSE)))</f>
        <v>ЭТАЖ ЗАДАН ЧИСЛОМ</v>
      </c>
      <c r="M549" s="13" t="b">
        <f t="shared" si="57"/>
        <v>0</v>
      </c>
      <c r="N549" s="13">
        <f t="shared" si="58"/>
        <v>2</v>
      </c>
      <c r="O549" s="13" t="str">
        <f t="shared" si="59"/>
        <v>ЭТАЖ ЗАДАН ЧИСЛОМ</v>
      </c>
      <c r="P549" s="13" t="str">
        <f t="shared" si="60"/>
        <v>ЭТАЖ ЗАДАН ЧИСЛОМ</v>
      </c>
      <c r="Q549" s="13" t="str">
        <f t="shared" si="61"/>
        <v>ГОТОВ_ИЗМЕНЕН</v>
      </c>
      <c r="R549" s="13">
        <f>IFERROR(VLOOKUP(P549,Лист1!A$1:B$20,2,FALSE),0)</f>
        <v>784</v>
      </c>
      <c r="S549" s="13">
        <f t="shared" si="62"/>
        <v>1</v>
      </c>
    </row>
    <row r="550" spans="1:19" x14ac:dyDescent="0.25">
      <c r="A550" t="s">
        <v>1751</v>
      </c>
      <c r="B550" s="4" t="s">
        <v>1190</v>
      </c>
      <c r="C550" s="3" t="s">
        <v>7</v>
      </c>
      <c r="D550" s="3" t="s">
        <v>5</v>
      </c>
      <c r="E550" s="3" t="s">
        <v>7</v>
      </c>
      <c r="F550" t="s">
        <v>1045</v>
      </c>
      <c r="G550" s="3" t="s">
        <v>1183</v>
      </c>
      <c r="H550" s="7" t="s">
        <v>1184</v>
      </c>
      <c r="I550" s="3" t="str">
        <f>IFERROR(VLOOKUP(C550,'Справочник соответствий'!A$2:D$2996,2,FALSE),IF(VALUE(C550)=0,1,VLOOKUP(C550,'Справочник соответствий'!A$2:D$2996,2,FALSE)))</f>
        <v>2</v>
      </c>
      <c r="J550" s="3" t="str">
        <f>IFERROR(VLOOKUP(D550,'Справочник соответствий'!A$2:D$2996,2,FALSE),IF(VALUE(D550)=0,0,VLOOKUP(D550,'Справочник соответствий'!A$2:D$2996,2,FALSE)))</f>
        <v>1</v>
      </c>
      <c r="K550" s="3" t="str">
        <f t="shared" si="56"/>
        <v>2</v>
      </c>
      <c r="L550" s="13" t="str">
        <f>IFERROR(VLOOKUP(C550,'Справочник соответствий'!A$2:D$2996,3,FALSE),IF(VALUE(C550)=0,"ЭТАЖ НЕ ОПРЕДЕЛЕН. ПРИНЯТ ПО ДОПУЩЕНИЮ 1",VLOOKUP(C550,'Справочник соответствий'!A$2:D$2996,3,FALSE)))</f>
        <v>ЭТАЖ ЗАДАН ЧИСЛОМ</v>
      </c>
      <c r="M550" s="13" t="b">
        <f t="shared" si="57"/>
        <v>1</v>
      </c>
      <c r="N550" s="13">
        <f t="shared" si="58"/>
        <v>2</v>
      </c>
      <c r="O550" s="13" t="str">
        <f t="shared" si="59"/>
        <v>ЭТАЖ ЗАДАН ЧИСЛОМ</v>
      </c>
      <c r="P550" s="13" t="str">
        <f t="shared" si="60"/>
        <v>ЭТАЖ ЗАДАН ЧИСЛОМ</v>
      </c>
      <c r="Q550" s="13" t="str">
        <f t="shared" si="61"/>
        <v>ГОТОВ</v>
      </c>
      <c r="R550" s="13">
        <f>IFERROR(VLOOKUP(P550,Лист1!A$1:B$20,2,FALSE),0)</f>
        <v>784</v>
      </c>
      <c r="S550" s="13">
        <f t="shared" si="62"/>
        <v>2</v>
      </c>
    </row>
    <row r="551" spans="1:19" x14ac:dyDescent="0.25">
      <c r="A551" t="s">
        <v>1752</v>
      </c>
      <c r="B551" s="4" t="s">
        <v>1182</v>
      </c>
      <c r="C551" s="3" t="s">
        <v>5</v>
      </c>
      <c r="E551" s="3" t="s">
        <v>5</v>
      </c>
      <c r="F551" t="s">
        <v>1038</v>
      </c>
      <c r="G551" s="3" t="s">
        <v>1191</v>
      </c>
      <c r="H551" s="7" t="s">
        <v>1184</v>
      </c>
      <c r="I551" s="3" t="str">
        <f>IFERROR(VLOOKUP(C551,'Справочник соответствий'!A$2:D$2996,2,FALSE),IF(VALUE(C551)=0,1,VLOOKUP(C551,'Справочник соответствий'!A$2:D$2996,2,FALSE)))</f>
        <v>1</v>
      </c>
      <c r="J551" s="3">
        <f>IFERROR(VLOOKUP(D551,'Справочник соответствий'!A$2:D$2996,2,FALSE),IF(VALUE(D551)=0,0,VLOOKUP(D551,'Справочник соответствий'!A$2:D$2996,2,FALSE)))</f>
        <v>0</v>
      </c>
      <c r="K551" s="3" t="str">
        <f t="shared" si="56"/>
        <v>1</v>
      </c>
      <c r="L551" s="13" t="str">
        <f>IFERROR(VLOOKUP(C551,'Справочник соответствий'!A$2:D$2996,3,FALSE),IF(VALUE(C551)=0,"ЭТАЖ НЕ ОПРЕДЕЛЕН. ПРИНЯТ ПО ДОПУЩЕНИЮ 1",VLOOKUP(C551,'Справочник соответствий'!A$2:D$2996,3,FALSE)))</f>
        <v>ЭТАЖ ЗАДАН ЧИСЛОМ</v>
      </c>
      <c r="M551" s="13" t="b">
        <f t="shared" si="57"/>
        <v>1</v>
      </c>
      <c r="N551" s="13">
        <f t="shared" si="58"/>
        <v>1</v>
      </c>
      <c r="O551" s="13" t="str">
        <f t="shared" si="59"/>
        <v>ЭТАЖ ЗАДАН ЧИСЛОМ</v>
      </c>
      <c r="P551" s="13" t="str">
        <f t="shared" si="60"/>
        <v>ЭТАЖ ЗАДАН ЧИСЛОМ</v>
      </c>
      <c r="Q551" s="13" t="str">
        <f t="shared" si="61"/>
        <v>ГОТОВ</v>
      </c>
      <c r="R551" s="13">
        <f>IFERROR(VLOOKUP(P551,Лист1!A$1:B$20,2,FALSE),0)</f>
        <v>784</v>
      </c>
      <c r="S551" s="13">
        <f t="shared" si="62"/>
        <v>1</v>
      </c>
    </row>
    <row r="552" spans="1:19" x14ac:dyDescent="0.25">
      <c r="A552" t="s">
        <v>1753</v>
      </c>
      <c r="B552" s="4" t="s">
        <v>1182</v>
      </c>
      <c r="C552" s="3" t="s">
        <v>5</v>
      </c>
      <c r="E552" s="3" t="s">
        <v>5</v>
      </c>
      <c r="F552" t="s">
        <v>1186</v>
      </c>
      <c r="G552" s="3" t="s">
        <v>1187</v>
      </c>
      <c r="H552" s="7" t="s">
        <v>1184</v>
      </c>
      <c r="I552" s="3" t="str">
        <f>IFERROR(VLOOKUP(C552,'Справочник соответствий'!A$2:D$2996,2,FALSE),IF(VALUE(C552)=0,1,VLOOKUP(C552,'Справочник соответствий'!A$2:D$2996,2,FALSE)))</f>
        <v>1</v>
      </c>
      <c r="J552" s="3">
        <f>IFERROR(VLOOKUP(D552,'Справочник соответствий'!A$2:D$2996,2,FALSE),IF(VALUE(D552)=0,0,VLOOKUP(D552,'Справочник соответствий'!A$2:D$2996,2,FALSE)))</f>
        <v>0</v>
      </c>
      <c r="K552" s="3" t="str">
        <f t="shared" si="56"/>
        <v>1</v>
      </c>
      <c r="L552" s="13" t="str">
        <f>IFERROR(VLOOKUP(C552,'Справочник соответствий'!A$2:D$2996,3,FALSE),IF(VALUE(C552)=0,"ЭТАЖ НЕ ОПРЕДЕЛЕН. ПРИНЯТ ПО ДОПУЩЕНИЮ 1",VLOOKUP(C552,'Справочник соответствий'!A$2:D$2996,3,FALSE)))</f>
        <v>ЭТАЖ ЗАДАН ЧИСЛОМ</v>
      </c>
      <c r="M552" s="13" t="b">
        <f t="shared" si="57"/>
        <v>1</v>
      </c>
      <c r="N552" s="13">
        <f t="shared" si="58"/>
        <v>1</v>
      </c>
      <c r="O552" s="13" t="str">
        <f t="shared" si="59"/>
        <v>ЭТАЖ ЗАДАН ЧИСЛОМ</v>
      </c>
      <c r="P552" s="13" t="str">
        <f t="shared" si="60"/>
        <v>ЭТАЖ ЗАДАН ЧИСЛОМ</v>
      </c>
      <c r="Q552" s="13" t="str">
        <f t="shared" si="61"/>
        <v>ГОТОВ</v>
      </c>
      <c r="R552" s="13">
        <f>IFERROR(VLOOKUP(P552,Лист1!A$1:B$20,2,FALSE),0)</f>
        <v>784</v>
      </c>
      <c r="S552" s="13">
        <f t="shared" si="62"/>
        <v>1</v>
      </c>
    </row>
    <row r="553" spans="1:19" x14ac:dyDescent="0.25">
      <c r="A553" t="s">
        <v>1754</v>
      </c>
      <c r="B553" s="4" t="s">
        <v>1182</v>
      </c>
      <c r="C553" s="3" t="s">
        <v>5</v>
      </c>
      <c r="E553" s="3" t="s">
        <v>5</v>
      </c>
      <c r="F553" t="s">
        <v>1186</v>
      </c>
      <c r="G553" s="3" t="s">
        <v>1191</v>
      </c>
      <c r="H553" s="7" t="s">
        <v>1184</v>
      </c>
      <c r="I553" s="3" t="str">
        <f>IFERROR(VLOOKUP(C553,'Справочник соответствий'!A$2:D$2996,2,FALSE),IF(VALUE(C553)=0,1,VLOOKUP(C553,'Справочник соответствий'!A$2:D$2996,2,FALSE)))</f>
        <v>1</v>
      </c>
      <c r="J553" s="3">
        <f>IFERROR(VLOOKUP(D553,'Справочник соответствий'!A$2:D$2996,2,FALSE),IF(VALUE(D553)=0,0,VLOOKUP(D553,'Справочник соответствий'!A$2:D$2996,2,FALSE)))</f>
        <v>0</v>
      </c>
      <c r="K553" s="3" t="str">
        <f t="shared" si="56"/>
        <v>1</v>
      </c>
      <c r="L553" s="13" t="str">
        <f>IFERROR(VLOOKUP(C553,'Справочник соответствий'!A$2:D$2996,3,FALSE),IF(VALUE(C553)=0,"ЭТАЖ НЕ ОПРЕДЕЛЕН. ПРИНЯТ ПО ДОПУЩЕНИЮ 1",VLOOKUP(C553,'Справочник соответствий'!A$2:D$2996,3,FALSE)))</f>
        <v>ЭТАЖ ЗАДАН ЧИСЛОМ</v>
      </c>
      <c r="M553" s="13" t="b">
        <f t="shared" si="57"/>
        <v>1</v>
      </c>
      <c r="N553" s="13">
        <f t="shared" si="58"/>
        <v>1</v>
      </c>
      <c r="O553" s="13" t="str">
        <f t="shared" si="59"/>
        <v>ЭТАЖ ЗАДАН ЧИСЛОМ</v>
      </c>
      <c r="P553" s="13" t="str">
        <f t="shared" si="60"/>
        <v>ЭТАЖ ЗАДАН ЧИСЛОМ</v>
      </c>
      <c r="Q553" s="13" t="str">
        <f t="shared" si="61"/>
        <v>ГОТОВ</v>
      </c>
      <c r="R553" s="13">
        <f>IFERROR(VLOOKUP(P553,Лист1!A$1:B$20,2,FALSE),0)</f>
        <v>784</v>
      </c>
      <c r="S553" s="13">
        <f t="shared" si="62"/>
        <v>1</v>
      </c>
    </row>
    <row r="554" spans="1:19" x14ac:dyDescent="0.25">
      <c r="A554" t="s">
        <v>1755</v>
      </c>
      <c r="B554" s="4" t="s">
        <v>1190</v>
      </c>
      <c r="C554" s="3" t="s">
        <v>7</v>
      </c>
      <c r="D554" s="3" t="s">
        <v>5</v>
      </c>
      <c r="E554" s="3" t="s">
        <v>7</v>
      </c>
      <c r="F554" t="s">
        <v>1045</v>
      </c>
      <c r="G554" s="3" t="s">
        <v>1198</v>
      </c>
      <c r="H554" s="7" t="s">
        <v>1184</v>
      </c>
      <c r="I554" s="3" t="str">
        <f>IFERROR(VLOOKUP(C554,'Справочник соответствий'!A$2:D$2996,2,FALSE),IF(VALUE(C554)=0,1,VLOOKUP(C554,'Справочник соответствий'!A$2:D$2996,2,FALSE)))</f>
        <v>2</v>
      </c>
      <c r="J554" s="3" t="str">
        <f>IFERROR(VLOOKUP(D554,'Справочник соответствий'!A$2:D$2996,2,FALSE),IF(VALUE(D554)=0,0,VLOOKUP(D554,'Справочник соответствий'!A$2:D$2996,2,FALSE)))</f>
        <v>1</v>
      </c>
      <c r="K554" s="3" t="str">
        <f t="shared" si="56"/>
        <v>2</v>
      </c>
      <c r="L554" s="13" t="str">
        <f>IFERROR(VLOOKUP(C554,'Справочник соответствий'!A$2:D$2996,3,FALSE),IF(VALUE(C554)=0,"ЭТАЖ НЕ ОПРЕДЕЛЕН. ПРИНЯТ ПО ДОПУЩЕНИЮ 1",VLOOKUP(C554,'Справочник соответствий'!A$2:D$2996,3,FALSE)))</f>
        <v>ЭТАЖ ЗАДАН ЧИСЛОМ</v>
      </c>
      <c r="M554" s="13" t="b">
        <f t="shared" si="57"/>
        <v>1</v>
      </c>
      <c r="N554" s="13">
        <f t="shared" si="58"/>
        <v>2</v>
      </c>
      <c r="O554" s="13" t="str">
        <f t="shared" si="59"/>
        <v>ЭТАЖ ЗАДАН ЧИСЛОМ</v>
      </c>
      <c r="P554" s="13" t="str">
        <f t="shared" si="60"/>
        <v>ЭТАЖ ЗАДАН ЧИСЛОМ</v>
      </c>
      <c r="Q554" s="13" t="str">
        <f t="shared" si="61"/>
        <v>ГОТОВ</v>
      </c>
      <c r="R554" s="13">
        <f>IFERROR(VLOOKUP(P554,Лист1!A$1:B$20,2,FALSE),0)</f>
        <v>784</v>
      </c>
      <c r="S554" s="13">
        <f t="shared" si="62"/>
        <v>2</v>
      </c>
    </row>
    <row r="555" spans="1:19" x14ac:dyDescent="0.25">
      <c r="A555" t="s">
        <v>1756</v>
      </c>
      <c r="B555" s="4" t="s">
        <v>1190</v>
      </c>
      <c r="C555" s="3" t="s">
        <v>7</v>
      </c>
      <c r="D555" s="3" t="s">
        <v>5</v>
      </c>
      <c r="E555" s="3" t="s">
        <v>7</v>
      </c>
      <c r="F555" t="s">
        <v>1045</v>
      </c>
      <c r="G555" s="3" t="s">
        <v>1198</v>
      </c>
      <c r="H555" s="7" t="s">
        <v>1184</v>
      </c>
      <c r="I555" s="3" t="str">
        <f>IFERROR(VLOOKUP(C555,'Справочник соответствий'!A$2:D$2996,2,FALSE),IF(VALUE(C555)=0,1,VLOOKUP(C555,'Справочник соответствий'!A$2:D$2996,2,FALSE)))</f>
        <v>2</v>
      </c>
      <c r="J555" s="3" t="str">
        <f>IFERROR(VLOOKUP(D555,'Справочник соответствий'!A$2:D$2996,2,FALSE),IF(VALUE(D555)=0,0,VLOOKUP(D555,'Справочник соответствий'!A$2:D$2996,2,FALSE)))</f>
        <v>1</v>
      </c>
      <c r="K555" s="3" t="str">
        <f t="shared" si="56"/>
        <v>2</v>
      </c>
      <c r="L555" s="13" t="str">
        <f>IFERROR(VLOOKUP(C555,'Справочник соответствий'!A$2:D$2996,3,FALSE),IF(VALUE(C555)=0,"ЭТАЖ НЕ ОПРЕДЕЛЕН. ПРИНЯТ ПО ДОПУЩЕНИЮ 1",VLOOKUP(C555,'Справочник соответствий'!A$2:D$2996,3,FALSE)))</f>
        <v>ЭТАЖ ЗАДАН ЧИСЛОМ</v>
      </c>
      <c r="M555" s="13" t="b">
        <f t="shared" si="57"/>
        <v>1</v>
      </c>
      <c r="N555" s="13">
        <f t="shared" si="58"/>
        <v>2</v>
      </c>
      <c r="O555" s="13" t="str">
        <f t="shared" si="59"/>
        <v>ЭТАЖ ЗАДАН ЧИСЛОМ</v>
      </c>
      <c r="P555" s="13" t="str">
        <f t="shared" si="60"/>
        <v>ЭТАЖ ЗАДАН ЧИСЛОМ</v>
      </c>
      <c r="Q555" s="13" t="str">
        <f t="shared" si="61"/>
        <v>ГОТОВ</v>
      </c>
      <c r="R555" s="13">
        <f>IFERROR(VLOOKUP(P555,Лист1!A$1:B$20,2,FALSE),0)</f>
        <v>784</v>
      </c>
      <c r="S555" s="13">
        <f t="shared" si="62"/>
        <v>2</v>
      </c>
    </row>
    <row r="556" spans="1:19" x14ac:dyDescent="0.25">
      <c r="A556" t="s">
        <v>1757</v>
      </c>
      <c r="B556" s="4" t="s">
        <v>1031</v>
      </c>
      <c r="C556" s="3" t="s">
        <v>7</v>
      </c>
      <c r="E556" s="3" t="s">
        <v>5</v>
      </c>
      <c r="F556" t="s">
        <v>1038</v>
      </c>
      <c r="G556" s="3" t="s">
        <v>1187</v>
      </c>
      <c r="H556" s="7" t="s">
        <v>1184</v>
      </c>
      <c r="I556" s="3" t="str">
        <f>IFERROR(VLOOKUP(C556,'Справочник соответствий'!A$2:D$2996,2,FALSE),IF(VALUE(C556)=0,1,VLOOKUP(C556,'Справочник соответствий'!A$2:D$2996,2,FALSE)))</f>
        <v>2</v>
      </c>
      <c r="J556" s="3">
        <f>IFERROR(VLOOKUP(D556,'Справочник соответствий'!A$2:D$2996,2,FALSE),IF(VALUE(D556)=0,0,VLOOKUP(D556,'Справочник соответствий'!A$2:D$2996,2,FALSE)))</f>
        <v>0</v>
      </c>
      <c r="K556" s="3">
        <f t="shared" si="56"/>
        <v>2</v>
      </c>
      <c r="L556" s="13" t="str">
        <f>IFERROR(VLOOKUP(C556,'Справочник соответствий'!A$2:D$2996,3,FALSE),IF(VALUE(C556)=0,"ЭТАЖ НЕ ОПРЕДЕЛЕН. ПРИНЯТ ПО ДОПУЩЕНИЮ 1",VLOOKUP(C556,'Справочник соответствий'!A$2:D$2996,3,FALSE)))</f>
        <v>ЭТАЖ ЗАДАН ЧИСЛОМ</v>
      </c>
      <c r="M556" s="13" t="b">
        <f t="shared" si="57"/>
        <v>0</v>
      </c>
      <c r="N556" s="13">
        <f t="shared" si="58"/>
        <v>2</v>
      </c>
      <c r="O556" s="13" t="str">
        <f t="shared" si="59"/>
        <v>ЭТАЖ ЗАДАН ЧИСЛОМ</v>
      </c>
      <c r="P556" s="13" t="str">
        <f t="shared" si="60"/>
        <v>МКД_ЭТАЖ ЗАДАН ЧИСЛОМ</v>
      </c>
      <c r="Q556" s="13" t="str">
        <f t="shared" si="61"/>
        <v>ГОТОВ_ИЗМЕНЕН</v>
      </c>
      <c r="R556" s="13">
        <f>IFERROR(VLOOKUP(P556,Лист1!A$1:B$20,2,FALSE),0)</f>
        <v>786</v>
      </c>
      <c r="S556" s="13">
        <f t="shared" si="62"/>
        <v>1</v>
      </c>
    </row>
    <row r="557" spans="1:19" x14ac:dyDescent="0.25">
      <c r="A557" t="s">
        <v>1758</v>
      </c>
      <c r="B557" s="4" t="s">
        <v>1182</v>
      </c>
      <c r="C557" s="3" t="s">
        <v>12</v>
      </c>
      <c r="D557" s="3" t="s">
        <v>5</v>
      </c>
      <c r="E557" s="3" t="s">
        <v>12</v>
      </c>
      <c r="F557" t="s">
        <v>1045</v>
      </c>
      <c r="G557" s="3" t="s">
        <v>1198</v>
      </c>
      <c r="H557" s="7" t="s">
        <v>1184</v>
      </c>
      <c r="I557" s="3" t="str">
        <f>IFERROR(VLOOKUP(C557,'Справочник соответствий'!A$2:D$2996,2,FALSE),IF(VALUE(C557)=0,1,VLOOKUP(C557,'Справочник соответствий'!A$2:D$2996,2,FALSE)))</f>
        <v>4</v>
      </c>
      <c r="J557" s="3" t="str">
        <f>IFERROR(VLOOKUP(D557,'Справочник соответствий'!A$2:D$2996,2,FALSE),IF(VALUE(D557)=0,0,VLOOKUP(D557,'Справочник соответствий'!A$2:D$2996,2,FALSE)))</f>
        <v>1</v>
      </c>
      <c r="K557" s="3" t="str">
        <f t="shared" si="56"/>
        <v>4</v>
      </c>
      <c r="L557" s="13" t="str">
        <f>IFERROR(VLOOKUP(C557,'Справочник соответствий'!A$2:D$2996,3,FALSE),IF(VALUE(C557)=0,"ЭТАЖ НЕ ОПРЕДЕЛЕН. ПРИНЯТ ПО ДОПУЩЕНИЮ 1",VLOOKUP(C557,'Справочник соответствий'!A$2:D$2996,3,FALSE)))</f>
        <v>ЭТАЖ ЗАДАН ЧИСЛОМ</v>
      </c>
      <c r="M557" s="13" t="b">
        <f t="shared" si="57"/>
        <v>1</v>
      </c>
      <c r="N557" s="13">
        <f t="shared" si="58"/>
        <v>4</v>
      </c>
      <c r="O557" s="13" t="str">
        <f t="shared" si="59"/>
        <v>ЭТАЖ ЗАДАН ЧИСЛОМ</v>
      </c>
      <c r="P557" s="13" t="str">
        <f t="shared" si="60"/>
        <v>ЭТАЖ ЗАДАН ЧИСЛОМ</v>
      </c>
      <c r="Q557" s="13" t="str">
        <f t="shared" si="61"/>
        <v>ГОТОВ</v>
      </c>
      <c r="R557" s="13">
        <f>IFERROR(VLOOKUP(P557,Лист1!A$1:B$20,2,FALSE),0)</f>
        <v>784</v>
      </c>
      <c r="S557" s="13">
        <f t="shared" si="62"/>
        <v>4</v>
      </c>
    </row>
    <row r="558" spans="1:19" x14ac:dyDescent="0.25">
      <c r="A558" t="s">
        <v>1759</v>
      </c>
      <c r="B558" s="4" t="s">
        <v>1190</v>
      </c>
      <c r="C558" s="3" t="s">
        <v>5</v>
      </c>
      <c r="G558" s="3" t="s">
        <v>1187</v>
      </c>
      <c r="I558" s="3" t="str">
        <f>IFERROR(VLOOKUP(C558,'Справочник соответствий'!A$2:D$2996,2,FALSE),IF(VALUE(C558)=0,1,VLOOKUP(C558,'Справочник соответствий'!A$2:D$2996,2,FALSE)))</f>
        <v>1</v>
      </c>
      <c r="J558" s="3">
        <f>IFERROR(VLOOKUP(D558,'Справочник соответствий'!A$2:D$2996,2,FALSE),IF(VALUE(D558)=0,0,VLOOKUP(D558,'Справочник соответствий'!A$2:D$2996,2,FALSE)))</f>
        <v>0</v>
      </c>
      <c r="K558" s="3" t="str">
        <f t="shared" si="56"/>
        <v>1</v>
      </c>
      <c r="L558" s="13" t="str">
        <f>IFERROR(VLOOKUP(C558,'Справочник соответствий'!A$2:D$2996,3,FALSE),IF(VALUE(C558)=0,"ЭТАЖ НЕ ОПРЕДЕЛЕН. ПРИНЯТ ПО ДОПУЩЕНИЮ 1",VLOOKUP(C558,'Справочник соответствий'!A$2:D$2996,3,FALSE)))</f>
        <v>ЭТАЖ ЗАДАН ЧИСЛОМ</v>
      </c>
      <c r="M558" s="13" t="b">
        <f t="shared" si="57"/>
        <v>0</v>
      </c>
      <c r="N558" s="13">
        <f t="shared" si="58"/>
        <v>1</v>
      </c>
      <c r="O558" s="13" t="str">
        <f t="shared" si="59"/>
        <v>ЭТАЖ ЗАДАН ЧИСЛОМ</v>
      </c>
      <c r="P558" s="13" t="str">
        <f t="shared" si="60"/>
        <v>ЭТАЖ ЗАДАН ЧИСЛОМ</v>
      </c>
      <c r="Q558" s="13" t="str">
        <f t="shared" si="61"/>
        <v>ГОТОВ_ИЗМЕНЕН</v>
      </c>
      <c r="R558" s="13">
        <f>IFERROR(VLOOKUP(P558,Лист1!A$1:B$20,2,FALSE),0)</f>
        <v>784</v>
      </c>
      <c r="S558" s="13">
        <f t="shared" si="62"/>
        <v>0</v>
      </c>
    </row>
    <row r="559" spans="1:19" x14ac:dyDescent="0.25">
      <c r="A559" t="s">
        <v>1760</v>
      </c>
      <c r="B559" s="4" t="s">
        <v>1190</v>
      </c>
      <c r="C559" s="3" t="s">
        <v>5</v>
      </c>
      <c r="G559" s="3" t="s">
        <v>1187</v>
      </c>
      <c r="I559" s="3" t="str">
        <f>IFERROR(VLOOKUP(C559,'Справочник соответствий'!A$2:D$2996,2,FALSE),IF(VALUE(C559)=0,1,VLOOKUP(C559,'Справочник соответствий'!A$2:D$2996,2,FALSE)))</f>
        <v>1</v>
      </c>
      <c r="J559" s="3">
        <f>IFERROR(VLOOKUP(D559,'Справочник соответствий'!A$2:D$2996,2,FALSE),IF(VALUE(D559)=0,0,VLOOKUP(D559,'Справочник соответствий'!A$2:D$2996,2,FALSE)))</f>
        <v>0</v>
      </c>
      <c r="K559" s="3" t="str">
        <f t="shared" si="56"/>
        <v>1</v>
      </c>
      <c r="L559" s="13" t="str">
        <f>IFERROR(VLOOKUP(C559,'Справочник соответствий'!A$2:D$2996,3,FALSE),IF(VALUE(C559)=0,"ЭТАЖ НЕ ОПРЕДЕЛЕН. ПРИНЯТ ПО ДОПУЩЕНИЮ 1",VLOOKUP(C559,'Справочник соответствий'!A$2:D$2996,3,FALSE)))</f>
        <v>ЭТАЖ ЗАДАН ЧИСЛОМ</v>
      </c>
      <c r="M559" s="13" t="b">
        <f t="shared" si="57"/>
        <v>0</v>
      </c>
      <c r="N559" s="13">
        <f t="shared" si="58"/>
        <v>1</v>
      </c>
      <c r="O559" s="13" t="str">
        <f t="shared" si="59"/>
        <v>ЭТАЖ ЗАДАН ЧИСЛОМ</v>
      </c>
      <c r="P559" s="13" t="str">
        <f t="shared" si="60"/>
        <v>ЭТАЖ ЗАДАН ЧИСЛОМ</v>
      </c>
      <c r="Q559" s="13" t="str">
        <f t="shared" si="61"/>
        <v>ГОТОВ_ИЗМЕНЕН</v>
      </c>
      <c r="R559" s="13">
        <f>IFERROR(VLOOKUP(P559,Лист1!A$1:B$20,2,FALSE),0)</f>
        <v>784</v>
      </c>
      <c r="S559" s="13">
        <f t="shared" si="62"/>
        <v>0</v>
      </c>
    </row>
    <row r="560" spans="1:19" x14ac:dyDescent="0.25">
      <c r="A560" t="s">
        <v>1761</v>
      </c>
      <c r="B560" s="4" t="s">
        <v>1182</v>
      </c>
      <c r="C560" s="3" t="s">
        <v>5</v>
      </c>
      <c r="G560" s="3" t="s">
        <v>1187</v>
      </c>
      <c r="I560" s="3" t="str">
        <f>IFERROR(VLOOKUP(C560,'Справочник соответствий'!A$2:D$2996,2,FALSE),IF(VALUE(C560)=0,1,VLOOKUP(C560,'Справочник соответствий'!A$2:D$2996,2,FALSE)))</f>
        <v>1</v>
      </c>
      <c r="J560" s="3">
        <f>IFERROR(VLOOKUP(D560,'Справочник соответствий'!A$2:D$2996,2,FALSE),IF(VALUE(D560)=0,0,VLOOKUP(D560,'Справочник соответствий'!A$2:D$2996,2,FALSE)))</f>
        <v>0</v>
      </c>
      <c r="K560" s="3" t="str">
        <f t="shared" si="56"/>
        <v>1</v>
      </c>
      <c r="L560" s="13" t="str">
        <f>IFERROR(VLOOKUP(C560,'Справочник соответствий'!A$2:D$2996,3,FALSE),IF(VALUE(C560)=0,"ЭТАЖ НЕ ОПРЕДЕЛЕН. ПРИНЯТ ПО ДОПУЩЕНИЮ 1",VLOOKUP(C560,'Справочник соответствий'!A$2:D$2996,3,FALSE)))</f>
        <v>ЭТАЖ ЗАДАН ЧИСЛОМ</v>
      </c>
      <c r="M560" s="13" t="b">
        <f t="shared" si="57"/>
        <v>0</v>
      </c>
      <c r="N560" s="13">
        <f t="shared" si="58"/>
        <v>1</v>
      </c>
      <c r="O560" s="13" t="str">
        <f t="shared" si="59"/>
        <v>ЭТАЖ ЗАДАН ЧИСЛОМ</v>
      </c>
      <c r="P560" s="13" t="str">
        <f t="shared" si="60"/>
        <v>ЭТАЖ ЗАДАН ЧИСЛОМ</v>
      </c>
      <c r="Q560" s="13" t="str">
        <f t="shared" si="61"/>
        <v>ГОТОВ_ИЗМЕНЕН</v>
      </c>
      <c r="R560" s="13">
        <f>IFERROR(VLOOKUP(P560,Лист1!A$1:B$20,2,FALSE),0)</f>
        <v>784</v>
      </c>
      <c r="S560" s="13">
        <f t="shared" si="62"/>
        <v>0</v>
      </c>
    </row>
    <row r="561" spans="1:19" x14ac:dyDescent="0.25">
      <c r="A561" t="s">
        <v>1762</v>
      </c>
      <c r="B561" s="4" t="s">
        <v>1190</v>
      </c>
      <c r="C561" s="3" t="s">
        <v>5</v>
      </c>
      <c r="G561" s="3" t="s">
        <v>1187</v>
      </c>
      <c r="I561" s="3" t="str">
        <f>IFERROR(VLOOKUP(C561,'Справочник соответствий'!A$2:D$2996,2,FALSE),IF(VALUE(C561)=0,1,VLOOKUP(C561,'Справочник соответствий'!A$2:D$2996,2,FALSE)))</f>
        <v>1</v>
      </c>
      <c r="J561" s="3">
        <f>IFERROR(VLOOKUP(D561,'Справочник соответствий'!A$2:D$2996,2,FALSE),IF(VALUE(D561)=0,0,VLOOKUP(D561,'Справочник соответствий'!A$2:D$2996,2,FALSE)))</f>
        <v>0</v>
      </c>
      <c r="K561" s="3" t="str">
        <f t="shared" si="56"/>
        <v>1</v>
      </c>
      <c r="L561" s="13" t="str">
        <f>IFERROR(VLOOKUP(C561,'Справочник соответствий'!A$2:D$2996,3,FALSE),IF(VALUE(C561)=0,"ЭТАЖ НЕ ОПРЕДЕЛЕН. ПРИНЯТ ПО ДОПУЩЕНИЮ 1",VLOOKUP(C561,'Справочник соответствий'!A$2:D$2996,3,FALSE)))</f>
        <v>ЭТАЖ ЗАДАН ЧИСЛОМ</v>
      </c>
      <c r="M561" s="13" t="b">
        <f t="shared" si="57"/>
        <v>0</v>
      </c>
      <c r="N561" s="13">
        <f t="shared" si="58"/>
        <v>1</v>
      </c>
      <c r="O561" s="13" t="str">
        <f t="shared" si="59"/>
        <v>ЭТАЖ ЗАДАН ЧИСЛОМ</v>
      </c>
      <c r="P561" s="13" t="str">
        <f t="shared" si="60"/>
        <v>ЭТАЖ ЗАДАН ЧИСЛОМ</v>
      </c>
      <c r="Q561" s="13" t="str">
        <f t="shared" si="61"/>
        <v>ГОТОВ_ИЗМЕНЕН</v>
      </c>
      <c r="R561" s="13">
        <f>IFERROR(VLOOKUP(P561,Лист1!A$1:B$20,2,FALSE),0)</f>
        <v>784</v>
      </c>
      <c r="S561" s="13">
        <f t="shared" si="62"/>
        <v>0</v>
      </c>
    </row>
    <row r="562" spans="1:19" x14ac:dyDescent="0.25">
      <c r="A562" t="s">
        <v>1763</v>
      </c>
      <c r="B562" s="4" t="s">
        <v>1182</v>
      </c>
      <c r="C562" s="3" t="s">
        <v>5</v>
      </c>
      <c r="G562" s="3" t="s">
        <v>1187</v>
      </c>
      <c r="I562" s="3" t="str">
        <f>IFERROR(VLOOKUP(C562,'Справочник соответствий'!A$2:D$2996,2,FALSE),IF(VALUE(C562)=0,1,VLOOKUP(C562,'Справочник соответствий'!A$2:D$2996,2,FALSE)))</f>
        <v>1</v>
      </c>
      <c r="J562" s="3">
        <f>IFERROR(VLOOKUP(D562,'Справочник соответствий'!A$2:D$2996,2,FALSE),IF(VALUE(D562)=0,0,VLOOKUP(D562,'Справочник соответствий'!A$2:D$2996,2,FALSE)))</f>
        <v>0</v>
      </c>
      <c r="K562" s="3" t="str">
        <f t="shared" si="56"/>
        <v>1</v>
      </c>
      <c r="L562" s="13" t="str">
        <f>IFERROR(VLOOKUP(C562,'Справочник соответствий'!A$2:D$2996,3,FALSE),IF(VALUE(C562)=0,"ЭТАЖ НЕ ОПРЕДЕЛЕН. ПРИНЯТ ПО ДОПУЩЕНИЮ 1",VLOOKUP(C562,'Справочник соответствий'!A$2:D$2996,3,FALSE)))</f>
        <v>ЭТАЖ ЗАДАН ЧИСЛОМ</v>
      </c>
      <c r="M562" s="13" t="b">
        <f t="shared" si="57"/>
        <v>0</v>
      </c>
      <c r="N562" s="13">
        <f t="shared" si="58"/>
        <v>1</v>
      </c>
      <c r="O562" s="13" t="str">
        <f t="shared" si="59"/>
        <v>ЭТАЖ ЗАДАН ЧИСЛОМ</v>
      </c>
      <c r="P562" s="13" t="str">
        <f t="shared" si="60"/>
        <v>ЭТАЖ ЗАДАН ЧИСЛОМ</v>
      </c>
      <c r="Q562" s="13" t="str">
        <f t="shared" si="61"/>
        <v>ГОТОВ_ИЗМЕНЕН</v>
      </c>
      <c r="R562" s="13">
        <f>IFERROR(VLOOKUP(P562,Лист1!A$1:B$20,2,FALSE),0)</f>
        <v>784</v>
      </c>
      <c r="S562" s="13">
        <f t="shared" si="62"/>
        <v>0</v>
      </c>
    </row>
    <row r="563" spans="1:19" x14ac:dyDescent="0.25">
      <c r="A563" t="s">
        <v>1764</v>
      </c>
      <c r="B563" s="4" t="s">
        <v>1182</v>
      </c>
      <c r="C563" s="3" t="s">
        <v>7</v>
      </c>
      <c r="G563" s="3" t="s">
        <v>1187</v>
      </c>
      <c r="I563" s="3" t="str">
        <f>IFERROR(VLOOKUP(C563,'Справочник соответствий'!A$2:D$2996,2,FALSE),IF(VALUE(C563)=0,1,VLOOKUP(C563,'Справочник соответствий'!A$2:D$2996,2,FALSE)))</f>
        <v>2</v>
      </c>
      <c r="J563" s="3">
        <f>IFERROR(VLOOKUP(D563,'Справочник соответствий'!A$2:D$2996,2,FALSE),IF(VALUE(D563)=0,0,VLOOKUP(D563,'Справочник соответствий'!A$2:D$2996,2,FALSE)))</f>
        <v>0</v>
      </c>
      <c r="K563" s="3" t="str">
        <f t="shared" si="56"/>
        <v>2</v>
      </c>
      <c r="L563" s="13" t="str">
        <f>IFERROR(VLOOKUP(C563,'Справочник соответствий'!A$2:D$2996,3,FALSE),IF(VALUE(C563)=0,"ЭТАЖ НЕ ОПРЕДЕЛЕН. ПРИНЯТ ПО ДОПУЩЕНИЮ 1",VLOOKUP(C563,'Справочник соответствий'!A$2:D$2996,3,FALSE)))</f>
        <v>ЭТАЖ ЗАДАН ЧИСЛОМ</v>
      </c>
      <c r="M563" s="13" t="b">
        <f t="shared" si="57"/>
        <v>0</v>
      </c>
      <c r="N563" s="13">
        <f t="shared" si="58"/>
        <v>2</v>
      </c>
      <c r="O563" s="13" t="str">
        <f t="shared" si="59"/>
        <v>ЭТАЖ ЗАДАН ЧИСЛОМ</v>
      </c>
      <c r="P563" s="13" t="str">
        <f t="shared" si="60"/>
        <v>ЭТАЖ ЗАДАН ЧИСЛОМ</v>
      </c>
      <c r="Q563" s="13" t="str">
        <f t="shared" si="61"/>
        <v>ГОТОВ_ИЗМЕНЕН</v>
      </c>
      <c r="R563" s="13">
        <f>IFERROR(VLOOKUP(P563,Лист1!A$1:B$20,2,FALSE),0)</f>
        <v>784</v>
      </c>
      <c r="S563" s="13">
        <f t="shared" si="62"/>
        <v>0</v>
      </c>
    </row>
    <row r="564" spans="1:19" x14ac:dyDescent="0.25">
      <c r="A564" t="s">
        <v>1765</v>
      </c>
      <c r="B564" s="4" t="s">
        <v>1031</v>
      </c>
      <c r="C564" s="3" t="s">
        <v>7</v>
      </c>
      <c r="G564" s="3" t="s">
        <v>1191</v>
      </c>
      <c r="I564" s="3" t="str">
        <f>IFERROR(VLOOKUP(C564,'Справочник соответствий'!A$2:D$2996,2,FALSE),IF(VALUE(C564)=0,1,VLOOKUP(C564,'Справочник соответствий'!A$2:D$2996,2,FALSE)))</f>
        <v>2</v>
      </c>
      <c r="J564" s="3">
        <f>IFERROR(VLOOKUP(D564,'Справочник соответствий'!A$2:D$2996,2,FALSE),IF(VALUE(D564)=0,0,VLOOKUP(D564,'Справочник соответствий'!A$2:D$2996,2,FALSE)))</f>
        <v>0</v>
      </c>
      <c r="K564" s="3">
        <f t="shared" si="56"/>
        <v>2</v>
      </c>
      <c r="L564" s="13" t="str">
        <f>IFERROR(VLOOKUP(C564,'Справочник соответствий'!A$2:D$2996,3,FALSE),IF(VALUE(C564)=0,"ЭТАЖ НЕ ОПРЕДЕЛЕН. ПРИНЯТ ПО ДОПУЩЕНИЮ 1",VLOOKUP(C564,'Справочник соответствий'!A$2:D$2996,3,FALSE)))</f>
        <v>ЭТАЖ ЗАДАН ЧИСЛОМ</v>
      </c>
      <c r="M564" s="13" t="b">
        <f t="shared" si="57"/>
        <v>0</v>
      </c>
      <c r="N564" s="13">
        <f t="shared" si="58"/>
        <v>2</v>
      </c>
      <c r="O564" s="13" t="str">
        <f t="shared" si="59"/>
        <v>ЭТАЖ ЗАДАН ЧИСЛОМ</v>
      </c>
      <c r="P564" s="13" t="str">
        <f t="shared" si="60"/>
        <v>МКД_ЭТАЖ ЗАДАН ЧИСЛОМ</v>
      </c>
      <c r="Q564" s="13" t="str">
        <f t="shared" si="61"/>
        <v>ГОТОВ_ИЗМЕНЕН</v>
      </c>
      <c r="R564" s="13">
        <f>IFERROR(VLOOKUP(P564,Лист1!A$1:B$20,2,FALSE),0)</f>
        <v>786</v>
      </c>
      <c r="S564" s="13">
        <f t="shared" si="62"/>
        <v>0</v>
      </c>
    </row>
    <row r="565" spans="1:19" x14ac:dyDescent="0.25">
      <c r="A565" t="s">
        <v>1766</v>
      </c>
      <c r="B565" s="4" t="s">
        <v>1190</v>
      </c>
      <c r="C565" s="3" t="s">
        <v>7</v>
      </c>
      <c r="G565" s="3" t="s">
        <v>1191</v>
      </c>
      <c r="I565" s="3" t="str">
        <f>IFERROR(VLOOKUP(C565,'Справочник соответствий'!A$2:D$2996,2,FALSE),IF(VALUE(C565)=0,1,VLOOKUP(C565,'Справочник соответствий'!A$2:D$2996,2,FALSE)))</f>
        <v>2</v>
      </c>
      <c r="J565" s="3">
        <f>IFERROR(VLOOKUP(D565,'Справочник соответствий'!A$2:D$2996,2,FALSE),IF(VALUE(D565)=0,0,VLOOKUP(D565,'Справочник соответствий'!A$2:D$2996,2,FALSE)))</f>
        <v>0</v>
      </c>
      <c r="K565" s="3" t="str">
        <f t="shared" si="56"/>
        <v>2</v>
      </c>
      <c r="L565" s="13" t="str">
        <f>IFERROR(VLOOKUP(C565,'Справочник соответствий'!A$2:D$2996,3,FALSE),IF(VALUE(C565)=0,"ЭТАЖ НЕ ОПРЕДЕЛЕН. ПРИНЯТ ПО ДОПУЩЕНИЮ 1",VLOOKUP(C565,'Справочник соответствий'!A$2:D$2996,3,FALSE)))</f>
        <v>ЭТАЖ ЗАДАН ЧИСЛОМ</v>
      </c>
      <c r="M565" s="13" t="b">
        <f t="shared" si="57"/>
        <v>0</v>
      </c>
      <c r="N565" s="13">
        <f t="shared" si="58"/>
        <v>2</v>
      </c>
      <c r="O565" s="13" t="str">
        <f t="shared" si="59"/>
        <v>ЭТАЖ ЗАДАН ЧИСЛОМ</v>
      </c>
      <c r="P565" s="13" t="str">
        <f t="shared" si="60"/>
        <v>ЭТАЖ ЗАДАН ЧИСЛОМ</v>
      </c>
      <c r="Q565" s="13" t="str">
        <f t="shared" si="61"/>
        <v>ГОТОВ_ИЗМЕНЕН</v>
      </c>
      <c r="R565" s="13">
        <f>IFERROR(VLOOKUP(P565,Лист1!A$1:B$20,2,FALSE),0)</f>
        <v>784</v>
      </c>
      <c r="S565" s="13">
        <f t="shared" si="62"/>
        <v>0</v>
      </c>
    </row>
    <row r="566" spans="1:19" x14ac:dyDescent="0.25">
      <c r="A566" t="s">
        <v>1767</v>
      </c>
      <c r="B566" s="4" t="s">
        <v>1182</v>
      </c>
      <c r="C566" s="3" t="s">
        <v>5</v>
      </c>
      <c r="G566" s="3" t="s">
        <v>1191</v>
      </c>
      <c r="I566" s="3" t="str">
        <f>IFERROR(VLOOKUP(C566,'Справочник соответствий'!A$2:D$2996,2,FALSE),IF(VALUE(C566)=0,1,VLOOKUP(C566,'Справочник соответствий'!A$2:D$2996,2,FALSE)))</f>
        <v>1</v>
      </c>
      <c r="J566" s="3">
        <f>IFERROR(VLOOKUP(D566,'Справочник соответствий'!A$2:D$2996,2,FALSE),IF(VALUE(D566)=0,0,VLOOKUP(D566,'Справочник соответствий'!A$2:D$2996,2,FALSE)))</f>
        <v>0</v>
      </c>
      <c r="K566" s="3" t="str">
        <f t="shared" si="56"/>
        <v>1</v>
      </c>
      <c r="L566" s="13" t="str">
        <f>IFERROR(VLOOKUP(C566,'Справочник соответствий'!A$2:D$2996,3,FALSE),IF(VALUE(C566)=0,"ЭТАЖ НЕ ОПРЕДЕЛЕН. ПРИНЯТ ПО ДОПУЩЕНИЮ 1",VLOOKUP(C566,'Справочник соответствий'!A$2:D$2996,3,FALSE)))</f>
        <v>ЭТАЖ ЗАДАН ЧИСЛОМ</v>
      </c>
      <c r="M566" s="13" t="b">
        <f t="shared" si="57"/>
        <v>0</v>
      </c>
      <c r="N566" s="13">
        <f t="shared" si="58"/>
        <v>1</v>
      </c>
      <c r="O566" s="13" t="str">
        <f t="shared" si="59"/>
        <v>ЭТАЖ ЗАДАН ЧИСЛОМ</v>
      </c>
      <c r="P566" s="13" t="str">
        <f t="shared" si="60"/>
        <v>ЭТАЖ ЗАДАН ЧИСЛОМ</v>
      </c>
      <c r="Q566" s="13" t="str">
        <f t="shared" si="61"/>
        <v>ГОТОВ_ИЗМЕНЕН</v>
      </c>
      <c r="R566" s="13">
        <f>IFERROR(VLOOKUP(P566,Лист1!A$1:B$20,2,FALSE),0)</f>
        <v>784</v>
      </c>
      <c r="S566" s="13">
        <f t="shared" si="62"/>
        <v>0</v>
      </c>
    </row>
    <row r="567" spans="1:19" x14ac:dyDescent="0.25">
      <c r="A567" t="s">
        <v>1768</v>
      </c>
      <c r="B567" s="4" t="s">
        <v>1190</v>
      </c>
      <c r="C567" s="3" t="s">
        <v>7</v>
      </c>
      <c r="G567" s="3" t="s">
        <v>1191</v>
      </c>
      <c r="I567" s="3" t="str">
        <f>IFERROR(VLOOKUP(C567,'Справочник соответствий'!A$2:D$2996,2,FALSE),IF(VALUE(C567)=0,1,VLOOKUP(C567,'Справочник соответствий'!A$2:D$2996,2,FALSE)))</f>
        <v>2</v>
      </c>
      <c r="J567" s="3">
        <f>IFERROR(VLOOKUP(D567,'Справочник соответствий'!A$2:D$2996,2,FALSE),IF(VALUE(D567)=0,0,VLOOKUP(D567,'Справочник соответствий'!A$2:D$2996,2,FALSE)))</f>
        <v>0</v>
      </c>
      <c r="K567" s="3" t="str">
        <f t="shared" si="56"/>
        <v>2</v>
      </c>
      <c r="L567" s="13" t="str">
        <f>IFERROR(VLOOKUP(C567,'Справочник соответствий'!A$2:D$2996,3,FALSE),IF(VALUE(C567)=0,"ЭТАЖ НЕ ОПРЕДЕЛЕН. ПРИНЯТ ПО ДОПУЩЕНИЮ 1",VLOOKUP(C567,'Справочник соответствий'!A$2:D$2996,3,FALSE)))</f>
        <v>ЭТАЖ ЗАДАН ЧИСЛОМ</v>
      </c>
      <c r="M567" s="13" t="b">
        <f t="shared" si="57"/>
        <v>0</v>
      </c>
      <c r="N567" s="13">
        <f t="shared" si="58"/>
        <v>2</v>
      </c>
      <c r="O567" s="13" t="str">
        <f t="shared" si="59"/>
        <v>ЭТАЖ ЗАДАН ЧИСЛОМ</v>
      </c>
      <c r="P567" s="13" t="str">
        <f t="shared" si="60"/>
        <v>ЭТАЖ ЗАДАН ЧИСЛОМ</v>
      </c>
      <c r="Q567" s="13" t="str">
        <f t="shared" si="61"/>
        <v>ГОТОВ_ИЗМЕНЕН</v>
      </c>
      <c r="R567" s="13">
        <f>IFERROR(VLOOKUP(P567,Лист1!A$1:B$20,2,FALSE),0)</f>
        <v>784</v>
      </c>
      <c r="S567" s="13">
        <f t="shared" si="62"/>
        <v>0</v>
      </c>
    </row>
    <row r="568" spans="1:19" x14ac:dyDescent="0.25">
      <c r="A568" t="s">
        <v>1769</v>
      </c>
      <c r="B568" s="4" t="s">
        <v>1190</v>
      </c>
      <c r="C568" s="3" t="s">
        <v>7</v>
      </c>
      <c r="G568" s="3" t="s">
        <v>1191</v>
      </c>
      <c r="I568" s="3" t="str">
        <f>IFERROR(VLOOKUP(C568,'Справочник соответствий'!A$2:D$2996,2,FALSE),IF(VALUE(C568)=0,1,VLOOKUP(C568,'Справочник соответствий'!A$2:D$2996,2,FALSE)))</f>
        <v>2</v>
      </c>
      <c r="J568" s="3">
        <f>IFERROR(VLOOKUP(D568,'Справочник соответствий'!A$2:D$2996,2,FALSE),IF(VALUE(D568)=0,0,VLOOKUP(D568,'Справочник соответствий'!A$2:D$2996,2,FALSE)))</f>
        <v>0</v>
      </c>
      <c r="K568" s="3" t="str">
        <f t="shared" si="56"/>
        <v>2</v>
      </c>
      <c r="L568" s="13" t="str">
        <f>IFERROR(VLOOKUP(C568,'Справочник соответствий'!A$2:D$2996,3,FALSE),IF(VALUE(C568)=0,"ЭТАЖ НЕ ОПРЕДЕЛЕН. ПРИНЯТ ПО ДОПУЩЕНИЮ 1",VLOOKUP(C568,'Справочник соответствий'!A$2:D$2996,3,FALSE)))</f>
        <v>ЭТАЖ ЗАДАН ЧИСЛОМ</v>
      </c>
      <c r="M568" s="13" t="b">
        <f t="shared" si="57"/>
        <v>0</v>
      </c>
      <c r="N568" s="13">
        <f t="shared" si="58"/>
        <v>2</v>
      </c>
      <c r="O568" s="13" t="str">
        <f t="shared" si="59"/>
        <v>ЭТАЖ ЗАДАН ЧИСЛОМ</v>
      </c>
      <c r="P568" s="13" t="str">
        <f t="shared" si="60"/>
        <v>ЭТАЖ ЗАДАН ЧИСЛОМ</v>
      </c>
      <c r="Q568" s="13" t="str">
        <f t="shared" si="61"/>
        <v>ГОТОВ_ИЗМЕНЕН</v>
      </c>
      <c r="R568" s="13">
        <f>IFERROR(VLOOKUP(P568,Лист1!A$1:B$20,2,FALSE),0)</f>
        <v>784</v>
      </c>
      <c r="S568" s="13">
        <f t="shared" si="62"/>
        <v>0</v>
      </c>
    </row>
    <row r="569" spans="1:19" x14ac:dyDescent="0.25">
      <c r="A569" t="s">
        <v>1770</v>
      </c>
      <c r="B569" s="4" t="s">
        <v>1190</v>
      </c>
      <c r="C569" s="3" t="s">
        <v>7</v>
      </c>
      <c r="G569" s="3" t="s">
        <v>1183</v>
      </c>
      <c r="I569" s="3" t="str">
        <f>IFERROR(VLOOKUP(C569,'Справочник соответствий'!A$2:D$2996,2,FALSE),IF(VALUE(C569)=0,1,VLOOKUP(C569,'Справочник соответствий'!A$2:D$2996,2,FALSE)))</f>
        <v>2</v>
      </c>
      <c r="J569" s="3">
        <f>IFERROR(VLOOKUP(D569,'Справочник соответствий'!A$2:D$2996,2,FALSE),IF(VALUE(D569)=0,0,VLOOKUP(D569,'Справочник соответствий'!A$2:D$2996,2,FALSE)))</f>
        <v>0</v>
      </c>
      <c r="K569" s="3" t="str">
        <f t="shared" si="56"/>
        <v>2</v>
      </c>
      <c r="L569" s="13" t="str">
        <f>IFERROR(VLOOKUP(C569,'Справочник соответствий'!A$2:D$2996,3,FALSE),IF(VALUE(C569)=0,"ЭТАЖ НЕ ОПРЕДЕЛЕН. ПРИНЯТ ПО ДОПУЩЕНИЮ 1",VLOOKUP(C569,'Справочник соответствий'!A$2:D$2996,3,FALSE)))</f>
        <v>ЭТАЖ ЗАДАН ЧИСЛОМ</v>
      </c>
      <c r="M569" s="13" t="b">
        <f t="shared" si="57"/>
        <v>0</v>
      </c>
      <c r="N569" s="13">
        <f t="shared" si="58"/>
        <v>2</v>
      </c>
      <c r="O569" s="13" t="str">
        <f t="shared" si="59"/>
        <v>ЭТАЖ ЗАДАН ЧИСЛОМ</v>
      </c>
      <c r="P569" s="13" t="str">
        <f t="shared" si="60"/>
        <v>ЭТАЖ ЗАДАН ЧИСЛОМ</v>
      </c>
      <c r="Q569" s="13" t="str">
        <f t="shared" si="61"/>
        <v>ГОТОВ_ИЗМЕНЕН</v>
      </c>
      <c r="R569" s="13">
        <f>IFERROR(VLOOKUP(P569,Лист1!A$1:B$20,2,FALSE),0)</f>
        <v>784</v>
      </c>
      <c r="S569" s="13">
        <f t="shared" si="62"/>
        <v>0</v>
      </c>
    </row>
    <row r="570" spans="1:19" x14ac:dyDescent="0.25">
      <c r="A570" t="s">
        <v>1771</v>
      </c>
      <c r="B570" s="4" t="s">
        <v>1190</v>
      </c>
      <c r="C570" s="3" t="s">
        <v>5</v>
      </c>
      <c r="G570" s="3" t="s">
        <v>1183</v>
      </c>
      <c r="I570" s="3" t="str">
        <f>IFERROR(VLOOKUP(C570,'Справочник соответствий'!A$2:D$2996,2,FALSE),IF(VALUE(C570)=0,1,VLOOKUP(C570,'Справочник соответствий'!A$2:D$2996,2,FALSE)))</f>
        <v>1</v>
      </c>
      <c r="J570" s="3">
        <f>IFERROR(VLOOKUP(D570,'Справочник соответствий'!A$2:D$2996,2,FALSE),IF(VALUE(D570)=0,0,VLOOKUP(D570,'Справочник соответствий'!A$2:D$2996,2,FALSE)))</f>
        <v>0</v>
      </c>
      <c r="K570" s="3" t="str">
        <f t="shared" si="56"/>
        <v>1</v>
      </c>
      <c r="L570" s="13" t="str">
        <f>IFERROR(VLOOKUP(C570,'Справочник соответствий'!A$2:D$2996,3,FALSE),IF(VALUE(C570)=0,"ЭТАЖ НЕ ОПРЕДЕЛЕН. ПРИНЯТ ПО ДОПУЩЕНИЮ 1",VLOOKUP(C570,'Справочник соответствий'!A$2:D$2996,3,FALSE)))</f>
        <v>ЭТАЖ ЗАДАН ЧИСЛОМ</v>
      </c>
      <c r="M570" s="13" t="b">
        <f t="shared" si="57"/>
        <v>0</v>
      </c>
      <c r="N570" s="13">
        <f t="shared" si="58"/>
        <v>1</v>
      </c>
      <c r="O570" s="13" t="str">
        <f t="shared" si="59"/>
        <v>ЭТАЖ ЗАДАН ЧИСЛОМ</v>
      </c>
      <c r="P570" s="13" t="str">
        <f t="shared" si="60"/>
        <v>ЭТАЖ ЗАДАН ЧИСЛОМ</v>
      </c>
      <c r="Q570" s="13" t="str">
        <f t="shared" si="61"/>
        <v>ГОТОВ_ИЗМЕНЕН</v>
      </c>
      <c r="R570" s="13">
        <f>IFERROR(VLOOKUP(P570,Лист1!A$1:B$20,2,FALSE),0)</f>
        <v>784</v>
      </c>
      <c r="S570" s="13">
        <f t="shared" si="62"/>
        <v>0</v>
      </c>
    </row>
    <row r="571" spans="1:19" x14ac:dyDescent="0.25">
      <c r="A571" t="s">
        <v>1772</v>
      </c>
      <c r="B571" s="4" t="s">
        <v>1190</v>
      </c>
      <c r="C571" s="3" t="s">
        <v>5</v>
      </c>
      <c r="G571" s="3" t="s">
        <v>1183</v>
      </c>
      <c r="I571" s="3" t="str">
        <f>IFERROR(VLOOKUP(C571,'Справочник соответствий'!A$2:D$2996,2,FALSE),IF(VALUE(C571)=0,1,VLOOKUP(C571,'Справочник соответствий'!A$2:D$2996,2,FALSE)))</f>
        <v>1</v>
      </c>
      <c r="J571" s="3">
        <f>IFERROR(VLOOKUP(D571,'Справочник соответствий'!A$2:D$2996,2,FALSE),IF(VALUE(D571)=0,0,VLOOKUP(D571,'Справочник соответствий'!A$2:D$2996,2,FALSE)))</f>
        <v>0</v>
      </c>
      <c r="K571" s="3" t="str">
        <f t="shared" si="56"/>
        <v>1</v>
      </c>
      <c r="L571" s="13" t="str">
        <f>IFERROR(VLOOKUP(C571,'Справочник соответствий'!A$2:D$2996,3,FALSE),IF(VALUE(C571)=0,"ЭТАЖ НЕ ОПРЕДЕЛЕН. ПРИНЯТ ПО ДОПУЩЕНИЮ 1",VLOOKUP(C571,'Справочник соответствий'!A$2:D$2996,3,FALSE)))</f>
        <v>ЭТАЖ ЗАДАН ЧИСЛОМ</v>
      </c>
      <c r="M571" s="13" t="b">
        <f t="shared" si="57"/>
        <v>0</v>
      </c>
      <c r="N571" s="13">
        <f t="shared" si="58"/>
        <v>1</v>
      </c>
      <c r="O571" s="13" t="str">
        <f t="shared" si="59"/>
        <v>ЭТАЖ ЗАДАН ЧИСЛОМ</v>
      </c>
      <c r="P571" s="13" t="str">
        <f t="shared" si="60"/>
        <v>ЭТАЖ ЗАДАН ЧИСЛОМ</v>
      </c>
      <c r="Q571" s="13" t="str">
        <f t="shared" si="61"/>
        <v>ГОТОВ_ИЗМЕНЕН</v>
      </c>
      <c r="R571" s="13">
        <f>IFERROR(VLOOKUP(P571,Лист1!A$1:B$20,2,FALSE),0)</f>
        <v>784</v>
      </c>
      <c r="S571" s="13">
        <f t="shared" si="62"/>
        <v>0</v>
      </c>
    </row>
    <row r="572" spans="1:19" x14ac:dyDescent="0.25">
      <c r="A572" t="s">
        <v>1773</v>
      </c>
      <c r="B572" s="4" t="s">
        <v>1190</v>
      </c>
      <c r="C572" s="3" t="s">
        <v>7</v>
      </c>
      <c r="G572" s="3" t="s">
        <v>1183</v>
      </c>
      <c r="I572" s="3" t="str">
        <f>IFERROR(VLOOKUP(C572,'Справочник соответствий'!A$2:D$2996,2,FALSE),IF(VALUE(C572)=0,1,VLOOKUP(C572,'Справочник соответствий'!A$2:D$2996,2,FALSE)))</f>
        <v>2</v>
      </c>
      <c r="J572" s="3">
        <f>IFERROR(VLOOKUP(D572,'Справочник соответствий'!A$2:D$2996,2,FALSE),IF(VALUE(D572)=0,0,VLOOKUP(D572,'Справочник соответствий'!A$2:D$2996,2,FALSE)))</f>
        <v>0</v>
      </c>
      <c r="K572" s="3" t="str">
        <f t="shared" si="56"/>
        <v>2</v>
      </c>
      <c r="L572" s="13" t="str">
        <f>IFERROR(VLOOKUP(C572,'Справочник соответствий'!A$2:D$2996,3,FALSE),IF(VALUE(C572)=0,"ЭТАЖ НЕ ОПРЕДЕЛЕН. ПРИНЯТ ПО ДОПУЩЕНИЮ 1",VLOOKUP(C572,'Справочник соответствий'!A$2:D$2996,3,FALSE)))</f>
        <v>ЭТАЖ ЗАДАН ЧИСЛОМ</v>
      </c>
      <c r="M572" s="13" t="b">
        <f t="shared" si="57"/>
        <v>0</v>
      </c>
      <c r="N572" s="13">
        <f t="shared" si="58"/>
        <v>2</v>
      </c>
      <c r="O572" s="13" t="str">
        <f t="shared" si="59"/>
        <v>ЭТАЖ ЗАДАН ЧИСЛОМ</v>
      </c>
      <c r="P572" s="13" t="str">
        <f t="shared" si="60"/>
        <v>ЭТАЖ ЗАДАН ЧИСЛОМ</v>
      </c>
      <c r="Q572" s="13" t="str">
        <f t="shared" si="61"/>
        <v>ГОТОВ_ИЗМЕНЕН</v>
      </c>
      <c r="R572" s="13">
        <f>IFERROR(VLOOKUP(P572,Лист1!A$1:B$20,2,FALSE),0)</f>
        <v>784</v>
      </c>
      <c r="S572" s="13">
        <f t="shared" si="62"/>
        <v>0</v>
      </c>
    </row>
    <row r="573" spans="1:19" x14ac:dyDescent="0.25">
      <c r="A573" t="s">
        <v>1774</v>
      </c>
      <c r="B573" s="4" t="s">
        <v>1190</v>
      </c>
      <c r="C573" s="3" t="s">
        <v>5</v>
      </c>
      <c r="G573" s="3" t="s">
        <v>1183</v>
      </c>
      <c r="I573" s="3" t="str">
        <f>IFERROR(VLOOKUP(C573,'Справочник соответствий'!A$2:D$2996,2,FALSE),IF(VALUE(C573)=0,1,VLOOKUP(C573,'Справочник соответствий'!A$2:D$2996,2,FALSE)))</f>
        <v>1</v>
      </c>
      <c r="J573" s="3">
        <f>IFERROR(VLOOKUP(D573,'Справочник соответствий'!A$2:D$2996,2,FALSE),IF(VALUE(D573)=0,0,VLOOKUP(D573,'Справочник соответствий'!A$2:D$2996,2,FALSE)))</f>
        <v>0</v>
      </c>
      <c r="K573" s="3" t="str">
        <f t="shared" si="56"/>
        <v>1</v>
      </c>
      <c r="L573" s="13" t="str">
        <f>IFERROR(VLOOKUP(C573,'Справочник соответствий'!A$2:D$2996,3,FALSE),IF(VALUE(C573)=0,"ЭТАЖ НЕ ОПРЕДЕЛЕН. ПРИНЯТ ПО ДОПУЩЕНИЮ 1",VLOOKUP(C573,'Справочник соответствий'!A$2:D$2996,3,FALSE)))</f>
        <v>ЭТАЖ ЗАДАН ЧИСЛОМ</v>
      </c>
      <c r="M573" s="13" t="b">
        <f t="shared" si="57"/>
        <v>0</v>
      </c>
      <c r="N573" s="13">
        <f t="shared" si="58"/>
        <v>1</v>
      </c>
      <c r="O573" s="13" t="str">
        <f t="shared" si="59"/>
        <v>ЭТАЖ ЗАДАН ЧИСЛОМ</v>
      </c>
      <c r="P573" s="13" t="str">
        <f t="shared" si="60"/>
        <v>ЭТАЖ ЗАДАН ЧИСЛОМ</v>
      </c>
      <c r="Q573" s="13" t="str">
        <f t="shared" si="61"/>
        <v>ГОТОВ_ИЗМЕНЕН</v>
      </c>
      <c r="R573" s="13">
        <f>IFERROR(VLOOKUP(P573,Лист1!A$1:B$20,2,FALSE),0)</f>
        <v>784</v>
      </c>
      <c r="S573" s="13">
        <f t="shared" si="62"/>
        <v>0</v>
      </c>
    </row>
    <row r="574" spans="1:19" x14ac:dyDescent="0.25">
      <c r="A574" t="s">
        <v>1775</v>
      </c>
      <c r="B574" s="4" t="s">
        <v>1190</v>
      </c>
      <c r="C574" s="3" t="s">
        <v>7</v>
      </c>
      <c r="G574" s="3" t="s">
        <v>1198</v>
      </c>
      <c r="I574" s="3" t="str">
        <f>IFERROR(VLOOKUP(C574,'Справочник соответствий'!A$2:D$2996,2,FALSE),IF(VALUE(C574)=0,1,VLOOKUP(C574,'Справочник соответствий'!A$2:D$2996,2,FALSE)))</f>
        <v>2</v>
      </c>
      <c r="J574" s="3">
        <f>IFERROR(VLOOKUP(D574,'Справочник соответствий'!A$2:D$2996,2,FALSE),IF(VALUE(D574)=0,0,VLOOKUP(D574,'Справочник соответствий'!A$2:D$2996,2,FALSE)))</f>
        <v>0</v>
      </c>
      <c r="K574" s="3" t="str">
        <f t="shared" si="56"/>
        <v>2</v>
      </c>
      <c r="L574" s="13" t="str">
        <f>IFERROR(VLOOKUP(C574,'Справочник соответствий'!A$2:D$2996,3,FALSE),IF(VALUE(C574)=0,"ЭТАЖ НЕ ОПРЕДЕЛЕН. ПРИНЯТ ПО ДОПУЩЕНИЮ 1",VLOOKUP(C574,'Справочник соответствий'!A$2:D$2996,3,FALSE)))</f>
        <v>ЭТАЖ ЗАДАН ЧИСЛОМ</v>
      </c>
      <c r="M574" s="13" t="b">
        <f t="shared" si="57"/>
        <v>0</v>
      </c>
      <c r="N574" s="13">
        <f t="shared" si="58"/>
        <v>2</v>
      </c>
      <c r="O574" s="13" t="str">
        <f t="shared" si="59"/>
        <v>ЭТАЖ ЗАДАН ЧИСЛОМ</v>
      </c>
      <c r="P574" s="13" t="str">
        <f t="shared" si="60"/>
        <v>ЭТАЖ ЗАДАН ЧИСЛОМ</v>
      </c>
      <c r="Q574" s="13" t="str">
        <f t="shared" si="61"/>
        <v>ГОТОВ_ИЗМЕНЕН</v>
      </c>
      <c r="R574" s="13">
        <f>IFERROR(VLOOKUP(P574,Лист1!A$1:B$20,2,FALSE),0)</f>
        <v>784</v>
      </c>
      <c r="S574" s="13">
        <f t="shared" si="62"/>
        <v>0</v>
      </c>
    </row>
    <row r="575" spans="1:19" x14ac:dyDescent="0.25">
      <c r="A575" t="s">
        <v>1776</v>
      </c>
      <c r="B575" s="4" t="s">
        <v>1190</v>
      </c>
      <c r="C575" s="3" t="s">
        <v>7</v>
      </c>
      <c r="G575" s="3" t="s">
        <v>1198</v>
      </c>
      <c r="I575" s="3" t="str">
        <f>IFERROR(VLOOKUP(C575,'Справочник соответствий'!A$2:D$2996,2,FALSE),IF(VALUE(C575)=0,1,VLOOKUP(C575,'Справочник соответствий'!A$2:D$2996,2,FALSE)))</f>
        <v>2</v>
      </c>
      <c r="J575" s="3">
        <f>IFERROR(VLOOKUP(D575,'Справочник соответствий'!A$2:D$2996,2,FALSE),IF(VALUE(D575)=0,0,VLOOKUP(D575,'Справочник соответствий'!A$2:D$2996,2,FALSE)))</f>
        <v>0</v>
      </c>
      <c r="K575" s="3" t="str">
        <f t="shared" si="56"/>
        <v>2</v>
      </c>
      <c r="L575" s="13" t="str">
        <f>IFERROR(VLOOKUP(C575,'Справочник соответствий'!A$2:D$2996,3,FALSE),IF(VALUE(C575)=0,"ЭТАЖ НЕ ОПРЕДЕЛЕН. ПРИНЯТ ПО ДОПУЩЕНИЮ 1",VLOOKUP(C575,'Справочник соответствий'!A$2:D$2996,3,FALSE)))</f>
        <v>ЭТАЖ ЗАДАН ЧИСЛОМ</v>
      </c>
      <c r="M575" s="13" t="b">
        <f t="shared" si="57"/>
        <v>0</v>
      </c>
      <c r="N575" s="13">
        <f t="shared" si="58"/>
        <v>2</v>
      </c>
      <c r="O575" s="13" t="str">
        <f t="shared" si="59"/>
        <v>ЭТАЖ ЗАДАН ЧИСЛОМ</v>
      </c>
      <c r="P575" s="13" t="str">
        <f t="shared" si="60"/>
        <v>ЭТАЖ ЗАДАН ЧИСЛОМ</v>
      </c>
      <c r="Q575" s="13" t="str">
        <f t="shared" si="61"/>
        <v>ГОТОВ_ИЗМЕНЕН</v>
      </c>
      <c r="R575" s="13">
        <f>IFERROR(VLOOKUP(P575,Лист1!A$1:B$20,2,FALSE),0)</f>
        <v>784</v>
      </c>
      <c r="S575" s="13">
        <f t="shared" si="62"/>
        <v>0</v>
      </c>
    </row>
    <row r="576" spans="1:19" x14ac:dyDescent="0.25">
      <c r="A576" t="s">
        <v>1777</v>
      </c>
      <c r="B576" s="4" t="s">
        <v>1190</v>
      </c>
      <c r="G576" s="3" t="s">
        <v>1198</v>
      </c>
      <c r="I576" s="3">
        <f>IFERROR(VLOOKUP(C576,'Справочник соответствий'!A$2:D$2996,2,FALSE),IF(VALUE(C576)=0,1,VLOOKUP(C576,'Справочник соответствий'!A$2:D$2996,2,FALSE)))</f>
        <v>1</v>
      </c>
      <c r="J576" s="3">
        <f>IFERROR(VLOOKUP(D576,'Справочник соответствий'!A$2:D$2996,2,FALSE),IF(VALUE(D576)=0,0,VLOOKUP(D576,'Справочник соответствий'!A$2:D$2996,2,FALSE)))</f>
        <v>0</v>
      </c>
      <c r="K576" s="3">
        <f t="shared" si="56"/>
        <v>1</v>
      </c>
      <c r="L576" s="13" t="str">
        <f>IFERROR(VLOOKUP(C576,'Справочник соответствий'!A$2:D$2996,3,FALSE),IF(VALUE(C576)=0,"ЭТАЖ НЕ ОПРЕДЕЛЕН. ПРИНЯТ ПО ДОПУЩЕНИЮ 1",VLOOKUP(C576,'Справочник соответствий'!A$2:D$2996,3,FALSE)))</f>
        <v>ЭТАЖ НЕ ОПРЕДЕЛЕН. ПРИНЯТ ПО ДОПУЩЕНИЮ 1</v>
      </c>
      <c r="M576" s="13" t="b">
        <f t="shared" si="57"/>
        <v>0</v>
      </c>
      <c r="N576" s="13">
        <f t="shared" si="58"/>
        <v>1</v>
      </c>
      <c r="O576" s="13" t="str">
        <f t="shared" si="59"/>
        <v>ЭТАЖ НЕ ОПРЕДЕЛЕН. ПРИНЯТ ПО ДОПУЩЕНИЮ 1</v>
      </c>
      <c r="P576" s="13" t="str">
        <f t="shared" si="60"/>
        <v>ЭТАЖ НЕ ОПРЕДЕЛЕН. ПРИНЯТ ПО ДОПУЩЕНИЮ 1</v>
      </c>
      <c r="Q576" s="13" t="str">
        <f t="shared" si="61"/>
        <v>ГОТОВ_ИЗМЕНЕН</v>
      </c>
      <c r="R576" s="13">
        <f>IFERROR(VLOOKUP(P576,Лист1!A$1:B$20,2,FALSE),0)</f>
        <v>788</v>
      </c>
      <c r="S576" s="13">
        <f t="shared" si="62"/>
        <v>0</v>
      </c>
    </row>
    <row r="577" spans="1:19" x14ac:dyDescent="0.25">
      <c r="A577" t="s">
        <v>1778</v>
      </c>
      <c r="B577" s="4" t="s">
        <v>1190</v>
      </c>
      <c r="C577" s="3" t="s">
        <v>5</v>
      </c>
      <c r="G577" s="3" t="s">
        <v>1198</v>
      </c>
      <c r="I577" s="3" t="str">
        <f>IFERROR(VLOOKUP(C577,'Справочник соответствий'!A$2:D$2996,2,FALSE),IF(VALUE(C577)=0,1,VLOOKUP(C577,'Справочник соответствий'!A$2:D$2996,2,FALSE)))</f>
        <v>1</v>
      </c>
      <c r="J577" s="3">
        <f>IFERROR(VLOOKUP(D577,'Справочник соответствий'!A$2:D$2996,2,FALSE),IF(VALUE(D577)=0,0,VLOOKUP(D577,'Справочник соответствий'!A$2:D$2996,2,FALSE)))</f>
        <v>0</v>
      </c>
      <c r="K577" s="3" t="str">
        <f t="shared" si="56"/>
        <v>1</v>
      </c>
      <c r="L577" s="13" t="str">
        <f>IFERROR(VLOOKUP(C577,'Справочник соответствий'!A$2:D$2996,3,FALSE),IF(VALUE(C577)=0,"ЭТАЖ НЕ ОПРЕДЕЛЕН. ПРИНЯТ ПО ДОПУЩЕНИЮ 1",VLOOKUP(C577,'Справочник соответствий'!A$2:D$2996,3,FALSE)))</f>
        <v>ЭТАЖ ЗАДАН ЧИСЛОМ</v>
      </c>
      <c r="M577" s="13" t="b">
        <f t="shared" si="57"/>
        <v>0</v>
      </c>
      <c r="N577" s="13">
        <f t="shared" si="58"/>
        <v>1</v>
      </c>
      <c r="O577" s="13" t="str">
        <f t="shared" si="59"/>
        <v>ЭТАЖ ЗАДАН ЧИСЛОМ</v>
      </c>
      <c r="P577" s="13" t="str">
        <f t="shared" si="60"/>
        <v>ЭТАЖ ЗАДАН ЧИСЛОМ</v>
      </c>
      <c r="Q577" s="13" t="str">
        <f t="shared" si="61"/>
        <v>ГОТОВ_ИЗМЕНЕН</v>
      </c>
      <c r="R577" s="13">
        <f>IFERROR(VLOOKUP(P577,Лист1!A$1:B$20,2,FALSE),0)</f>
        <v>784</v>
      </c>
      <c r="S577" s="13">
        <f t="shared" si="62"/>
        <v>0</v>
      </c>
    </row>
    <row r="578" spans="1:19" x14ac:dyDescent="0.25">
      <c r="A578" t="s">
        <v>1779</v>
      </c>
      <c r="B578" s="4" t="s">
        <v>1190</v>
      </c>
      <c r="C578" s="3" t="s">
        <v>7</v>
      </c>
      <c r="D578" s="3" t="s">
        <v>5</v>
      </c>
      <c r="G578" s="3" t="s">
        <v>1198</v>
      </c>
      <c r="I578" s="3" t="str">
        <f>IFERROR(VLOOKUP(C578,'Справочник соответствий'!A$2:D$2996,2,FALSE),IF(VALUE(C578)=0,1,VLOOKUP(C578,'Справочник соответствий'!A$2:D$2996,2,FALSE)))</f>
        <v>2</v>
      </c>
      <c r="J578" s="3" t="str">
        <f>IFERROR(VLOOKUP(D578,'Справочник соответствий'!A$2:D$2996,2,FALSE),IF(VALUE(D578)=0,0,VLOOKUP(D578,'Справочник соответствий'!A$2:D$2996,2,FALSE)))</f>
        <v>1</v>
      </c>
      <c r="K578" s="3" t="str">
        <f t="shared" ref="K578:K624" si="63">IF(B578="Многоквартирный дом",IF(I578-J578&gt;0,I578-J578,1),I578)</f>
        <v>2</v>
      </c>
      <c r="L578" s="13" t="str">
        <f>IFERROR(VLOOKUP(C578,'Справочник соответствий'!A$2:D$2996,3,FALSE),IF(VALUE(C578)=0,"ЭТАЖ НЕ ОПРЕДЕЛЕН. ПРИНЯТ ПО ДОПУЩЕНИЮ 1",VLOOKUP(C578,'Справочник соответствий'!A$2:D$2996,3,FALSE)))</f>
        <v>ЭТАЖ ЗАДАН ЧИСЛОМ</v>
      </c>
      <c r="M578" s="13" t="b">
        <f t="shared" ref="M578:M624" si="64">I578=E578</f>
        <v>0</v>
      </c>
      <c r="N578" s="13">
        <f t="shared" ref="N578:N624" si="65">IF(VALUE(E578)=0,VALUE(K578),IF(L578="ЭТАЖ НЕ ОПРЕДЕЛЕН. ПРИНЯТ ПО ДОПУЩЕНИЮ 1",VALUE(E578),VALUE(K578)))</f>
        <v>2</v>
      </c>
      <c r="O578" s="13" t="str">
        <f t="shared" ref="O578:O624" si="66">IF(VALUE(E578)=0,L578,IF(L578="ЭТАЖ НЕ ОПРЕДЕЛЕН. ПРИНЯТ ПО ДОПУЩЕНИЮ 1",F578,L578))</f>
        <v>ЭТАЖ ЗАДАН ЧИСЛОМ</v>
      </c>
      <c r="P578" s="13" t="str">
        <f t="shared" ref="P578:P624" si="67">IF(B578="Многоквартирный дом",CONCATENATE("МКД_",O578),O578)</f>
        <v>ЭТАЖ ЗАДАН ЧИСЛОМ</v>
      </c>
      <c r="Q578" s="13" t="str">
        <f t="shared" ref="Q578:Q624" si="68">IFERROR(IF(N578&gt;0,IF(N578=VALUE(E578),"ГОТОВ","ГОТОВ_ИЗМЕНЕН"),"НЕ ГОТОВ"),"НЕ ГОТОВ")</f>
        <v>ГОТОВ_ИЗМЕНЕН</v>
      </c>
      <c r="R578" s="13">
        <f>IFERROR(VLOOKUP(P578,Лист1!A$1:B$20,2,FALSE),0)</f>
        <v>784</v>
      </c>
      <c r="S578" s="13">
        <f t="shared" ref="S578:S624" si="69">VALUE(E578)</f>
        <v>0</v>
      </c>
    </row>
    <row r="579" spans="1:19" x14ac:dyDescent="0.25">
      <c r="A579" t="s">
        <v>1780</v>
      </c>
      <c r="B579" s="4" t="s">
        <v>1190</v>
      </c>
      <c r="C579" s="3" t="s">
        <v>7</v>
      </c>
      <c r="G579" s="3" t="s">
        <v>1198</v>
      </c>
      <c r="I579" s="3" t="str">
        <f>IFERROR(VLOOKUP(C579,'Справочник соответствий'!A$2:D$2996,2,FALSE),IF(VALUE(C579)=0,1,VLOOKUP(C579,'Справочник соответствий'!A$2:D$2996,2,FALSE)))</f>
        <v>2</v>
      </c>
      <c r="J579" s="3">
        <f>IFERROR(VLOOKUP(D579,'Справочник соответствий'!A$2:D$2996,2,FALSE),IF(VALUE(D579)=0,0,VLOOKUP(D579,'Справочник соответствий'!A$2:D$2996,2,FALSE)))</f>
        <v>0</v>
      </c>
      <c r="K579" s="3" t="str">
        <f t="shared" si="63"/>
        <v>2</v>
      </c>
      <c r="L579" s="13" t="str">
        <f>IFERROR(VLOOKUP(C579,'Справочник соответствий'!A$2:D$2996,3,FALSE),IF(VALUE(C579)=0,"ЭТАЖ НЕ ОПРЕДЕЛЕН. ПРИНЯТ ПО ДОПУЩЕНИЮ 1",VLOOKUP(C579,'Справочник соответствий'!A$2:D$2996,3,FALSE)))</f>
        <v>ЭТАЖ ЗАДАН ЧИСЛОМ</v>
      </c>
      <c r="M579" s="13" t="b">
        <f t="shared" si="64"/>
        <v>0</v>
      </c>
      <c r="N579" s="13">
        <f t="shared" si="65"/>
        <v>2</v>
      </c>
      <c r="O579" s="13" t="str">
        <f t="shared" si="66"/>
        <v>ЭТАЖ ЗАДАН ЧИСЛОМ</v>
      </c>
      <c r="P579" s="13" t="str">
        <f t="shared" si="67"/>
        <v>ЭТАЖ ЗАДАН ЧИСЛОМ</v>
      </c>
      <c r="Q579" s="13" t="str">
        <f t="shared" si="68"/>
        <v>ГОТОВ_ИЗМЕНЕН</v>
      </c>
      <c r="R579" s="13">
        <f>IFERROR(VLOOKUP(P579,Лист1!A$1:B$20,2,FALSE),0)</f>
        <v>784</v>
      </c>
      <c r="S579" s="13">
        <f t="shared" si="69"/>
        <v>0</v>
      </c>
    </row>
    <row r="580" spans="1:19" x14ac:dyDescent="0.25">
      <c r="A580" t="s">
        <v>1781</v>
      </c>
      <c r="B580" s="4" t="s">
        <v>1190</v>
      </c>
      <c r="C580" s="3" t="s">
        <v>5</v>
      </c>
      <c r="G580" s="3" t="s">
        <v>1224</v>
      </c>
      <c r="I580" s="3" t="str">
        <f>IFERROR(VLOOKUP(C580,'Справочник соответствий'!A$2:D$2996,2,FALSE),IF(VALUE(C580)=0,1,VLOOKUP(C580,'Справочник соответствий'!A$2:D$2996,2,FALSE)))</f>
        <v>1</v>
      </c>
      <c r="J580" s="3">
        <f>IFERROR(VLOOKUP(D580,'Справочник соответствий'!A$2:D$2996,2,FALSE),IF(VALUE(D580)=0,0,VLOOKUP(D580,'Справочник соответствий'!A$2:D$2996,2,FALSE)))</f>
        <v>0</v>
      </c>
      <c r="K580" s="3" t="str">
        <f t="shared" si="63"/>
        <v>1</v>
      </c>
      <c r="L580" s="13" t="str">
        <f>IFERROR(VLOOKUP(C580,'Справочник соответствий'!A$2:D$2996,3,FALSE),IF(VALUE(C580)=0,"ЭТАЖ НЕ ОПРЕДЕЛЕН. ПРИНЯТ ПО ДОПУЩЕНИЮ 1",VLOOKUP(C580,'Справочник соответствий'!A$2:D$2996,3,FALSE)))</f>
        <v>ЭТАЖ ЗАДАН ЧИСЛОМ</v>
      </c>
      <c r="M580" s="13" t="b">
        <f t="shared" si="64"/>
        <v>0</v>
      </c>
      <c r="N580" s="13">
        <f t="shared" si="65"/>
        <v>1</v>
      </c>
      <c r="O580" s="13" t="str">
        <f t="shared" si="66"/>
        <v>ЭТАЖ ЗАДАН ЧИСЛОМ</v>
      </c>
      <c r="P580" s="13" t="str">
        <f t="shared" si="67"/>
        <v>ЭТАЖ ЗАДАН ЧИСЛОМ</v>
      </c>
      <c r="Q580" s="13" t="str">
        <f t="shared" si="68"/>
        <v>ГОТОВ_ИЗМЕНЕН</v>
      </c>
      <c r="R580" s="13">
        <f>IFERROR(VLOOKUP(P580,Лист1!A$1:B$20,2,FALSE),0)</f>
        <v>784</v>
      </c>
      <c r="S580" s="13">
        <f t="shared" si="69"/>
        <v>0</v>
      </c>
    </row>
    <row r="581" spans="1:19" x14ac:dyDescent="0.25">
      <c r="A581" t="s">
        <v>1782</v>
      </c>
      <c r="B581" s="4" t="s">
        <v>1190</v>
      </c>
      <c r="C581" s="3" t="s">
        <v>7</v>
      </c>
      <c r="G581" s="3" t="s">
        <v>1224</v>
      </c>
      <c r="I581" s="3" t="str">
        <f>IFERROR(VLOOKUP(C581,'Справочник соответствий'!A$2:D$2996,2,FALSE),IF(VALUE(C581)=0,1,VLOOKUP(C581,'Справочник соответствий'!A$2:D$2996,2,FALSE)))</f>
        <v>2</v>
      </c>
      <c r="J581" s="3">
        <f>IFERROR(VLOOKUP(D581,'Справочник соответствий'!A$2:D$2996,2,FALSE),IF(VALUE(D581)=0,0,VLOOKUP(D581,'Справочник соответствий'!A$2:D$2996,2,FALSE)))</f>
        <v>0</v>
      </c>
      <c r="K581" s="3" t="str">
        <f t="shared" si="63"/>
        <v>2</v>
      </c>
      <c r="L581" s="13" t="str">
        <f>IFERROR(VLOOKUP(C581,'Справочник соответствий'!A$2:D$2996,3,FALSE),IF(VALUE(C581)=0,"ЭТАЖ НЕ ОПРЕДЕЛЕН. ПРИНЯТ ПО ДОПУЩЕНИЮ 1",VLOOKUP(C581,'Справочник соответствий'!A$2:D$2996,3,FALSE)))</f>
        <v>ЭТАЖ ЗАДАН ЧИСЛОМ</v>
      </c>
      <c r="M581" s="13" t="b">
        <f t="shared" si="64"/>
        <v>0</v>
      </c>
      <c r="N581" s="13">
        <f t="shared" si="65"/>
        <v>2</v>
      </c>
      <c r="O581" s="13" t="str">
        <f t="shared" si="66"/>
        <v>ЭТАЖ ЗАДАН ЧИСЛОМ</v>
      </c>
      <c r="P581" s="13" t="str">
        <f t="shared" si="67"/>
        <v>ЭТАЖ ЗАДАН ЧИСЛОМ</v>
      </c>
      <c r="Q581" s="13" t="str">
        <f t="shared" si="68"/>
        <v>ГОТОВ_ИЗМЕНЕН</v>
      </c>
      <c r="R581" s="13">
        <f>IFERROR(VLOOKUP(P581,Лист1!A$1:B$20,2,FALSE),0)</f>
        <v>784</v>
      </c>
      <c r="S581" s="13">
        <f t="shared" si="69"/>
        <v>0</v>
      </c>
    </row>
    <row r="582" spans="1:19" x14ac:dyDescent="0.25">
      <c r="A582" t="s">
        <v>1783</v>
      </c>
      <c r="B582" s="4" t="s">
        <v>1190</v>
      </c>
      <c r="C582" s="3" t="s">
        <v>7</v>
      </c>
      <c r="D582" s="3" t="s">
        <v>5</v>
      </c>
      <c r="G582" s="3" t="s">
        <v>1224</v>
      </c>
      <c r="I582" s="3" t="str">
        <f>IFERROR(VLOOKUP(C582,'Справочник соответствий'!A$2:D$2996,2,FALSE),IF(VALUE(C582)=0,1,VLOOKUP(C582,'Справочник соответствий'!A$2:D$2996,2,FALSE)))</f>
        <v>2</v>
      </c>
      <c r="J582" s="3" t="str">
        <f>IFERROR(VLOOKUP(D582,'Справочник соответствий'!A$2:D$2996,2,FALSE),IF(VALUE(D582)=0,0,VLOOKUP(D582,'Справочник соответствий'!A$2:D$2996,2,FALSE)))</f>
        <v>1</v>
      </c>
      <c r="K582" s="3" t="str">
        <f t="shared" si="63"/>
        <v>2</v>
      </c>
      <c r="L582" s="13" t="str">
        <f>IFERROR(VLOOKUP(C582,'Справочник соответствий'!A$2:D$2996,3,FALSE),IF(VALUE(C582)=0,"ЭТАЖ НЕ ОПРЕДЕЛЕН. ПРИНЯТ ПО ДОПУЩЕНИЮ 1",VLOOKUP(C582,'Справочник соответствий'!A$2:D$2996,3,FALSE)))</f>
        <v>ЭТАЖ ЗАДАН ЧИСЛОМ</v>
      </c>
      <c r="M582" s="13" t="b">
        <f t="shared" si="64"/>
        <v>0</v>
      </c>
      <c r="N582" s="13">
        <f t="shared" si="65"/>
        <v>2</v>
      </c>
      <c r="O582" s="13" t="str">
        <f t="shared" si="66"/>
        <v>ЭТАЖ ЗАДАН ЧИСЛОМ</v>
      </c>
      <c r="P582" s="13" t="str">
        <f t="shared" si="67"/>
        <v>ЭТАЖ ЗАДАН ЧИСЛОМ</v>
      </c>
      <c r="Q582" s="13" t="str">
        <f t="shared" si="68"/>
        <v>ГОТОВ_ИЗМЕНЕН</v>
      </c>
      <c r="R582" s="13">
        <f>IFERROR(VLOOKUP(P582,Лист1!A$1:B$20,2,FALSE),0)</f>
        <v>784</v>
      </c>
      <c r="S582" s="13">
        <f t="shared" si="69"/>
        <v>0</v>
      </c>
    </row>
    <row r="583" spans="1:19" x14ac:dyDescent="0.25">
      <c r="A583" t="s">
        <v>1784</v>
      </c>
      <c r="B583" s="4" t="s">
        <v>1190</v>
      </c>
      <c r="C583" s="3" t="s">
        <v>7</v>
      </c>
      <c r="G583" s="3" t="s">
        <v>1224</v>
      </c>
      <c r="I583" s="3" t="str">
        <f>IFERROR(VLOOKUP(C583,'Справочник соответствий'!A$2:D$2996,2,FALSE),IF(VALUE(C583)=0,1,VLOOKUP(C583,'Справочник соответствий'!A$2:D$2996,2,FALSE)))</f>
        <v>2</v>
      </c>
      <c r="J583" s="3">
        <f>IFERROR(VLOOKUP(D583,'Справочник соответствий'!A$2:D$2996,2,FALSE),IF(VALUE(D583)=0,0,VLOOKUP(D583,'Справочник соответствий'!A$2:D$2996,2,FALSE)))</f>
        <v>0</v>
      </c>
      <c r="K583" s="3" t="str">
        <f t="shared" si="63"/>
        <v>2</v>
      </c>
      <c r="L583" s="13" t="str">
        <f>IFERROR(VLOOKUP(C583,'Справочник соответствий'!A$2:D$2996,3,FALSE),IF(VALUE(C583)=0,"ЭТАЖ НЕ ОПРЕДЕЛЕН. ПРИНЯТ ПО ДОПУЩЕНИЮ 1",VLOOKUP(C583,'Справочник соответствий'!A$2:D$2996,3,FALSE)))</f>
        <v>ЭТАЖ ЗАДАН ЧИСЛОМ</v>
      </c>
      <c r="M583" s="13" t="b">
        <f t="shared" si="64"/>
        <v>0</v>
      </c>
      <c r="N583" s="13">
        <f t="shared" si="65"/>
        <v>2</v>
      </c>
      <c r="O583" s="13" t="str">
        <f t="shared" si="66"/>
        <v>ЭТАЖ ЗАДАН ЧИСЛОМ</v>
      </c>
      <c r="P583" s="13" t="str">
        <f t="shared" si="67"/>
        <v>ЭТАЖ ЗАДАН ЧИСЛОМ</v>
      </c>
      <c r="Q583" s="13" t="str">
        <f t="shared" si="68"/>
        <v>ГОТОВ_ИЗМЕНЕН</v>
      </c>
      <c r="R583" s="13">
        <f>IFERROR(VLOOKUP(P583,Лист1!A$1:B$20,2,FALSE),0)</f>
        <v>784</v>
      </c>
      <c r="S583" s="13">
        <f t="shared" si="69"/>
        <v>0</v>
      </c>
    </row>
    <row r="584" spans="1:19" x14ac:dyDescent="0.25">
      <c r="A584" t="s">
        <v>1785</v>
      </c>
      <c r="B584" s="4" t="s">
        <v>1190</v>
      </c>
      <c r="C584" s="3" t="s">
        <v>5</v>
      </c>
      <c r="G584" s="3" t="s">
        <v>1224</v>
      </c>
      <c r="I584" s="3" t="str">
        <f>IFERROR(VLOOKUP(C584,'Справочник соответствий'!A$2:D$2996,2,FALSE),IF(VALUE(C584)=0,1,VLOOKUP(C584,'Справочник соответствий'!A$2:D$2996,2,FALSE)))</f>
        <v>1</v>
      </c>
      <c r="J584" s="3">
        <f>IFERROR(VLOOKUP(D584,'Справочник соответствий'!A$2:D$2996,2,FALSE),IF(VALUE(D584)=0,0,VLOOKUP(D584,'Справочник соответствий'!A$2:D$2996,2,FALSE)))</f>
        <v>0</v>
      </c>
      <c r="K584" s="3" t="str">
        <f t="shared" si="63"/>
        <v>1</v>
      </c>
      <c r="L584" s="13" t="str">
        <f>IFERROR(VLOOKUP(C584,'Справочник соответствий'!A$2:D$2996,3,FALSE),IF(VALUE(C584)=0,"ЭТАЖ НЕ ОПРЕДЕЛЕН. ПРИНЯТ ПО ДОПУЩЕНИЮ 1",VLOOKUP(C584,'Справочник соответствий'!A$2:D$2996,3,FALSE)))</f>
        <v>ЭТАЖ ЗАДАН ЧИСЛОМ</v>
      </c>
      <c r="M584" s="13" t="b">
        <f t="shared" si="64"/>
        <v>0</v>
      </c>
      <c r="N584" s="13">
        <f t="shared" si="65"/>
        <v>1</v>
      </c>
      <c r="O584" s="13" t="str">
        <f t="shared" si="66"/>
        <v>ЭТАЖ ЗАДАН ЧИСЛОМ</v>
      </c>
      <c r="P584" s="13" t="str">
        <f t="shared" si="67"/>
        <v>ЭТАЖ ЗАДАН ЧИСЛОМ</v>
      </c>
      <c r="Q584" s="13" t="str">
        <f t="shared" si="68"/>
        <v>ГОТОВ_ИЗМЕНЕН</v>
      </c>
      <c r="R584" s="13">
        <f>IFERROR(VLOOKUP(P584,Лист1!A$1:B$20,2,FALSE),0)</f>
        <v>784</v>
      </c>
      <c r="S584" s="13">
        <f t="shared" si="69"/>
        <v>0</v>
      </c>
    </row>
    <row r="585" spans="1:19" x14ac:dyDescent="0.25">
      <c r="A585" t="s">
        <v>1786</v>
      </c>
      <c r="B585" s="4" t="s">
        <v>1182</v>
      </c>
      <c r="C585" s="3" t="s">
        <v>5</v>
      </c>
      <c r="G585" s="3" t="s">
        <v>1224</v>
      </c>
      <c r="I585" s="3" t="str">
        <f>IFERROR(VLOOKUP(C585,'Справочник соответствий'!A$2:D$2996,2,FALSE),IF(VALUE(C585)=0,1,VLOOKUP(C585,'Справочник соответствий'!A$2:D$2996,2,FALSE)))</f>
        <v>1</v>
      </c>
      <c r="J585" s="3">
        <f>IFERROR(VLOOKUP(D585,'Справочник соответствий'!A$2:D$2996,2,FALSE),IF(VALUE(D585)=0,0,VLOOKUP(D585,'Справочник соответствий'!A$2:D$2996,2,FALSE)))</f>
        <v>0</v>
      </c>
      <c r="K585" s="3" t="str">
        <f t="shared" si="63"/>
        <v>1</v>
      </c>
      <c r="L585" s="13" t="str">
        <f>IFERROR(VLOOKUP(C585,'Справочник соответствий'!A$2:D$2996,3,FALSE),IF(VALUE(C585)=0,"ЭТАЖ НЕ ОПРЕДЕЛЕН. ПРИНЯТ ПО ДОПУЩЕНИЮ 1",VLOOKUP(C585,'Справочник соответствий'!A$2:D$2996,3,FALSE)))</f>
        <v>ЭТАЖ ЗАДАН ЧИСЛОМ</v>
      </c>
      <c r="M585" s="13" t="b">
        <f t="shared" si="64"/>
        <v>0</v>
      </c>
      <c r="N585" s="13">
        <f t="shared" si="65"/>
        <v>1</v>
      </c>
      <c r="O585" s="13" t="str">
        <f t="shared" si="66"/>
        <v>ЭТАЖ ЗАДАН ЧИСЛОМ</v>
      </c>
      <c r="P585" s="13" t="str">
        <f t="shared" si="67"/>
        <v>ЭТАЖ ЗАДАН ЧИСЛОМ</v>
      </c>
      <c r="Q585" s="13" t="str">
        <f t="shared" si="68"/>
        <v>ГОТОВ_ИЗМЕНЕН</v>
      </c>
      <c r="R585" s="13">
        <f>IFERROR(VLOOKUP(P585,Лист1!A$1:B$20,2,FALSE),0)</f>
        <v>784</v>
      </c>
      <c r="S585" s="13">
        <f t="shared" si="69"/>
        <v>0</v>
      </c>
    </row>
    <row r="586" spans="1:19" x14ac:dyDescent="0.25">
      <c r="A586" t="s">
        <v>1787</v>
      </c>
      <c r="B586" s="4" t="s">
        <v>1182</v>
      </c>
      <c r="C586" s="3" t="s">
        <v>5</v>
      </c>
      <c r="G586" s="3" t="s">
        <v>1224</v>
      </c>
      <c r="I586" s="3" t="str">
        <f>IFERROR(VLOOKUP(C586,'Справочник соответствий'!A$2:D$2996,2,FALSE),IF(VALUE(C586)=0,1,VLOOKUP(C586,'Справочник соответствий'!A$2:D$2996,2,FALSE)))</f>
        <v>1</v>
      </c>
      <c r="J586" s="3">
        <f>IFERROR(VLOOKUP(D586,'Справочник соответствий'!A$2:D$2996,2,FALSE),IF(VALUE(D586)=0,0,VLOOKUP(D586,'Справочник соответствий'!A$2:D$2996,2,FALSE)))</f>
        <v>0</v>
      </c>
      <c r="K586" s="3" t="str">
        <f t="shared" si="63"/>
        <v>1</v>
      </c>
      <c r="L586" s="13" t="str">
        <f>IFERROR(VLOOKUP(C586,'Справочник соответствий'!A$2:D$2996,3,FALSE),IF(VALUE(C586)=0,"ЭТАЖ НЕ ОПРЕДЕЛЕН. ПРИНЯТ ПО ДОПУЩЕНИЮ 1",VLOOKUP(C586,'Справочник соответствий'!A$2:D$2996,3,FALSE)))</f>
        <v>ЭТАЖ ЗАДАН ЧИСЛОМ</v>
      </c>
      <c r="M586" s="13" t="b">
        <f t="shared" si="64"/>
        <v>0</v>
      </c>
      <c r="N586" s="13">
        <f t="shared" si="65"/>
        <v>1</v>
      </c>
      <c r="O586" s="13" t="str">
        <f t="shared" si="66"/>
        <v>ЭТАЖ ЗАДАН ЧИСЛОМ</v>
      </c>
      <c r="P586" s="13" t="str">
        <f t="shared" si="67"/>
        <v>ЭТАЖ ЗАДАН ЧИСЛОМ</v>
      </c>
      <c r="Q586" s="13" t="str">
        <f t="shared" si="68"/>
        <v>ГОТОВ_ИЗМЕНЕН</v>
      </c>
      <c r="R586" s="13">
        <f>IFERROR(VLOOKUP(P586,Лист1!A$1:B$20,2,FALSE),0)</f>
        <v>784</v>
      </c>
      <c r="S586" s="13">
        <f t="shared" si="69"/>
        <v>0</v>
      </c>
    </row>
    <row r="587" spans="1:19" x14ac:dyDescent="0.25">
      <c r="A587" t="s">
        <v>1788</v>
      </c>
      <c r="B587" s="4" t="s">
        <v>1190</v>
      </c>
      <c r="C587" s="3" t="s">
        <v>7</v>
      </c>
      <c r="D587" s="3" t="s">
        <v>5</v>
      </c>
      <c r="E587" s="3" t="s">
        <v>7</v>
      </c>
      <c r="F587" t="s">
        <v>1045</v>
      </c>
      <c r="G587" s="3" t="s">
        <v>1224</v>
      </c>
      <c r="H587" s="7" t="s">
        <v>1184</v>
      </c>
      <c r="I587" s="3" t="str">
        <f>IFERROR(VLOOKUP(C587,'Справочник соответствий'!A$2:D$2996,2,FALSE),IF(VALUE(C587)=0,1,VLOOKUP(C587,'Справочник соответствий'!A$2:D$2996,2,FALSE)))</f>
        <v>2</v>
      </c>
      <c r="J587" s="3" t="str">
        <f>IFERROR(VLOOKUP(D587,'Справочник соответствий'!A$2:D$2996,2,FALSE),IF(VALUE(D587)=0,0,VLOOKUP(D587,'Справочник соответствий'!A$2:D$2996,2,FALSE)))</f>
        <v>1</v>
      </c>
      <c r="K587" s="3" t="str">
        <f t="shared" si="63"/>
        <v>2</v>
      </c>
      <c r="L587" s="13" t="str">
        <f>IFERROR(VLOOKUP(C587,'Справочник соответствий'!A$2:D$2996,3,FALSE),IF(VALUE(C587)=0,"ЭТАЖ НЕ ОПРЕДЕЛЕН. ПРИНЯТ ПО ДОПУЩЕНИЮ 1",VLOOKUP(C587,'Справочник соответствий'!A$2:D$2996,3,FALSE)))</f>
        <v>ЭТАЖ ЗАДАН ЧИСЛОМ</v>
      </c>
      <c r="M587" s="13" t="b">
        <f t="shared" si="64"/>
        <v>1</v>
      </c>
      <c r="N587" s="13">
        <f t="shared" si="65"/>
        <v>2</v>
      </c>
      <c r="O587" s="13" t="str">
        <f t="shared" si="66"/>
        <v>ЭТАЖ ЗАДАН ЧИСЛОМ</v>
      </c>
      <c r="P587" s="13" t="str">
        <f t="shared" si="67"/>
        <v>ЭТАЖ ЗАДАН ЧИСЛОМ</v>
      </c>
      <c r="Q587" s="13" t="str">
        <f t="shared" si="68"/>
        <v>ГОТОВ</v>
      </c>
      <c r="R587" s="13">
        <f>IFERROR(VLOOKUP(P587,Лист1!A$1:B$20,2,FALSE),0)</f>
        <v>784</v>
      </c>
      <c r="S587" s="13">
        <f t="shared" si="69"/>
        <v>2</v>
      </c>
    </row>
    <row r="588" spans="1:19" x14ac:dyDescent="0.25">
      <c r="A588" t="s">
        <v>1789</v>
      </c>
      <c r="B588" s="4" t="s">
        <v>1182</v>
      </c>
      <c r="C588" s="3" t="s">
        <v>5</v>
      </c>
      <c r="E588" s="3" t="s">
        <v>5</v>
      </c>
      <c r="F588" t="s">
        <v>1038</v>
      </c>
      <c r="G588" s="3" t="s">
        <v>1183</v>
      </c>
      <c r="H588" s="7" t="s">
        <v>1184</v>
      </c>
      <c r="I588" s="3" t="str">
        <f>IFERROR(VLOOKUP(C588,'Справочник соответствий'!A$2:D$2996,2,FALSE),IF(VALUE(C588)=0,1,VLOOKUP(C588,'Справочник соответствий'!A$2:D$2996,2,FALSE)))</f>
        <v>1</v>
      </c>
      <c r="J588" s="3">
        <f>IFERROR(VLOOKUP(D588,'Справочник соответствий'!A$2:D$2996,2,FALSE),IF(VALUE(D588)=0,0,VLOOKUP(D588,'Справочник соответствий'!A$2:D$2996,2,FALSE)))</f>
        <v>0</v>
      </c>
      <c r="K588" s="3" t="str">
        <f t="shared" si="63"/>
        <v>1</v>
      </c>
      <c r="L588" s="13" t="str">
        <f>IFERROR(VLOOKUP(C588,'Справочник соответствий'!A$2:D$2996,3,FALSE),IF(VALUE(C588)=0,"ЭТАЖ НЕ ОПРЕДЕЛЕН. ПРИНЯТ ПО ДОПУЩЕНИЮ 1",VLOOKUP(C588,'Справочник соответствий'!A$2:D$2996,3,FALSE)))</f>
        <v>ЭТАЖ ЗАДАН ЧИСЛОМ</v>
      </c>
      <c r="M588" s="13" t="b">
        <f t="shared" si="64"/>
        <v>1</v>
      </c>
      <c r="N588" s="13">
        <f t="shared" si="65"/>
        <v>1</v>
      </c>
      <c r="O588" s="13" t="str">
        <f t="shared" si="66"/>
        <v>ЭТАЖ ЗАДАН ЧИСЛОМ</v>
      </c>
      <c r="P588" s="13" t="str">
        <f t="shared" si="67"/>
        <v>ЭТАЖ ЗАДАН ЧИСЛОМ</v>
      </c>
      <c r="Q588" s="13" t="str">
        <f t="shared" si="68"/>
        <v>ГОТОВ</v>
      </c>
      <c r="R588" s="13">
        <f>IFERROR(VLOOKUP(P588,Лист1!A$1:B$20,2,FALSE),0)</f>
        <v>784</v>
      </c>
      <c r="S588" s="13">
        <f t="shared" si="69"/>
        <v>1</v>
      </c>
    </row>
    <row r="589" spans="1:19" x14ac:dyDescent="0.25">
      <c r="A589" t="s">
        <v>1790</v>
      </c>
      <c r="B589" s="4" t="s">
        <v>1182</v>
      </c>
      <c r="C589" s="3" t="s">
        <v>1791</v>
      </c>
      <c r="E589" s="3" t="s">
        <v>8</v>
      </c>
      <c r="F589" t="s">
        <v>1186</v>
      </c>
      <c r="G589" s="3" t="s">
        <v>1191</v>
      </c>
      <c r="H589" s="7" t="s">
        <v>1184</v>
      </c>
      <c r="I589" s="3" t="str">
        <f>IFERROR(VLOOKUP(C589,'Справочник соответствий'!A$2:D$2996,2,FALSE),IF(VALUE(C589)=0,1,VLOOKUP(C589,'Справочник соответствий'!A$2:D$2996,2,FALSE)))</f>
        <v>3</v>
      </c>
      <c r="J589" s="3">
        <f>IFERROR(VLOOKUP(D589,'Справочник соответствий'!A$2:D$2996,2,FALSE),IF(VALUE(D589)=0,0,VLOOKUP(D589,'Справочник соответствий'!A$2:D$2996,2,FALSE)))</f>
        <v>0</v>
      </c>
      <c r="K589" s="3" t="str">
        <f t="shared" si="63"/>
        <v>3</v>
      </c>
      <c r="L589" s="13" t="str">
        <f>IFERROR(VLOOKUP(C589,'Справочник соответствий'!A$2:D$2996,3,FALSE),IF(VALUE(C589)=0,"ЭТАЖ НЕ ОПРЕДЕЛЕН. ПРИНЯТ ПО ДОПУЩЕНИЮ 1",VLOOKUP(C589,'Справочник соответствий'!A$2:D$2996,3,FALSE)))</f>
        <v>СПРАВОЧНИК ЭТАЖНОСТИ</v>
      </c>
      <c r="M589" s="13" t="b">
        <f t="shared" si="64"/>
        <v>1</v>
      </c>
      <c r="N589" s="13">
        <f t="shared" si="65"/>
        <v>3</v>
      </c>
      <c r="O589" s="13" t="str">
        <f t="shared" si="66"/>
        <v>СПРАВОЧНИК ЭТАЖНОСТИ</v>
      </c>
      <c r="P589" s="13" t="str">
        <f t="shared" si="67"/>
        <v>СПРАВОЧНИК ЭТАЖНОСТИ</v>
      </c>
      <c r="Q589" s="13" t="str">
        <f t="shared" si="68"/>
        <v>ГОТОВ</v>
      </c>
      <c r="R589" s="13">
        <f>IFERROR(VLOOKUP(P589,Лист1!A$1:B$20,2,FALSE),0)</f>
        <v>785</v>
      </c>
      <c r="S589" s="13">
        <f t="shared" si="69"/>
        <v>3</v>
      </c>
    </row>
    <row r="590" spans="1:19" x14ac:dyDescent="0.25">
      <c r="A590" t="s">
        <v>1792</v>
      </c>
      <c r="B590" s="4" t="s">
        <v>1182</v>
      </c>
      <c r="C590" s="3" t="s">
        <v>5</v>
      </c>
      <c r="E590" s="3" t="s">
        <v>5</v>
      </c>
      <c r="F590" t="s">
        <v>1186</v>
      </c>
      <c r="G590" s="3" t="s">
        <v>1187</v>
      </c>
      <c r="H590" s="7" t="s">
        <v>1184</v>
      </c>
      <c r="I590" s="3" t="str">
        <f>IFERROR(VLOOKUP(C590,'Справочник соответствий'!A$2:D$2996,2,FALSE),IF(VALUE(C590)=0,1,VLOOKUP(C590,'Справочник соответствий'!A$2:D$2996,2,FALSE)))</f>
        <v>1</v>
      </c>
      <c r="J590" s="3">
        <f>IFERROR(VLOOKUP(D590,'Справочник соответствий'!A$2:D$2996,2,FALSE),IF(VALUE(D590)=0,0,VLOOKUP(D590,'Справочник соответствий'!A$2:D$2996,2,FALSE)))</f>
        <v>0</v>
      </c>
      <c r="K590" s="3" t="str">
        <f t="shared" si="63"/>
        <v>1</v>
      </c>
      <c r="L590" s="13" t="str">
        <f>IFERROR(VLOOKUP(C590,'Справочник соответствий'!A$2:D$2996,3,FALSE),IF(VALUE(C590)=0,"ЭТАЖ НЕ ОПРЕДЕЛЕН. ПРИНЯТ ПО ДОПУЩЕНИЮ 1",VLOOKUP(C590,'Справочник соответствий'!A$2:D$2996,3,FALSE)))</f>
        <v>ЭТАЖ ЗАДАН ЧИСЛОМ</v>
      </c>
      <c r="M590" s="13" t="b">
        <f t="shared" si="64"/>
        <v>1</v>
      </c>
      <c r="N590" s="13">
        <f t="shared" si="65"/>
        <v>1</v>
      </c>
      <c r="O590" s="13" t="str">
        <f t="shared" si="66"/>
        <v>ЭТАЖ ЗАДАН ЧИСЛОМ</v>
      </c>
      <c r="P590" s="13" t="str">
        <f t="shared" si="67"/>
        <v>ЭТАЖ ЗАДАН ЧИСЛОМ</v>
      </c>
      <c r="Q590" s="13" t="str">
        <f t="shared" si="68"/>
        <v>ГОТОВ</v>
      </c>
      <c r="R590" s="13">
        <f>IFERROR(VLOOKUP(P590,Лист1!A$1:B$20,2,FALSE),0)</f>
        <v>784</v>
      </c>
      <c r="S590" s="13">
        <f t="shared" si="69"/>
        <v>1</v>
      </c>
    </row>
    <row r="591" spans="1:19" x14ac:dyDescent="0.25">
      <c r="A591" t="s">
        <v>1793</v>
      </c>
      <c r="B591" s="4" t="s">
        <v>1190</v>
      </c>
      <c r="C591" s="3" t="s">
        <v>7</v>
      </c>
      <c r="D591" s="3" t="s">
        <v>5</v>
      </c>
      <c r="E591" s="3" t="s">
        <v>7</v>
      </c>
      <c r="F591" t="s">
        <v>1045</v>
      </c>
      <c r="G591" s="3" t="s">
        <v>1198</v>
      </c>
      <c r="H591" s="7" t="s">
        <v>1184</v>
      </c>
      <c r="I591" s="3" t="str">
        <f>IFERROR(VLOOKUP(C591,'Справочник соответствий'!A$2:D$2996,2,FALSE),IF(VALUE(C591)=0,1,VLOOKUP(C591,'Справочник соответствий'!A$2:D$2996,2,FALSE)))</f>
        <v>2</v>
      </c>
      <c r="J591" s="3" t="str">
        <f>IFERROR(VLOOKUP(D591,'Справочник соответствий'!A$2:D$2996,2,FALSE),IF(VALUE(D591)=0,0,VLOOKUP(D591,'Справочник соответствий'!A$2:D$2996,2,FALSE)))</f>
        <v>1</v>
      </c>
      <c r="K591" s="3" t="str">
        <f t="shared" si="63"/>
        <v>2</v>
      </c>
      <c r="L591" s="13" t="str">
        <f>IFERROR(VLOOKUP(C591,'Справочник соответствий'!A$2:D$2996,3,FALSE),IF(VALUE(C591)=0,"ЭТАЖ НЕ ОПРЕДЕЛЕН. ПРИНЯТ ПО ДОПУЩЕНИЮ 1",VLOOKUP(C591,'Справочник соответствий'!A$2:D$2996,3,FALSE)))</f>
        <v>ЭТАЖ ЗАДАН ЧИСЛОМ</v>
      </c>
      <c r="M591" s="13" t="b">
        <f t="shared" si="64"/>
        <v>1</v>
      </c>
      <c r="N591" s="13">
        <f t="shared" si="65"/>
        <v>2</v>
      </c>
      <c r="O591" s="13" t="str">
        <f t="shared" si="66"/>
        <v>ЭТАЖ ЗАДАН ЧИСЛОМ</v>
      </c>
      <c r="P591" s="13" t="str">
        <f t="shared" si="67"/>
        <v>ЭТАЖ ЗАДАН ЧИСЛОМ</v>
      </c>
      <c r="Q591" s="13" t="str">
        <f t="shared" si="68"/>
        <v>ГОТОВ</v>
      </c>
      <c r="R591" s="13">
        <f>IFERROR(VLOOKUP(P591,Лист1!A$1:B$20,2,FALSE),0)</f>
        <v>784</v>
      </c>
      <c r="S591" s="13">
        <f t="shared" si="69"/>
        <v>2</v>
      </c>
    </row>
    <row r="592" spans="1:19" x14ac:dyDescent="0.25">
      <c r="A592" t="s">
        <v>1794</v>
      </c>
      <c r="B592" s="4" t="s">
        <v>1182</v>
      </c>
      <c r="C592" s="3" t="s">
        <v>5</v>
      </c>
      <c r="E592" s="3" t="s">
        <v>5</v>
      </c>
      <c r="F592" t="s">
        <v>1186</v>
      </c>
      <c r="G592" s="3" t="s">
        <v>1187</v>
      </c>
      <c r="H592" s="7" t="s">
        <v>1184</v>
      </c>
      <c r="I592" s="3" t="str">
        <f>IFERROR(VLOOKUP(C592,'Справочник соответствий'!A$2:D$2996,2,FALSE),IF(VALUE(C592)=0,1,VLOOKUP(C592,'Справочник соответствий'!A$2:D$2996,2,FALSE)))</f>
        <v>1</v>
      </c>
      <c r="J592" s="3">
        <f>IFERROR(VLOOKUP(D592,'Справочник соответствий'!A$2:D$2996,2,FALSE),IF(VALUE(D592)=0,0,VLOOKUP(D592,'Справочник соответствий'!A$2:D$2996,2,FALSE)))</f>
        <v>0</v>
      </c>
      <c r="K592" s="3" t="str">
        <f t="shared" si="63"/>
        <v>1</v>
      </c>
      <c r="L592" s="13" t="str">
        <f>IFERROR(VLOOKUP(C592,'Справочник соответствий'!A$2:D$2996,3,FALSE),IF(VALUE(C592)=0,"ЭТАЖ НЕ ОПРЕДЕЛЕН. ПРИНЯТ ПО ДОПУЩЕНИЮ 1",VLOOKUP(C592,'Справочник соответствий'!A$2:D$2996,3,FALSE)))</f>
        <v>ЭТАЖ ЗАДАН ЧИСЛОМ</v>
      </c>
      <c r="M592" s="13" t="b">
        <f t="shared" si="64"/>
        <v>1</v>
      </c>
      <c r="N592" s="13">
        <f t="shared" si="65"/>
        <v>1</v>
      </c>
      <c r="O592" s="13" t="str">
        <f t="shared" si="66"/>
        <v>ЭТАЖ ЗАДАН ЧИСЛОМ</v>
      </c>
      <c r="P592" s="13" t="str">
        <f t="shared" si="67"/>
        <v>ЭТАЖ ЗАДАН ЧИСЛОМ</v>
      </c>
      <c r="Q592" s="13" t="str">
        <f t="shared" si="68"/>
        <v>ГОТОВ</v>
      </c>
      <c r="R592" s="13">
        <f>IFERROR(VLOOKUP(P592,Лист1!A$1:B$20,2,FALSE),0)</f>
        <v>784</v>
      </c>
      <c r="S592" s="13">
        <f t="shared" si="69"/>
        <v>1</v>
      </c>
    </row>
    <row r="593" spans="1:19" x14ac:dyDescent="0.25">
      <c r="A593" t="s">
        <v>1795</v>
      </c>
      <c r="B593" s="4" t="s">
        <v>1182</v>
      </c>
      <c r="C593" s="3" t="s">
        <v>5</v>
      </c>
      <c r="E593" s="3" t="s">
        <v>5</v>
      </c>
      <c r="F593" t="s">
        <v>1186</v>
      </c>
      <c r="G593" s="3" t="s">
        <v>1191</v>
      </c>
      <c r="H593" s="7" t="s">
        <v>1184</v>
      </c>
      <c r="I593" s="3" t="str">
        <f>IFERROR(VLOOKUP(C593,'Справочник соответствий'!A$2:D$2996,2,FALSE),IF(VALUE(C593)=0,1,VLOOKUP(C593,'Справочник соответствий'!A$2:D$2996,2,FALSE)))</f>
        <v>1</v>
      </c>
      <c r="J593" s="3">
        <f>IFERROR(VLOOKUP(D593,'Справочник соответствий'!A$2:D$2996,2,FALSE),IF(VALUE(D593)=0,0,VLOOKUP(D593,'Справочник соответствий'!A$2:D$2996,2,FALSE)))</f>
        <v>0</v>
      </c>
      <c r="K593" s="3" t="str">
        <f t="shared" si="63"/>
        <v>1</v>
      </c>
      <c r="L593" s="13" t="str">
        <f>IFERROR(VLOOKUP(C593,'Справочник соответствий'!A$2:D$2996,3,FALSE),IF(VALUE(C593)=0,"ЭТАЖ НЕ ОПРЕДЕЛЕН. ПРИНЯТ ПО ДОПУЩЕНИЮ 1",VLOOKUP(C593,'Справочник соответствий'!A$2:D$2996,3,FALSE)))</f>
        <v>ЭТАЖ ЗАДАН ЧИСЛОМ</v>
      </c>
      <c r="M593" s="13" t="b">
        <f t="shared" si="64"/>
        <v>1</v>
      </c>
      <c r="N593" s="13">
        <f t="shared" si="65"/>
        <v>1</v>
      </c>
      <c r="O593" s="13" t="str">
        <f t="shared" si="66"/>
        <v>ЭТАЖ ЗАДАН ЧИСЛОМ</v>
      </c>
      <c r="P593" s="13" t="str">
        <f t="shared" si="67"/>
        <v>ЭТАЖ ЗАДАН ЧИСЛОМ</v>
      </c>
      <c r="Q593" s="13" t="str">
        <f t="shared" si="68"/>
        <v>ГОТОВ</v>
      </c>
      <c r="R593" s="13">
        <f>IFERROR(VLOOKUP(P593,Лист1!A$1:B$20,2,FALSE),0)</f>
        <v>784</v>
      </c>
      <c r="S593" s="13">
        <f t="shared" si="69"/>
        <v>1</v>
      </c>
    </row>
    <row r="594" spans="1:19" x14ac:dyDescent="0.25">
      <c r="A594" t="s">
        <v>1796</v>
      </c>
      <c r="B594" s="4" t="s">
        <v>1190</v>
      </c>
      <c r="C594" s="3" t="s">
        <v>5</v>
      </c>
      <c r="D594" s="3" t="s">
        <v>5</v>
      </c>
      <c r="E594" s="3" t="s">
        <v>5</v>
      </c>
      <c r="F594" t="s">
        <v>1045</v>
      </c>
      <c r="G594" s="3" t="s">
        <v>1198</v>
      </c>
      <c r="H594" s="7" t="s">
        <v>1184</v>
      </c>
      <c r="I594" s="3" t="str">
        <f>IFERROR(VLOOKUP(C594,'Справочник соответствий'!A$2:D$2996,2,FALSE),IF(VALUE(C594)=0,1,VLOOKUP(C594,'Справочник соответствий'!A$2:D$2996,2,FALSE)))</f>
        <v>1</v>
      </c>
      <c r="J594" s="3" t="str">
        <f>IFERROR(VLOOKUP(D594,'Справочник соответствий'!A$2:D$2996,2,FALSE),IF(VALUE(D594)=0,0,VLOOKUP(D594,'Справочник соответствий'!A$2:D$2996,2,FALSE)))</f>
        <v>1</v>
      </c>
      <c r="K594" s="3" t="str">
        <f t="shared" si="63"/>
        <v>1</v>
      </c>
      <c r="L594" s="13" t="str">
        <f>IFERROR(VLOOKUP(C594,'Справочник соответствий'!A$2:D$2996,3,FALSE),IF(VALUE(C594)=0,"ЭТАЖ НЕ ОПРЕДЕЛЕН. ПРИНЯТ ПО ДОПУЩЕНИЮ 1",VLOOKUP(C594,'Справочник соответствий'!A$2:D$2996,3,FALSE)))</f>
        <v>ЭТАЖ ЗАДАН ЧИСЛОМ</v>
      </c>
      <c r="M594" s="13" t="b">
        <f t="shared" si="64"/>
        <v>1</v>
      </c>
      <c r="N594" s="13">
        <f t="shared" si="65"/>
        <v>1</v>
      </c>
      <c r="O594" s="13" t="str">
        <f t="shared" si="66"/>
        <v>ЭТАЖ ЗАДАН ЧИСЛОМ</v>
      </c>
      <c r="P594" s="13" t="str">
        <f t="shared" si="67"/>
        <v>ЭТАЖ ЗАДАН ЧИСЛОМ</v>
      </c>
      <c r="Q594" s="13" t="str">
        <f t="shared" si="68"/>
        <v>ГОТОВ</v>
      </c>
      <c r="R594" s="13">
        <f>IFERROR(VLOOKUP(P594,Лист1!A$1:B$20,2,FALSE),0)</f>
        <v>784</v>
      </c>
      <c r="S594" s="13">
        <f t="shared" si="69"/>
        <v>1</v>
      </c>
    </row>
    <row r="595" spans="1:19" x14ac:dyDescent="0.25">
      <c r="A595" t="s">
        <v>1797</v>
      </c>
      <c r="B595" s="4" t="s">
        <v>1190</v>
      </c>
      <c r="C595" s="3" t="s">
        <v>7</v>
      </c>
      <c r="D595" s="3" t="s">
        <v>5</v>
      </c>
      <c r="E595" s="3" t="s">
        <v>5</v>
      </c>
      <c r="F595" t="s">
        <v>1038</v>
      </c>
      <c r="G595" s="3" t="s">
        <v>1191</v>
      </c>
      <c r="H595" s="7" t="s">
        <v>1184</v>
      </c>
      <c r="I595" s="3" t="str">
        <f>IFERROR(VLOOKUP(C595,'Справочник соответствий'!A$2:D$2996,2,FALSE),IF(VALUE(C595)=0,1,VLOOKUP(C595,'Справочник соответствий'!A$2:D$2996,2,FALSE)))</f>
        <v>2</v>
      </c>
      <c r="J595" s="3" t="str">
        <f>IFERROR(VLOOKUP(D595,'Справочник соответствий'!A$2:D$2996,2,FALSE),IF(VALUE(D595)=0,0,VLOOKUP(D595,'Справочник соответствий'!A$2:D$2996,2,FALSE)))</f>
        <v>1</v>
      </c>
      <c r="K595" s="3" t="str">
        <f t="shared" si="63"/>
        <v>2</v>
      </c>
      <c r="L595" s="13" t="str">
        <f>IFERROR(VLOOKUP(C595,'Справочник соответствий'!A$2:D$2996,3,FALSE),IF(VALUE(C595)=0,"ЭТАЖ НЕ ОПРЕДЕЛЕН. ПРИНЯТ ПО ДОПУЩЕНИЮ 1",VLOOKUP(C595,'Справочник соответствий'!A$2:D$2996,3,FALSE)))</f>
        <v>ЭТАЖ ЗАДАН ЧИСЛОМ</v>
      </c>
      <c r="M595" s="13" t="b">
        <f t="shared" si="64"/>
        <v>0</v>
      </c>
      <c r="N595" s="13">
        <f t="shared" si="65"/>
        <v>2</v>
      </c>
      <c r="O595" s="13" t="str">
        <f t="shared" si="66"/>
        <v>ЭТАЖ ЗАДАН ЧИСЛОМ</v>
      </c>
      <c r="P595" s="13" t="str">
        <f t="shared" si="67"/>
        <v>ЭТАЖ ЗАДАН ЧИСЛОМ</v>
      </c>
      <c r="Q595" s="13" t="str">
        <f t="shared" si="68"/>
        <v>ГОТОВ_ИЗМЕНЕН</v>
      </c>
      <c r="R595" s="13">
        <f>IFERROR(VLOOKUP(P595,Лист1!A$1:B$20,2,FALSE),0)</f>
        <v>784</v>
      </c>
      <c r="S595" s="13">
        <f t="shared" si="69"/>
        <v>1</v>
      </c>
    </row>
    <row r="596" spans="1:19" x14ac:dyDescent="0.25">
      <c r="A596" t="s">
        <v>1798</v>
      </c>
      <c r="B596" s="4" t="s">
        <v>1182</v>
      </c>
      <c r="C596" s="3" t="s">
        <v>1714</v>
      </c>
      <c r="E596" s="3" t="s">
        <v>5</v>
      </c>
      <c r="F596" t="s">
        <v>1045</v>
      </c>
      <c r="G596" s="3" t="s">
        <v>1191</v>
      </c>
      <c r="H596" s="7" t="s">
        <v>1184</v>
      </c>
      <c r="I596" s="3" t="str">
        <f>IFERROR(VLOOKUP(C596,'Справочник соответствий'!A$2:D$2996,2,FALSE),IF(VALUE(C596)=0,1,VLOOKUP(C596,'Справочник соответствий'!A$2:D$2996,2,FALSE)))</f>
        <v>1</v>
      </c>
      <c r="J596" s="3">
        <f>IFERROR(VLOOKUP(D596,'Справочник соответствий'!A$2:D$2996,2,FALSE),IF(VALUE(D596)=0,0,VLOOKUP(D596,'Справочник соответствий'!A$2:D$2996,2,FALSE)))</f>
        <v>0</v>
      </c>
      <c r="K596" s="3" t="str">
        <f t="shared" si="63"/>
        <v>1</v>
      </c>
      <c r="L596" s="13" t="str">
        <f>IFERROR(VLOOKUP(C596,'Справочник соответствий'!A$2:D$2996,3,FALSE),IF(VALUE(C596)=0,"ЭТАЖ НЕ ОПРЕДЕЛЕН. ПРИНЯТ ПО ДОПУЩЕНИЮ 1",VLOOKUP(C596,'Справочник соответствий'!A$2:D$2996,3,FALSE)))</f>
        <v>СПРАВОЧНИК ЭТАЖНОСТИ</v>
      </c>
      <c r="M596" s="13" t="b">
        <f t="shared" si="64"/>
        <v>1</v>
      </c>
      <c r="N596" s="13">
        <f t="shared" si="65"/>
        <v>1</v>
      </c>
      <c r="O596" s="13" t="str">
        <f t="shared" si="66"/>
        <v>СПРАВОЧНИК ЭТАЖНОСТИ</v>
      </c>
      <c r="P596" s="13" t="str">
        <f t="shared" si="67"/>
        <v>СПРАВОЧНИК ЭТАЖНОСТИ</v>
      </c>
      <c r="Q596" s="13" t="str">
        <f t="shared" si="68"/>
        <v>ГОТОВ</v>
      </c>
      <c r="R596" s="13">
        <f>IFERROR(VLOOKUP(P596,Лист1!A$1:B$20,2,FALSE),0)</f>
        <v>785</v>
      </c>
      <c r="S596" s="13">
        <f t="shared" si="69"/>
        <v>1</v>
      </c>
    </row>
    <row r="597" spans="1:19" x14ac:dyDescent="0.25">
      <c r="A597" t="s">
        <v>1799</v>
      </c>
      <c r="B597" s="4" t="s">
        <v>1182</v>
      </c>
      <c r="G597" s="3" t="s">
        <v>1187</v>
      </c>
      <c r="I597" s="3">
        <f>IFERROR(VLOOKUP(C597,'Справочник соответствий'!A$2:D$2996,2,FALSE),IF(VALUE(C597)=0,1,VLOOKUP(C597,'Справочник соответствий'!A$2:D$2996,2,FALSE)))</f>
        <v>1</v>
      </c>
      <c r="J597" s="3">
        <f>IFERROR(VLOOKUP(D597,'Справочник соответствий'!A$2:D$2996,2,FALSE),IF(VALUE(D597)=0,0,VLOOKUP(D597,'Справочник соответствий'!A$2:D$2996,2,FALSE)))</f>
        <v>0</v>
      </c>
      <c r="K597" s="3">
        <f t="shared" si="63"/>
        <v>1</v>
      </c>
      <c r="L597" s="13" t="str">
        <f>IFERROR(VLOOKUP(C597,'Справочник соответствий'!A$2:D$2996,3,FALSE),IF(VALUE(C597)=0,"ЭТАЖ НЕ ОПРЕДЕЛЕН. ПРИНЯТ ПО ДОПУЩЕНИЮ 1",VLOOKUP(C597,'Справочник соответствий'!A$2:D$2996,3,FALSE)))</f>
        <v>ЭТАЖ НЕ ОПРЕДЕЛЕН. ПРИНЯТ ПО ДОПУЩЕНИЮ 1</v>
      </c>
      <c r="M597" s="13" t="b">
        <f t="shared" si="64"/>
        <v>0</v>
      </c>
      <c r="N597" s="13">
        <f t="shared" si="65"/>
        <v>1</v>
      </c>
      <c r="O597" s="13" t="str">
        <f t="shared" si="66"/>
        <v>ЭТАЖ НЕ ОПРЕДЕЛЕН. ПРИНЯТ ПО ДОПУЩЕНИЮ 1</v>
      </c>
      <c r="P597" s="13" t="str">
        <f t="shared" si="67"/>
        <v>ЭТАЖ НЕ ОПРЕДЕЛЕН. ПРИНЯТ ПО ДОПУЩЕНИЮ 1</v>
      </c>
      <c r="Q597" s="13" t="str">
        <f t="shared" si="68"/>
        <v>ГОТОВ_ИЗМЕНЕН</v>
      </c>
      <c r="R597" s="13">
        <f>IFERROR(VLOOKUP(P597,Лист1!A$1:B$20,2,FALSE),0)</f>
        <v>788</v>
      </c>
      <c r="S597" s="13">
        <f t="shared" si="69"/>
        <v>0</v>
      </c>
    </row>
    <row r="598" spans="1:19" x14ac:dyDescent="0.25">
      <c r="A598" t="s">
        <v>1800</v>
      </c>
      <c r="B598" s="4" t="s">
        <v>1190</v>
      </c>
      <c r="C598" s="3" t="s">
        <v>7</v>
      </c>
      <c r="G598" s="3" t="s">
        <v>1187</v>
      </c>
      <c r="I598" s="3" t="str">
        <f>IFERROR(VLOOKUP(C598,'Справочник соответствий'!A$2:D$2996,2,FALSE),IF(VALUE(C598)=0,1,VLOOKUP(C598,'Справочник соответствий'!A$2:D$2996,2,FALSE)))</f>
        <v>2</v>
      </c>
      <c r="J598" s="3">
        <f>IFERROR(VLOOKUP(D598,'Справочник соответствий'!A$2:D$2996,2,FALSE),IF(VALUE(D598)=0,0,VLOOKUP(D598,'Справочник соответствий'!A$2:D$2996,2,FALSE)))</f>
        <v>0</v>
      </c>
      <c r="K598" s="3" t="str">
        <f t="shared" si="63"/>
        <v>2</v>
      </c>
      <c r="L598" s="13" t="str">
        <f>IFERROR(VLOOKUP(C598,'Справочник соответствий'!A$2:D$2996,3,FALSE),IF(VALUE(C598)=0,"ЭТАЖ НЕ ОПРЕДЕЛЕН. ПРИНЯТ ПО ДОПУЩЕНИЮ 1",VLOOKUP(C598,'Справочник соответствий'!A$2:D$2996,3,FALSE)))</f>
        <v>ЭТАЖ ЗАДАН ЧИСЛОМ</v>
      </c>
      <c r="M598" s="13" t="b">
        <f t="shared" si="64"/>
        <v>0</v>
      </c>
      <c r="N598" s="13">
        <f t="shared" si="65"/>
        <v>2</v>
      </c>
      <c r="O598" s="13" t="str">
        <f t="shared" si="66"/>
        <v>ЭТАЖ ЗАДАН ЧИСЛОМ</v>
      </c>
      <c r="P598" s="13" t="str">
        <f t="shared" si="67"/>
        <v>ЭТАЖ ЗАДАН ЧИСЛОМ</v>
      </c>
      <c r="Q598" s="13" t="str">
        <f t="shared" si="68"/>
        <v>ГОТОВ_ИЗМЕНЕН</v>
      </c>
      <c r="R598" s="13">
        <f>IFERROR(VLOOKUP(P598,Лист1!A$1:B$20,2,FALSE),0)</f>
        <v>784</v>
      </c>
      <c r="S598" s="13">
        <f t="shared" si="69"/>
        <v>0</v>
      </c>
    </row>
    <row r="599" spans="1:19" x14ac:dyDescent="0.25">
      <c r="A599" t="s">
        <v>1801</v>
      </c>
      <c r="B599" s="4" t="s">
        <v>1190</v>
      </c>
      <c r="C599" s="3" t="s">
        <v>7</v>
      </c>
      <c r="G599" s="3" t="s">
        <v>1187</v>
      </c>
      <c r="I599" s="3" t="str">
        <f>IFERROR(VLOOKUP(C599,'Справочник соответствий'!A$2:D$2996,2,FALSE),IF(VALUE(C599)=0,1,VLOOKUP(C599,'Справочник соответствий'!A$2:D$2996,2,FALSE)))</f>
        <v>2</v>
      </c>
      <c r="J599" s="3">
        <f>IFERROR(VLOOKUP(D599,'Справочник соответствий'!A$2:D$2996,2,FALSE),IF(VALUE(D599)=0,0,VLOOKUP(D599,'Справочник соответствий'!A$2:D$2996,2,FALSE)))</f>
        <v>0</v>
      </c>
      <c r="K599" s="3" t="str">
        <f t="shared" si="63"/>
        <v>2</v>
      </c>
      <c r="L599" s="13" t="str">
        <f>IFERROR(VLOOKUP(C599,'Справочник соответствий'!A$2:D$2996,3,FALSE),IF(VALUE(C599)=0,"ЭТАЖ НЕ ОПРЕДЕЛЕН. ПРИНЯТ ПО ДОПУЩЕНИЮ 1",VLOOKUP(C599,'Справочник соответствий'!A$2:D$2996,3,FALSE)))</f>
        <v>ЭТАЖ ЗАДАН ЧИСЛОМ</v>
      </c>
      <c r="M599" s="13" t="b">
        <f t="shared" si="64"/>
        <v>0</v>
      </c>
      <c r="N599" s="13">
        <f t="shared" si="65"/>
        <v>2</v>
      </c>
      <c r="O599" s="13" t="str">
        <f t="shared" si="66"/>
        <v>ЭТАЖ ЗАДАН ЧИСЛОМ</v>
      </c>
      <c r="P599" s="13" t="str">
        <f t="shared" si="67"/>
        <v>ЭТАЖ ЗАДАН ЧИСЛОМ</v>
      </c>
      <c r="Q599" s="13" t="str">
        <f t="shared" si="68"/>
        <v>ГОТОВ_ИЗМЕНЕН</v>
      </c>
      <c r="R599" s="13">
        <f>IFERROR(VLOOKUP(P599,Лист1!A$1:B$20,2,FALSE),0)</f>
        <v>784</v>
      </c>
      <c r="S599" s="13">
        <f t="shared" si="69"/>
        <v>0</v>
      </c>
    </row>
    <row r="600" spans="1:19" x14ac:dyDescent="0.25">
      <c r="A600" t="s">
        <v>1802</v>
      </c>
      <c r="B600" s="4" t="s">
        <v>1190</v>
      </c>
      <c r="C600" s="3" t="s">
        <v>7</v>
      </c>
      <c r="G600" s="3" t="s">
        <v>1187</v>
      </c>
      <c r="I600" s="3" t="str">
        <f>IFERROR(VLOOKUP(C600,'Справочник соответствий'!A$2:D$2996,2,FALSE),IF(VALUE(C600)=0,1,VLOOKUP(C600,'Справочник соответствий'!A$2:D$2996,2,FALSE)))</f>
        <v>2</v>
      </c>
      <c r="J600" s="3">
        <f>IFERROR(VLOOKUP(D600,'Справочник соответствий'!A$2:D$2996,2,FALSE),IF(VALUE(D600)=0,0,VLOOKUP(D600,'Справочник соответствий'!A$2:D$2996,2,FALSE)))</f>
        <v>0</v>
      </c>
      <c r="K600" s="3" t="str">
        <f t="shared" si="63"/>
        <v>2</v>
      </c>
      <c r="L600" s="13" t="str">
        <f>IFERROR(VLOOKUP(C600,'Справочник соответствий'!A$2:D$2996,3,FALSE),IF(VALUE(C600)=0,"ЭТАЖ НЕ ОПРЕДЕЛЕН. ПРИНЯТ ПО ДОПУЩЕНИЮ 1",VLOOKUP(C600,'Справочник соответствий'!A$2:D$2996,3,FALSE)))</f>
        <v>ЭТАЖ ЗАДАН ЧИСЛОМ</v>
      </c>
      <c r="M600" s="13" t="b">
        <f t="shared" si="64"/>
        <v>0</v>
      </c>
      <c r="N600" s="13">
        <f t="shared" si="65"/>
        <v>2</v>
      </c>
      <c r="O600" s="13" t="str">
        <f t="shared" si="66"/>
        <v>ЭТАЖ ЗАДАН ЧИСЛОМ</v>
      </c>
      <c r="P600" s="13" t="str">
        <f t="shared" si="67"/>
        <v>ЭТАЖ ЗАДАН ЧИСЛОМ</v>
      </c>
      <c r="Q600" s="13" t="str">
        <f t="shared" si="68"/>
        <v>ГОТОВ_ИЗМЕНЕН</v>
      </c>
      <c r="R600" s="13">
        <f>IFERROR(VLOOKUP(P600,Лист1!A$1:B$20,2,FALSE),0)</f>
        <v>784</v>
      </c>
      <c r="S600" s="13">
        <f t="shared" si="69"/>
        <v>0</v>
      </c>
    </row>
    <row r="601" spans="1:19" x14ac:dyDescent="0.25">
      <c r="A601" t="s">
        <v>1803</v>
      </c>
      <c r="B601" s="4" t="s">
        <v>1182</v>
      </c>
      <c r="C601" s="3" t="s">
        <v>1804</v>
      </c>
      <c r="E601" s="3" t="s">
        <v>5</v>
      </c>
      <c r="F601" t="s">
        <v>1045</v>
      </c>
      <c r="G601" s="3" t="s">
        <v>1198</v>
      </c>
      <c r="H601" s="7" t="s">
        <v>1184</v>
      </c>
      <c r="I601" s="3" t="str">
        <f>IFERROR(VLOOKUP(C601,'Справочник соответствий'!A$2:D$2996,2,FALSE),IF(VALUE(C601)=0,1,VLOOKUP(C601,'Справочник соответствий'!A$2:D$2996,2,FALSE)))</f>
        <v>2</v>
      </c>
      <c r="J601" s="3">
        <f>IFERROR(VLOOKUP(D601,'Справочник соответствий'!A$2:D$2996,2,FALSE),IF(VALUE(D601)=0,0,VLOOKUP(D601,'Справочник соответствий'!A$2:D$2996,2,FALSE)))</f>
        <v>0</v>
      </c>
      <c r="K601" s="3" t="str">
        <f t="shared" si="63"/>
        <v>2</v>
      </c>
      <c r="L601" s="13" t="str">
        <f>IFERROR(VLOOKUP(C601,'Справочник соответствий'!A$2:D$2996,3,FALSE),IF(VALUE(C601)=0,"ЭТАЖ НЕ ОПРЕДЕЛЕН. ПРИНЯТ ПО ДОПУЩЕНИЮ 1",VLOOKUP(C601,'Справочник соответствий'!A$2:D$2996,3,FALSE)))</f>
        <v>СПРАВОЧНИК ЭТАЖНОСТИ</v>
      </c>
      <c r="M601" s="13" t="b">
        <f t="shared" si="64"/>
        <v>0</v>
      </c>
      <c r="N601" s="13">
        <f t="shared" si="65"/>
        <v>2</v>
      </c>
      <c r="O601" s="13" t="str">
        <f t="shared" si="66"/>
        <v>СПРАВОЧНИК ЭТАЖНОСТИ</v>
      </c>
      <c r="P601" s="13" t="str">
        <f t="shared" si="67"/>
        <v>СПРАВОЧНИК ЭТАЖНОСТИ</v>
      </c>
      <c r="Q601" s="13" t="str">
        <f t="shared" si="68"/>
        <v>ГОТОВ_ИЗМЕНЕН</v>
      </c>
      <c r="R601" s="13">
        <f>IFERROR(VLOOKUP(P601,Лист1!A$1:B$20,2,FALSE),0)</f>
        <v>785</v>
      </c>
      <c r="S601" s="13">
        <f t="shared" si="69"/>
        <v>1</v>
      </c>
    </row>
    <row r="602" spans="1:19" x14ac:dyDescent="0.25">
      <c r="A602" t="s">
        <v>1805</v>
      </c>
      <c r="B602" s="4" t="s">
        <v>1182</v>
      </c>
      <c r="C602" s="3" t="s">
        <v>5</v>
      </c>
      <c r="G602" s="3" t="s">
        <v>1191</v>
      </c>
      <c r="I602" s="3" t="str">
        <f>IFERROR(VLOOKUP(C602,'Справочник соответствий'!A$2:D$2996,2,FALSE),IF(VALUE(C602)=0,1,VLOOKUP(C602,'Справочник соответствий'!A$2:D$2996,2,FALSE)))</f>
        <v>1</v>
      </c>
      <c r="J602" s="3">
        <f>IFERROR(VLOOKUP(D602,'Справочник соответствий'!A$2:D$2996,2,FALSE),IF(VALUE(D602)=0,0,VLOOKUP(D602,'Справочник соответствий'!A$2:D$2996,2,FALSE)))</f>
        <v>0</v>
      </c>
      <c r="K602" s="3" t="str">
        <f t="shared" si="63"/>
        <v>1</v>
      </c>
      <c r="L602" s="13" t="str">
        <f>IFERROR(VLOOKUP(C602,'Справочник соответствий'!A$2:D$2996,3,FALSE),IF(VALUE(C602)=0,"ЭТАЖ НЕ ОПРЕДЕЛЕН. ПРИНЯТ ПО ДОПУЩЕНИЮ 1",VLOOKUP(C602,'Справочник соответствий'!A$2:D$2996,3,FALSE)))</f>
        <v>ЭТАЖ ЗАДАН ЧИСЛОМ</v>
      </c>
      <c r="M602" s="13" t="b">
        <f t="shared" si="64"/>
        <v>0</v>
      </c>
      <c r="N602" s="13">
        <f t="shared" si="65"/>
        <v>1</v>
      </c>
      <c r="O602" s="13" t="str">
        <f t="shared" si="66"/>
        <v>ЭТАЖ ЗАДАН ЧИСЛОМ</v>
      </c>
      <c r="P602" s="13" t="str">
        <f t="shared" si="67"/>
        <v>ЭТАЖ ЗАДАН ЧИСЛОМ</v>
      </c>
      <c r="Q602" s="13" t="str">
        <f t="shared" si="68"/>
        <v>ГОТОВ_ИЗМЕНЕН</v>
      </c>
      <c r="R602" s="13">
        <f>IFERROR(VLOOKUP(P602,Лист1!A$1:B$20,2,FALSE),0)</f>
        <v>784</v>
      </c>
      <c r="S602" s="13">
        <f t="shared" si="69"/>
        <v>0</v>
      </c>
    </row>
    <row r="603" spans="1:19" x14ac:dyDescent="0.25">
      <c r="A603" t="s">
        <v>1806</v>
      </c>
      <c r="B603" s="4" t="s">
        <v>1190</v>
      </c>
      <c r="C603" s="3" t="s">
        <v>5</v>
      </c>
      <c r="G603" s="3" t="s">
        <v>1191</v>
      </c>
      <c r="I603" s="3" t="str">
        <f>IFERROR(VLOOKUP(C603,'Справочник соответствий'!A$2:D$2996,2,FALSE),IF(VALUE(C603)=0,1,VLOOKUP(C603,'Справочник соответствий'!A$2:D$2996,2,FALSE)))</f>
        <v>1</v>
      </c>
      <c r="J603" s="3">
        <f>IFERROR(VLOOKUP(D603,'Справочник соответствий'!A$2:D$2996,2,FALSE),IF(VALUE(D603)=0,0,VLOOKUP(D603,'Справочник соответствий'!A$2:D$2996,2,FALSE)))</f>
        <v>0</v>
      </c>
      <c r="K603" s="3" t="str">
        <f t="shared" si="63"/>
        <v>1</v>
      </c>
      <c r="L603" s="13" t="str">
        <f>IFERROR(VLOOKUP(C603,'Справочник соответствий'!A$2:D$2996,3,FALSE),IF(VALUE(C603)=0,"ЭТАЖ НЕ ОПРЕДЕЛЕН. ПРИНЯТ ПО ДОПУЩЕНИЮ 1",VLOOKUP(C603,'Справочник соответствий'!A$2:D$2996,3,FALSE)))</f>
        <v>ЭТАЖ ЗАДАН ЧИСЛОМ</v>
      </c>
      <c r="M603" s="13" t="b">
        <f t="shared" si="64"/>
        <v>0</v>
      </c>
      <c r="N603" s="13">
        <f t="shared" si="65"/>
        <v>1</v>
      </c>
      <c r="O603" s="13" t="str">
        <f t="shared" si="66"/>
        <v>ЭТАЖ ЗАДАН ЧИСЛОМ</v>
      </c>
      <c r="P603" s="13" t="str">
        <f t="shared" si="67"/>
        <v>ЭТАЖ ЗАДАН ЧИСЛОМ</v>
      </c>
      <c r="Q603" s="13" t="str">
        <f t="shared" si="68"/>
        <v>ГОТОВ_ИЗМЕНЕН</v>
      </c>
      <c r="R603" s="13">
        <f>IFERROR(VLOOKUP(P603,Лист1!A$1:B$20,2,FALSE),0)</f>
        <v>784</v>
      </c>
      <c r="S603" s="13">
        <f t="shared" si="69"/>
        <v>0</v>
      </c>
    </row>
    <row r="604" spans="1:19" x14ac:dyDescent="0.25">
      <c r="A604" t="s">
        <v>1807</v>
      </c>
      <c r="B604" s="4" t="s">
        <v>1190</v>
      </c>
      <c r="C604" s="3" t="s">
        <v>5</v>
      </c>
      <c r="G604" s="3" t="s">
        <v>1191</v>
      </c>
      <c r="I604" s="3" t="str">
        <f>IFERROR(VLOOKUP(C604,'Справочник соответствий'!A$2:D$2996,2,FALSE),IF(VALUE(C604)=0,1,VLOOKUP(C604,'Справочник соответствий'!A$2:D$2996,2,FALSE)))</f>
        <v>1</v>
      </c>
      <c r="J604" s="3">
        <f>IFERROR(VLOOKUP(D604,'Справочник соответствий'!A$2:D$2996,2,FALSE),IF(VALUE(D604)=0,0,VLOOKUP(D604,'Справочник соответствий'!A$2:D$2996,2,FALSE)))</f>
        <v>0</v>
      </c>
      <c r="K604" s="3" t="str">
        <f t="shared" si="63"/>
        <v>1</v>
      </c>
      <c r="L604" s="13" t="str">
        <f>IFERROR(VLOOKUP(C604,'Справочник соответствий'!A$2:D$2996,3,FALSE),IF(VALUE(C604)=0,"ЭТАЖ НЕ ОПРЕДЕЛЕН. ПРИНЯТ ПО ДОПУЩЕНИЮ 1",VLOOKUP(C604,'Справочник соответствий'!A$2:D$2996,3,FALSE)))</f>
        <v>ЭТАЖ ЗАДАН ЧИСЛОМ</v>
      </c>
      <c r="M604" s="13" t="b">
        <f t="shared" si="64"/>
        <v>0</v>
      </c>
      <c r="N604" s="13">
        <f t="shared" si="65"/>
        <v>1</v>
      </c>
      <c r="O604" s="13" t="str">
        <f t="shared" si="66"/>
        <v>ЭТАЖ ЗАДАН ЧИСЛОМ</v>
      </c>
      <c r="P604" s="13" t="str">
        <f t="shared" si="67"/>
        <v>ЭТАЖ ЗАДАН ЧИСЛОМ</v>
      </c>
      <c r="Q604" s="13" t="str">
        <f t="shared" si="68"/>
        <v>ГОТОВ_ИЗМЕНЕН</v>
      </c>
      <c r="R604" s="13">
        <f>IFERROR(VLOOKUP(P604,Лист1!A$1:B$20,2,FALSE),0)</f>
        <v>784</v>
      </c>
      <c r="S604" s="13">
        <f t="shared" si="69"/>
        <v>0</v>
      </c>
    </row>
    <row r="605" spans="1:19" x14ac:dyDescent="0.25">
      <c r="A605" t="s">
        <v>1808</v>
      </c>
      <c r="B605" s="4" t="s">
        <v>1182</v>
      </c>
      <c r="G605" s="3" t="s">
        <v>1191</v>
      </c>
      <c r="I605" s="3">
        <f>IFERROR(VLOOKUP(C605,'Справочник соответствий'!A$2:D$2996,2,FALSE),IF(VALUE(C605)=0,1,VLOOKUP(C605,'Справочник соответствий'!A$2:D$2996,2,FALSE)))</f>
        <v>1</v>
      </c>
      <c r="J605" s="3">
        <f>IFERROR(VLOOKUP(D605,'Справочник соответствий'!A$2:D$2996,2,FALSE),IF(VALUE(D605)=0,0,VLOOKUP(D605,'Справочник соответствий'!A$2:D$2996,2,FALSE)))</f>
        <v>0</v>
      </c>
      <c r="K605" s="3">
        <f t="shared" si="63"/>
        <v>1</v>
      </c>
      <c r="L605" s="13" t="str">
        <f>IFERROR(VLOOKUP(C605,'Справочник соответствий'!A$2:D$2996,3,FALSE),IF(VALUE(C605)=0,"ЭТАЖ НЕ ОПРЕДЕЛЕН. ПРИНЯТ ПО ДОПУЩЕНИЮ 1",VLOOKUP(C605,'Справочник соответствий'!A$2:D$2996,3,FALSE)))</f>
        <v>ЭТАЖ НЕ ОПРЕДЕЛЕН. ПРИНЯТ ПО ДОПУЩЕНИЮ 1</v>
      </c>
      <c r="M605" s="13" t="b">
        <f t="shared" si="64"/>
        <v>0</v>
      </c>
      <c r="N605" s="13">
        <f t="shared" si="65"/>
        <v>1</v>
      </c>
      <c r="O605" s="13" t="str">
        <f t="shared" si="66"/>
        <v>ЭТАЖ НЕ ОПРЕДЕЛЕН. ПРИНЯТ ПО ДОПУЩЕНИЮ 1</v>
      </c>
      <c r="P605" s="13" t="str">
        <f t="shared" si="67"/>
        <v>ЭТАЖ НЕ ОПРЕДЕЛЕН. ПРИНЯТ ПО ДОПУЩЕНИЮ 1</v>
      </c>
      <c r="Q605" s="13" t="str">
        <f t="shared" si="68"/>
        <v>ГОТОВ_ИЗМЕНЕН</v>
      </c>
      <c r="R605" s="13">
        <f>IFERROR(VLOOKUP(P605,Лист1!A$1:B$20,2,FALSE),0)</f>
        <v>788</v>
      </c>
      <c r="S605" s="13">
        <f t="shared" si="69"/>
        <v>0</v>
      </c>
    </row>
    <row r="606" spans="1:19" x14ac:dyDescent="0.25">
      <c r="A606" t="s">
        <v>1809</v>
      </c>
      <c r="B606" s="4" t="s">
        <v>1190</v>
      </c>
      <c r="C606" s="3" t="s">
        <v>7</v>
      </c>
      <c r="G606" s="3" t="s">
        <v>1191</v>
      </c>
      <c r="I606" s="3" t="str">
        <f>IFERROR(VLOOKUP(C606,'Справочник соответствий'!A$2:D$2996,2,FALSE),IF(VALUE(C606)=0,1,VLOOKUP(C606,'Справочник соответствий'!A$2:D$2996,2,FALSE)))</f>
        <v>2</v>
      </c>
      <c r="J606" s="3">
        <f>IFERROR(VLOOKUP(D606,'Справочник соответствий'!A$2:D$2996,2,FALSE),IF(VALUE(D606)=0,0,VLOOKUP(D606,'Справочник соответствий'!A$2:D$2996,2,FALSE)))</f>
        <v>0</v>
      </c>
      <c r="K606" s="3" t="str">
        <f t="shared" si="63"/>
        <v>2</v>
      </c>
      <c r="L606" s="13" t="str">
        <f>IFERROR(VLOOKUP(C606,'Справочник соответствий'!A$2:D$2996,3,FALSE),IF(VALUE(C606)=0,"ЭТАЖ НЕ ОПРЕДЕЛЕН. ПРИНЯТ ПО ДОПУЩЕНИЮ 1",VLOOKUP(C606,'Справочник соответствий'!A$2:D$2996,3,FALSE)))</f>
        <v>ЭТАЖ ЗАДАН ЧИСЛОМ</v>
      </c>
      <c r="M606" s="13" t="b">
        <f t="shared" si="64"/>
        <v>0</v>
      </c>
      <c r="N606" s="13">
        <f t="shared" si="65"/>
        <v>2</v>
      </c>
      <c r="O606" s="13" t="str">
        <f t="shared" si="66"/>
        <v>ЭТАЖ ЗАДАН ЧИСЛОМ</v>
      </c>
      <c r="P606" s="13" t="str">
        <f t="shared" si="67"/>
        <v>ЭТАЖ ЗАДАН ЧИСЛОМ</v>
      </c>
      <c r="Q606" s="13" t="str">
        <f t="shared" si="68"/>
        <v>ГОТОВ_ИЗМЕНЕН</v>
      </c>
      <c r="R606" s="13">
        <f>IFERROR(VLOOKUP(P606,Лист1!A$1:B$20,2,FALSE),0)</f>
        <v>784</v>
      </c>
      <c r="S606" s="13">
        <f t="shared" si="69"/>
        <v>0</v>
      </c>
    </row>
    <row r="607" spans="1:19" x14ac:dyDescent="0.25">
      <c r="A607" t="s">
        <v>1810</v>
      </c>
      <c r="B607" s="4" t="s">
        <v>1182</v>
      </c>
      <c r="C607" s="3" t="s">
        <v>7</v>
      </c>
      <c r="G607" s="3" t="s">
        <v>1191</v>
      </c>
      <c r="I607" s="3" t="str">
        <f>IFERROR(VLOOKUP(C607,'Справочник соответствий'!A$2:D$2996,2,FALSE),IF(VALUE(C607)=0,1,VLOOKUP(C607,'Справочник соответствий'!A$2:D$2996,2,FALSE)))</f>
        <v>2</v>
      </c>
      <c r="J607" s="3">
        <f>IFERROR(VLOOKUP(D607,'Справочник соответствий'!A$2:D$2996,2,FALSE),IF(VALUE(D607)=0,0,VLOOKUP(D607,'Справочник соответствий'!A$2:D$2996,2,FALSE)))</f>
        <v>0</v>
      </c>
      <c r="K607" s="3" t="str">
        <f t="shared" si="63"/>
        <v>2</v>
      </c>
      <c r="L607" s="13" t="str">
        <f>IFERROR(VLOOKUP(C607,'Справочник соответствий'!A$2:D$2996,3,FALSE),IF(VALUE(C607)=0,"ЭТАЖ НЕ ОПРЕДЕЛЕН. ПРИНЯТ ПО ДОПУЩЕНИЮ 1",VLOOKUP(C607,'Справочник соответствий'!A$2:D$2996,3,FALSE)))</f>
        <v>ЭТАЖ ЗАДАН ЧИСЛОМ</v>
      </c>
      <c r="M607" s="13" t="b">
        <f t="shared" si="64"/>
        <v>0</v>
      </c>
      <c r="N607" s="13">
        <f t="shared" si="65"/>
        <v>2</v>
      </c>
      <c r="O607" s="13" t="str">
        <f t="shared" si="66"/>
        <v>ЭТАЖ ЗАДАН ЧИСЛОМ</v>
      </c>
      <c r="P607" s="13" t="str">
        <f t="shared" si="67"/>
        <v>ЭТАЖ ЗАДАН ЧИСЛОМ</v>
      </c>
      <c r="Q607" s="13" t="str">
        <f t="shared" si="68"/>
        <v>ГОТОВ_ИЗМЕНЕН</v>
      </c>
      <c r="R607" s="13">
        <f>IFERROR(VLOOKUP(P607,Лист1!A$1:B$20,2,FALSE),0)</f>
        <v>784</v>
      </c>
      <c r="S607" s="13">
        <f t="shared" si="69"/>
        <v>0</v>
      </c>
    </row>
    <row r="608" spans="1:19" x14ac:dyDescent="0.25">
      <c r="A608" t="s">
        <v>1811</v>
      </c>
      <c r="B608" s="4" t="s">
        <v>1190</v>
      </c>
      <c r="C608" s="3" t="s">
        <v>5</v>
      </c>
      <c r="G608" s="3" t="s">
        <v>1183</v>
      </c>
      <c r="I608" s="3" t="str">
        <f>IFERROR(VLOOKUP(C608,'Справочник соответствий'!A$2:D$2996,2,FALSE),IF(VALUE(C608)=0,1,VLOOKUP(C608,'Справочник соответствий'!A$2:D$2996,2,FALSE)))</f>
        <v>1</v>
      </c>
      <c r="J608" s="3">
        <f>IFERROR(VLOOKUP(D608,'Справочник соответствий'!A$2:D$2996,2,FALSE),IF(VALUE(D608)=0,0,VLOOKUP(D608,'Справочник соответствий'!A$2:D$2996,2,FALSE)))</f>
        <v>0</v>
      </c>
      <c r="K608" s="3" t="str">
        <f t="shared" si="63"/>
        <v>1</v>
      </c>
      <c r="L608" s="13" t="str">
        <f>IFERROR(VLOOKUP(C608,'Справочник соответствий'!A$2:D$2996,3,FALSE),IF(VALUE(C608)=0,"ЭТАЖ НЕ ОПРЕДЕЛЕН. ПРИНЯТ ПО ДОПУЩЕНИЮ 1",VLOOKUP(C608,'Справочник соответствий'!A$2:D$2996,3,FALSE)))</f>
        <v>ЭТАЖ ЗАДАН ЧИСЛОМ</v>
      </c>
      <c r="M608" s="13" t="b">
        <f t="shared" si="64"/>
        <v>0</v>
      </c>
      <c r="N608" s="13">
        <f t="shared" si="65"/>
        <v>1</v>
      </c>
      <c r="O608" s="13" t="str">
        <f t="shared" si="66"/>
        <v>ЭТАЖ ЗАДАН ЧИСЛОМ</v>
      </c>
      <c r="P608" s="13" t="str">
        <f t="shared" si="67"/>
        <v>ЭТАЖ ЗАДАН ЧИСЛОМ</v>
      </c>
      <c r="Q608" s="13" t="str">
        <f t="shared" si="68"/>
        <v>ГОТОВ_ИЗМЕНЕН</v>
      </c>
      <c r="R608" s="13">
        <f>IFERROR(VLOOKUP(P608,Лист1!A$1:B$20,2,FALSE),0)</f>
        <v>784</v>
      </c>
      <c r="S608" s="13">
        <f t="shared" si="69"/>
        <v>0</v>
      </c>
    </row>
    <row r="609" spans="1:19" x14ac:dyDescent="0.25">
      <c r="A609" t="s">
        <v>1812</v>
      </c>
      <c r="B609" s="4" t="s">
        <v>1182</v>
      </c>
      <c r="C609" s="3" t="s">
        <v>7</v>
      </c>
      <c r="G609" s="3" t="s">
        <v>1183</v>
      </c>
      <c r="I609" s="3" t="str">
        <f>IFERROR(VLOOKUP(C609,'Справочник соответствий'!A$2:D$2996,2,FALSE),IF(VALUE(C609)=0,1,VLOOKUP(C609,'Справочник соответствий'!A$2:D$2996,2,FALSE)))</f>
        <v>2</v>
      </c>
      <c r="J609" s="3">
        <f>IFERROR(VLOOKUP(D609,'Справочник соответствий'!A$2:D$2996,2,FALSE),IF(VALUE(D609)=0,0,VLOOKUP(D609,'Справочник соответствий'!A$2:D$2996,2,FALSE)))</f>
        <v>0</v>
      </c>
      <c r="K609" s="3" t="str">
        <f t="shared" si="63"/>
        <v>2</v>
      </c>
      <c r="L609" s="13" t="str">
        <f>IFERROR(VLOOKUP(C609,'Справочник соответствий'!A$2:D$2996,3,FALSE),IF(VALUE(C609)=0,"ЭТАЖ НЕ ОПРЕДЕЛЕН. ПРИНЯТ ПО ДОПУЩЕНИЮ 1",VLOOKUP(C609,'Справочник соответствий'!A$2:D$2996,3,FALSE)))</f>
        <v>ЭТАЖ ЗАДАН ЧИСЛОМ</v>
      </c>
      <c r="M609" s="13" t="b">
        <f t="shared" si="64"/>
        <v>0</v>
      </c>
      <c r="N609" s="13">
        <f t="shared" si="65"/>
        <v>2</v>
      </c>
      <c r="O609" s="13" t="str">
        <f t="shared" si="66"/>
        <v>ЭТАЖ ЗАДАН ЧИСЛОМ</v>
      </c>
      <c r="P609" s="13" t="str">
        <f t="shared" si="67"/>
        <v>ЭТАЖ ЗАДАН ЧИСЛОМ</v>
      </c>
      <c r="Q609" s="13" t="str">
        <f t="shared" si="68"/>
        <v>ГОТОВ_ИЗМЕНЕН</v>
      </c>
      <c r="R609" s="13">
        <f>IFERROR(VLOOKUP(P609,Лист1!A$1:B$20,2,FALSE),0)</f>
        <v>784</v>
      </c>
      <c r="S609" s="13">
        <f t="shared" si="69"/>
        <v>0</v>
      </c>
    </row>
    <row r="610" spans="1:19" x14ac:dyDescent="0.25">
      <c r="A610" t="s">
        <v>1813</v>
      </c>
      <c r="B610" s="4" t="s">
        <v>1190</v>
      </c>
      <c r="C610" s="3" t="s">
        <v>5</v>
      </c>
      <c r="G610" s="3" t="s">
        <v>1183</v>
      </c>
      <c r="I610" s="3" t="str">
        <f>IFERROR(VLOOKUP(C610,'Справочник соответствий'!A$2:D$2996,2,FALSE),IF(VALUE(C610)=0,1,VLOOKUP(C610,'Справочник соответствий'!A$2:D$2996,2,FALSE)))</f>
        <v>1</v>
      </c>
      <c r="J610" s="3">
        <f>IFERROR(VLOOKUP(D610,'Справочник соответствий'!A$2:D$2996,2,FALSE),IF(VALUE(D610)=0,0,VLOOKUP(D610,'Справочник соответствий'!A$2:D$2996,2,FALSE)))</f>
        <v>0</v>
      </c>
      <c r="K610" s="3" t="str">
        <f t="shared" si="63"/>
        <v>1</v>
      </c>
      <c r="L610" s="13" t="str">
        <f>IFERROR(VLOOKUP(C610,'Справочник соответствий'!A$2:D$2996,3,FALSE),IF(VALUE(C610)=0,"ЭТАЖ НЕ ОПРЕДЕЛЕН. ПРИНЯТ ПО ДОПУЩЕНИЮ 1",VLOOKUP(C610,'Справочник соответствий'!A$2:D$2996,3,FALSE)))</f>
        <v>ЭТАЖ ЗАДАН ЧИСЛОМ</v>
      </c>
      <c r="M610" s="13" t="b">
        <f t="shared" si="64"/>
        <v>0</v>
      </c>
      <c r="N610" s="13">
        <f t="shared" si="65"/>
        <v>1</v>
      </c>
      <c r="O610" s="13" t="str">
        <f t="shared" si="66"/>
        <v>ЭТАЖ ЗАДАН ЧИСЛОМ</v>
      </c>
      <c r="P610" s="13" t="str">
        <f t="shared" si="67"/>
        <v>ЭТАЖ ЗАДАН ЧИСЛОМ</v>
      </c>
      <c r="Q610" s="13" t="str">
        <f t="shared" si="68"/>
        <v>ГОТОВ_ИЗМЕНЕН</v>
      </c>
      <c r="R610" s="13">
        <f>IFERROR(VLOOKUP(P610,Лист1!A$1:B$20,2,FALSE),0)</f>
        <v>784</v>
      </c>
      <c r="S610" s="13">
        <f t="shared" si="69"/>
        <v>0</v>
      </c>
    </row>
    <row r="611" spans="1:19" x14ac:dyDescent="0.25">
      <c r="A611" t="s">
        <v>1814</v>
      </c>
      <c r="B611" s="4" t="s">
        <v>1190</v>
      </c>
      <c r="C611" s="3" t="s">
        <v>7</v>
      </c>
      <c r="G611" s="3" t="s">
        <v>1183</v>
      </c>
      <c r="I611" s="3" t="str">
        <f>IFERROR(VLOOKUP(C611,'Справочник соответствий'!A$2:D$2996,2,FALSE),IF(VALUE(C611)=0,1,VLOOKUP(C611,'Справочник соответствий'!A$2:D$2996,2,FALSE)))</f>
        <v>2</v>
      </c>
      <c r="J611" s="3">
        <f>IFERROR(VLOOKUP(D611,'Справочник соответствий'!A$2:D$2996,2,FALSE),IF(VALUE(D611)=0,0,VLOOKUP(D611,'Справочник соответствий'!A$2:D$2996,2,FALSE)))</f>
        <v>0</v>
      </c>
      <c r="K611" s="3" t="str">
        <f t="shared" si="63"/>
        <v>2</v>
      </c>
      <c r="L611" s="13" t="str">
        <f>IFERROR(VLOOKUP(C611,'Справочник соответствий'!A$2:D$2996,3,FALSE),IF(VALUE(C611)=0,"ЭТАЖ НЕ ОПРЕДЕЛЕН. ПРИНЯТ ПО ДОПУЩЕНИЮ 1",VLOOKUP(C611,'Справочник соответствий'!A$2:D$2996,3,FALSE)))</f>
        <v>ЭТАЖ ЗАДАН ЧИСЛОМ</v>
      </c>
      <c r="M611" s="13" t="b">
        <f t="shared" si="64"/>
        <v>0</v>
      </c>
      <c r="N611" s="13">
        <f t="shared" si="65"/>
        <v>2</v>
      </c>
      <c r="O611" s="13" t="str">
        <f t="shared" si="66"/>
        <v>ЭТАЖ ЗАДАН ЧИСЛОМ</v>
      </c>
      <c r="P611" s="13" t="str">
        <f t="shared" si="67"/>
        <v>ЭТАЖ ЗАДАН ЧИСЛОМ</v>
      </c>
      <c r="Q611" s="13" t="str">
        <f t="shared" si="68"/>
        <v>ГОТОВ_ИЗМЕНЕН</v>
      </c>
      <c r="R611" s="13">
        <f>IFERROR(VLOOKUP(P611,Лист1!A$1:B$20,2,FALSE),0)</f>
        <v>784</v>
      </c>
      <c r="S611" s="13">
        <f t="shared" si="69"/>
        <v>0</v>
      </c>
    </row>
    <row r="612" spans="1:19" x14ac:dyDescent="0.25">
      <c r="A612" t="s">
        <v>1815</v>
      </c>
      <c r="B612" s="4" t="s">
        <v>1190</v>
      </c>
      <c r="C612" s="3" t="s">
        <v>5</v>
      </c>
      <c r="G612" s="3" t="s">
        <v>1183</v>
      </c>
      <c r="I612" s="3" t="str">
        <f>IFERROR(VLOOKUP(C612,'Справочник соответствий'!A$2:D$2996,2,FALSE),IF(VALUE(C612)=0,1,VLOOKUP(C612,'Справочник соответствий'!A$2:D$2996,2,FALSE)))</f>
        <v>1</v>
      </c>
      <c r="J612" s="3">
        <f>IFERROR(VLOOKUP(D612,'Справочник соответствий'!A$2:D$2996,2,FALSE),IF(VALUE(D612)=0,0,VLOOKUP(D612,'Справочник соответствий'!A$2:D$2996,2,FALSE)))</f>
        <v>0</v>
      </c>
      <c r="K612" s="3" t="str">
        <f t="shared" si="63"/>
        <v>1</v>
      </c>
      <c r="L612" s="13" t="str">
        <f>IFERROR(VLOOKUP(C612,'Справочник соответствий'!A$2:D$2996,3,FALSE),IF(VALUE(C612)=0,"ЭТАЖ НЕ ОПРЕДЕЛЕН. ПРИНЯТ ПО ДОПУЩЕНИЮ 1",VLOOKUP(C612,'Справочник соответствий'!A$2:D$2996,3,FALSE)))</f>
        <v>ЭТАЖ ЗАДАН ЧИСЛОМ</v>
      </c>
      <c r="M612" s="13" t="b">
        <f t="shared" si="64"/>
        <v>0</v>
      </c>
      <c r="N612" s="13">
        <f t="shared" si="65"/>
        <v>1</v>
      </c>
      <c r="O612" s="13" t="str">
        <f t="shared" si="66"/>
        <v>ЭТАЖ ЗАДАН ЧИСЛОМ</v>
      </c>
      <c r="P612" s="13" t="str">
        <f t="shared" si="67"/>
        <v>ЭТАЖ ЗАДАН ЧИСЛОМ</v>
      </c>
      <c r="Q612" s="13" t="str">
        <f t="shared" si="68"/>
        <v>ГОТОВ_ИЗМЕНЕН</v>
      </c>
      <c r="R612" s="13">
        <f>IFERROR(VLOOKUP(P612,Лист1!A$1:B$20,2,FALSE),0)</f>
        <v>784</v>
      </c>
      <c r="S612" s="13">
        <f t="shared" si="69"/>
        <v>0</v>
      </c>
    </row>
    <row r="613" spans="1:19" x14ac:dyDescent="0.25">
      <c r="A613" t="s">
        <v>1816</v>
      </c>
      <c r="B613" s="4" t="s">
        <v>1190</v>
      </c>
      <c r="C613" s="3" t="s">
        <v>5</v>
      </c>
      <c r="G613" s="3" t="s">
        <v>1198</v>
      </c>
      <c r="I613" s="3" t="str">
        <f>IFERROR(VLOOKUP(C613,'Справочник соответствий'!A$2:D$2996,2,FALSE),IF(VALUE(C613)=0,1,VLOOKUP(C613,'Справочник соответствий'!A$2:D$2996,2,FALSE)))</f>
        <v>1</v>
      </c>
      <c r="J613" s="3">
        <f>IFERROR(VLOOKUP(D613,'Справочник соответствий'!A$2:D$2996,2,FALSE),IF(VALUE(D613)=0,0,VLOOKUP(D613,'Справочник соответствий'!A$2:D$2996,2,FALSE)))</f>
        <v>0</v>
      </c>
      <c r="K613" s="3" t="str">
        <f t="shared" si="63"/>
        <v>1</v>
      </c>
      <c r="L613" s="13" t="str">
        <f>IFERROR(VLOOKUP(C613,'Справочник соответствий'!A$2:D$2996,3,FALSE),IF(VALUE(C613)=0,"ЭТАЖ НЕ ОПРЕДЕЛЕН. ПРИНЯТ ПО ДОПУЩЕНИЮ 1",VLOOKUP(C613,'Справочник соответствий'!A$2:D$2996,3,FALSE)))</f>
        <v>ЭТАЖ ЗАДАН ЧИСЛОМ</v>
      </c>
      <c r="M613" s="13" t="b">
        <f t="shared" si="64"/>
        <v>0</v>
      </c>
      <c r="N613" s="13">
        <f t="shared" si="65"/>
        <v>1</v>
      </c>
      <c r="O613" s="13" t="str">
        <f t="shared" si="66"/>
        <v>ЭТАЖ ЗАДАН ЧИСЛОМ</v>
      </c>
      <c r="P613" s="13" t="str">
        <f t="shared" si="67"/>
        <v>ЭТАЖ ЗАДАН ЧИСЛОМ</v>
      </c>
      <c r="Q613" s="13" t="str">
        <f t="shared" si="68"/>
        <v>ГОТОВ_ИЗМЕНЕН</v>
      </c>
      <c r="R613" s="13">
        <f>IFERROR(VLOOKUP(P613,Лист1!A$1:B$20,2,FALSE),0)</f>
        <v>784</v>
      </c>
      <c r="S613" s="13">
        <f t="shared" si="69"/>
        <v>0</v>
      </c>
    </row>
    <row r="614" spans="1:19" x14ac:dyDescent="0.25">
      <c r="A614" t="s">
        <v>1817</v>
      </c>
      <c r="B614" s="4" t="s">
        <v>1190</v>
      </c>
      <c r="C614" s="3" t="s">
        <v>5</v>
      </c>
      <c r="G614" s="3" t="s">
        <v>1198</v>
      </c>
      <c r="I614" s="3" t="str">
        <f>IFERROR(VLOOKUP(C614,'Справочник соответствий'!A$2:D$2996,2,FALSE),IF(VALUE(C614)=0,1,VLOOKUP(C614,'Справочник соответствий'!A$2:D$2996,2,FALSE)))</f>
        <v>1</v>
      </c>
      <c r="J614" s="3">
        <f>IFERROR(VLOOKUP(D614,'Справочник соответствий'!A$2:D$2996,2,FALSE),IF(VALUE(D614)=0,0,VLOOKUP(D614,'Справочник соответствий'!A$2:D$2996,2,FALSE)))</f>
        <v>0</v>
      </c>
      <c r="K614" s="3" t="str">
        <f t="shared" si="63"/>
        <v>1</v>
      </c>
      <c r="L614" s="13" t="str">
        <f>IFERROR(VLOOKUP(C614,'Справочник соответствий'!A$2:D$2996,3,FALSE),IF(VALUE(C614)=0,"ЭТАЖ НЕ ОПРЕДЕЛЕН. ПРИНЯТ ПО ДОПУЩЕНИЮ 1",VLOOKUP(C614,'Справочник соответствий'!A$2:D$2996,3,FALSE)))</f>
        <v>ЭТАЖ ЗАДАН ЧИСЛОМ</v>
      </c>
      <c r="M614" s="13" t="b">
        <f t="shared" si="64"/>
        <v>0</v>
      </c>
      <c r="N614" s="13">
        <f t="shared" si="65"/>
        <v>1</v>
      </c>
      <c r="O614" s="13" t="str">
        <f t="shared" si="66"/>
        <v>ЭТАЖ ЗАДАН ЧИСЛОМ</v>
      </c>
      <c r="P614" s="13" t="str">
        <f t="shared" si="67"/>
        <v>ЭТАЖ ЗАДАН ЧИСЛОМ</v>
      </c>
      <c r="Q614" s="13" t="str">
        <f t="shared" si="68"/>
        <v>ГОТОВ_ИЗМЕНЕН</v>
      </c>
      <c r="R614" s="13">
        <f>IFERROR(VLOOKUP(P614,Лист1!A$1:B$20,2,FALSE),0)</f>
        <v>784</v>
      </c>
      <c r="S614" s="13">
        <f t="shared" si="69"/>
        <v>0</v>
      </c>
    </row>
    <row r="615" spans="1:19" x14ac:dyDescent="0.25">
      <c r="A615" t="s">
        <v>1818</v>
      </c>
      <c r="B615" s="4" t="s">
        <v>1190</v>
      </c>
      <c r="C615" s="3" t="s">
        <v>7</v>
      </c>
      <c r="G615" s="3" t="s">
        <v>1198</v>
      </c>
      <c r="I615" s="3" t="str">
        <f>IFERROR(VLOOKUP(C615,'Справочник соответствий'!A$2:D$2996,2,FALSE),IF(VALUE(C615)=0,1,VLOOKUP(C615,'Справочник соответствий'!A$2:D$2996,2,FALSE)))</f>
        <v>2</v>
      </c>
      <c r="J615" s="3">
        <f>IFERROR(VLOOKUP(D615,'Справочник соответствий'!A$2:D$2996,2,FALSE),IF(VALUE(D615)=0,0,VLOOKUP(D615,'Справочник соответствий'!A$2:D$2996,2,FALSE)))</f>
        <v>0</v>
      </c>
      <c r="K615" s="3" t="str">
        <f t="shared" si="63"/>
        <v>2</v>
      </c>
      <c r="L615" s="13" t="str">
        <f>IFERROR(VLOOKUP(C615,'Справочник соответствий'!A$2:D$2996,3,FALSE),IF(VALUE(C615)=0,"ЭТАЖ НЕ ОПРЕДЕЛЕН. ПРИНЯТ ПО ДОПУЩЕНИЮ 1",VLOOKUP(C615,'Справочник соответствий'!A$2:D$2996,3,FALSE)))</f>
        <v>ЭТАЖ ЗАДАН ЧИСЛОМ</v>
      </c>
      <c r="M615" s="13" t="b">
        <f t="shared" si="64"/>
        <v>0</v>
      </c>
      <c r="N615" s="13">
        <f t="shared" si="65"/>
        <v>2</v>
      </c>
      <c r="O615" s="13" t="str">
        <f t="shared" si="66"/>
        <v>ЭТАЖ ЗАДАН ЧИСЛОМ</v>
      </c>
      <c r="P615" s="13" t="str">
        <f t="shared" si="67"/>
        <v>ЭТАЖ ЗАДАН ЧИСЛОМ</v>
      </c>
      <c r="Q615" s="13" t="str">
        <f t="shared" si="68"/>
        <v>ГОТОВ_ИЗМЕНЕН</v>
      </c>
      <c r="R615" s="13">
        <f>IFERROR(VLOOKUP(P615,Лист1!A$1:B$20,2,FALSE),0)</f>
        <v>784</v>
      </c>
      <c r="S615" s="13">
        <f t="shared" si="69"/>
        <v>0</v>
      </c>
    </row>
    <row r="616" spans="1:19" x14ac:dyDescent="0.25">
      <c r="A616" t="s">
        <v>1819</v>
      </c>
      <c r="B616" s="4" t="s">
        <v>1190</v>
      </c>
      <c r="C616" s="3" t="s">
        <v>8</v>
      </c>
      <c r="G616" s="3" t="s">
        <v>1198</v>
      </c>
      <c r="I616" s="3" t="str">
        <f>IFERROR(VLOOKUP(C616,'Справочник соответствий'!A$2:D$2996,2,FALSE),IF(VALUE(C616)=0,1,VLOOKUP(C616,'Справочник соответствий'!A$2:D$2996,2,FALSE)))</f>
        <v>3</v>
      </c>
      <c r="J616" s="3">
        <f>IFERROR(VLOOKUP(D616,'Справочник соответствий'!A$2:D$2996,2,FALSE),IF(VALUE(D616)=0,0,VLOOKUP(D616,'Справочник соответствий'!A$2:D$2996,2,FALSE)))</f>
        <v>0</v>
      </c>
      <c r="K616" s="3" t="str">
        <f t="shared" si="63"/>
        <v>3</v>
      </c>
      <c r="L616" s="13" t="str">
        <f>IFERROR(VLOOKUP(C616,'Справочник соответствий'!A$2:D$2996,3,FALSE),IF(VALUE(C616)=0,"ЭТАЖ НЕ ОПРЕДЕЛЕН. ПРИНЯТ ПО ДОПУЩЕНИЮ 1",VLOOKUP(C616,'Справочник соответствий'!A$2:D$2996,3,FALSE)))</f>
        <v>ЭТАЖ ЗАДАН ЧИСЛОМ</v>
      </c>
      <c r="M616" s="13" t="b">
        <f t="shared" si="64"/>
        <v>0</v>
      </c>
      <c r="N616" s="13">
        <f t="shared" si="65"/>
        <v>3</v>
      </c>
      <c r="O616" s="13" t="str">
        <f t="shared" si="66"/>
        <v>ЭТАЖ ЗАДАН ЧИСЛОМ</v>
      </c>
      <c r="P616" s="13" t="str">
        <f t="shared" si="67"/>
        <v>ЭТАЖ ЗАДАН ЧИСЛОМ</v>
      </c>
      <c r="Q616" s="13" t="str">
        <f t="shared" si="68"/>
        <v>ГОТОВ_ИЗМЕНЕН</v>
      </c>
      <c r="R616" s="13">
        <f>IFERROR(VLOOKUP(P616,Лист1!A$1:B$20,2,FALSE),0)</f>
        <v>784</v>
      </c>
      <c r="S616" s="13">
        <f t="shared" si="69"/>
        <v>0</v>
      </c>
    </row>
    <row r="617" spans="1:19" x14ac:dyDescent="0.25">
      <c r="A617" t="s">
        <v>1820</v>
      </c>
      <c r="B617" s="4" t="s">
        <v>1190</v>
      </c>
      <c r="C617" s="3" t="s">
        <v>7</v>
      </c>
      <c r="G617" s="3" t="s">
        <v>1198</v>
      </c>
      <c r="I617" s="3" t="str">
        <f>IFERROR(VLOOKUP(C617,'Справочник соответствий'!A$2:D$2996,2,FALSE),IF(VALUE(C617)=0,1,VLOOKUP(C617,'Справочник соответствий'!A$2:D$2996,2,FALSE)))</f>
        <v>2</v>
      </c>
      <c r="J617" s="3">
        <f>IFERROR(VLOOKUP(D617,'Справочник соответствий'!A$2:D$2996,2,FALSE),IF(VALUE(D617)=0,0,VLOOKUP(D617,'Справочник соответствий'!A$2:D$2996,2,FALSE)))</f>
        <v>0</v>
      </c>
      <c r="K617" s="3" t="str">
        <f t="shared" si="63"/>
        <v>2</v>
      </c>
      <c r="L617" s="13" t="str">
        <f>IFERROR(VLOOKUP(C617,'Справочник соответствий'!A$2:D$2996,3,FALSE),IF(VALUE(C617)=0,"ЭТАЖ НЕ ОПРЕДЕЛЕН. ПРИНЯТ ПО ДОПУЩЕНИЮ 1",VLOOKUP(C617,'Справочник соответствий'!A$2:D$2996,3,FALSE)))</f>
        <v>ЭТАЖ ЗАДАН ЧИСЛОМ</v>
      </c>
      <c r="M617" s="13" t="b">
        <f t="shared" si="64"/>
        <v>0</v>
      </c>
      <c r="N617" s="13">
        <f t="shared" si="65"/>
        <v>2</v>
      </c>
      <c r="O617" s="13" t="str">
        <f t="shared" si="66"/>
        <v>ЭТАЖ ЗАДАН ЧИСЛОМ</v>
      </c>
      <c r="P617" s="13" t="str">
        <f t="shared" si="67"/>
        <v>ЭТАЖ ЗАДАН ЧИСЛОМ</v>
      </c>
      <c r="Q617" s="13" t="str">
        <f t="shared" si="68"/>
        <v>ГОТОВ_ИЗМЕНЕН</v>
      </c>
      <c r="R617" s="13">
        <f>IFERROR(VLOOKUP(P617,Лист1!A$1:B$20,2,FALSE),0)</f>
        <v>784</v>
      </c>
      <c r="S617" s="13">
        <f t="shared" si="69"/>
        <v>0</v>
      </c>
    </row>
    <row r="618" spans="1:19" x14ac:dyDescent="0.25">
      <c r="A618" t="s">
        <v>1821</v>
      </c>
      <c r="B618" s="4" t="s">
        <v>1190</v>
      </c>
      <c r="C618" s="3" t="s">
        <v>5</v>
      </c>
      <c r="G618" s="3" t="s">
        <v>1224</v>
      </c>
      <c r="I618" s="3" t="str">
        <f>IFERROR(VLOOKUP(C618,'Справочник соответствий'!A$2:D$2996,2,FALSE),IF(VALUE(C618)=0,1,VLOOKUP(C618,'Справочник соответствий'!A$2:D$2996,2,FALSE)))</f>
        <v>1</v>
      </c>
      <c r="J618" s="3">
        <f>IFERROR(VLOOKUP(D618,'Справочник соответствий'!A$2:D$2996,2,FALSE),IF(VALUE(D618)=0,0,VLOOKUP(D618,'Справочник соответствий'!A$2:D$2996,2,FALSE)))</f>
        <v>0</v>
      </c>
      <c r="K618" s="3" t="str">
        <f t="shared" si="63"/>
        <v>1</v>
      </c>
      <c r="L618" s="13" t="str">
        <f>IFERROR(VLOOKUP(C618,'Справочник соответствий'!A$2:D$2996,3,FALSE),IF(VALUE(C618)=0,"ЭТАЖ НЕ ОПРЕДЕЛЕН. ПРИНЯТ ПО ДОПУЩЕНИЮ 1",VLOOKUP(C618,'Справочник соответствий'!A$2:D$2996,3,FALSE)))</f>
        <v>ЭТАЖ ЗАДАН ЧИСЛОМ</v>
      </c>
      <c r="M618" s="13" t="b">
        <f t="shared" si="64"/>
        <v>0</v>
      </c>
      <c r="N618" s="13">
        <f t="shared" si="65"/>
        <v>1</v>
      </c>
      <c r="O618" s="13" t="str">
        <f t="shared" si="66"/>
        <v>ЭТАЖ ЗАДАН ЧИСЛОМ</v>
      </c>
      <c r="P618" s="13" t="str">
        <f t="shared" si="67"/>
        <v>ЭТАЖ ЗАДАН ЧИСЛОМ</v>
      </c>
      <c r="Q618" s="13" t="str">
        <f t="shared" si="68"/>
        <v>ГОТОВ_ИЗМЕНЕН</v>
      </c>
      <c r="R618" s="13">
        <f>IFERROR(VLOOKUP(P618,Лист1!A$1:B$20,2,FALSE),0)</f>
        <v>784</v>
      </c>
      <c r="S618" s="13">
        <f t="shared" si="69"/>
        <v>0</v>
      </c>
    </row>
    <row r="619" spans="1:19" x14ac:dyDescent="0.25">
      <c r="A619" t="s">
        <v>1822</v>
      </c>
      <c r="B619" s="4" t="s">
        <v>1190</v>
      </c>
      <c r="C619" s="3" t="s">
        <v>7</v>
      </c>
      <c r="G619" s="3" t="s">
        <v>1224</v>
      </c>
      <c r="I619" s="3" t="str">
        <f>IFERROR(VLOOKUP(C619,'Справочник соответствий'!A$2:D$2996,2,FALSE),IF(VALUE(C619)=0,1,VLOOKUP(C619,'Справочник соответствий'!A$2:D$2996,2,FALSE)))</f>
        <v>2</v>
      </c>
      <c r="J619" s="3">
        <f>IFERROR(VLOOKUP(D619,'Справочник соответствий'!A$2:D$2996,2,FALSE),IF(VALUE(D619)=0,0,VLOOKUP(D619,'Справочник соответствий'!A$2:D$2996,2,FALSE)))</f>
        <v>0</v>
      </c>
      <c r="K619" s="3" t="str">
        <f t="shared" si="63"/>
        <v>2</v>
      </c>
      <c r="L619" s="13" t="str">
        <f>IFERROR(VLOOKUP(C619,'Справочник соответствий'!A$2:D$2996,3,FALSE),IF(VALUE(C619)=0,"ЭТАЖ НЕ ОПРЕДЕЛЕН. ПРИНЯТ ПО ДОПУЩЕНИЮ 1",VLOOKUP(C619,'Справочник соответствий'!A$2:D$2996,3,FALSE)))</f>
        <v>ЭТАЖ ЗАДАН ЧИСЛОМ</v>
      </c>
      <c r="M619" s="13" t="b">
        <f t="shared" si="64"/>
        <v>0</v>
      </c>
      <c r="N619" s="13">
        <f t="shared" si="65"/>
        <v>2</v>
      </c>
      <c r="O619" s="13" t="str">
        <f t="shared" si="66"/>
        <v>ЭТАЖ ЗАДАН ЧИСЛОМ</v>
      </c>
      <c r="P619" s="13" t="str">
        <f t="shared" si="67"/>
        <v>ЭТАЖ ЗАДАН ЧИСЛОМ</v>
      </c>
      <c r="Q619" s="13" t="str">
        <f t="shared" si="68"/>
        <v>ГОТОВ_ИЗМЕНЕН</v>
      </c>
      <c r="R619" s="13">
        <f>IFERROR(VLOOKUP(P619,Лист1!A$1:B$20,2,FALSE),0)</f>
        <v>784</v>
      </c>
      <c r="S619" s="13">
        <f t="shared" si="69"/>
        <v>0</v>
      </c>
    </row>
    <row r="620" spans="1:19" x14ac:dyDescent="0.25">
      <c r="A620" t="s">
        <v>1823</v>
      </c>
      <c r="B620" s="4" t="s">
        <v>1182</v>
      </c>
      <c r="C620" s="3" t="s">
        <v>5</v>
      </c>
      <c r="G620" s="3" t="s">
        <v>1224</v>
      </c>
      <c r="I620" s="3" t="str">
        <f>IFERROR(VLOOKUP(C620,'Справочник соответствий'!A$2:D$2996,2,FALSE),IF(VALUE(C620)=0,1,VLOOKUP(C620,'Справочник соответствий'!A$2:D$2996,2,FALSE)))</f>
        <v>1</v>
      </c>
      <c r="J620" s="3">
        <f>IFERROR(VLOOKUP(D620,'Справочник соответствий'!A$2:D$2996,2,FALSE),IF(VALUE(D620)=0,0,VLOOKUP(D620,'Справочник соответствий'!A$2:D$2996,2,FALSE)))</f>
        <v>0</v>
      </c>
      <c r="K620" s="3" t="str">
        <f t="shared" si="63"/>
        <v>1</v>
      </c>
      <c r="L620" s="13" t="str">
        <f>IFERROR(VLOOKUP(C620,'Справочник соответствий'!A$2:D$2996,3,FALSE),IF(VALUE(C620)=0,"ЭТАЖ НЕ ОПРЕДЕЛЕН. ПРИНЯТ ПО ДОПУЩЕНИЮ 1",VLOOKUP(C620,'Справочник соответствий'!A$2:D$2996,3,FALSE)))</f>
        <v>ЭТАЖ ЗАДАН ЧИСЛОМ</v>
      </c>
      <c r="M620" s="13" t="b">
        <f t="shared" si="64"/>
        <v>0</v>
      </c>
      <c r="N620" s="13">
        <f t="shared" si="65"/>
        <v>1</v>
      </c>
      <c r="O620" s="13" t="str">
        <f t="shared" si="66"/>
        <v>ЭТАЖ ЗАДАН ЧИСЛОМ</v>
      </c>
      <c r="P620" s="13" t="str">
        <f t="shared" si="67"/>
        <v>ЭТАЖ ЗАДАН ЧИСЛОМ</v>
      </c>
      <c r="Q620" s="13" t="str">
        <f t="shared" si="68"/>
        <v>ГОТОВ_ИЗМЕНЕН</v>
      </c>
      <c r="R620" s="13">
        <f>IFERROR(VLOOKUP(P620,Лист1!A$1:B$20,2,FALSE),0)</f>
        <v>784</v>
      </c>
      <c r="S620" s="13">
        <f t="shared" si="69"/>
        <v>0</v>
      </c>
    </row>
    <row r="621" spans="1:19" x14ac:dyDescent="0.25">
      <c r="A621" t="s">
        <v>1824</v>
      </c>
      <c r="B621" s="4" t="s">
        <v>1182</v>
      </c>
      <c r="C621" s="3" t="s">
        <v>5</v>
      </c>
      <c r="G621" s="3" t="s">
        <v>1224</v>
      </c>
      <c r="I621" s="3" t="str">
        <f>IFERROR(VLOOKUP(C621,'Справочник соответствий'!A$2:D$2996,2,FALSE),IF(VALUE(C621)=0,1,VLOOKUP(C621,'Справочник соответствий'!A$2:D$2996,2,FALSE)))</f>
        <v>1</v>
      </c>
      <c r="J621" s="3">
        <f>IFERROR(VLOOKUP(D621,'Справочник соответствий'!A$2:D$2996,2,FALSE),IF(VALUE(D621)=0,0,VLOOKUP(D621,'Справочник соответствий'!A$2:D$2996,2,FALSE)))</f>
        <v>0</v>
      </c>
      <c r="K621" s="3" t="str">
        <f t="shared" si="63"/>
        <v>1</v>
      </c>
      <c r="L621" s="13" t="str">
        <f>IFERROR(VLOOKUP(C621,'Справочник соответствий'!A$2:D$2996,3,FALSE),IF(VALUE(C621)=0,"ЭТАЖ НЕ ОПРЕДЕЛЕН. ПРИНЯТ ПО ДОПУЩЕНИЮ 1",VLOOKUP(C621,'Справочник соответствий'!A$2:D$2996,3,FALSE)))</f>
        <v>ЭТАЖ ЗАДАН ЧИСЛОМ</v>
      </c>
      <c r="M621" s="13" t="b">
        <f t="shared" si="64"/>
        <v>0</v>
      </c>
      <c r="N621" s="13">
        <f t="shared" si="65"/>
        <v>1</v>
      </c>
      <c r="O621" s="13" t="str">
        <f t="shared" si="66"/>
        <v>ЭТАЖ ЗАДАН ЧИСЛОМ</v>
      </c>
      <c r="P621" s="13" t="str">
        <f t="shared" si="67"/>
        <v>ЭТАЖ ЗАДАН ЧИСЛОМ</v>
      </c>
      <c r="Q621" s="13" t="str">
        <f t="shared" si="68"/>
        <v>ГОТОВ_ИЗМЕНЕН</v>
      </c>
      <c r="R621" s="13">
        <f>IFERROR(VLOOKUP(P621,Лист1!A$1:B$20,2,FALSE),0)</f>
        <v>784</v>
      </c>
      <c r="S621" s="13">
        <f t="shared" si="69"/>
        <v>0</v>
      </c>
    </row>
    <row r="622" spans="1:19" x14ac:dyDescent="0.25">
      <c r="A622" t="s">
        <v>1825</v>
      </c>
      <c r="B622" s="4" t="s">
        <v>1190</v>
      </c>
      <c r="C622" s="3" t="s">
        <v>5</v>
      </c>
      <c r="G622" s="3" t="s">
        <v>1224</v>
      </c>
      <c r="I622" s="3" t="str">
        <f>IFERROR(VLOOKUP(C622,'Справочник соответствий'!A$2:D$2996,2,FALSE),IF(VALUE(C622)=0,1,VLOOKUP(C622,'Справочник соответствий'!A$2:D$2996,2,FALSE)))</f>
        <v>1</v>
      </c>
      <c r="J622" s="3">
        <f>IFERROR(VLOOKUP(D622,'Справочник соответствий'!A$2:D$2996,2,FALSE),IF(VALUE(D622)=0,0,VLOOKUP(D622,'Справочник соответствий'!A$2:D$2996,2,FALSE)))</f>
        <v>0</v>
      </c>
      <c r="K622" s="3" t="str">
        <f t="shared" si="63"/>
        <v>1</v>
      </c>
      <c r="L622" s="13" t="str">
        <f>IFERROR(VLOOKUP(C622,'Справочник соответствий'!A$2:D$2996,3,FALSE),IF(VALUE(C622)=0,"ЭТАЖ НЕ ОПРЕДЕЛЕН. ПРИНЯТ ПО ДОПУЩЕНИЮ 1",VLOOKUP(C622,'Справочник соответствий'!A$2:D$2996,3,FALSE)))</f>
        <v>ЭТАЖ ЗАДАН ЧИСЛОМ</v>
      </c>
      <c r="M622" s="13" t="b">
        <f t="shared" si="64"/>
        <v>0</v>
      </c>
      <c r="N622" s="13">
        <f t="shared" si="65"/>
        <v>1</v>
      </c>
      <c r="O622" s="13" t="str">
        <f t="shared" si="66"/>
        <v>ЭТАЖ ЗАДАН ЧИСЛОМ</v>
      </c>
      <c r="P622" s="13" t="str">
        <f t="shared" si="67"/>
        <v>ЭТАЖ ЗАДАН ЧИСЛОМ</v>
      </c>
      <c r="Q622" s="13" t="str">
        <f t="shared" si="68"/>
        <v>ГОТОВ_ИЗМЕНЕН</v>
      </c>
      <c r="R622" s="13">
        <f>IFERROR(VLOOKUP(P622,Лист1!A$1:B$20,2,FALSE),0)</f>
        <v>784</v>
      </c>
      <c r="S622" s="13">
        <f t="shared" si="69"/>
        <v>0</v>
      </c>
    </row>
    <row r="623" spans="1:19" x14ac:dyDescent="0.25">
      <c r="A623" t="s">
        <v>1826</v>
      </c>
      <c r="B623" s="4" t="s">
        <v>1190</v>
      </c>
      <c r="C623" s="3" t="s">
        <v>5</v>
      </c>
      <c r="G623" s="3" t="s">
        <v>1224</v>
      </c>
      <c r="I623" s="3" t="str">
        <f>IFERROR(VLOOKUP(C623,'Справочник соответствий'!A$2:D$2996,2,FALSE),IF(VALUE(C623)=0,1,VLOOKUP(C623,'Справочник соответствий'!A$2:D$2996,2,FALSE)))</f>
        <v>1</v>
      </c>
      <c r="J623" s="3">
        <f>IFERROR(VLOOKUP(D623,'Справочник соответствий'!A$2:D$2996,2,FALSE),IF(VALUE(D623)=0,0,VLOOKUP(D623,'Справочник соответствий'!A$2:D$2996,2,FALSE)))</f>
        <v>0</v>
      </c>
      <c r="K623" s="3" t="str">
        <f t="shared" si="63"/>
        <v>1</v>
      </c>
      <c r="L623" s="13" t="str">
        <f>IFERROR(VLOOKUP(C623,'Справочник соответствий'!A$2:D$2996,3,FALSE),IF(VALUE(C623)=0,"ЭТАЖ НЕ ОПРЕДЕЛЕН. ПРИНЯТ ПО ДОПУЩЕНИЮ 1",VLOOKUP(C623,'Справочник соответствий'!A$2:D$2996,3,FALSE)))</f>
        <v>ЭТАЖ ЗАДАН ЧИСЛОМ</v>
      </c>
      <c r="M623" s="13" t="b">
        <f t="shared" si="64"/>
        <v>0</v>
      </c>
      <c r="N623" s="13">
        <f t="shared" si="65"/>
        <v>1</v>
      </c>
      <c r="O623" s="13" t="str">
        <f t="shared" si="66"/>
        <v>ЭТАЖ ЗАДАН ЧИСЛОМ</v>
      </c>
      <c r="P623" s="13" t="str">
        <f t="shared" si="67"/>
        <v>ЭТАЖ ЗАДАН ЧИСЛОМ</v>
      </c>
      <c r="Q623" s="13" t="str">
        <f t="shared" si="68"/>
        <v>ГОТОВ_ИЗМЕНЕН</v>
      </c>
      <c r="R623" s="13">
        <f>IFERROR(VLOOKUP(P623,Лист1!A$1:B$20,2,FALSE),0)</f>
        <v>784</v>
      </c>
      <c r="S623" s="13">
        <f t="shared" si="69"/>
        <v>0</v>
      </c>
    </row>
    <row r="624" spans="1:19" x14ac:dyDescent="0.25">
      <c r="A624" t="s">
        <v>1827</v>
      </c>
      <c r="B624" s="4" t="s">
        <v>1190</v>
      </c>
      <c r="C624" s="3" t="s">
        <v>5</v>
      </c>
      <c r="G624" s="3" t="s">
        <v>1224</v>
      </c>
      <c r="I624" s="3" t="str">
        <f>IFERROR(VLOOKUP(C624,'Справочник соответствий'!A$2:D$2996,2,FALSE),IF(VALUE(C624)=0,1,VLOOKUP(C624,'Справочник соответствий'!A$2:D$2996,2,FALSE)))</f>
        <v>1</v>
      </c>
      <c r="J624" s="3">
        <f>IFERROR(VLOOKUP(D624,'Справочник соответствий'!A$2:D$2996,2,FALSE),IF(VALUE(D624)=0,0,VLOOKUP(D624,'Справочник соответствий'!A$2:D$2996,2,FALSE)))</f>
        <v>0</v>
      </c>
      <c r="K624" s="3" t="str">
        <f t="shared" si="63"/>
        <v>1</v>
      </c>
      <c r="L624" s="13" t="str">
        <f>IFERROR(VLOOKUP(C624,'Справочник соответствий'!A$2:D$2996,3,FALSE),IF(VALUE(C624)=0,"ЭТАЖ НЕ ОПРЕДЕЛЕН. ПРИНЯТ ПО ДОПУЩЕНИЮ 1",VLOOKUP(C624,'Справочник соответствий'!A$2:D$2996,3,FALSE)))</f>
        <v>ЭТАЖ ЗАДАН ЧИСЛОМ</v>
      </c>
      <c r="M624" s="13" t="b">
        <f t="shared" si="64"/>
        <v>0</v>
      </c>
      <c r="N624" s="13">
        <f t="shared" si="65"/>
        <v>1</v>
      </c>
      <c r="O624" s="13" t="str">
        <f t="shared" si="66"/>
        <v>ЭТАЖ ЗАДАН ЧИСЛОМ</v>
      </c>
      <c r="P624" s="13" t="str">
        <f t="shared" si="67"/>
        <v>ЭТАЖ ЗАДАН ЧИСЛОМ</v>
      </c>
      <c r="Q624" s="13" t="str">
        <f t="shared" si="68"/>
        <v>ГОТОВ_ИЗМЕНЕН</v>
      </c>
      <c r="R624" s="13">
        <f>IFERROR(VLOOKUP(P624,Лист1!A$1:B$20,2,FALSE),0)</f>
        <v>784</v>
      </c>
      <c r="S624" s="13">
        <f t="shared" si="69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38" sqref="A38"/>
    </sheetView>
  </sheetViews>
  <sheetFormatPr defaultRowHeight="15" x14ac:dyDescent="0.25"/>
  <cols>
    <col min="1" max="1" width="151.5703125" customWidth="1"/>
    <col min="2" max="2" width="12.7109375" customWidth="1"/>
  </cols>
  <sheetData>
    <row r="1" spans="1:2" x14ac:dyDescent="0.25">
      <c r="A1" s="7" t="s">
        <v>1011</v>
      </c>
      <c r="B1" s="9">
        <v>784</v>
      </c>
    </row>
    <row r="2" spans="1:2" x14ac:dyDescent="0.25">
      <c r="A2" s="7" t="s">
        <v>1013</v>
      </c>
      <c r="B2" s="9">
        <v>785</v>
      </c>
    </row>
    <row r="3" spans="1:2" x14ac:dyDescent="0.25">
      <c r="A3" s="7" t="s">
        <v>1025</v>
      </c>
      <c r="B3" s="9">
        <v>786</v>
      </c>
    </row>
    <row r="4" spans="1:2" x14ac:dyDescent="0.25">
      <c r="A4" s="7" t="s">
        <v>1026</v>
      </c>
      <c r="B4" s="9">
        <v>787</v>
      </c>
    </row>
    <row r="5" spans="1:2" x14ac:dyDescent="0.25">
      <c r="A5" s="7" t="s">
        <v>6</v>
      </c>
      <c r="B5" s="9">
        <v>214</v>
      </c>
    </row>
    <row r="6" spans="1:2" x14ac:dyDescent="0.25">
      <c r="A6" s="7" t="s">
        <v>1010</v>
      </c>
      <c r="B6" s="9">
        <v>788</v>
      </c>
    </row>
    <row r="7" spans="1:2" x14ac:dyDescent="0.25">
      <c r="A7" t="s">
        <v>1040</v>
      </c>
      <c r="B7">
        <v>788</v>
      </c>
    </row>
    <row r="8" spans="1:2" x14ac:dyDescent="0.25">
      <c r="A8" t="s">
        <v>1045</v>
      </c>
      <c r="B8" s="9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61"/>
  <sheetViews>
    <sheetView topLeftCell="A1112" workbookViewId="0">
      <selection activeCell="B1133" sqref="B1133"/>
    </sheetView>
  </sheetViews>
  <sheetFormatPr defaultRowHeight="15" x14ac:dyDescent="0.25"/>
  <cols>
    <col min="1" max="1" width="29.5703125" style="3" customWidth="1"/>
    <col min="2" max="2" width="27.7109375" customWidth="1"/>
    <col min="3" max="3" width="50.85546875" customWidth="1"/>
  </cols>
  <sheetData>
    <row r="1" spans="1:3" x14ac:dyDescent="0.25">
      <c r="A1" s="17" t="s">
        <v>3</v>
      </c>
      <c r="B1" t="s">
        <v>157</v>
      </c>
      <c r="C1" t="s">
        <v>1012</v>
      </c>
    </row>
    <row r="2" spans="1:3" x14ac:dyDescent="0.25">
      <c r="A2" s="3" t="s">
        <v>5</v>
      </c>
      <c r="B2" t="s">
        <v>5</v>
      </c>
      <c r="C2" t="s">
        <v>1011</v>
      </c>
    </row>
    <row r="3" spans="1:3" x14ac:dyDescent="0.25">
      <c r="A3" s="3" t="s">
        <v>7</v>
      </c>
      <c r="B3" t="s">
        <v>7</v>
      </c>
      <c r="C3" t="s">
        <v>1011</v>
      </c>
    </row>
    <row r="4" spans="1:3" x14ac:dyDescent="0.25">
      <c r="A4" s="3" t="s">
        <v>8</v>
      </c>
      <c r="B4" t="s">
        <v>8</v>
      </c>
      <c r="C4" t="s">
        <v>1011</v>
      </c>
    </row>
    <row r="5" spans="1:3" x14ac:dyDescent="0.25">
      <c r="A5" s="3" t="s">
        <v>12</v>
      </c>
      <c r="B5" t="s">
        <v>12</v>
      </c>
      <c r="C5" t="s">
        <v>1011</v>
      </c>
    </row>
    <row r="6" spans="1:3" x14ac:dyDescent="0.25">
      <c r="A6" s="3" t="s">
        <v>16</v>
      </c>
      <c r="B6" t="s">
        <v>16</v>
      </c>
      <c r="C6" t="s">
        <v>1011</v>
      </c>
    </row>
    <row r="7" spans="1:3" x14ac:dyDescent="0.25">
      <c r="A7" s="3" t="s">
        <v>11</v>
      </c>
      <c r="B7" t="s">
        <v>11</v>
      </c>
      <c r="C7" t="s">
        <v>1011</v>
      </c>
    </row>
    <row r="8" spans="1:3" x14ac:dyDescent="0.25">
      <c r="A8" s="3" t="s">
        <v>28</v>
      </c>
      <c r="B8" t="s">
        <v>28</v>
      </c>
      <c r="C8" t="s">
        <v>1011</v>
      </c>
    </row>
    <row r="9" spans="1:3" x14ac:dyDescent="0.25">
      <c r="A9" s="3" t="s">
        <v>33</v>
      </c>
      <c r="B9" t="s">
        <v>33</v>
      </c>
      <c r="C9" t="s">
        <v>1011</v>
      </c>
    </row>
    <row r="10" spans="1:3" x14ac:dyDescent="0.25">
      <c r="A10" s="3" t="s">
        <v>18</v>
      </c>
      <c r="B10" t="s">
        <v>18</v>
      </c>
      <c r="C10" t="s">
        <v>1011</v>
      </c>
    </row>
    <row r="11" spans="1:3" x14ac:dyDescent="0.25">
      <c r="A11" s="3" t="s">
        <v>15</v>
      </c>
      <c r="B11" t="s">
        <v>15</v>
      </c>
      <c r="C11" t="s">
        <v>1011</v>
      </c>
    </row>
    <row r="12" spans="1:3" x14ac:dyDescent="0.25">
      <c r="A12" s="3" t="s">
        <v>39</v>
      </c>
      <c r="B12" t="s">
        <v>39</v>
      </c>
      <c r="C12" t="s">
        <v>1011</v>
      </c>
    </row>
    <row r="13" spans="1:3" x14ac:dyDescent="0.25">
      <c r="A13" s="3" t="s">
        <v>31</v>
      </c>
      <c r="B13" t="s">
        <v>31</v>
      </c>
      <c r="C13" t="s">
        <v>1011</v>
      </c>
    </row>
    <row r="14" spans="1:3" x14ac:dyDescent="0.25">
      <c r="A14" s="3" t="s">
        <v>86</v>
      </c>
      <c r="B14" t="s">
        <v>86</v>
      </c>
      <c r="C14" t="s">
        <v>1011</v>
      </c>
    </row>
    <row r="15" spans="1:3" x14ac:dyDescent="0.25">
      <c r="A15" s="3" t="s">
        <v>100</v>
      </c>
      <c r="B15" t="s">
        <v>100</v>
      </c>
      <c r="C15" t="s">
        <v>1011</v>
      </c>
    </row>
    <row r="16" spans="1:3" x14ac:dyDescent="0.25">
      <c r="A16" s="3" t="s">
        <v>91</v>
      </c>
      <c r="B16" t="s">
        <v>91</v>
      </c>
      <c r="C16" t="s">
        <v>1011</v>
      </c>
    </row>
    <row r="17" spans="1:3" x14ac:dyDescent="0.25">
      <c r="A17" s="3" t="s">
        <v>70</v>
      </c>
      <c r="B17" t="s">
        <v>70</v>
      </c>
      <c r="C17" t="s">
        <v>1011</v>
      </c>
    </row>
    <row r="18" spans="1:3" x14ac:dyDescent="0.25">
      <c r="A18" s="3" t="s">
        <v>14</v>
      </c>
      <c r="B18" t="s">
        <v>14</v>
      </c>
      <c r="C18" t="s">
        <v>1011</v>
      </c>
    </row>
    <row r="19" spans="1:3" x14ac:dyDescent="0.25">
      <c r="A19" s="3" t="s">
        <v>82</v>
      </c>
      <c r="B19" t="s">
        <v>82</v>
      </c>
      <c r="C19" t="s">
        <v>1011</v>
      </c>
    </row>
    <row r="20" spans="1:3" x14ac:dyDescent="0.25">
      <c r="A20" s="3" t="s">
        <v>102</v>
      </c>
      <c r="B20" t="s">
        <v>102</v>
      </c>
      <c r="C20" t="s">
        <v>1011</v>
      </c>
    </row>
    <row r="21" spans="1:3" x14ac:dyDescent="0.25">
      <c r="A21" s="3" t="s">
        <v>84</v>
      </c>
      <c r="B21" t="s">
        <v>84</v>
      </c>
      <c r="C21" t="s">
        <v>1011</v>
      </c>
    </row>
    <row r="22" spans="1:3" x14ac:dyDescent="0.25">
      <c r="A22" s="3" t="s">
        <v>112</v>
      </c>
      <c r="B22" t="s">
        <v>112</v>
      </c>
      <c r="C22" t="s">
        <v>1011</v>
      </c>
    </row>
    <row r="23" spans="1:3" x14ac:dyDescent="0.25">
      <c r="A23" s="3" t="s">
        <v>32</v>
      </c>
      <c r="B23" t="s">
        <v>32</v>
      </c>
      <c r="C23" t="s">
        <v>1011</v>
      </c>
    </row>
    <row r="24" spans="1:3" x14ac:dyDescent="0.25">
      <c r="A24" s="3" t="s">
        <v>25</v>
      </c>
      <c r="B24" t="s">
        <v>25</v>
      </c>
      <c r="C24" t="s">
        <v>1011</v>
      </c>
    </row>
    <row r="25" spans="1:3" x14ac:dyDescent="0.25">
      <c r="A25" s="3" t="s">
        <v>87</v>
      </c>
      <c r="B25" t="s">
        <v>87</v>
      </c>
      <c r="C25" t="s">
        <v>1011</v>
      </c>
    </row>
    <row r="26" spans="1:3" x14ac:dyDescent="0.25">
      <c r="A26" s="3" t="s">
        <v>97</v>
      </c>
      <c r="B26" t="s">
        <v>97</v>
      </c>
      <c r="C26" t="s">
        <v>1011</v>
      </c>
    </row>
    <row r="27" spans="1:3" x14ac:dyDescent="0.25">
      <c r="A27" s="3" t="s">
        <v>85</v>
      </c>
      <c r="B27" t="s">
        <v>85</v>
      </c>
      <c r="C27" t="s">
        <v>1011</v>
      </c>
    </row>
    <row r="28" spans="1:3" x14ac:dyDescent="0.25">
      <c r="A28" s="3" t="s">
        <v>136</v>
      </c>
      <c r="B28" t="s">
        <v>136</v>
      </c>
      <c r="C28" t="s">
        <v>1011</v>
      </c>
    </row>
    <row r="29" spans="1:3" x14ac:dyDescent="0.25">
      <c r="A29" s="3" t="s">
        <v>126</v>
      </c>
      <c r="B29" t="s">
        <v>126</v>
      </c>
      <c r="C29" t="s">
        <v>1011</v>
      </c>
    </row>
    <row r="30" spans="1:3" x14ac:dyDescent="0.25">
      <c r="A30" s="3" t="s">
        <v>115</v>
      </c>
      <c r="B30" t="s">
        <v>115</v>
      </c>
      <c r="C30" t="s">
        <v>1011</v>
      </c>
    </row>
    <row r="31" spans="1:3" x14ac:dyDescent="0.25">
      <c r="A31" s="3" t="s">
        <v>158</v>
      </c>
      <c r="B31" t="s">
        <v>158</v>
      </c>
      <c r="C31" t="s">
        <v>1011</v>
      </c>
    </row>
    <row r="32" spans="1:3" x14ac:dyDescent="0.25">
      <c r="A32" s="3" t="s">
        <v>159</v>
      </c>
      <c r="B32" t="s">
        <v>159</v>
      </c>
      <c r="C32" t="s">
        <v>1011</v>
      </c>
    </row>
    <row r="33" spans="1:3" x14ac:dyDescent="0.25">
      <c r="A33" s="3" t="s">
        <v>160</v>
      </c>
      <c r="B33" t="s">
        <v>160</v>
      </c>
      <c r="C33" t="s">
        <v>1011</v>
      </c>
    </row>
    <row r="34" spans="1:3" x14ac:dyDescent="0.25">
      <c r="A34" s="3" t="s">
        <v>124</v>
      </c>
      <c r="B34" t="s">
        <v>124</v>
      </c>
      <c r="C34" t="s">
        <v>1011</v>
      </c>
    </row>
    <row r="35" spans="1:3" x14ac:dyDescent="0.25">
      <c r="A35" s="3" t="s">
        <v>129</v>
      </c>
      <c r="B35" t="s">
        <v>129</v>
      </c>
      <c r="C35" t="s">
        <v>1011</v>
      </c>
    </row>
    <row r="36" spans="1:3" x14ac:dyDescent="0.25">
      <c r="A36" s="3" t="s">
        <v>161</v>
      </c>
      <c r="B36" t="s">
        <v>161</v>
      </c>
      <c r="C36" t="s">
        <v>1011</v>
      </c>
    </row>
    <row r="37" spans="1:3" x14ac:dyDescent="0.25">
      <c r="A37" s="3" t="s">
        <v>162</v>
      </c>
      <c r="B37" t="s">
        <v>162</v>
      </c>
      <c r="C37" t="s">
        <v>1011</v>
      </c>
    </row>
    <row r="38" spans="1:3" x14ac:dyDescent="0.25">
      <c r="A38" s="3" t="s">
        <v>163</v>
      </c>
      <c r="B38" t="s">
        <v>163</v>
      </c>
      <c r="C38" t="s">
        <v>1011</v>
      </c>
    </row>
    <row r="39" spans="1:3" x14ac:dyDescent="0.25">
      <c r="A39" s="3" t="s">
        <v>164</v>
      </c>
      <c r="B39" t="s">
        <v>164</v>
      </c>
      <c r="C39" t="s">
        <v>1011</v>
      </c>
    </row>
    <row r="40" spans="1:3" x14ac:dyDescent="0.25">
      <c r="A40" s="3" t="s">
        <v>165</v>
      </c>
      <c r="B40" t="s">
        <v>165</v>
      </c>
      <c r="C40" t="s">
        <v>1011</v>
      </c>
    </row>
    <row r="41" spans="1:3" x14ac:dyDescent="0.25">
      <c r="A41" s="3" t="s">
        <v>166</v>
      </c>
      <c r="B41" t="s">
        <v>166</v>
      </c>
      <c r="C41" t="s">
        <v>1011</v>
      </c>
    </row>
    <row r="42" spans="1:3" x14ac:dyDescent="0.25">
      <c r="A42" s="3" t="s">
        <v>167</v>
      </c>
      <c r="B42" t="s">
        <v>167</v>
      </c>
      <c r="C42" t="s">
        <v>1011</v>
      </c>
    </row>
    <row r="43" spans="1:3" x14ac:dyDescent="0.25">
      <c r="A43" s="3" t="s">
        <v>168</v>
      </c>
      <c r="B43" t="s">
        <v>168</v>
      </c>
      <c r="C43" t="s">
        <v>1011</v>
      </c>
    </row>
    <row r="44" spans="1:3" x14ac:dyDescent="0.25">
      <c r="A44" s="3" t="s">
        <v>169</v>
      </c>
      <c r="B44" t="s">
        <v>169</v>
      </c>
      <c r="C44" t="s">
        <v>1011</v>
      </c>
    </row>
    <row r="45" spans="1:3" x14ac:dyDescent="0.25">
      <c r="A45" s="3" t="s">
        <v>170</v>
      </c>
      <c r="B45" t="s">
        <v>170</v>
      </c>
      <c r="C45" t="s">
        <v>1011</v>
      </c>
    </row>
    <row r="46" spans="1:3" x14ac:dyDescent="0.25">
      <c r="A46" s="3" t="s">
        <v>171</v>
      </c>
      <c r="B46" t="s">
        <v>171</v>
      </c>
      <c r="C46" t="s">
        <v>1011</v>
      </c>
    </row>
    <row r="47" spans="1:3" x14ac:dyDescent="0.25">
      <c r="A47" s="3" t="s">
        <v>172</v>
      </c>
      <c r="B47" t="s">
        <v>172</v>
      </c>
      <c r="C47" t="s">
        <v>1011</v>
      </c>
    </row>
    <row r="48" spans="1:3" x14ac:dyDescent="0.25">
      <c r="A48" s="3" t="s">
        <v>173</v>
      </c>
      <c r="B48" t="s">
        <v>173</v>
      </c>
      <c r="C48" t="s">
        <v>1011</v>
      </c>
    </row>
    <row r="49" spans="1:3" x14ac:dyDescent="0.25">
      <c r="A49" s="3" t="s">
        <v>174</v>
      </c>
      <c r="B49" t="s">
        <v>174</v>
      </c>
      <c r="C49" t="s">
        <v>1011</v>
      </c>
    </row>
    <row r="50" spans="1:3" x14ac:dyDescent="0.25">
      <c r="A50" s="3" t="s">
        <v>175</v>
      </c>
      <c r="B50" t="s">
        <v>175</v>
      </c>
      <c r="C50" t="s">
        <v>1011</v>
      </c>
    </row>
    <row r="51" spans="1:3" x14ac:dyDescent="0.25">
      <c r="A51" s="3" t="s">
        <v>176</v>
      </c>
      <c r="B51" t="s">
        <v>176</v>
      </c>
      <c r="C51" t="s">
        <v>1011</v>
      </c>
    </row>
    <row r="52" spans="1:3" x14ac:dyDescent="0.25">
      <c r="A52" s="3" t="s">
        <v>177</v>
      </c>
      <c r="B52" t="s">
        <v>177</v>
      </c>
      <c r="C52" t="s">
        <v>1011</v>
      </c>
    </row>
    <row r="53" spans="1:3" x14ac:dyDescent="0.25">
      <c r="A53" s="3" t="s">
        <v>178</v>
      </c>
      <c r="B53" t="s">
        <v>178</v>
      </c>
      <c r="C53" t="s">
        <v>1011</v>
      </c>
    </row>
    <row r="54" spans="1:3" x14ac:dyDescent="0.25">
      <c r="A54" s="3" t="s">
        <v>179</v>
      </c>
      <c r="B54" t="s">
        <v>179</v>
      </c>
      <c r="C54" t="s">
        <v>1011</v>
      </c>
    </row>
    <row r="55" spans="1:3" x14ac:dyDescent="0.25">
      <c r="A55" s="3" t="s">
        <v>180</v>
      </c>
      <c r="B55" t="s">
        <v>180</v>
      </c>
      <c r="C55" t="s">
        <v>1011</v>
      </c>
    </row>
    <row r="56" spans="1:3" x14ac:dyDescent="0.25">
      <c r="A56" s="3" t="s">
        <v>181</v>
      </c>
      <c r="B56" t="s">
        <v>181</v>
      </c>
      <c r="C56" t="s">
        <v>1011</v>
      </c>
    </row>
    <row r="57" spans="1:3" x14ac:dyDescent="0.25">
      <c r="A57" s="3" t="s">
        <v>182</v>
      </c>
      <c r="B57" t="s">
        <v>182</v>
      </c>
      <c r="C57" t="s">
        <v>1011</v>
      </c>
    </row>
    <row r="58" spans="1:3" x14ac:dyDescent="0.25">
      <c r="A58" s="3" t="s">
        <v>183</v>
      </c>
      <c r="B58" t="s">
        <v>183</v>
      </c>
      <c r="C58" t="s">
        <v>1011</v>
      </c>
    </row>
    <row r="59" spans="1:3" x14ac:dyDescent="0.25">
      <c r="A59" s="3" t="s">
        <v>184</v>
      </c>
      <c r="B59" t="s">
        <v>184</v>
      </c>
      <c r="C59" t="s">
        <v>1011</v>
      </c>
    </row>
    <row r="60" spans="1:3" x14ac:dyDescent="0.25">
      <c r="A60" s="3" t="s">
        <v>185</v>
      </c>
      <c r="B60" t="s">
        <v>185</v>
      </c>
      <c r="C60" t="s">
        <v>1011</v>
      </c>
    </row>
    <row r="61" spans="1:3" x14ac:dyDescent="0.25">
      <c r="A61" s="3" t="s">
        <v>186</v>
      </c>
      <c r="B61" t="s">
        <v>186</v>
      </c>
      <c r="C61" t="s">
        <v>1011</v>
      </c>
    </row>
    <row r="62" spans="1:3" x14ac:dyDescent="0.25">
      <c r="A62" s="3" t="s">
        <v>187</v>
      </c>
      <c r="B62" t="s">
        <v>187</v>
      </c>
      <c r="C62" t="s">
        <v>1011</v>
      </c>
    </row>
    <row r="63" spans="1:3" x14ac:dyDescent="0.25">
      <c r="A63" s="3" t="s">
        <v>188</v>
      </c>
      <c r="B63" t="s">
        <v>188</v>
      </c>
      <c r="C63" t="s">
        <v>1011</v>
      </c>
    </row>
    <row r="64" spans="1:3" x14ac:dyDescent="0.25">
      <c r="A64" s="3" t="s">
        <v>189</v>
      </c>
      <c r="B64" t="s">
        <v>189</v>
      </c>
      <c r="C64" t="s">
        <v>1011</v>
      </c>
    </row>
    <row r="65" spans="1:3" x14ac:dyDescent="0.25">
      <c r="A65" s="3" t="s">
        <v>190</v>
      </c>
      <c r="B65" t="s">
        <v>190</v>
      </c>
      <c r="C65" t="s">
        <v>1011</v>
      </c>
    </row>
    <row r="66" spans="1:3" x14ac:dyDescent="0.25">
      <c r="A66" s="3" t="s">
        <v>191</v>
      </c>
      <c r="B66" t="s">
        <v>191</v>
      </c>
      <c r="C66" t="s">
        <v>1011</v>
      </c>
    </row>
    <row r="67" spans="1:3" x14ac:dyDescent="0.25">
      <c r="A67" s="3" t="s">
        <v>192</v>
      </c>
      <c r="B67" t="s">
        <v>192</v>
      </c>
      <c r="C67" t="s">
        <v>1011</v>
      </c>
    </row>
    <row r="68" spans="1:3" x14ac:dyDescent="0.25">
      <c r="A68" s="3" t="s">
        <v>193</v>
      </c>
      <c r="B68" t="s">
        <v>193</v>
      </c>
      <c r="C68" t="s">
        <v>1011</v>
      </c>
    </row>
    <row r="69" spans="1:3" x14ac:dyDescent="0.25">
      <c r="A69" s="3" t="s">
        <v>194</v>
      </c>
      <c r="B69" t="s">
        <v>194</v>
      </c>
      <c r="C69" t="s">
        <v>1011</v>
      </c>
    </row>
    <row r="70" spans="1:3" x14ac:dyDescent="0.25">
      <c r="A70" s="3" t="s">
        <v>195</v>
      </c>
      <c r="B70" t="s">
        <v>195</v>
      </c>
      <c r="C70" t="s">
        <v>1011</v>
      </c>
    </row>
    <row r="71" spans="1:3" x14ac:dyDescent="0.25">
      <c r="A71" s="3" t="s">
        <v>196</v>
      </c>
      <c r="B71" t="s">
        <v>100</v>
      </c>
      <c r="C71" t="s">
        <v>1013</v>
      </c>
    </row>
    <row r="72" spans="1:3" x14ac:dyDescent="0.25">
      <c r="A72" s="3" t="s">
        <v>21</v>
      </c>
      <c r="B72" t="s">
        <v>7</v>
      </c>
      <c r="C72" t="s">
        <v>1013</v>
      </c>
    </row>
    <row r="73" spans="1:3" x14ac:dyDescent="0.25">
      <c r="A73" s="3" t="s">
        <v>197</v>
      </c>
      <c r="B73" t="s">
        <v>7</v>
      </c>
      <c r="C73" t="s">
        <v>1013</v>
      </c>
    </row>
    <row r="74" spans="1:3" x14ac:dyDescent="0.25">
      <c r="A74" s="3" t="s">
        <v>198</v>
      </c>
      <c r="B74" t="s">
        <v>16</v>
      </c>
      <c r="C74" t="s">
        <v>1013</v>
      </c>
    </row>
    <row r="75" spans="1:3" x14ac:dyDescent="0.25">
      <c r="A75" s="3" t="s">
        <v>29</v>
      </c>
      <c r="B75" t="s">
        <v>8</v>
      </c>
      <c r="C75" t="s">
        <v>1013</v>
      </c>
    </row>
    <row r="76" spans="1:3" x14ac:dyDescent="0.25">
      <c r="A76" s="3" t="s">
        <v>9</v>
      </c>
      <c r="B76" t="s">
        <v>8</v>
      </c>
      <c r="C76" t="s">
        <v>1013</v>
      </c>
    </row>
    <row r="77" spans="1:3" x14ac:dyDescent="0.25">
      <c r="A77" s="3" t="s">
        <v>199</v>
      </c>
      <c r="B77" t="s">
        <v>11</v>
      </c>
      <c r="C77" t="s">
        <v>1013</v>
      </c>
    </row>
    <row r="78" spans="1:3" x14ac:dyDescent="0.25">
      <c r="A78" s="3" t="s">
        <v>200</v>
      </c>
      <c r="B78" t="s">
        <v>11</v>
      </c>
      <c r="C78" t="s">
        <v>1013</v>
      </c>
    </row>
    <row r="79" spans="1:3" x14ac:dyDescent="0.25">
      <c r="A79" s="3" t="s">
        <v>40</v>
      </c>
      <c r="B79" t="s">
        <v>7</v>
      </c>
      <c r="C79" t="s">
        <v>1013</v>
      </c>
    </row>
    <row r="80" spans="1:3" x14ac:dyDescent="0.25">
      <c r="A80" s="3" t="s">
        <v>36</v>
      </c>
      <c r="B80" t="s">
        <v>8</v>
      </c>
      <c r="C80" t="s">
        <v>1013</v>
      </c>
    </row>
    <row r="81" spans="1:3" x14ac:dyDescent="0.25">
      <c r="A81" s="3" t="s">
        <v>201</v>
      </c>
      <c r="B81" t="s">
        <v>8</v>
      </c>
      <c r="C81" t="s">
        <v>1013</v>
      </c>
    </row>
    <row r="82" spans="1:3" x14ac:dyDescent="0.25">
      <c r="A82" s="3" t="s">
        <v>202</v>
      </c>
      <c r="B82" t="s">
        <v>12</v>
      </c>
      <c r="C82" t="s">
        <v>1013</v>
      </c>
    </row>
    <row r="83" spans="1:3" x14ac:dyDescent="0.25">
      <c r="A83" s="3" t="s">
        <v>118</v>
      </c>
      <c r="B83" t="s">
        <v>70</v>
      </c>
      <c r="C83" t="s">
        <v>1013</v>
      </c>
    </row>
    <row r="84" spans="1:3" x14ac:dyDescent="0.25">
      <c r="A84" s="3" t="s">
        <v>203</v>
      </c>
      <c r="B84" t="s">
        <v>5</v>
      </c>
      <c r="C84" t="s">
        <v>1013</v>
      </c>
    </row>
    <row r="85" spans="1:3" x14ac:dyDescent="0.25">
      <c r="A85" s="3" t="s">
        <v>204</v>
      </c>
      <c r="B85" t="s">
        <v>33</v>
      </c>
      <c r="C85" t="s">
        <v>1013</v>
      </c>
    </row>
    <row r="86" spans="1:3" x14ac:dyDescent="0.25">
      <c r="A86" s="3" t="s">
        <v>57</v>
      </c>
      <c r="B86" t="s">
        <v>12</v>
      </c>
      <c r="C86" t="s">
        <v>1013</v>
      </c>
    </row>
    <row r="87" spans="1:3" x14ac:dyDescent="0.25">
      <c r="A87" s="3" t="s">
        <v>205</v>
      </c>
      <c r="B87" t="s">
        <v>91</v>
      </c>
      <c r="C87" t="s">
        <v>1013</v>
      </c>
    </row>
    <row r="88" spans="1:3" x14ac:dyDescent="0.25">
      <c r="A88" s="3" t="s">
        <v>206</v>
      </c>
      <c r="B88" t="s">
        <v>16</v>
      </c>
      <c r="C88" t="s">
        <v>1013</v>
      </c>
    </row>
    <row r="89" spans="1:3" x14ac:dyDescent="0.25">
      <c r="A89" s="3" t="s">
        <v>207</v>
      </c>
      <c r="B89" t="s">
        <v>126</v>
      </c>
      <c r="C89" t="s">
        <v>1013</v>
      </c>
    </row>
    <row r="90" spans="1:3" x14ac:dyDescent="0.25">
      <c r="A90" s="3" t="s">
        <v>208</v>
      </c>
      <c r="B90" t="s">
        <v>7</v>
      </c>
      <c r="C90" t="s">
        <v>1013</v>
      </c>
    </row>
    <row r="91" spans="1:3" x14ac:dyDescent="0.25">
      <c r="A91" s="3" t="s">
        <v>26</v>
      </c>
      <c r="B91" t="s">
        <v>12</v>
      </c>
      <c r="C91" t="s">
        <v>1013</v>
      </c>
    </row>
    <row r="92" spans="1:3" x14ac:dyDescent="0.25">
      <c r="A92" s="3" t="s">
        <v>61</v>
      </c>
      <c r="B92" t="s">
        <v>11</v>
      </c>
      <c r="C92" t="s">
        <v>1013</v>
      </c>
    </row>
    <row r="93" spans="1:3" x14ac:dyDescent="0.25">
      <c r="A93" s="3" t="s">
        <v>209</v>
      </c>
      <c r="B93" t="s">
        <v>39</v>
      </c>
      <c r="C93" t="s">
        <v>1013</v>
      </c>
    </row>
    <row r="94" spans="1:3" x14ac:dyDescent="0.25">
      <c r="A94" s="3" t="s">
        <v>210</v>
      </c>
      <c r="B94" t="s">
        <v>14</v>
      </c>
      <c r="C94" t="s">
        <v>1013</v>
      </c>
    </row>
    <row r="95" spans="1:3" x14ac:dyDescent="0.25">
      <c r="A95" s="3" t="s">
        <v>211</v>
      </c>
      <c r="B95" t="s">
        <v>87</v>
      </c>
      <c r="C95" t="s">
        <v>1013</v>
      </c>
    </row>
    <row r="96" spans="1:3" x14ac:dyDescent="0.25">
      <c r="A96" s="3" t="s">
        <v>143</v>
      </c>
      <c r="B96" t="s">
        <v>15</v>
      </c>
      <c r="C96" t="s">
        <v>1013</v>
      </c>
    </row>
    <row r="97" spans="1:3" x14ac:dyDescent="0.25">
      <c r="A97" s="3" t="s">
        <v>212</v>
      </c>
      <c r="B97" t="s">
        <v>100</v>
      </c>
      <c r="C97" t="s">
        <v>1013</v>
      </c>
    </row>
    <row r="98" spans="1:3" x14ac:dyDescent="0.25">
      <c r="A98" s="3" t="s">
        <v>34</v>
      </c>
      <c r="B98" t="s">
        <v>8</v>
      </c>
      <c r="C98" t="s">
        <v>1013</v>
      </c>
    </row>
    <row r="99" spans="1:3" x14ac:dyDescent="0.25">
      <c r="A99" s="3" t="s">
        <v>144</v>
      </c>
      <c r="B99" t="s">
        <v>31</v>
      </c>
      <c r="C99" t="s">
        <v>1013</v>
      </c>
    </row>
    <row r="100" spans="1:3" x14ac:dyDescent="0.25">
      <c r="A100" s="3" t="s">
        <v>213</v>
      </c>
      <c r="B100" t="s">
        <v>7</v>
      </c>
      <c r="C100" t="s">
        <v>1013</v>
      </c>
    </row>
    <row r="101" spans="1:3" x14ac:dyDescent="0.25">
      <c r="A101" s="3" t="s">
        <v>214</v>
      </c>
      <c r="B101" t="s">
        <v>97</v>
      </c>
      <c r="C101" t="s">
        <v>1013</v>
      </c>
    </row>
    <row r="102" spans="1:3" x14ac:dyDescent="0.25">
      <c r="A102" s="3" t="s">
        <v>215</v>
      </c>
      <c r="B102" t="s">
        <v>160</v>
      </c>
      <c r="C102" t="s">
        <v>1013</v>
      </c>
    </row>
    <row r="103" spans="1:3" x14ac:dyDescent="0.25">
      <c r="A103" s="3" t="s">
        <v>45</v>
      </c>
      <c r="B103" t="s">
        <v>16</v>
      </c>
      <c r="C103" t="s">
        <v>1013</v>
      </c>
    </row>
    <row r="104" spans="1:3" x14ac:dyDescent="0.25">
      <c r="A104" s="3" t="s">
        <v>216</v>
      </c>
      <c r="B104" t="s">
        <v>124</v>
      </c>
      <c r="C104" t="s">
        <v>1013</v>
      </c>
    </row>
    <row r="105" spans="1:3" x14ac:dyDescent="0.25">
      <c r="A105" s="3" t="s">
        <v>217</v>
      </c>
      <c r="B105" t="s">
        <v>5</v>
      </c>
      <c r="C105" t="s">
        <v>1013</v>
      </c>
    </row>
    <row r="106" spans="1:3" x14ac:dyDescent="0.25">
      <c r="A106" s="3" t="s">
        <v>43</v>
      </c>
      <c r="B106" t="s">
        <v>11</v>
      </c>
      <c r="C106" t="s">
        <v>1013</v>
      </c>
    </row>
    <row r="107" spans="1:3" x14ac:dyDescent="0.25">
      <c r="A107" s="3" t="s">
        <v>88</v>
      </c>
      <c r="B107" t="s">
        <v>16</v>
      </c>
      <c r="C107" t="s">
        <v>1013</v>
      </c>
    </row>
    <row r="108" spans="1:3" x14ac:dyDescent="0.25">
      <c r="A108" s="3" t="s">
        <v>218</v>
      </c>
      <c r="B108" t="s">
        <v>86</v>
      </c>
      <c r="C108" t="s">
        <v>1013</v>
      </c>
    </row>
    <row r="109" spans="1:3" x14ac:dyDescent="0.25">
      <c r="A109" s="3" t="s">
        <v>27</v>
      </c>
      <c r="B109" t="s">
        <v>7</v>
      </c>
      <c r="C109" t="s">
        <v>1013</v>
      </c>
    </row>
    <row r="110" spans="1:3" x14ac:dyDescent="0.25">
      <c r="A110" s="3" t="s">
        <v>152</v>
      </c>
      <c r="B110" t="s">
        <v>82</v>
      </c>
      <c r="C110" t="s">
        <v>1013</v>
      </c>
    </row>
    <row r="111" spans="1:3" x14ac:dyDescent="0.25">
      <c r="A111" s="3" t="s">
        <v>219</v>
      </c>
      <c r="B111" t="s">
        <v>91</v>
      </c>
      <c r="C111" t="s">
        <v>1013</v>
      </c>
    </row>
    <row r="112" spans="1:3" x14ac:dyDescent="0.25">
      <c r="A112" s="3" t="s">
        <v>19</v>
      </c>
      <c r="B112" t="s">
        <v>16</v>
      </c>
      <c r="C112" t="s">
        <v>1013</v>
      </c>
    </row>
    <row r="113" spans="1:3" x14ac:dyDescent="0.25">
      <c r="A113" s="3" t="s">
        <v>44</v>
      </c>
      <c r="B113" t="s">
        <v>11</v>
      </c>
      <c r="C113" t="s">
        <v>1013</v>
      </c>
    </row>
    <row r="114" spans="1:3" x14ac:dyDescent="0.25">
      <c r="A114" s="3" t="s">
        <v>220</v>
      </c>
      <c r="B114" t="s">
        <v>82</v>
      </c>
      <c r="C114" t="s">
        <v>1013</v>
      </c>
    </row>
    <row r="115" spans="1:3" x14ac:dyDescent="0.25">
      <c r="A115" s="3" t="s">
        <v>221</v>
      </c>
      <c r="B115" t="s">
        <v>91</v>
      </c>
      <c r="C115" t="s">
        <v>1013</v>
      </c>
    </row>
    <row r="116" spans="1:3" x14ac:dyDescent="0.25">
      <c r="A116" s="3" t="s">
        <v>63</v>
      </c>
      <c r="B116" t="s">
        <v>12</v>
      </c>
      <c r="C116" t="s">
        <v>1013</v>
      </c>
    </row>
    <row r="117" spans="1:3" x14ac:dyDescent="0.25">
      <c r="A117" s="3" t="s">
        <v>222</v>
      </c>
      <c r="B117" t="s">
        <v>70</v>
      </c>
      <c r="C117" t="s">
        <v>1013</v>
      </c>
    </row>
    <row r="118" spans="1:3" x14ac:dyDescent="0.25">
      <c r="A118" s="3" t="s">
        <v>223</v>
      </c>
      <c r="B118" t="s">
        <v>85</v>
      </c>
      <c r="C118" t="s">
        <v>1013</v>
      </c>
    </row>
    <row r="119" spans="1:3" x14ac:dyDescent="0.25">
      <c r="A119" s="3" t="s">
        <v>224</v>
      </c>
      <c r="B119" t="s">
        <v>85</v>
      </c>
      <c r="C119" t="s">
        <v>1013</v>
      </c>
    </row>
    <row r="120" spans="1:3" x14ac:dyDescent="0.25">
      <c r="A120" s="3" t="s">
        <v>107</v>
      </c>
      <c r="B120" t="s">
        <v>28</v>
      </c>
      <c r="C120" t="s">
        <v>1013</v>
      </c>
    </row>
    <row r="121" spans="1:3" x14ac:dyDescent="0.25">
      <c r="A121" s="3" t="s">
        <v>225</v>
      </c>
      <c r="B121" t="s">
        <v>126</v>
      </c>
      <c r="C121" t="s">
        <v>1013</v>
      </c>
    </row>
    <row r="122" spans="1:3" x14ac:dyDescent="0.25">
      <c r="A122" s="3" t="s">
        <v>226</v>
      </c>
      <c r="B122" t="s">
        <v>102</v>
      </c>
      <c r="C122" t="s">
        <v>1013</v>
      </c>
    </row>
    <row r="123" spans="1:3" x14ac:dyDescent="0.25">
      <c r="A123" s="3" t="s">
        <v>227</v>
      </c>
      <c r="B123" t="s">
        <v>70</v>
      </c>
      <c r="C123" t="s">
        <v>1013</v>
      </c>
    </row>
    <row r="124" spans="1:3" x14ac:dyDescent="0.25">
      <c r="A124" s="3" t="s">
        <v>228</v>
      </c>
      <c r="B124" t="s">
        <v>126</v>
      </c>
      <c r="C124" t="s">
        <v>1013</v>
      </c>
    </row>
    <row r="125" spans="1:3" x14ac:dyDescent="0.25">
      <c r="A125" s="3" t="s">
        <v>229</v>
      </c>
      <c r="B125" t="s">
        <v>25</v>
      </c>
      <c r="C125" t="s">
        <v>1013</v>
      </c>
    </row>
    <row r="126" spans="1:3" x14ac:dyDescent="0.25">
      <c r="A126" s="3" t="s">
        <v>230</v>
      </c>
      <c r="B126" t="s">
        <v>33</v>
      </c>
      <c r="C126" t="s">
        <v>1013</v>
      </c>
    </row>
    <row r="127" spans="1:3" x14ac:dyDescent="0.25">
      <c r="A127" s="3" t="s">
        <v>231</v>
      </c>
      <c r="B127" t="s">
        <v>91</v>
      </c>
      <c r="C127" t="s">
        <v>1013</v>
      </c>
    </row>
    <row r="128" spans="1:3" x14ac:dyDescent="0.25">
      <c r="A128" s="3" t="s">
        <v>232</v>
      </c>
      <c r="B128" t="s">
        <v>112</v>
      </c>
      <c r="C128" t="s">
        <v>1013</v>
      </c>
    </row>
    <row r="129" spans="1:3" x14ac:dyDescent="0.25">
      <c r="A129" s="3" t="s">
        <v>233</v>
      </c>
      <c r="B129" t="s">
        <v>15</v>
      </c>
      <c r="C129" t="s">
        <v>1013</v>
      </c>
    </row>
    <row r="130" spans="1:3" x14ac:dyDescent="0.25">
      <c r="A130" s="3" t="s">
        <v>125</v>
      </c>
      <c r="B130" t="s">
        <v>39</v>
      </c>
      <c r="C130" t="s">
        <v>1013</v>
      </c>
    </row>
    <row r="131" spans="1:3" x14ac:dyDescent="0.25">
      <c r="A131" s="3" t="s">
        <v>49</v>
      </c>
      <c r="B131" t="s">
        <v>12</v>
      </c>
      <c r="C131" t="s">
        <v>1013</v>
      </c>
    </row>
    <row r="132" spans="1:3" x14ac:dyDescent="0.25">
      <c r="A132" s="3" t="s">
        <v>234</v>
      </c>
      <c r="B132" t="s">
        <v>84</v>
      </c>
      <c r="C132" t="s">
        <v>1013</v>
      </c>
    </row>
    <row r="133" spans="1:3" x14ac:dyDescent="0.25">
      <c r="A133" s="3" t="s">
        <v>235</v>
      </c>
      <c r="B133" t="s">
        <v>11</v>
      </c>
      <c r="C133" t="s">
        <v>1013</v>
      </c>
    </row>
    <row r="134" spans="1:3" x14ac:dyDescent="0.25">
      <c r="A134" s="3" t="s">
        <v>130</v>
      </c>
      <c r="B134" t="s">
        <v>11</v>
      </c>
      <c r="C134" t="s">
        <v>1013</v>
      </c>
    </row>
    <row r="135" spans="1:3" x14ac:dyDescent="0.25">
      <c r="A135" s="3" t="s">
        <v>236</v>
      </c>
      <c r="B135" t="s">
        <v>100</v>
      </c>
      <c r="C135" t="s">
        <v>1013</v>
      </c>
    </row>
    <row r="136" spans="1:3" x14ac:dyDescent="0.25">
      <c r="A136" s="3" t="s">
        <v>237</v>
      </c>
      <c r="B136" t="s">
        <v>31</v>
      </c>
      <c r="C136" t="s">
        <v>1013</v>
      </c>
    </row>
    <row r="137" spans="1:3" x14ac:dyDescent="0.25">
      <c r="A137" s="3" t="s">
        <v>238</v>
      </c>
      <c r="B137" t="s">
        <v>102</v>
      </c>
      <c r="C137" t="s">
        <v>1013</v>
      </c>
    </row>
    <row r="138" spans="1:3" x14ac:dyDescent="0.25">
      <c r="A138" s="3" t="s">
        <v>239</v>
      </c>
      <c r="B138" t="s">
        <v>28</v>
      </c>
      <c r="C138" t="s">
        <v>1013</v>
      </c>
    </row>
    <row r="139" spans="1:3" x14ac:dyDescent="0.25">
      <c r="A139" s="3" t="s">
        <v>79</v>
      </c>
      <c r="B139" t="s">
        <v>12</v>
      </c>
      <c r="C139" t="s">
        <v>1013</v>
      </c>
    </row>
    <row r="140" spans="1:3" x14ac:dyDescent="0.25">
      <c r="A140" s="3" t="s">
        <v>240</v>
      </c>
      <c r="B140" t="s">
        <v>158</v>
      </c>
      <c r="C140" t="s">
        <v>1013</v>
      </c>
    </row>
    <row r="141" spans="1:3" x14ac:dyDescent="0.25">
      <c r="A141" s="3" t="s">
        <v>241</v>
      </c>
      <c r="B141" t="s">
        <v>87</v>
      </c>
      <c r="C141" t="s">
        <v>1013</v>
      </c>
    </row>
    <row r="142" spans="1:3" x14ac:dyDescent="0.25">
      <c r="A142" s="3" t="s">
        <v>242</v>
      </c>
      <c r="B142" t="s">
        <v>82</v>
      </c>
      <c r="C142" t="s">
        <v>1013</v>
      </c>
    </row>
    <row r="143" spans="1:3" x14ac:dyDescent="0.25">
      <c r="A143" s="3" t="s">
        <v>243</v>
      </c>
      <c r="B143" t="s">
        <v>129</v>
      </c>
      <c r="C143" t="s">
        <v>1013</v>
      </c>
    </row>
    <row r="144" spans="1:3" x14ac:dyDescent="0.25">
      <c r="A144" s="3" t="s">
        <v>244</v>
      </c>
      <c r="B144" t="s">
        <v>32</v>
      </c>
      <c r="C144" t="s">
        <v>1013</v>
      </c>
    </row>
    <row r="145" spans="1:3" x14ac:dyDescent="0.25">
      <c r="A145" s="3" t="s">
        <v>66</v>
      </c>
      <c r="B145" t="s">
        <v>28</v>
      </c>
      <c r="C145" t="s">
        <v>1013</v>
      </c>
    </row>
    <row r="146" spans="1:3" x14ac:dyDescent="0.25">
      <c r="A146" s="3" t="s">
        <v>245</v>
      </c>
      <c r="B146" t="s">
        <v>82</v>
      </c>
      <c r="C146" t="s">
        <v>1013</v>
      </c>
    </row>
    <row r="147" spans="1:3" x14ac:dyDescent="0.25">
      <c r="A147" s="3" t="s">
        <v>246</v>
      </c>
      <c r="B147" t="s">
        <v>39</v>
      </c>
      <c r="C147" t="s">
        <v>1013</v>
      </c>
    </row>
    <row r="148" spans="1:3" x14ac:dyDescent="0.25">
      <c r="A148" s="3" t="s">
        <v>247</v>
      </c>
      <c r="B148" t="s">
        <v>136</v>
      </c>
      <c r="C148" t="s">
        <v>1013</v>
      </c>
    </row>
    <row r="149" spans="1:3" x14ac:dyDescent="0.25">
      <c r="A149" s="3" t="s">
        <v>248</v>
      </c>
      <c r="B149" t="s">
        <v>91</v>
      </c>
      <c r="C149" t="s">
        <v>1013</v>
      </c>
    </row>
    <row r="150" spans="1:3" x14ac:dyDescent="0.25">
      <c r="A150" s="3" t="s">
        <v>249</v>
      </c>
      <c r="B150" t="s">
        <v>82</v>
      </c>
      <c r="C150" t="s">
        <v>1013</v>
      </c>
    </row>
    <row r="151" spans="1:3" x14ac:dyDescent="0.25">
      <c r="A151" s="3" t="s">
        <v>250</v>
      </c>
      <c r="B151" t="s">
        <v>70</v>
      </c>
      <c r="C151" t="s">
        <v>1013</v>
      </c>
    </row>
    <row r="152" spans="1:3" x14ac:dyDescent="0.25">
      <c r="A152" s="3" t="s">
        <v>251</v>
      </c>
      <c r="B152" t="s">
        <v>126</v>
      </c>
      <c r="C152" t="s">
        <v>1013</v>
      </c>
    </row>
    <row r="153" spans="1:3" x14ac:dyDescent="0.25">
      <c r="A153" s="3" t="s">
        <v>252</v>
      </c>
      <c r="B153" t="s">
        <v>16</v>
      </c>
      <c r="C153" t="s">
        <v>1013</v>
      </c>
    </row>
    <row r="154" spans="1:3" x14ac:dyDescent="0.25">
      <c r="A154" s="3" t="s">
        <v>253</v>
      </c>
      <c r="B154" t="s">
        <v>33</v>
      </c>
      <c r="C154" t="s">
        <v>1013</v>
      </c>
    </row>
    <row r="155" spans="1:3" x14ac:dyDescent="0.25">
      <c r="A155" s="3" t="s">
        <v>22</v>
      </c>
      <c r="B155" t="s">
        <v>8</v>
      </c>
      <c r="C155" t="s">
        <v>1013</v>
      </c>
    </row>
    <row r="156" spans="1:3" x14ac:dyDescent="0.25">
      <c r="A156" s="3" t="s">
        <v>254</v>
      </c>
      <c r="B156" t="s">
        <v>85</v>
      </c>
      <c r="C156" t="s">
        <v>1013</v>
      </c>
    </row>
    <row r="157" spans="1:3" x14ac:dyDescent="0.25">
      <c r="A157" s="3" t="s">
        <v>80</v>
      </c>
      <c r="B157" t="s">
        <v>8</v>
      </c>
      <c r="C157" t="s">
        <v>1013</v>
      </c>
    </row>
    <row r="158" spans="1:3" x14ac:dyDescent="0.25">
      <c r="A158" s="3" t="s">
        <v>255</v>
      </c>
      <c r="B158" t="s">
        <v>84</v>
      </c>
      <c r="C158" t="s">
        <v>1013</v>
      </c>
    </row>
    <row r="159" spans="1:3" x14ac:dyDescent="0.25">
      <c r="A159" s="3" t="s">
        <v>256</v>
      </c>
      <c r="B159" t="s">
        <v>5</v>
      </c>
      <c r="C159" t="s">
        <v>1013</v>
      </c>
    </row>
    <row r="160" spans="1:3" x14ac:dyDescent="0.25">
      <c r="A160" s="3" t="s">
        <v>257</v>
      </c>
      <c r="B160" t="s">
        <v>85</v>
      </c>
      <c r="C160" t="s">
        <v>1013</v>
      </c>
    </row>
    <row r="161" spans="1:3" x14ac:dyDescent="0.25">
      <c r="A161" s="3" t="s">
        <v>258</v>
      </c>
      <c r="B161" t="s">
        <v>31</v>
      </c>
      <c r="C161" t="s">
        <v>1013</v>
      </c>
    </row>
    <row r="162" spans="1:3" x14ac:dyDescent="0.25">
      <c r="A162" s="3" t="s">
        <v>259</v>
      </c>
      <c r="B162" t="s">
        <v>84</v>
      </c>
      <c r="C162" t="s">
        <v>1013</v>
      </c>
    </row>
    <row r="163" spans="1:3" x14ac:dyDescent="0.25">
      <c r="A163" s="3" t="s">
        <v>260</v>
      </c>
      <c r="B163" t="s">
        <v>82</v>
      </c>
      <c r="C163" t="s">
        <v>1013</v>
      </c>
    </row>
    <row r="164" spans="1:3" x14ac:dyDescent="0.25">
      <c r="A164" s="3" t="s">
        <v>261</v>
      </c>
      <c r="B164" t="s">
        <v>33</v>
      </c>
      <c r="C164" t="s">
        <v>1013</v>
      </c>
    </row>
    <row r="165" spans="1:3" x14ac:dyDescent="0.25">
      <c r="A165" s="3" t="s">
        <v>262</v>
      </c>
      <c r="B165" t="s">
        <v>126</v>
      </c>
      <c r="C165" t="s">
        <v>1013</v>
      </c>
    </row>
    <row r="166" spans="1:3" x14ac:dyDescent="0.25">
      <c r="A166" s="3" t="s">
        <v>263</v>
      </c>
      <c r="B166" t="s">
        <v>115</v>
      </c>
      <c r="C166" t="s">
        <v>1013</v>
      </c>
    </row>
    <row r="167" spans="1:3" x14ac:dyDescent="0.25">
      <c r="A167" s="3" t="s">
        <v>47</v>
      </c>
      <c r="B167" t="s">
        <v>8</v>
      </c>
      <c r="C167" t="s">
        <v>1013</v>
      </c>
    </row>
    <row r="168" spans="1:3" x14ac:dyDescent="0.25">
      <c r="A168" s="3" t="s">
        <v>264</v>
      </c>
      <c r="B168" t="s">
        <v>70</v>
      </c>
      <c r="C168" t="s">
        <v>1013</v>
      </c>
    </row>
    <row r="169" spans="1:3" x14ac:dyDescent="0.25">
      <c r="A169" s="3" t="s">
        <v>265</v>
      </c>
      <c r="B169" t="s">
        <v>112</v>
      </c>
      <c r="C169" t="s">
        <v>1013</v>
      </c>
    </row>
    <row r="170" spans="1:3" x14ac:dyDescent="0.25">
      <c r="A170" s="3" t="s">
        <v>266</v>
      </c>
      <c r="B170" t="s">
        <v>102</v>
      </c>
      <c r="C170" t="s">
        <v>1013</v>
      </c>
    </row>
    <row r="171" spans="1:3" x14ac:dyDescent="0.25">
      <c r="A171" s="3" t="s">
        <v>267</v>
      </c>
      <c r="B171" t="s">
        <v>82</v>
      </c>
      <c r="C171" t="s">
        <v>1013</v>
      </c>
    </row>
    <row r="172" spans="1:3" x14ac:dyDescent="0.25">
      <c r="A172" s="3" t="s">
        <v>268</v>
      </c>
      <c r="B172" t="s">
        <v>87</v>
      </c>
      <c r="C172" t="s">
        <v>1013</v>
      </c>
    </row>
    <row r="173" spans="1:3" x14ac:dyDescent="0.25">
      <c r="A173" s="3" t="s">
        <v>269</v>
      </c>
      <c r="B173" t="s">
        <v>39</v>
      </c>
      <c r="C173" t="s">
        <v>1013</v>
      </c>
    </row>
    <row r="174" spans="1:3" x14ac:dyDescent="0.25">
      <c r="A174" s="3" t="s">
        <v>270</v>
      </c>
      <c r="B174" t="s">
        <v>126</v>
      </c>
      <c r="C174" t="s">
        <v>1013</v>
      </c>
    </row>
    <row r="175" spans="1:3" x14ac:dyDescent="0.25">
      <c r="A175" s="3" t="s">
        <v>271</v>
      </c>
      <c r="B175" t="s">
        <v>102</v>
      </c>
      <c r="C175" t="s">
        <v>1013</v>
      </c>
    </row>
    <row r="176" spans="1:3" x14ac:dyDescent="0.25">
      <c r="A176" s="3" t="s">
        <v>272</v>
      </c>
      <c r="B176" t="s">
        <v>87</v>
      </c>
      <c r="C176" t="s">
        <v>1013</v>
      </c>
    </row>
    <row r="177" spans="1:3" x14ac:dyDescent="0.25">
      <c r="A177" s="3" t="s">
        <v>273</v>
      </c>
      <c r="B177" t="s">
        <v>12</v>
      </c>
      <c r="C177" t="s">
        <v>1013</v>
      </c>
    </row>
    <row r="178" spans="1:3" x14ac:dyDescent="0.25">
      <c r="A178" s="3" t="s">
        <v>274</v>
      </c>
      <c r="B178" t="s">
        <v>85</v>
      </c>
      <c r="C178" t="s">
        <v>1013</v>
      </c>
    </row>
    <row r="179" spans="1:3" x14ac:dyDescent="0.25">
      <c r="A179" s="3" t="s">
        <v>275</v>
      </c>
      <c r="B179" t="s">
        <v>97</v>
      </c>
      <c r="C179" t="s">
        <v>1013</v>
      </c>
    </row>
    <row r="180" spans="1:3" x14ac:dyDescent="0.25">
      <c r="A180" s="3" t="s">
        <v>276</v>
      </c>
      <c r="B180" t="s">
        <v>100</v>
      </c>
      <c r="C180" t="s">
        <v>1013</v>
      </c>
    </row>
    <row r="181" spans="1:3" x14ac:dyDescent="0.25">
      <c r="A181" s="3" t="s">
        <v>277</v>
      </c>
      <c r="B181" t="s">
        <v>136</v>
      </c>
      <c r="C181" t="s">
        <v>1013</v>
      </c>
    </row>
    <row r="182" spans="1:3" x14ac:dyDescent="0.25">
      <c r="A182" s="3" t="s">
        <v>278</v>
      </c>
      <c r="B182" t="s">
        <v>31</v>
      </c>
      <c r="C182" t="s">
        <v>1013</v>
      </c>
    </row>
    <row r="183" spans="1:3" x14ac:dyDescent="0.25">
      <c r="A183" s="3" t="s">
        <v>279</v>
      </c>
      <c r="B183" t="s">
        <v>11</v>
      </c>
      <c r="C183" t="s">
        <v>1013</v>
      </c>
    </row>
    <row r="184" spans="1:3" x14ac:dyDescent="0.25">
      <c r="A184" s="3" t="s">
        <v>280</v>
      </c>
      <c r="B184" t="s">
        <v>70</v>
      </c>
      <c r="C184" t="s">
        <v>1013</v>
      </c>
    </row>
    <row r="185" spans="1:3" x14ac:dyDescent="0.25">
      <c r="A185" s="3" t="s">
        <v>281</v>
      </c>
      <c r="B185" t="s">
        <v>126</v>
      </c>
      <c r="C185" t="s">
        <v>1013</v>
      </c>
    </row>
    <row r="186" spans="1:3" x14ac:dyDescent="0.25">
      <c r="A186" s="3" t="s">
        <v>282</v>
      </c>
      <c r="B186" t="s">
        <v>102</v>
      </c>
      <c r="C186" t="s">
        <v>1013</v>
      </c>
    </row>
    <row r="187" spans="1:3" x14ac:dyDescent="0.25">
      <c r="A187" s="3" t="s">
        <v>283</v>
      </c>
      <c r="B187" t="s">
        <v>82</v>
      </c>
      <c r="C187" t="s">
        <v>1013</v>
      </c>
    </row>
    <row r="188" spans="1:3" x14ac:dyDescent="0.25">
      <c r="A188" s="3" t="s">
        <v>284</v>
      </c>
      <c r="B188" t="s">
        <v>31</v>
      </c>
      <c r="C188" t="s">
        <v>1013</v>
      </c>
    </row>
    <row r="189" spans="1:3" x14ac:dyDescent="0.25">
      <c r="A189" s="3" t="s">
        <v>285</v>
      </c>
      <c r="B189" t="s">
        <v>112</v>
      </c>
      <c r="C189" t="s">
        <v>1013</v>
      </c>
    </row>
    <row r="190" spans="1:3" x14ac:dyDescent="0.25">
      <c r="A190" s="3" t="s">
        <v>286</v>
      </c>
      <c r="B190" t="s">
        <v>11</v>
      </c>
      <c r="C190" t="s">
        <v>1013</v>
      </c>
    </row>
    <row r="191" spans="1:3" x14ac:dyDescent="0.25">
      <c r="A191" s="3" t="s">
        <v>287</v>
      </c>
      <c r="B191" t="s">
        <v>32</v>
      </c>
      <c r="C191" t="s">
        <v>1013</v>
      </c>
    </row>
    <row r="192" spans="1:3" x14ac:dyDescent="0.25">
      <c r="A192" s="3" t="s">
        <v>42</v>
      </c>
      <c r="B192" t="s">
        <v>28</v>
      </c>
      <c r="C192" t="s">
        <v>1013</v>
      </c>
    </row>
    <row r="193" spans="1:3" x14ac:dyDescent="0.25">
      <c r="A193" s="3" t="s">
        <v>105</v>
      </c>
      <c r="B193" t="s">
        <v>11</v>
      </c>
      <c r="C193" t="s">
        <v>1013</v>
      </c>
    </row>
    <row r="194" spans="1:3" x14ac:dyDescent="0.25">
      <c r="A194" s="3" t="s">
        <v>288</v>
      </c>
      <c r="B194" t="s">
        <v>7</v>
      </c>
      <c r="C194" t="s">
        <v>1013</v>
      </c>
    </row>
    <row r="195" spans="1:3" x14ac:dyDescent="0.25">
      <c r="A195" s="3" t="s">
        <v>289</v>
      </c>
      <c r="B195" t="s">
        <v>15</v>
      </c>
      <c r="C195" t="s">
        <v>1013</v>
      </c>
    </row>
    <row r="196" spans="1:3" x14ac:dyDescent="0.25">
      <c r="A196" s="3" t="s">
        <v>290</v>
      </c>
      <c r="B196" t="s">
        <v>87</v>
      </c>
      <c r="C196" t="s">
        <v>1013</v>
      </c>
    </row>
    <row r="197" spans="1:3" x14ac:dyDescent="0.25">
      <c r="A197" s="3" t="s">
        <v>291</v>
      </c>
      <c r="B197" t="s">
        <v>15</v>
      </c>
      <c r="C197" t="s">
        <v>1013</v>
      </c>
    </row>
    <row r="198" spans="1:3" x14ac:dyDescent="0.25">
      <c r="A198" s="3" t="s">
        <v>292</v>
      </c>
      <c r="B198" t="s">
        <v>84</v>
      </c>
      <c r="C198" t="s">
        <v>1013</v>
      </c>
    </row>
    <row r="199" spans="1:3" x14ac:dyDescent="0.25">
      <c r="A199" s="3" t="s">
        <v>95</v>
      </c>
      <c r="B199" t="s">
        <v>11</v>
      </c>
      <c r="C199" t="s">
        <v>1013</v>
      </c>
    </row>
    <row r="200" spans="1:3" x14ac:dyDescent="0.25">
      <c r="A200" s="3" t="s">
        <v>293</v>
      </c>
      <c r="B200" t="s">
        <v>82</v>
      </c>
      <c r="C200" t="s">
        <v>1013</v>
      </c>
    </row>
    <row r="201" spans="1:3" x14ac:dyDescent="0.25">
      <c r="A201" s="3" t="s">
        <v>294</v>
      </c>
      <c r="B201" t="s">
        <v>31</v>
      </c>
      <c r="C201" t="s">
        <v>1013</v>
      </c>
    </row>
    <row r="202" spans="1:3" x14ac:dyDescent="0.25">
      <c r="A202" s="3" t="s">
        <v>295</v>
      </c>
      <c r="B202" t="s">
        <v>102</v>
      </c>
      <c r="C202" t="s">
        <v>1013</v>
      </c>
    </row>
    <row r="203" spans="1:3" x14ac:dyDescent="0.25">
      <c r="A203" s="3" t="s">
        <v>296</v>
      </c>
      <c r="B203" t="s">
        <v>136</v>
      </c>
      <c r="C203" t="s">
        <v>1013</v>
      </c>
    </row>
    <row r="204" spans="1:3" x14ac:dyDescent="0.25">
      <c r="A204" s="3" t="s">
        <v>146</v>
      </c>
      <c r="B204" t="s">
        <v>16</v>
      </c>
      <c r="C204" t="s">
        <v>1013</v>
      </c>
    </row>
    <row r="205" spans="1:3" x14ac:dyDescent="0.25">
      <c r="A205" s="3" t="s">
        <v>297</v>
      </c>
      <c r="B205" t="s">
        <v>32</v>
      </c>
      <c r="C205" t="s">
        <v>1013</v>
      </c>
    </row>
    <row r="206" spans="1:3" x14ac:dyDescent="0.25">
      <c r="A206" s="3" t="s">
        <v>73</v>
      </c>
      <c r="B206" t="s">
        <v>5</v>
      </c>
      <c r="C206" t="s">
        <v>1013</v>
      </c>
    </row>
    <row r="207" spans="1:3" x14ac:dyDescent="0.25">
      <c r="A207" s="3" t="s">
        <v>298</v>
      </c>
      <c r="B207" t="s">
        <v>12</v>
      </c>
      <c r="C207" t="s">
        <v>1013</v>
      </c>
    </row>
    <row r="208" spans="1:3" x14ac:dyDescent="0.25">
      <c r="A208" s="3" t="s">
        <v>299</v>
      </c>
      <c r="B208" t="s">
        <v>82</v>
      </c>
      <c r="C208" t="s">
        <v>1013</v>
      </c>
    </row>
    <row r="209" spans="1:3" x14ac:dyDescent="0.25">
      <c r="A209" s="3" t="s">
        <v>55</v>
      </c>
      <c r="B209" t="s">
        <v>28</v>
      </c>
      <c r="C209" t="s">
        <v>1013</v>
      </c>
    </row>
    <row r="210" spans="1:3" x14ac:dyDescent="0.25">
      <c r="A210" s="3" t="s">
        <v>145</v>
      </c>
      <c r="B210" t="s">
        <v>87</v>
      </c>
      <c r="C210" t="s">
        <v>1013</v>
      </c>
    </row>
    <row r="211" spans="1:3" x14ac:dyDescent="0.25">
      <c r="A211" s="3" t="s">
        <v>300</v>
      </c>
      <c r="B211" t="s">
        <v>14</v>
      </c>
      <c r="C211" t="s">
        <v>1013</v>
      </c>
    </row>
    <row r="212" spans="1:3" x14ac:dyDescent="0.25">
      <c r="A212" s="3" t="s">
        <v>301</v>
      </c>
      <c r="B212" t="s">
        <v>112</v>
      </c>
      <c r="C212" t="s">
        <v>1013</v>
      </c>
    </row>
    <row r="213" spans="1:3" x14ac:dyDescent="0.25">
      <c r="A213" s="3" t="s">
        <v>302</v>
      </c>
      <c r="B213" t="s">
        <v>16</v>
      </c>
      <c r="C213" t="s">
        <v>1013</v>
      </c>
    </row>
    <row r="214" spans="1:3" x14ac:dyDescent="0.25">
      <c r="A214" s="3" t="s">
        <v>303</v>
      </c>
      <c r="B214" t="s">
        <v>39</v>
      </c>
      <c r="C214" t="s">
        <v>1013</v>
      </c>
    </row>
    <row r="215" spans="1:3" x14ac:dyDescent="0.25">
      <c r="A215" s="3" t="s">
        <v>132</v>
      </c>
      <c r="B215" t="s">
        <v>15</v>
      </c>
      <c r="C215" t="s">
        <v>1013</v>
      </c>
    </row>
    <row r="216" spans="1:3" x14ac:dyDescent="0.25">
      <c r="A216" s="3" t="s">
        <v>304</v>
      </c>
      <c r="B216" t="s">
        <v>85</v>
      </c>
      <c r="C216" t="s">
        <v>1013</v>
      </c>
    </row>
    <row r="217" spans="1:3" x14ac:dyDescent="0.25">
      <c r="A217" s="3" t="s">
        <v>305</v>
      </c>
      <c r="B217" t="s">
        <v>7</v>
      </c>
      <c r="C217" t="s">
        <v>1013</v>
      </c>
    </row>
    <row r="218" spans="1:3" x14ac:dyDescent="0.25">
      <c r="A218" s="3" t="s">
        <v>306</v>
      </c>
      <c r="B218" t="s">
        <v>12</v>
      </c>
      <c r="C218" t="s">
        <v>1013</v>
      </c>
    </row>
    <row r="219" spans="1:3" x14ac:dyDescent="0.25">
      <c r="A219" s="3" t="s">
        <v>307</v>
      </c>
      <c r="B219" t="s">
        <v>7</v>
      </c>
      <c r="C219" t="s">
        <v>1013</v>
      </c>
    </row>
    <row r="220" spans="1:3" x14ac:dyDescent="0.25">
      <c r="A220" s="3" t="s">
        <v>308</v>
      </c>
      <c r="B220" t="s">
        <v>32</v>
      </c>
      <c r="C220" t="s">
        <v>1013</v>
      </c>
    </row>
    <row r="221" spans="1:3" x14ac:dyDescent="0.25">
      <c r="A221" s="3" t="s">
        <v>309</v>
      </c>
      <c r="B221" t="s">
        <v>86</v>
      </c>
      <c r="C221" t="s">
        <v>1013</v>
      </c>
    </row>
    <row r="222" spans="1:3" x14ac:dyDescent="0.25">
      <c r="A222" s="3" t="s">
        <v>310</v>
      </c>
      <c r="B222" t="s">
        <v>91</v>
      </c>
      <c r="C222" t="s">
        <v>1013</v>
      </c>
    </row>
    <row r="223" spans="1:3" x14ac:dyDescent="0.25">
      <c r="A223" s="3" t="s">
        <v>311</v>
      </c>
      <c r="B223" t="s">
        <v>15</v>
      </c>
      <c r="C223" t="s">
        <v>1013</v>
      </c>
    </row>
    <row r="224" spans="1:3" x14ac:dyDescent="0.25">
      <c r="A224" s="3" t="s">
        <v>312</v>
      </c>
      <c r="B224" t="s">
        <v>14</v>
      </c>
      <c r="C224" t="s">
        <v>1013</v>
      </c>
    </row>
    <row r="225" spans="1:3" x14ac:dyDescent="0.25">
      <c r="A225" s="3" t="s">
        <v>313</v>
      </c>
      <c r="B225" t="s">
        <v>15</v>
      </c>
      <c r="C225" t="s">
        <v>1013</v>
      </c>
    </row>
    <row r="226" spans="1:3" x14ac:dyDescent="0.25">
      <c r="A226" s="3" t="s">
        <v>314</v>
      </c>
      <c r="B226" t="s">
        <v>12</v>
      </c>
      <c r="C226" t="s">
        <v>1013</v>
      </c>
    </row>
    <row r="227" spans="1:3" x14ac:dyDescent="0.25">
      <c r="A227" s="3" t="s">
        <v>315</v>
      </c>
      <c r="B227" t="s">
        <v>12</v>
      </c>
      <c r="C227" t="s">
        <v>1013</v>
      </c>
    </row>
    <row r="228" spans="1:3" x14ac:dyDescent="0.25">
      <c r="A228" s="3" t="s">
        <v>316</v>
      </c>
      <c r="B228" t="s">
        <v>15</v>
      </c>
      <c r="C228" t="s">
        <v>1013</v>
      </c>
    </row>
    <row r="229" spans="1:3" x14ac:dyDescent="0.25">
      <c r="A229" s="3" t="s">
        <v>317</v>
      </c>
      <c r="B229" t="s">
        <v>136</v>
      </c>
      <c r="C229" t="s">
        <v>1013</v>
      </c>
    </row>
    <row r="230" spans="1:3" x14ac:dyDescent="0.25">
      <c r="A230" s="3" t="s">
        <v>318</v>
      </c>
      <c r="B230" t="s">
        <v>18</v>
      </c>
      <c r="C230" t="s">
        <v>1013</v>
      </c>
    </row>
    <row r="231" spans="1:3" x14ac:dyDescent="0.25">
      <c r="A231" s="3" t="s">
        <v>98</v>
      </c>
      <c r="B231" t="s">
        <v>86</v>
      </c>
      <c r="C231" t="s">
        <v>1013</v>
      </c>
    </row>
    <row r="232" spans="1:3" x14ac:dyDescent="0.25">
      <c r="A232" s="3" t="s">
        <v>319</v>
      </c>
      <c r="B232" t="s">
        <v>15</v>
      </c>
      <c r="C232" t="s">
        <v>1013</v>
      </c>
    </row>
    <row r="233" spans="1:3" x14ac:dyDescent="0.25">
      <c r="A233" s="3" t="s">
        <v>320</v>
      </c>
      <c r="B233" t="s">
        <v>16</v>
      </c>
      <c r="C233" t="s">
        <v>1013</v>
      </c>
    </row>
    <row r="234" spans="1:3" x14ac:dyDescent="0.25">
      <c r="A234" s="3" t="s">
        <v>321</v>
      </c>
      <c r="B234" t="s">
        <v>8</v>
      </c>
      <c r="C234" t="s">
        <v>1013</v>
      </c>
    </row>
    <row r="235" spans="1:3" x14ac:dyDescent="0.25">
      <c r="A235" s="3" t="s">
        <v>322</v>
      </c>
      <c r="B235" t="s">
        <v>18</v>
      </c>
      <c r="C235" t="s">
        <v>1013</v>
      </c>
    </row>
    <row r="236" spans="1:3" x14ac:dyDescent="0.25">
      <c r="A236" s="3" t="s">
        <v>54</v>
      </c>
      <c r="B236" t="s">
        <v>33</v>
      </c>
      <c r="C236" t="s">
        <v>1013</v>
      </c>
    </row>
    <row r="237" spans="1:3" x14ac:dyDescent="0.25">
      <c r="A237" s="3" t="s">
        <v>323</v>
      </c>
      <c r="B237" t="s">
        <v>7</v>
      </c>
      <c r="C237" t="s">
        <v>1013</v>
      </c>
    </row>
    <row r="238" spans="1:3" x14ac:dyDescent="0.25">
      <c r="A238" s="3" t="s">
        <v>324</v>
      </c>
      <c r="B238" t="s">
        <v>136</v>
      </c>
      <c r="C238" t="s">
        <v>1013</v>
      </c>
    </row>
    <row r="239" spans="1:3" x14ac:dyDescent="0.25">
      <c r="A239" s="3" t="s">
        <v>325</v>
      </c>
      <c r="B239" t="s">
        <v>85</v>
      </c>
      <c r="C239" t="s">
        <v>1013</v>
      </c>
    </row>
    <row r="240" spans="1:3" x14ac:dyDescent="0.25">
      <c r="A240" s="3" t="s">
        <v>326</v>
      </c>
      <c r="B240" t="s">
        <v>182</v>
      </c>
      <c r="C240" t="s">
        <v>1013</v>
      </c>
    </row>
    <row r="241" spans="1:3" x14ac:dyDescent="0.25">
      <c r="A241" s="3" t="s">
        <v>327</v>
      </c>
      <c r="B241" t="s">
        <v>160</v>
      </c>
      <c r="C241" t="s">
        <v>1013</v>
      </c>
    </row>
    <row r="242" spans="1:3" x14ac:dyDescent="0.25">
      <c r="A242" s="3" t="s">
        <v>328</v>
      </c>
      <c r="B242" t="s">
        <v>84</v>
      </c>
      <c r="C242" t="s">
        <v>1013</v>
      </c>
    </row>
    <row r="243" spans="1:3" x14ac:dyDescent="0.25">
      <c r="A243" s="3" t="s">
        <v>329</v>
      </c>
      <c r="B243" t="s">
        <v>100</v>
      </c>
      <c r="C243" t="s">
        <v>1013</v>
      </c>
    </row>
    <row r="244" spans="1:3" x14ac:dyDescent="0.25">
      <c r="A244" s="3" t="s">
        <v>330</v>
      </c>
      <c r="B244" t="s">
        <v>136</v>
      </c>
      <c r="C244" t="s">
        <v>1013</v>
      </c>
    </row>
    <row r="245" spans="1:3" x14ac:dyDescent="0.25">
      <c r="A245" s="3" t="s">
        <v>121</v>
      </c>
      <c r="B245" t="s">
        <v>14</v>
      </c>
      <c r="C245" t="s">
        <v>1013</v>
      </c>
    </row>
    <row r="246" spans="1:3" x14ac:dyDescent="0.25">
      <c r="A246" s="3" t="s">
        <v>331</v>
      </c>
      <c r="B246" t="s">
        <v>85</v>
      </c>
      <c r="C246" t="s">
        <v>1013</v>
      </c>
    </row>
    <row r="247" spans="1:3" x14ac:dyDescent="0.25">
      <c r="A247" s="3" t="s">
        <v>332</v>
      </c>
      <c r="B247" t="s">
        <v>87</v>
      </c>
      <c r="C247" t="s">
        <v>1013</v>
      </c>
    </row>
    <row r="248" spans="1:3" x14ac:dyDescent="0.25">
      <c r="A248" s="3" t="s">
        <v>333</v>
      </c>
      <c r="B248" t="s">
        <v>5</v>
      </c>
      <c r="C248" t="s">
        <v>1013</v>
      </c>
    </row>
    <row r="249" spans="1:3" x14ac:dyDescent="0.25">
      <c r="A249" s="3" t="s">
        <v>81</v>
      </c>
      <c r="B249" t="s">
        <v>11</v>
      </c>
      <c r="C249" t="s">
        <v>1013</v>
      </c>
    </row>
    <row r="250" spans="1:3" x14ac:dyDescent="0.25">
      <c r="A250" s="3" t="s">
        <v>334</v>
      </c>
      <c r="B250" t="s">
        <v>161</v>
      </c>
      <c r="C250" t="s">
        <v>1013</v>
      </c>
    </row>
    <row r="251" spans="1:3" x14ac:dyDescent="0.25">
      <c r="A251" s="3" t="s">
        <v>335</v>
      </c>
      <c r="B251" t="s">
        <v>7</v>
      </c>
      <c r="C251" t="s">
        <v>1013</v>
      </c>
    </row>
    <row r="252" spans="1:3" x14ac:dyDescent="0.25">
      <c r="A252" s="3" t="s">
        <v>336</v>
      </c>
      <c r="B252" t="s">
        <v>8</v>
      </c>
      <c r="C252" t="s">
        <v>1013</v>
      </c>
    </row>
    <row r="253" spans="1:3" x14ac:dyDescent="0.25">
      <c r="A253" s="3" t="s">
        <v>337</v>
      </c>
      <c r="B253" t="s">
        <v>7</v>
      </c>
      <c r="C253" t="s">
        <v>1013</v>
      </c>
    </row>
    <row r="254" spans="1:3" x14ac:dyDescent="0.25">
      <c r="A254" s="3" t="s">
        <v>338</v>
      </c>
      <c r="B254" t="s">
        <v>8</v>
      </c>
      <c r="C254" t="s">
        <v>1013</v>
      </c>
    </row>
    <row r="255" spans="1:3" x14ac:dyDescent="0.25">
      <c r="A255" s="3" t="s">
        <v>339</v>
      </c>
      <c r="B255" t="s">
        <v>16</v>
      </c>
      <c r="C255" t="s">
        <v>1013</v>
      </c>
    </row>
    <row r="256" spans="1:3" x14ac:dyDescent="0.25">
      <c r="A256" s="3" t="s">
        <v>340</v>
      </c>
      <c r="B256" t="s">
        <v>5</v>
      </c>
      <c r="C256" t="s">
        <v>1013</v>
      </c>
    </row>
    <row r="257" spans="1:3" x14ac:dyDescent="0.25">
      <c r="A257" s="3" t="s">
        <v>341</v>
      </c>
      <c r="B257" t="s">
        <v>16</v>
      </c>
      <c r="C257" t="s">
        <v>1013</v>
      </c>
    </row>
    <row r="258" spans="1:3" x14ac:dyDescent="0.25">
      <c r="A258" s="3" t="s">
        <v>342</v>
      </c>
      <c r="B258" t="s">
        <v>7</v>
      </c>
      <c r="C258" t="s">
        <v>1013</v>
      </c>
    </row>
    <row r="259" spans="1:3" x14ac:dyDescent="0.25">
      <c r="A259" s="3" t="s">
        <v>343</v>
      </c>
      <c r="B259" t="s">
        <v>5</v>
      </c>
      <c r="C259" t="s">
        <v>1013</v>
      </c>
    </row>
    <row r="260" spans="1:3" x14ac:dyDescent="0.25">
      <c r="A260" s="3" t="s">
        <v>344</v>
      </c>
      <c r="B260" t="s">
        <v>15</v>
      </c>
      <c r="C260" t="s">
        <v>1013</v>
      </c>
    </row>
    <row r="261" spans="1:3" x14ac:dyDescent="0.25">
      <c r="A261" s="3" t="s">
        <v>127</v>
      </c>
      <c r="B261" t="s">
        <v>5</v>
      </c>
      <c r="C261" t="s">
        <v>1013</v>
      </c>
    </row>
    <row r="262" spans="1:3" x14ac:dyDescent="0.25">
      <c r="A262" s="3" t="s">
        <v>345</v>
      </c>
      <c r="B262" t="s">
        <v>70</v>
      </c>
      <c r="C262" t="s">
        <v>1013</v>
      </c>
    </row>
    <row r="263" spans="1:3" x14ac:dyDescent="0.25">
      <c r="A263" s="3" t="s">
        <v>346</v>
      </c>
      <c r="B263" t="s">
        <v>8</v>
      </c>
      <c r="C263" t="s">
        <v>1013</v>
      </c>
    </row>
    <row r="264" spans="1:3" x14ac:dyDescent="0.25">
      <c r="A264" s="3" t="s">
        <v>347</v>
      </c>
      <c r="B264" t="s">
        <v>5</v>
      </c>
      <c r="C264" t="s">
        <v>1013</v>
      </c>
    </row>
    <row r="265" spans="1:3" x14ac:dyDescent="0.25">
      <c r="A265" s="3" t="s">
        <v>348</v>
      </c>
      <c r="B265" t="s">
        <v>15</v>
      </c>
      <c r="C265" t="s">
        <v>1013</v>
      </c>
    </row>
    <row r="266" spans="1:3" x14ac:dyDescent="0.25">
      <c r="A266" s="3" t="s">
        <v>349</v>
      </c>
      <c r="B266" t="s">
        <v>7</v>
      </c>
      <c r="C266" t="s">
        <v>1013</v>
      </c>
    </row>
    <row r="267" spans="1:3" x14ac:dyDescent="0.25">
      <c r="A267" s="3" t="s">
        <v>350</v>
      </c>
      <c r="B267" t="s">
        <v>5</v>
      </c>
      <c r="C267" t="s">
        <v>1013</v>
      </c>
    </row>
    <row r="268" spans="1:3" x14ac:dyDescent="0.25">
      <c r="A268" s="3" t="s">
        <v>351</v>
      </c>
      <c r="B268" t="s">
        <v>70</v>
      </c>
      <c r="C268" t="s">
        <v>1013</v>
      </c>
    </row>
    <row r="269" spans="1:3" x14ac:dyDescent="0.25">
      <c r="A269" s="3" t="s">
        <v>352</v>
      </c>
      <c r="B269" t="s">
        <v>15</v>
      </c>
      <c r="C269" t="s">
        <v>1013</v>
      </c>
    </row>
    <row r="270" spans="1:3" x14ac:dyDescent="0.25">
      <c r="A270" s="3" t="s">
        <v>353</v>
      </c>
      <c r="B270" t="s">
        <v>18</v>
      </c>
      <c r="C270" t="s">
        <v>1013</v>
      </c>
    </row>
    <row r="271" spans="1:3" x14ac:dyDescent="0.25">
      <c r="A271" s="3" t="s">
        <v>354</v>
      </c>
      <c r="B271" t="s">
        <v>7</v>
      </c>
      <c r="C271" t="s">
        <v>1013</v>
      </c>
    </row>
    <row r="272" spans="1:3" x14ac:dyDescent="0.25">
      <c r="A272" s="3" t="s">
        <v>355</v>
      </c>
      <c r="B272" t="s">
        <v>7</v>
      </c>
      <c r="C272" t="s">
        <v>1013</v>
      </c>
    </row>
    <row r="273" spans="1:3" x14ac:dyDescent="0.25">
      <c r="A273" s="3" t="s">
        <v>356</v>
      </c>
      <c r="B273" t="s">
        <v>8</v>
      </c>
      <c r="C273" t="s">
        <v>1013</v>
      </c>
    </row>
    <row r="274" spans="1:3" x14ac:dyDescent="0.25">
      <c r="A274" s="3" t="s">
        <v>357</v>
      </c>
      <c r="B274" t="s">
        <v>18</v>
      </c>
      <c r="C274" t="s">
        <v>1013</v>
      </c>
    </row>
    <row r="275" spans="1:3" x14ac:dyDescent="0.25">
      <c r="A275" s="3" t="s">
        <v>358</v>
      </c>
      <c r="B275" t="s">
        <v>70</v>
      </c>
      <c r="C275" t="s">
        <v>1013</v>
      </c>
    </row>
    <row r="276" spans="1:3" x14ac:dyDescent="0.25">
      <c r="A276" s="3" t="s">
        <v>359</v>
      </c>
      <c r="B276" t="s">
        <v>12</v>
      </c>
      <c r="C276" t="s">
        <v>1013</v>
      </c>
    </row>
    <row r="277" spans="1:3" x14ac:dyDescent="0.25">
      <c r="A277" s="3" t="s">
        <v>360</v>
      </c>
      <c r="B277" t="s">
        <v>12</v>
      </c>
      <c r="C277" t="s">
        <v>1013</v>
      </c>
    </row>
    <row r="278" spans="1:3" x14ac:dyDescent="0.25">
      <c r="A278" s="3" t="s">
        <v>361</v>
      </c>
      <c r="B278" t="s">
        <v>82</v>
      </c>
      <c r="C278" t="s">
        <v>1013</v>
      </c>
    </row>
    <row r="279" spans="1:3" x14ac:dyDescent="0.25">
      <c r="A279" s="3" t="s">
        <v>362</v>
      </c>
      <c r="B279" t="s">
        <v>18</v>
      </c>
      <c r="C279" t="s">
        <v>1013</v>
      </c>
    </row>
    <row r="280" spans="1:3" x14ac:dyDescent="0.25">
      <c r="A280" s="3" t="s">
        <v>363</v>
      </c>
      <c r="B280" t="s">
        <v>16</v>
      </c>
      <c r="C280" t="s">
        <v>1013</v>
      </c>
    </row>
    <row r="281" spans="1:3" x14ac:dyDescent="0.25">
      <c r="A281" s="3" t="s">
        <v>364</v>
      </c>
      <c r="B281" t="s">
        <v>8</v>
      </c>
      <c r="C281" t="s">
        <v>1013</v>
      </c>
    </row>
    <row r="282" spans="1:3" x14ac:dyDescent="0.25">
      <c r="A282" s="3" t="s">
        <v>365</v>
      </c>
      <c r="B282" t="s">
        <v>7</v>
      </c>
      <c r="C282" t="s">
        <v>1013</v>
      </c>
    </row>
    <row r="283" spans="1:3" x14ac:dyDescent="0.25">
      <c r="A283" s="3" t="s">
        <v>366</v>
      </c>
      <c r="B283" t="s">
        <v>5</v>
      </c>
      <c r="C283" t="s">
        <v>1013</v>
      </c>
    </row>
    <row r="284" spans="1:3" x14ac:dyDescent="0.25">
      <c r="A284" s="3" t="s">
        <v>367</v>
      </c>
      <c r="B284" t="s">
        <v>7</v>
      </c>
      <c r="C284" t="s">
        <v>1013</v>
      </c>
    </row>
    <row r="285" spans="1:3" x14ac:dyDescent="0.25">
      <c r="A285" s="3" t="s">
        <v>368</v>
      </c>
      <c r="B285" t="s">
        <v>16</v>
      </c>
      <c r="C285" t="s">
        <v>1013</v>
      </c>
    </row>
    <row r="286" spans="1:3" x14ac:dyDescent="0.25">
      <c r="A286" s="3" t="s">
        <v>369</v>
      </c>
      <c r="B286" t="s">
        <v>16</v>
      </c>
      <c r="C286" t="s">
        <v>1013</v>
      </c>
    </row>
    <row r="287" spans="1:3" x14ac:dyDescent="0.25">
      <c r="A287" s="3" t="s">
        <v>370</v>
      </c>
      <c r="B287" t="s">
        <v>7</v>
      </c>
      <c r="C287" t="s">
        <v>1013</v>
      </c>
    </row>
    <row r="288" spans="1:3" x14ac:dyDescent="0.25">
      <c r="A288" s="3" t="s">
        <v>371</v>
      </c>
      <c r="B288" t="s">
        <v>7</v>
      </c>
      <c r="C288" t="s">
        <v>1013</v>
      </c>
    </row>
    <row r="289" spans="1:3" x14ac:dyDescent="0.25">
      <c r="A289" s="3" t="s">
        <v>372</v>
      </c>
      <c r="B289" t="s">
        <v>12</v>
      </c>
      <c r="C289" t="s">
        <v>1013</v>
      </c>
    </row>
    <row r="290" spans="1:3" x14ac:dyDescent="0.25">
      <c r="A290" s="3" t="s">
        <v>373</v>
      </c>
      <c r="B290" t="s">
        <v>12</v>
      </c>
      <c r="C290" t="s">
        <v>1013</v>
      </c>
    </row>
    <row r="291" spans="1:3" x14ac:dyDescent="0.25">
      <c r="A291" s="3" t="s">
        <v>374</v>
      </c>
      <c r="B291" t="s">
        <v>5</v>
      </c>
      <c r="C291" t="s">
        <v>1010</v>
      </c>
    </row>
    <row r="292" spans="1:3" x14ac:dyDescent="0.25">
      <c r="A292" s="3" t="s">
        <v>375</v>
      </c>
      <c r="B292" t="s">
        <v>33</v>
      </c>
      <c r="C292" t="s">
        <v>1013</v>
      </c>
    </row>
    <row r="293" spans="1:3" x14ac:dyDescent="0.25">
      <c r="A293" s="3" t="s">
        <v>376</v>
      </c>
      <c r="B293" t="s">
        <v>7</v>
      </c>
      <c r="C293" t="s">
        <v>1013</v>
      </c>
    </row>
    <row r="294" spans="1:3" x14ac:dyDescent="0.25">
      <c r="A294" s="3" t="s">
        <v>377</v>
      </c>
      <c r="B294" t="s">
        <v>5</v>
      </c>
      <c r="C294" t="s">
        <v>1013</v>
      </c>
    </row>
    <row r="295" spans="1:3" x14ac:dyDescent="0.25">
      <c r="A295" s="3" t="s">
        <v>378</v>
      </c>
      <c r="B295" t="s">
        <v>8</v>
      </c>
      <c r="C295" t="s">
        <v>1013</v>
      </c>
    </row>
    <row r="296" spans="1:3" x14ac:dyDescent="0.25">
      <c r="A296" s="3" t="s">
        <v>379</v>
      </c>
      <c r="B296" t="s">
        <v>5</v>
      </c>
      <c r="C296" t="s">
        <v>1013</v>
      </c>
    </row>
    <row r="297" spans="1:3" x14ac:dyDescent="0.25">
      <c r="A297" s="3" t="s">
        <v>65</v>
      </c>
      <c r="B297" t="s">
        <v>8</v>
      </c>
      <c r="C297" t="s">
        <v>1013</v>
      </c>
    </row>
    <row r="298" spans="1:3" x14ac:dyDescent="0.25">
      <c r="A298" s="3" t="s">
        <v>67</v>
      </c>
      <c r="B298" t="s">
        <v>8</v>
      </c>
      <c r="C298" t="s">
        <v>1013</v>
      </c>
    </row>
    <row r="299" spans="1:3" x14ac:dyDescent="0.25">
      <c r="A299" s="3" t="s">
        <v>380</v>
      </c>
      <c r="B299" t="s">
        <v>5</v>
      </c>
      <c r="C299" t="s">
        <v>1013</v>
      </c>
    </row>
    <row r="300" spans="1:3" x14ac:dyDescent="0.25">
      <c r="A300" s="3" t="s">
        <v>381</v>
      </c>
      <c r="B300" t="s">
        <v>12</v>
      </c>
      <c r="C300" t="s">
        <v>1013</v>
      </c>
    </row>
    <row r="301" spans="1:3" x14ac:dyDescent="0.25">
      <c r="A301" s="3" t="s">
        <v>30</v>
      </c>
      <c r="B301" t="s">
        <v>7</v>
      </c>
      <c r="C301" t="s">
        <v>1013</v>
      </c>
    </row>
    <row r="302" spans="1:3" x14ac:dyDescent="0.25">
      <c r="A302" s="3" t="s">
        <v>382</v>
      </c>
      <c r="B302" t="s">
        <v>7</v>
      </c>
      <c r="C302" t="s">
        <v>1013</v>
      </c>
    </row>
    <row r="303" spans="1:3" x14ac:dyDescent="0.25">
      <c r="A303" s="3" t="s">
        <v>383</v>
      </c>
      <c r="B303" t="s">
        <v>8</v>
      </c>
      <c r="C303" t="s">
        <v>1013</v>
      </c>
    </row>
    <row r="304" spans="1:3" x14ac:dyDescent="0.25">
      <c r="A304" s="3" t="s">
        <v>384</v>
      </c>
      <c r="B304" t="s">
        <v>28</v>
      </c>
      <c r="C304" t="s">
        <v>1013</v>
      </c>
    </row>
    <row r="305" spans="1:3" x14ac:dyDescent="0.25">
      <c r="A305" s="3" t="s">
        <v>385</v>
      </c>
      <c r="B305" t="s">
        <v>12</v>
      </c>
      <c r="C305" t="s">
        <v>1013</v>
      </c>
    </row>
    <row r="306" spans="1:3" x14ac:dyDescent="0.25">
      <c r="A306" s="3" t="s">
        <v>386</v>
      </c>
      <c r="B306" t="s">
        <v>8</v>
      </c>
      <c r="C306" t="s">
        <v>1013</v>
      </c>
    </row>
    <row r="307" spans="1:3" x14ac:dyDescent="0.25">
      <c r="A307" s="3" t="s">
        <v>387</v>
      </c>
      <c r="B307" t="s">
        <v>12</v>
      </c>
      <c r="C307" t="s">
        <v>1013</v>
      </c>
    </row>
    <row r="308" spans="1:3" x14ac:dyDescent="0.25">
      <c r="A308" s="3" t="s">
        <v>388</v>
      </c>
      <c r="B308" t="s">
        <v>12</v>
      </c>
      <c r="C308" t="s">
        <v>1013</v>
      </c>
    </row>
    <row r="309" spans="1:3" x14ac:dyDescent="0.25">
      <c r="A309" s="3" t="s">
        <v>389</v>
      </c>
      <c r="B309" t="s">
        <v>8</v>
      </c>
      <c r="C309" t="s">
        <v>1013</v>
      </c>
    </row>
    <row r="310" spans="1:3" x14ac:dyDescent="0.25">
      <c r="A310" s="3" t="s">
        <v>390</v>
      </c>
      <c r="B310" t="s">
        <v>16</v>
      </c>
      <c r="C310" t="s">
        <v>1013</v>
      </c>
    </row>
    <row r="311" spans="1:3" x14ac:dyDescent="0.25">
      <c r="A311" s="3" t="s">
        <v>391</v>
      </c>
      <c r="B311" t="s">
        <v>86</v>
      </c>
      <c r="C311" t="s">
        <v>1013</v>
      </c>
    </row>
    <row r="312" spans="1:3" x14ac:dyDescent="0.25">
      <c r="A312" s="3" t="s">
        <v>392</v>
      </c>
      <c r="B312" t="s">
        <v>12</v>
      </c>
      <c r="C312" t="s">
        <v>1013</v>
      </c>
    </row>
    <row r="313" spans="1:3" x14ac:dyDescent="0.25">
      <c r="A313" s="3" t="s">
        <v>393</v>
      </c>
      <c r="B313" t="s">
        <v>12</v>
      </c>
      <c r="C313" t="s">
        <v>1013</v>
      </c>
    </row>
    <row r="314" spans="1:3" x14ac:dyDescent="0.25">
      <c r="A314" s="3" t="s">
        <v>394</v>
      </c>
      <c r="B314" t="s">
        <v>7</v>
      </c>
      <c r="C314" t="s">
        <v>1013</v>
      </c>
    </row>
    <row r="315" spans="1:3" x14ac:dyDescent="0.25">
      <c r="A315" s="3" t="s">
        <v>395</v>
      </c>
      <c r="B315" t="s">
        <v>12</v>
      </c>
      <c r="C315" t="s">
        <v>1013</v>
      </c>
    </row>
    <row r="316" spans="1:3" x14ac:dyDescent="0.25">
      <c r="A316" s="3" t="s">
        <v>396</v>
      </c>
      <c r="B316" t="s">
        <v>16</v>
      </c>
      <c r="C316" t="s">
        <v>1013</v>
      </c>
    </row>
    <row r="317" spans="1:3" x14ac:dyDescent="0.25">
      <c r="A317" s="3" t="s">
        <v>397</v>
      </c>
      <c r="B317" t="s">
        <v>18</v>
      </c>
      <c r="C317" t="s">
        <v>1013</v>
      </c>
    </row>
    <row r="318" spans="1:3" x14ac:dyDescent="0.25">
      <c r="A318" s="3" t="s">
        <v>398</v>
      </c>
      <c r="B318" t="s">
        <v>28</v>
      </c>
      <c r="C318" t="s">
        <v>1013</v>
      </c>
    </row>
    <row r="319" spans="1:3" x14ac:dyDescent="0.25">
      <c r="A319" s="3" t="s">
        <v>399</v>
      </c>
      <c r="B319" t="s">
        <v>70</v>
      </c>
      <c r="C319" t="s">
        <v>1013</v>
      </c>
    </row>
    <row r="320" spans="1:3" x14ac:dyDescent="0.25">
      <c r="A320" s="3" t="s">
        <v>400</v>
      </c>
      <c r="B320" t="s">
        <v>25</v>
      </c>
      <c r="C320" t="s">
        <v>1013</v>
      </c>
    </row>
    <row r="321" spans="1:3" x14ac:dyDescent="0.25">
      <c r="A321" s="3" t="s">
        <v>401</v>
      </c>
      <c r="B321" t="s">
        <v>8</v>
      </c>
      <c r="C321" t="s">
        <v>1013</v>
      </c>
    </row>
    <row r="322" spans="1:3" x14ac:dyDescent="0.25">
      <c r="A322" s="3" t="s">
        <v>402</v>
      </c>
      <c r="B322" t="s">
        <v>5</v>
      </c>
      <c r="C322" t="s">
        <v>1013</v>
      </c>
    </row>
    <row r="323" spans="1:3" x14ac:dyDescent="0.25">
      <c r="A323" s="3" t="s">
        <v>403</v>
      </c>
      <c r="B323" t="s">
        <v>31</v>
      </c>
      <c r="C323" t="s">
        <v>1013</v>
      </c>
    </row>
    <row r="324" spans="1:3" x14ac:dyDescent="0.25">
      <c r="A324" s="3" t="s">
        <v>404</v>
      </c>
      <c r="B324" t="s">
        <v>31</v>
      </c>
      <c r="C324" t="s">
        <v>1013</v>
      </c>
    </row>
    <row r="325" spans="1:3" x14ac:dyDescent="0.25">
      <c r="A325" s="3" t="s">
        <v>405</v>
      </c>
      <c r="B325" t="s">
        <v>16</v>
      </c>
      <c r="C325" t="s">
        <v>1013</v>
      </c>
    </row>
    <row r="326" spans="1:3" x14ac:dyDescent="0.25">
      <c r="A326" s="3" t="s">
        <v>406</v>
      </c>
      <c r="B326" t="s">
        <v>16</v>
      </c>
      <c r="C326" t="s">
        <v>1013</v>
      </c>
    </row>
    <row r="327" spans="1:3" x14ac:dyDescent="0.25">
      <c r="A327" s="3" t="s">
        <v>407</v>
      </c>
      <c r="B327" t="s">
        <v>28</v>
      </c>
      <c r="C327" t="s">
        <v>1013</v>
      </c>
    </row>
    <row r="328" spans="1:3" x14ac:dyDescent="0.25">
      <c r="A328" s="3" t="s">
        <v>408</v>
      </c>
      <c r="B328" t="s">
        <v>28</v>
      </c>
      <c r="C328" t="s">
        <v>1013</v>
      </c>
    </row>
    <row r="329" spans="1:3" x14ac:dyDescent="0.25">
      <c r="A329" s="3" t="s">
        <v>409</v>
      </c>
      <c r="B329" t="s">
        <v>18</v>
      </c>
      <c r="C329" t="s">
        <v>1013</v>
      </c>
    </row>
    <row r="330" spans="1:3" x14ac:dyDescent="0.25">
      <c r="A330" s="3" t="s">
        <v>410</v>
      </c>
      <c r="B330" t="s">
        <v>33</v>
      </c>
      <c r="C330" t="s">
        <v>1013</v>
      </c>
    </row>
    <row r="331" spans="1:3" x14ac:dyDescent="0.25">
      <c r="A331" s="3" t="s">
        <v>411</v>
      </c>
      <c r="B331" t="s">
        <v>136</v>
      </c>
      <c r="C331" t="s">
        <v>1013</v>
      </c>
    </row>
    <row r="332" spans="1:3" x14ac:dyDescent="0.25">
      <c r="A332" s="3" t="s">
        <v>412</v>
      </c>
      <c r="B332" t="s">
        <v>8</v>
      </c>
      <c r="C332" t="s">
        <v>1013</v>
      </c>
    </row>
    <row r="333" spans="1:3" x14ac:dyDescent="0.25">
      <c r="A333" s="3" t="s">
        <v>413</v>
      </c>
      <c r="B333" t="s">
        <v>15</v>
      </c>
      <c r="C333" t="s">
        <v>1013</v>
      </c>
    </row>
    <row r="334" spans="1:3" x14ac:dyDescent="0.25">
      <c r="A334" s="3" t="s">
        <v>414</v>
      </c>
      <c r="B334" t="s">
        <v>12</v>
      </c>
      <c r="C334" t="s">
        <v>1013</v>
      </c>
    </row>
    <row r="335" spans="1:3" x14ac:dyDescent="0.25">
      <c r="A335" s="3" t="s">
        <v>415</v>
      </c>
      <c r="B335" t="s">
        <v>15</v>
      </c>
      <c r="C335" t="s">
        <v>1013</v>
      </c>
    </row>
    <row r="336" spans="1:3" x14ac:dyDescent="0.25">
      <c r="A336" s="3" t="s">
        <v>416</v>
      </c>
      <c r="B336" t="s">
        <v>5</v>
      </c>
      <c r="C336" t="s">
        <v>1013</v>
      </c>
    </row>
    <row r="337" spans="1:3" x14ac:dyDescent="0.25">
      <c r="A337" s="3" t="s">
        <v>417</v>
      </c>
      <c r="B337" t="s">
        <v>5</v>
      </c>
      <c r="C337" t="s">
        <v>1013</v>
      </c>
    </row>
    <row r="338" spans="1:3" x14ac:dyDescent="0.25">
      <c r="A338" s="3" t="s">
        <v>418</v>
      </c>
      <c r="B338" t="s">
        <v>5</v>
      </c>
      <c r="C338" t="s">
        <v>1013</v>
      </c>
    </row>
    <row r="339" spans="1:3" x14ac:dyDescent="0.25">
      <c r="A339" s="3" t="s">
        <v>419</v>
      </c>
      <c r="B339" t="s">
        <v>7</v>
      </c>
      <c r="C339" t="s">
        <v>1013</v>
      </c>
    </row>
    <row r="340" spans="1:3" x14ac:dyDescent="0.25">
      <c r="A340" s="3" t="s">
        <v>420</v>
      </c>
      <c r="B340" t="s">
        <v>8</v>
      </c>
      <c r="C340" t="s">
        <v>1013</v>
      </c>
    </row>
    <row r="341" spans="1:3" x14ac:dyDescent="0.25">
      <c r="A341" s="3" t="s">
        <v>421</v>
      </c>
      <c r="B341" t="s">
        <v>7</v>
      </c>
      <c r="C341" t="s">
        <v>1013</v>
      </c>
    </row>
    <row r="342" spans="1:3" x14ac:dyDescent="0.25">
      <c r="A342" s="3" t="s">
        <v>422</v>
      </c>
      <c r="B342" t="s">
        <v>86</v>
      </c>
      <c r="C342" t="s">
        <v>1013</v>
      </c>
    </row>
    <row r="343" spans="1:3" x14ac:dyDescent="0.25">
      <c r="A343" s="3" t="s">
        <v>423</v>
      </c>
      <c r="B343" t="s">
        <v>7</v>
      </c>
      <c r="C343" t="s">
        <v>1013</v>
      </c>
    </row>
    <row r="344" spans="1:3" x14ac:dyDescent="0.25">
      <c r="A344" s="3" t="s">
        <v>424</v>
      </c>
      <c r="B344" t="s">
        <v>16</v>
      </c>
      <c r="C344" t="s">
        <v>1013</v>
      </c>
    </row>
    <row r="345" spans="1:3" x14ac:dyDescent="0.25">
      <c r="A345" s="3" t="s">
        <v>425</v>
      </c>
      <c r="B345" t="s">
        <v>8</v>
      </c>
      <c r="C345" t="s">
        <v>1013</v>
      </c>
    </row>
    <row r="346" spans="1:3" x14ac:dyDescent="0.25">
      <c r="A346" s="3" t="s">
        <v>426</v>
      </c>
      <c r="B346" t="s">
        <v>15</v>
      </c>
      <c r="C346" t="s">
        <v>1013</v>
      </c>
    </row>
    <row r="347" spans="1:3" x14ac:dyDescent="0.25">
      <c r="A347" s="3" t="s">
        <v>427</v>
      </c>
      <c r="B347" t="s">
        <v>28</v>
      </c>
      <c r="C347" t="s">
        <v>1013</v>
      </c>
    </row>
    <row r="348" spans="1:3" x14ac:dyDescent="0.25">
      <c r="A348" s="3" t="s">
        <v>428</v>
      </c>
      <c r="B348" t="s">
        <v>18</v>
      </c>
      <c r="C348" t="s">
        <v>1013</v>
      </c>
    </row>
    <row r="349" spans="1:3" x14ac:dyDescent="0.25">
      <c r="A349" s="3" t="s">
        <v>429</v>
      </c>
      <c r="B349" t="s">
        <v>7</v>
      </c>
      <c r="C349" t="s">
        <v>1013</v>
      </c>
    </row>
    <row r="350" spans="1:3" x14ac:dyDescent="0.25">
      <c r="A350" s="3" t="s">
        <v>430</v>
      </c>
      <c r="B350" t="s">
        <v>97</v>
      </c>
      <c r="C350" t="s">
        <v>1013</v>
      </c>
    </row>
    <row r="351" spans="1:3" x14ac:dyDescent="0.25">
      <c r="A351" s="3" t="s">
        <v>431</v>
      </c>
      <c r="B351" t="s">
        <v>91</v>
      </c>
      <c r="C351" t="s">
        <v>1013</v>
      </c>
    </row>
    <row r="352" spans="1:3" x14ac:dyDescent="0.25">
      <c r="A352" s="3" t="s">
        <v>432</v>
      </c>
      <c r="B352" t="s">
        <v>5</v>
      </c>
      <c r="C352" t="s">
        <v>1013</v>
      </c>
    </row>
    <row r="353" spans="1:3" x14ac:dyDescent="0.25">
      <c r="A353" s="3" t="s">
        <v>433</v>
      </c>
      <c r="B353" t="s">
        <v>5</v>
      </c>
      <c r="C353" t="s">
        <v>1013</v>
      </c>
    </row>
    <row r="354" spans="1:3" x14ac:dyDescent="0.25">
      <c r="A354" s="3" t="s">
        <v>434</v>
      </c>
      <c r="B354" t="s">
        <v>7</v>
      </c>
      <c r="C354" t="s">
        <v>1013</v>
      </c>
    </row>
    <row r="355" spans="1:3" x14ac:dyDescent="0.25">
      <c r="A355" s="3" t="s">
        <v>435</v>
      </c>
      <c r="B355" t="s">
        <v>12</v>
      </c>
      <c r="C355" t="s">
        <v>1013</v>
      </c>
    </row>
    <row r="356" spans="1:3" x14ac:dyDescent="0.25">
      <c r="A356" s="3" t="s">
        <v>436</v>
      </c>
      <c r="B356" t="s">
        <v>15</v>
      </c>
      <c r="C356" t="s">
        <v>1013</v>
      </c>
    </row>
    <row r="357" spans="1:3" x14ac:dyDescent="0.25">
      <c r="A357" s="3" t="s">
        <v>437</v>
      </c>
      <c r="B357" t="s">
        <v>100</v>
      </c>
      <c r="C357" t="s">
        <v>1013</v>
      </c>
    </row>
    <row r="358" spans="1:3" x14ac:dyDescent="0.25">
      <c r="A358" s="3" t="s">
        <v>438</v>
      </c>
      <c r="B358" t="s">
        <v>28</v>
      </c>
      <c r="C358" t="s">
        <v>1013</v>
      </c>
    </row>
    <row r="359" spans="1:3" x14ac:dyDescent="0.25">
      <c r="A359" s="3" t="s">
        <v>439</v>
      </c>
      <c r="B359" t="s">
        <v>16</v>
      </c>
      <c r="C359" t="s">
        <v>1013</v>
      </c>
    </row>
    <row r="360" spans="1:3" x14ac:dyDescent="0.25">
      <c r="A360" s="3" t="s">
        <v>440</v>
      </c>
      <c r="B360" t="s">
        <v>18</v>
      </c>
      <c r="C360" t="s">
        <v>1013</v>
      </c>
    </row>
    <row r="361" spans="1:3" x14ac:dyDescent="0.25">
      <c r="A361" s="3" t="s">
        <v>441</v>
      </c>
      <c r="B361" t="s">
        <v>8</v>
      </c>
      <c r="C361" t="s">
        <v>1013</v>
      </c>
    </row>
    <row r="362" spans="1:3" x14ac:dyDescent="0.25">
      <c r="A362" s="3" t="s">
        <v>442</v>
      </c>
      <c r="B362" t="s">
        <v>33</v>
      </c>
      <c r="C362" t="s">
        <v>1013</v>
      </c>
    </row>
    <row r="363" spans="1:3" x14ac:dyDescent="0.25">
      <c r="A363" s="3" t="s">
        <v>443</v>
      </c>
      <c r="B363" t="s">
        <v>7</v>
      </c>
      <c r="C363" t="s">
        <v>1013</v>
      </c>
    </row>
    <row r="364" spans="1:3" x14ac:dyDescent="0.25">
      <c r="A364" s="3" t="s">
        <v>444</v>
      </c>
      <c r="B364" t="s">
        <v>5</v>
      </c>
      <c r="C364" t="s">
        <v>1013</v>
      </c>
    </row>
    <row r="365" spans="1:3" x14ac:dyDescent="0.25">
      <c r="A365" s="3" t="s">
        <v>445</v>
      </c>
      <c r="B365" t="s">
        <v>7</v>
      </c>
      <c r="C365" t="s">
        <v>1013</v>
      </c>
    </row>
    <row r="366" spans="1:3" x14ac:dyDescent="0.25">
      <c r="A366" s="3" t="s">
        <v>446</v>
      </c>
      <c r="B366" t="s">
        <v>5</v>
      </c>
      <c r="C366" t="s">
        <v>1013</v>
      </c>
    </row>
    <row r="367" spans="1:3" x14ac:dyDescent="0.25">
      <c r="A367" s="3" t="s">
        <v>447</v>
      </c>
      <c r="B367" t="s">
        <v>5</v>
      </c>
      <c r="C367" t="s">
        <v>1013</v>
      </c>
    </row>
    <row r="368" spans="1:3" x14ac:dyDescent="0.25">
      <c r="A368" s="3" t="s">
        <v>448</v>
      </c>
      <c r="B368" t="s">
        <v>18</v>
      </c>
      <c r="C368" t="s">
        <v>1013</v>
      </c>
    </row>
    <row r="369" spans="1:3" x14ac:dyDescent="0.25">
      <c r="A369" s="3" t="s">
        <v>449</v>
      </c>
      <c r="B369" t="s">
        <v>31</v>
      </c>
      <c r="C369" t="s">
        <v>1013</v>
      </c>
    </row>
    <row r="370" spans="1:3" x14ac:dyDescent="0.25">
      <c r="A370" s="3" t="s">
        <v>450</v>
      </c>
      <c r="B370" t="s">
        <v>39</v>
      </c>
      <c r="C370" t="s">
        <v>1013</v>
      </c>
    </row>
    <row r="371" spans="1:3" x14ac:dyDescent="0.25">
      <c r="A371" s="3" t="s">
        <v>451</v>
      </c>
      <c r="B371" t="s">
        <v>100</v>
      </c>
      <c r="C371" t="s">
        <v>1013</v>
      </c>
    </row>
    <row r="372" spans="1:3" x14ac:dyDescent="0.25">
      <c r="A372" s="3" t="s">
        <v>452</v>
      </c>
      <c r="B372" t="s">
        <v>7</v>
      </c>
      <c r="C372" t="s">
        <v>1013</v>
      </c>
    </row>
    <row r="373" spans="1:3" x14ac:dyDescent="0.25">
      <c r="A373" s="3" t="s">
        <v>453</v>
      </c>
      <c r="B373" t="s">
        <v>28</v>
      </c>
      <c r="C373" t="s">
        <v>1013</v>
      </c>
    </row>
    <row r="374" spans="1:3" x14ac:dyDescent="0.25">
      <c r="A374" s="3" t="s">
        <v>454</v>
      </c>
      <c r="B374" t="s">
        <v>5</v>
      </c>
      <c r="C374" t="s">
        <v>1013</v>
      </c>
    </row>
    <row r="375" spans="1:3" x14ac:dyDescent="0.25">
      <c r="A375" s="3" t="s">
        <v>455</v>
      </c>
      <c r="B375" t="s">
        <v>8</v>
      </c>
      <c r="C375" t="s">
        <v>1013</v>
      </c>
    </row>
    <row r="376" spans="1:3" x14ac:dyDescent="0.25">
      <c r="A376" s="3" t="s">
        <v>456</v>
      </c>
      <c r="B376" t="s">
        <v>7</v>
      </c>
      <c r="C376" t="s">
        <v>1013</v>
      </c>
    </row>
    <row r="377" spans="1:3" x14ac:dyDescent="0.25">
      <c r="A377" s="3" t="s">
        <v>457</v>
      </c>
      <c r="B377" t="s">
        <v>16</v>
      </c>
      <c r="C377" t="s">
        <v>1013</v>
      </c>
    </row>
    <row r="378" spans="1:3" x14ac:dyDescent="0.25">
      <c r="A378" s="3" t="s">
        <v>458</v>
      </c>
      <c r="B378" t="s">
        <v>5</v>
      </c>
      <c r="C378" t="s">
        <v>1013</v>
      </c>
    </row>
    <row r="379" spans="1:3" x14ac:dyDescent="0.25">
      <c r="A379" s="3" t="s">
        <v>459</v>
      </c>
      <c r="B379" t="s">
        <v>7</v>
      </c>
      <c r="C379" t="s">
        <v>1013</v>
      </c>
    </row>
    <row r="380" spans="1:3" x14ac:dyDescent="0.25">
      <c r="A380" s="3" t="s">
        <v>460</v>
      </c>
      <c r="B380" t="s">
        <v>12</v>
      </c>
      <c r="C380" t="s">
        <v>1013</v>
      </c>
    </row>
    <row r="381" spans="1:3" x14ac:dyDescent="0.25">
      <c r="A381" s="3" t="s">
        <v>461</v>
      </c>
      <c r="B381" t="s">
        <v>7</v>
      </c>
      <c r="C381" t="s">
        <v>1013</v>
      </c>
    </row>
    <row r="382" spans="1:3" x14ac:dyDescent="0.25">
      <c r="A382" s="3" t="s">
        <v>462</v>
      </c>
      <c r="B382" t="s">
        <v>8</v>
      </c>
      <c r="C382" t="s">
        <v>1013</v>
      </c>
    </row>
    <row r="383" spans="1:3" x14ac:dyDescent="0.25">
      <c r="A383" s="3" t="s">
        <v>463</v>
      </c>
      <c r="B383" t="s">
        <v>7</v>
      </c>
      <c r="C383" t="s">
        <v>1013</v>
      </c>
    </row>
    <row r="384" spans="1:3" x14ac:dyDescent="0.25">
      <c r="A384" s="3" t="s">
        <v>89</v>
      </c>
      <c r="B384" t="s">
        <v>8</v>
      </c>
      <c r="C384" t="s">
        <v>1013</v>
      </c>
    </row>
    <row r="385" spans="1:3" x14ac:dyDescent="0.25">
      <c r="A385" s="3" t="s">
        <v>464</v>
      </c>
      <c r="B385" t="s">
        <v>12</v>
      </c>
      <c r="C385" t="s">
        <v>1013</v>
      </c>
    </row>
    <row r="386" spans="1:3" x14ac:dyDescent="0.25">
      <c r="A386" s="3" t="s">
        <v>465</v>
      </c>
      <c r="B386" t="s">
        <v>7</v>
      </c>
      <c r="C386" t="s">
        <v>1013</v>
      </c>
    </row>
    <row r="387" spans="1:3" x14ac:dyDescent="0.25">
      <c r="A387" s="3" t="s">
        <v>466</v>
      </c>
      <c r="B387" t="s">
        <v>5</v>
      </c>
      <c r="C387" t="s">
        <v>1013</v>
      </c>
    </row>
    <row r="388" spans="1:3" x14ac:dyDescent="0.25">
      <c r="A388" s="3" t="s">
        <v>153</v>
      </c>
      <c r="B388" t="s">
        <v>7</v>
      </c>
      <c r="C388" t="s">
        <v>1013</v>
      </c>
    </row>
    <row r="389" spans="1:3" x14ac:dyDescent="0.25">
      <c r="A389" s="3" t="s">
        <v>467</v>
      </c>
      <c r="B389" t="s">
        <v>16</v>
      </c>
      <c r="C389" t="s">
        <v>1013</v>
      </c>
    </row>
    <row r="390" spans="1:3" x14ac:dyDescent="0.25">
      <c r="A390" s="3" t="s">
        <v>468</v>
      </c>
      <c r="B390" t="s">
        <v>15</v>
      </c>
      <c r="C390" t="s">
        <v>1013</v>
      </c>
    </row>
    <row r="391" spans="1:3" x14ac:dyDescent="0.25">
      <c r="A391" s="3" t="s">
        <v>469</v>
      </c>
      <c r="B391" t="s">
        <v>8</v>
      </c>
      <c r="C391" t="s">
        <v>1013</v>
      </c>
    </row>
    <row r="392" spans="1:3" x14ac:dyDescent="0.25">
      <c r="A392" s="3" t="s">
        <v>470</v>
      </c>
      <c r="B392" t="s">
        <v>7</v>
      </c>
      <c r="C392" t="s">
        <v>1013</v>
      </c>
    </row>
    <row r="393" spans="1:3" x14ac:dyDescent="0.25">
      <c r="A393" s="3" t="s">
        <v>69</v>
      </c>
      <c r="B393" t="s">
        <v>5</v>
      </c>
      <c r="C393" t="s">
        <v>1010</v>
      </c>
    </row>
    <row r="394" spans="1:3" x14ac:dyDescent="0.25">
      <c r="A394" s="3" t="s">
        <v>471</v>
      </c>
      <c r="B394" t="s">
        <v>8</v>
      </c>
      <c r="C394" t="s">
        <v>1013</v>
      </c>
    </row>
    <row r="395" spans="1:3" x14ac:dyDescent="0.25">
      <c r="A395" s="3" t="s">
        <v>472</v>
      </c>
      <c r="B395" t="s">
        <v>12</v>
      </c>
      <c r="C395" t="s">
        <v>1013</v>
      </c>
    </row>
    <row r="396" spans="1:3" x14ac:dyDescent="0.25">
      <c r="A396" s="3" t="s">
        <v>473</v>
      </c>
      <c r="B396" t="s">
        <v>7</v>
      </c>
      <c r="C396" t="s">
        <v>1013</v>
      </c>
    </row>
    <row r="397" spans="1:3" x14ac:dyDescent="0.25">
      <c r="A397" s="3" t="s">
        <v>474</v>
      </c>
      <c r="B397" t="s">
        <v>7</v>
      </c>
      <c r="C397" t="s">
        <v>1013</v>
      </c>
    </row>
    <row r="398" spans="1:3" x14ac:dyDescent="0.25">
      <c r="A398" s="3" t="s">
        <v>475</v>
      </c>
      <c r="B398" t="s">
        <v>8</v>
      </c>
      <c r="C398" t="s">
        <v>1013</v>
      </c>
    </row>
    <row r="399" spans="1:3" x14ac:dyDescent="0.25">
      <c r="A399" s="3" t="s">
        <v>476</v>
      </c>
      <c r="B399" t="s">
        <v>12</v>
      </c>
      <c r="C399" t="s">
        <v>1013</v>
      </c>
    </row>
    <row r="400" spans="1:3" x14ac:dyDescent="0.25">
      <c r="A400" s="3" t="s">
        <v>477</v>
      </c>
      <c r="B400" t="s">
        <v>18</v>
      </c>
      <c r="C400" t="s">
        <v>1013</v>
      </c>
    </row>
    <row r="401" spans="1:3" x14ac:dyDescent="0.25">
      <c r="A401" s="3" t="s">
        <v>478</v>
      </c>
      <c r="B401" t="s">
        <v>5</v>
      </c>
      <c r="C401" t="s">
        <v>1013</v>
      </c>
    </row>
    <row r="402" spans="1:3" x14ac:dyDescent="0.25">
      <c r="A402" s="3" t="s">
        <v>479</v>
      </c>
      <c r="B402" t="s">
        <v>12</v>
      </c>
      <c r="C402" t="s">
        <v>1013</v>
      </c>
    </row>
    <row r="403" spans="1:3" x14ac:dyDescent="0.25">
      <c r="A403" s="3" t="s">
        <v>480</v>
      </c>
      <c r="B403" t="s">
        <v>7</v>
      </c>
      <c r="C403" t="s">
        <v>1013</v>
      </c>
    </row>
    <row r="404" spans="1:3" x14ac:dyDescent="0.25">
      <c r="A404" s="3" t="s">
        <v>481</v>
      </c>
      <c r="B404" t="s">
        <v>12</v>
      </c>
      <c r="C404" t="s">
        <v>1013</v>
      </c>
    </row>
    <row r="405" spans="1:3" x14ac:dyDescent="0.25">
      <c r="A405" s="3" t="s">
        <v>482</v>
      </c>
      <c r="B405" t="s">
        <v>8</v>
      </c>
      <c r="C405" t="s">
        <v>1013</v>
      </c>
    </row>
    <row r="406" spans="1:3" x14ac:dyDescent="0.25">
      <c r="A406" s="3" t="s">
        <v>483</v>
      </c>
      <c r="B406" t="s">
        <v>16</v>
      </c>
      <c r="C406" t="s">
        <v>1013</v>
      </c>
    </row>
    <row r="407" spans="1:3" x14ac:dyDescent="0.25">
      <c r="A407" s="3" t="s">
        <v>484</v>
      </c>
      <c r="B407" t="s">
        <v>5</v>
      </c>
      <c r="C407" t="s">
        <v>1013</v>
      </c>
    </row>
    <row r="408" spans="1:3" x14ac:dyDescent="0.25">
      <c r="A408" s="3" t="s">
        <v>485</v>
      </c>
      <c r="B408" t="s">
        <v>8</v>
      </c>
      <c r="C408" t="s">
        <v>1013</v>
      </c>
    </row>
    <row r="409" spans="1:3" x14ac:dyDescent="0.25">
      <c r="A409" s="3" t="s">
        <v>486</v>
      </c>
      <c r="B409" t="s">
        <v>16</v>
      </c>
      <c r="C409" t="s">
        <v>1013</v>
      </c>
    </row>
    <row r="410" spans="1:3" x14ac:dyDescent="0.25">
      <c r="A410" s="3" t="s">
        <v>487</v>
      </c>
      <c r="B410" t="s">
        <v>8</v>
      </c>
      <c r="C410" t="s">
        <v>1013</v>
      </c>
    </row>
    <row r="411" spans="1:3" x14ac:dyDescent="0.25">
      <c r="A411" s="3" t="s">
        <v>488</v>
      </c>
      <c r="B411" t="s">
        <v>8</v>
      </c>
      <c r="C411" t="s">
        <v>1013</v>
      </c>
    </row>
    <row r="412" spans="1:3" x14ac:dyDescent="0.25">
      <c r="A412" s="3" t="s">
        <v>489</v>
      </c>
      <c r="B412" t="s">
        <v>8</v>
      </c>
      <c r="C412" t="s">
        <v>1013</v>
      </c>
    </row>
    <row r="413" spans="1:3" x14ac:dyDescent="0.25">
      <c r="A413" s="3" t="s">
        <v>490</v>
      </c>
      <c r="B413" t="s">
        <v>18</v>
      </c>
      <c r="C413" t="s">
        <v>1013</v>
      </c>
    </row>
    <row r="414" spans="1:3" x14ac:dyDescent="0.25">
      <c r="A414" s="3" t="s">
        <v>491</v>
      </c>
      <c r="B414" t="s">
        <v>5</v>
      </c>
      <c r="C414" t="s">
        <v>1013</v>
      </c>
    </row>
    <row r="415" spans="1:3" x14ac:dyDescent="0.25">
      <c r="A415" s="3" t="s">
        <v>492</v>
      </c>
      <c r="B415" t="s">
        <v>16</v>
      </c>
      <c r="C415" t="s">
        <v>1013</v>
      </c>
    </row>
    <row r="416" spans="1:3" x14ac:dyDescent="0.25">
      <c r="A416" s="3" t="s">
        <v>493</v>
      </c>
      <c r="B416" t="s">
        <v>7</v>
      </c>
      <c r="C416" t="s">
        <v>1013</v>
      </c>
    </row>
    <row r="417" spans="1:3" x14ac:dyDescent="0.25">
      <c r="A417" s="3" t="s">
        <v>494</v>
      </c>
      <c r="B417" t="s">
        <v>7</v>
      </c>
      <c r="C417" t="s">
        <v>1013</v>
      </c>
    </row>
    <row r="418" spans="1:3" x14ac:dyDescent="0.25">
      <c r="A418" s="3" t="s">
        <v>495</v>
      </c>
      <c r="B418" t="s">
        <v>8</v>
      </c>
      <c r="C418" t="s">
        <v>1013</v>
      </c>
    </row>
    <row r="419" spans="1:3" x14ac:dyDescent="0.25">
      <c r="A419" s="3" t="s">
        <v>496</v>
      </c>
      <c r="B419" t="s">
        <v>7</v>
      </c>
      <c r="C419" t="s">
        <v>1013</v>
      </c>
    </row>
    <row r="420" spans="1:3" x14ac:dyDescent="0.25">
      <c r="A420" s="3" t="s">
        <v>497</v>
      </c>
      <c r="B420" t="s">
        <v>97</v>
      </c>
      <c r="C420" t="s">
        <v>1013</v>
      </c>
    </row>
    <row r="421" spans="1:3" x14ac:dyDescent="0.25">
      <c r="A421" s="3" t="s">
        <v>498</v>
      </c>
      <c r="B421" t="s">
        <v>18</v>
      </c>
      <c r="C421" t="s">
        <v>1013</v>
      </c>
    </row>
    <row r="422" spans="1:3" x14ac:dyDescent="0.25">
      <c r="A422" s="3" t="s">
        <v>499</v>
      </c>
      <c r="B422" t="s">
        <v>5</v>
      </c>
      <c r="C422" t="s">
        <v>1013</v>
      </c>
    </row>
    <row r="423" spans="1:3" x14ac:dyDescent="0.25">
      <c r="A423" s="3" t="s">
        <v>500</v>
      </c>
      <c r="B423" t="s">
        <v>12</v>
      </c>
      <c r="C423" t="s">
        <v>1013</v>
      </c>
    </row>
    <row r="424" spans="1:3" x14ac:dyDescent="0.25">
      <c r="A424" s="3" t="s">
        <v>501</v>
      </c>
      <c r="B424" t="s">
        <v>5</v>
      </c>
      <c r="C424" t="s">
        <v>1013</v>
      </c>
    </row>
    <row r="425" spans="1:3" x14ac:dyDescent="0.25">
      <c r="A425" s="3" t="s">
        <v>502</v>
      </c>
      <c r="B425" t="s">
        <v>16</v>
      </c>
      <c r="C425" t="s">
        <v>1013</v>
      </c>
    </row>
    <row r="426" spans="1:3" x14ac:dyDescent="0.25">
      <c r="A426" s="3" t="s">
        <v>503</v>
      </c>
      <c r="B426" t="s">
        <v>11</v>
      </c>
      <c r="C426" t="s">
        <v>1013</v>
      </c>
    </row>
    <row r="427" spans="1:3" x14ac:dyDescent="0.25">
      <c r="A427" s="3" t="s">
        <v>504</v>
      </c>
      <c r="B427" t="s">
        <v>7</v>
      </c>
      <c r="C427" t="s">
        <v>1013</v>
      </c>
    </row>
    <row r="428" spans="1:3" x14ac:dyDescent="0.25">
      <c r="A428" s="3" t="s">
        <v>505</v>
      </c>
      <c r="B428" t="s">
        <v>70</v>
      </c>
      <c r="C428" t="s">
        <v>1013</v>
      </c>
    </row>
    <row r="429" spans="1:3" x14ac:dyDescent="0.25">
      <c r="A429" s="3" t="s">
        <v>506</v>
      </c>
      <c r="B429" t="s">
        <v>7</v>
      </c>
      <c r="C429" t="s">
        <v>1013</v>
      </c>
    </row>
    <row r="430" spans="1:3" x14ac:dyDescent="0.25">
      <c r="A430" s="3" t="s">
        <v>507</v>
      </c>
      <c r="B430" t="s">
        <v>86</v>
      </c>
      <c r="C430" t="s">
        <v>1013</v>
      </c>
    </row>
    <row r="431" spans="1:3" x14ac:dyDescent="0.25">
      <c r="A431" s="3" t="s">
        <v>508</v>
      </c>
      <c r="B431" t="s">
        <v>33</v>
      </c>
      <c r="C431" t="s">
        <v>1013</v>
      </c>
    </row>
    <row r="432" spans="1:3" x14ac:dyDescent="0.25">
      <c r="A432" s="3" t="s">
        <v>509</v>
      </c>
      <c r="B432" t="s">
        <v>7</v>
      </c>
      <c r="C432" t="s">
        <v>1013</v>
      </c>
    </row>
    <row r="433" spans="1:3" x14ac:dyDescent="0.25">
      <c r="A433" s="3" t="s">
        <v>510</v>
      </c>
      <c r="B433" t="s">
        <v>12</v>
      </c>
      <c r="C433" t="s">
        <v>1013</v>
      </c>
    </row>
    <row r="434" spans="1:3" x14ac:dyDescent="0.25">
      <c r="A434" s="3" t="s">
        <v>511</v>
      </c>
      <c r="B434" t="s">
        <v>33</v>
      </c>
      <c r="C434" t="s">
        <v>1013</v>
      </c>
    </row>
    <row r="435" spans="1:3" x14ac:dyDescent="0.25">
      <c r="A435" s="3" t="s">
        <v>512</v>
      </c>
      <c r="B435" t="s">
        <v>5</v>
      </c>
      <c r="C435" t="s">
        <v>1013</v>
      </c>
    </row>
    <row r="436" spans="1:3" x14ac:dyDescent="0.25">
      <c r="A436" s="3" t="s">
        <v>513</v>
      </c>
      <c r="B436" t="s">
        <v>7</v>
      </c>
      <c r="C436" t="s">
        <v>1013</v>
      </c>
    </row>
    <row r="437" spans="1:3" x14ac:dyDescent="0.25">
      <c r="A437" s="3" t="s">
        <v>514</v>
      </c>
      <c r="B437" t="s">
        <v>5</v>
      </c>
      <c r="C437" t="s">
        <v>1013</v>
      </c>
    </row>
    <row r="438" spans="1:3" x14ac:dyDescent="0.25">
      <c r="A438" s="3" t="s">
        <v>515</v>
      </c>
      <c r="B438" t="s">
        <v>11</v>
      </c>
      <c r="C438" t="s">
        <v>1013</v>
      </c>
    </row>
    <row r="439" spans="1:3" x14ac:dyDescent="0.25">
      <c r="A439" s="3" t="s">
        <v>516</v>
      </c>
      <c r="B439" t="s">
        <v>15</v>
      </c>
      <c r="C439" t="s">
        <v>1013</v>
      </c>
    </row>
    <row r="440" spans="1:3" x14ac:dyDescent="0.25">
      <c r="A440" s="3" t="s">
        <v>517</v>
      </c>
      <c r="B440" t="s">
        <v>5</v>
      </c>
      <c r="C440" t="s">
        <v>1013</v>
      </c>
    </row>
    <row r="441" spans="1:3" x14ac:dyDescent="0.25">
      <c r="A441" s="3" t="s">
        <v>518</v>
      </c>
      <c r="B441" t="s">
        <v>12</v>
      </c>
      <c r="C441" t="s">
        <v>1013</v>
      </c>
    </row>
    <row r="442" spans="1:3" x14ac:dyDescent="0.25">
      <c r="A442" s="3" t="s">
        <v>519</v>
      </c>
      <c r="B442" t="s">
        <v>5</v>
      </c>
      <c r="C442" t="s">
        <v>1010</v>
      </c>
    </row>
    <row r="443" spans="1:3" x14ac:dyDescent="0.25">
      <c r="A443" s="3" t="s">
        <v>520</v>
      </c>
      <c r="B443" t="s">
        <v>70</v>
      </c>
      <c r="C443" t="s">
        <v>1013</v>
      </c>
    </row>
    <row r="444" spans="1:3" x14ac:dyDescent="0.25">
      <c r="A444" s="3" t="s">
        <v>521</v>
      </c>
      <c r="B444" t="s">
        <v>7</v>
      </c>
      <c r="C444" t="s">
        <v>1013</v>
      </c>
    </row>
    <row r="445" spans="1:3" x14ac:dyDescent="0.25">
      <c r="A445" s="3" t="s">
        <v>522</v>
      </c>
      <c r="B445" t="s">
        <v>12</v>
      </c>
      <c r="C445" t="s">
        <v>1013</v>
      </c>
    </row>
    <row r="446" spans="1:3" x14ac:dyDescent="0.25">
      <c r="A446" s="3" t="s">
        <v>523</v>
      </c>
      <c r="B446" t="s">
        <v>11</v>
      </c>
      <c r="C446" t="s">
        <v>1013</v>
      </c>
    </row>
    <row r="447" spans="1:3" x14ac:dyDescent="0.25">
      <c r="A447" s="3" t="s">
        <v>524</v>
      </c>
      <c r="B447" t="s">
        <v>5</v>
      </c>
      <c r="C447" t="s">
        <v>1013</v>
      </c>
    </row>
    <row r="448" spans="1:3" x14ac:dyDescent="0.25">
      <c r="A448" s="3" t="s">
        <v>525</v>
      </c>
      <c r="B448" t="s">
        <v>16</v>
      </c>
      <c r="C448" t="s">
        <v>1013</v>
      </c>
    </row>
    <row r="449" spans="1:3" x14ac:dyDescent="0.25">
      <c r="A449" s="3" t="s">
        <v>526</v>
      </c>
      <c r="B449" t="s">
        <v>7</v>
      </c>
      <c r="C449" t="s">
        <v>1013</v>
      </c>
    </row>
    <row r="450" spans="1:3" x14ac:dyDescent="0.25">
      <c r="A450" s="3" t="s">
        <v>527</v>
      </c>
      <c r="B450" t="s">
        <v>11</v>
      </c>
      <c r="C450" t="s">
        <v>1013</v>
      </c>
    </row>
    <row r="451" spans="1:3" x14ac:dyDescent="0.25">
      <c r="A451" s="3" t="s">
        <v>528</v>
      </c>
      <c r="B451" t="s">
        <v>5</v>
      </c>
      <c r="C451" t="s">
        <v>1013</v>
      </c>
    </row>
    <row r="452" spans="1:3" x14ac:dyDescent="0.25">
      <c r="A452" s="3" t="s">
        <v>529</v>
      </c>
      <c r="B452" t="s">
        <v>12</v>
      </c>
      <c r="C452" t="s">
        <v>1013</v>
      </c>
    </row>
    <row r="453" spans="1:3" x14ac:dyDescent="0.25">
      <c r="A453" s="3" t="s">
        <v>530</v>
      </c>
      <c r="B453" t="s">
        <v>16</v>
      </c>
      <c r="C453" t="s">
        <v>1013</v>
      </c>
    </row>
    <row r="454" spans="1:3" x14ac:dyDescent="0.25">
      <c r="A454" s="3" t="s">
        <v>68</v>
      </c>
      <c r="B454" t="s">
        <v>8</v>
      </c>
      <c r="C454" t="s">
        <v>1013</v>
      </c>
    </row>
    <row r="455" spans="1:3" x14ac:dyDescent="0.25">
      <c r="A455" s="3" t="s">
        <v>531</v>
      </c>
      <c r="B455" t="s">
        <v>7</v>
      </c>
      <c r="C455" t="s">
        <v>1013</v>
      </c>
    </row>
    <row r="456" spans="1:3" x14ac:dyDescent="0.25">
      <c r="A456" s="3" t="s">
        <v>532</v>
      </c>
      <c r="B456" t="s">
        <v>16</v>
      </c>
      <c r="C456" t="s">
        <v>1013</v>
      </c>
    </row>
    <row r="457" spans="1:3" x14ac:dyDescent="0.25">
      <c r="A457" s="3" t="s">
        <v>533</v>
      </c>
      <c r="B457" t="s">
        <v>11</v>
      </c>
      <c r="C457" t="s">
        <v>1013</v>
      </c>
    </row>
    <row r="458" spans="1:3" x14ac:dyDescent="0.25">
      <c r="A458" s="3" t="s">
        <v>534</v>
      </c>
      <c r="B458" t="s">
        <v>5</v>
      </c>
      <c r="C458" t="s">
        <v>1013</v>
      </c>
    </row>
    <row r="459" spans="1:3" x14ac:dyDescent="0.25">
      <c r="A459" s="3" t="s">
        <v>535</v>
      </c>
      <c r="B459" t="s">
        <v>8</v>
      </c>
      <c r="C459" t="s">
        <v>1013</v>
      </c>
    </row>
    <row r="460" spans="1:3" x14ac:dyDescent="0.25">
      <c r="A460" s="3" t="s">
        <v>536</v>
      </c>
      <c r="B460" t="s">
        <v>97</v>
      </c>
      <c r="C460" t="s">
        <v>1013</v>
      </c>
    </row>
    <row r="461" spans="1:3" x14ac:dyDescent="0.25">
      <c r="A461" s="3" t="s">
        <v>537</v>
      </c>
      <c r="B461" t="s">
        <v>5</v>
      </c>
      <c r="C461" t="s">
        <v>1013</v>
      </c>
    </row>
    <row r="462" spans="1:3" x14ac:dyDescent="0.25">
      <c r="A462" s="3" t="s">
        <v>538</v>
      </c>
      <c r="B462" t="s">
        <v>8</v>
      </c>
      <c r="C462" t="s">
        <v>1013</v>
      </c>
    </row>
    <row r="463" spans="1:3" x14ac:dyDescent="0.25">
      <c r="A463" s="3" t="s">
        <v>539</v>
      </c>
      <c r="B463" t="s">
        <v>7</v>
      </c>
      <c r="C463" t="s">
        <v>1013</v>
      </c>
    </row>
    <row r="464" spans="1:3" x14ac:dyDescent="0.25">
      <c r="A464" s="3" t="s">
        <v>540</v>
      </c>
      <c r="B464" t="s">
        <v>5</v>
      </c>
      <c r="C464" t="s">
        <v>1013</v>
      </c>
    </row>
    <row r="465" spans="1:3" x14ac:dyDescent="0.25">
      <c r="A465" s="3" t="s">
        <v>541</v>
      </c>
      <c r="B465" t="s">
        <v>7</v>
      </c>
      <c r="C465" t="s">
        <v>1013</v>
      </c>
    </row>
    <row r="466" spans="1:3" x14ac:dyDescent="0.25">
      <c r="A466" s="3" t="s">
        <v>542</v>
      </c>
      <c r="B466" t="s">
        <v>5</v>
      </c>
      <c r="C466" t="s">
        <v>1013</v>
      </c>
    </row>
    <row r="467" spans="1:3" x14ac:dyDescent="0.25">
      <c r="A467" s="3" t="s">
        <v>543</v>
      </c>
      <c r="B467" t="s">
        <v>100</v>
      </c>
      <c r="C467" t="s">
        <v>1013</v>
      </c>
    </row>
    <row r="468" spans="1:3" x14ac:dyDescent="0.25">
      <c r="A468" s="3" t="s">
        <v>544</v>
      </c>
      <c r="B468" t="s">
        <v>33</v>
      </c>
      <c r="C468" t="s">
        <v>1013</v>
      </c>
    </row>
    <row r="469" spans="1:3" x14ac:dyDescent="0.25">
      <c r="A469" s="3" t="s">
        <v>545</v>
      </c>
      <c r="B469" t="s">
        <v>39</v>
      </c>
      <c r="C469" t="s">
        <v>1013</v>
      </c>
    </row>
    <row r="470" spans="1:3" x14ac:dyDescent="0.25">
      <c r="A470" s="3" t="s">
        <v>546</v>
      </c>
      <c r="B470" t="s">
        <v>28</v>
      </c>
      <c r="C470" t="s">
        <v>1013</v>
      </c>
    </row>
    <row r="471" spans="1:3" x14ac:dyDescent="0.25">
      <c r="A471" s="3" t="s">
        <v>547</v>
      </c>
      <c r="B471" t="s">
        <v>16</v>
      </c>
      <c r="C471" t="s">
        <v>1013</v>
      </c>
    </row>
    <row r="472" spans="1:3" x14ac:dyDescent="0.25">
      <c r="A472" s="3" t="s">
        <v>548</v>
      </c>
      <c r="B472" t="s">
        <v>8</v>
      </c>
      <c r="C472" t="s">
        <v>1013</v>
      </c>
    </row>
    <row r="473" spans="1:3" x14ac:dyDescent="0.25">
      <c r="A473" s="3" t="s">
        <v>549</v>
      </c>
      <c r="B473" t="s">
        <v>7</v>
      </c>
      <c r="C473" t="s">
        <v>1013</v>
      </c>
    </row>
    <row r="474" spans="1:3" x14ac:dyDescent="0.25">
      <c r="A474" s="3" t="s">
        <v>550</v>
      </c>
      <c r="B474" t="s">
        <v>70</v>
      </c>
      <c r="C474" t="s">
        <v>1013</v>
      </c>
    </row>
    <row r="475" spans="1:3" x14ac:dyDescent="0.25">
      <c r="A475" s="3" t="s">
        <v>551</v>
      </c>
      <c r="B475" t="s">
        <v>5</v>
      </c>
      <c r="C475" t="s">
        <v>1013</v>
      </c>
    </row>
    <row r="476" spans="1:3" x14ac:dyDescent="0.25">
      <c r="A476" s="3" t="s">
        <v>552</v>
      </c>
      <c r="B476" t="s">
        <v>7</v>
      </c>
      <c r="C476" t="s">
        <v>1013</v>
      </c>
    </row>
    <row r="477" spans="1:3" x14ac:dyDescent="0.25">
      <c r="A477" s="3" t="s">
        <v>553</v>
      </c>
      <c r="B477" t="s">
        <v>5</v>
      </c>
      <c r="C477" t="s">
        <v>1013</v>
      </c>
    </row>
    <row r="478" spans="1:3" x14ac:dyDescent="0.25">
      <c r="A478" s="3" t="s">
        <v>554</v>
      </c>
      <c r="B478" t="s">
        <v>18</v>
      </c>
      <c r="C478" t="s">
        <v>1013</v>
      </c>
    </row>
    <row r="479" spans="1:3" x14ac:dyDescent="0.25">
      <c r="A479" s="3" t="s">
        <v>555</v>
      </c>
      <c r="B479" t="s">
        <v>7</v>
      </c>
      <c r="C479" t="s">
        <v>1013</v>
      </c>
    </row>
    <row r="480" spans="1:3" x14ac:dyDescent="0.25">
      <c r="A480" s="3" t="s">
        <v>556</v>
      </c>
      <c r="B480" t="s">
        <v>39</v>
      </c>
      <c r="C480" t="s">
        <v>1013</v>
      </c>
    </row>
    <row r="481" spans="1:3" x14ac:dyDescent="0.25">
      <c r="A481" s="3" t="s">
        <v>557</v>
      </c>
      <c r="B481" t="s">
        <v>5</v>
      </c>
      <c r="C481" t="s">
        <v>1013</v>
      </c>
    </row>
    <row r="482" spans="1:3" x14ac:dyDescent="0.25">
      <c r="A482" s="3" t="s">
        <v>558</v>
      </c>
      <c r="B482" t="s">
        <v>12</v>
      </c>
      <c r="C482" t="s">
        <v>1013</v>
      </c>
    </row>
    <row r="483" spans="1:3" x14ac:dyDescent="0.25">
      <c r="A483" s="3" t="s">
        <v>559</v>
      </c>
      <c r="B483" t="s">
        <v>12</v>
      </c>
      <c r="C483" t="s">
        <v>1013</v>
      </c>
    </row>
    <row r="484" spans="1:3" x14ac:dyDescent="0.25">
      <c r="A484" s="3" t="s">
        <v>560</v>
      </c>
      <c r="B484" t="s">
        <v>5</v>
      </c>
      <c r="C484" t="s">
        <v>1013</v>
      </c>
    </row>
    <row r="485" spans="1:3" x14ac:dyDescent="0.25">
      <c r="A485" s="3" t="s">
        <v>561</v>
      </c>
      <c r="B485" t="s">
        <v>7</v>
      </c>
      <c r="C485" t="s">
        <v>1013</v>
      </c>
    </row>
    <row r="486" spans="1:3" x14ac:dyDescent="0.25">
      <c r="A486" s="3" t="s">
        <v>562</v>
      </c>
      <c r="B486" t="s">
        <v>70</v>
      </c>
      <c r="C486" t="s">
        <v>1013</v>
      </c>
    </row>
    <row r="487" spans="1:3" x14ac:dyDescent="0.25">
      <c r="A487" s="3" t="s">
        <v>563</v>
      </c>
      <c r="B487" t="s">
        <v>16</v>
      </c>
      <c r="C487" t="s">
        <v>1013</v>
      </c>
    </row>
    <row r="488" spans="1:3" x14ac:dyDescent="0.25">
      <c r="A488" s="3" t="s">
        <v>564</v>
      </c>
      <c r="B488" t="s">
        <v>97</v>
      </c>
      <c r="C488" t="s">
        <v>1013</v>
      </c>
    </row>
    <row r="489" spans="1:3" x14ac:dyDescent="0.25">
      <c r="A489" s="3" t="s">
        <v>565</v>
      </c>
      <c r="B489" t="s">
        <v>86</v>
      </c>
      <c r="C489" t="s">
        <v>1013</v>
      </c>
    </row>
    <row r="490" spans="1:3" x14ac:dyDescent="0.25">
      <c r="A490" s="3" t="s">
        <v>566</v>
      </c>
      <c r="B490" t="s">
        <v>82</v>
      </c>
      <c r="C490" t="s">
        <v>1013</v>
      </c>
    </row>
    <row r="491" spans="1:3" x14ac:dyDescent="0.25">
      <c r="A491" s="3" t="s">
        <v>567</v>
      </c>
      <c r="B491" t="s">
        <v>97</v>
      </c>
      <c r="C491" t="s">
        <v>1013</v>
      </c>
    </row>
    <row r="492" spans="1:3" x14ac:dyDescent="0.25">
      <c r="A492" s="3" t="s">
        <v>568</v>
      </c>
      <c r="B492" t="s">
        <v>5</v>
      </c>
      <c r="C492" t="s">
        <v>1013</v>
      </c>
    </row>
    <row r="493" spans="1:3" x14ac:dyDescent="0.25">
      <c r="A493" s="3" t="s">
        <v>569</v>
      </c>
      <c r="B493" t="s">
        <v>5</v>
      </c>
      <c r="C493" t="s">
        <v>1013</v>
      </c>
    </row>
    <row r="494" spans="1:3" x14ac:dyDescent="0.25">
      <c r="A494" s="3" t="s">
        <v>570</v>
      </c>
      <c r="B494" t="s">
        <v>15</v>
      </c>
      <c r="C494" t="s">
        <v>1013</v>
      </c>
    </row>
    <row r="495" spans="1:3" x14ac:dyDescent="0.25">
      <c r="A495" s="3" t="s">
        <v>571</v>
      </c>
      <c r="B495" t="s">
        <v>70</v>
      </c>
      <c r="C495" t="s">
        <v>1013</v>
      </c>
    </row>
    <row r="496" spans="1:3" x14ac:dyDescent="0.25">
      <c r="A496" s="3" t="s">
        <v>572</v>
      </c>
      <c r="B496" t="s">
        <v>39</v>
      </c>
      <c r="C496" t="s">
        <v>1013</v>
      </c>
    </row>
    <row r="497" spans="1:3" x14ac:dyDescent="0.25">
      <c r="A497" s="3" t="s">
        <v>573</v>
      </c>
      <c r="B497" t="s">
        <v>7</v>
      </c>
      <c r="C497" t="s">
        <v>1013</v>
      </c>
    </row>
    <row r="498" spans="1:3" x14ac:dyDescent="0.25">
      <c r="A498" s="3" t="s">
        <v>574</v>
      </c>
      <c r="B498" t="s">
        <v>100</v>
      </c>
      <c r="C498" t="s">
        <v>1013</v>
      </c>
    </row>
    <row r="499" spans="1:3" x14ac:dyDescent="0.25">
      <c r="A499" s="3" t="s">
        <v>575</v>
      </c>
      <c r="B499" t="s">
        <v>31</v>
      </c>
      <c r="C499" t="s">
        <v>1013</v>
      </c>
    </row>
    <row r="500" spans="1:3" x14ac:dyDescent="0.25">
      <c r="A500" s="3" t="s">
        <v>576</v>
      </c>
      <c r="B500" t="s">
        <v>8</v>
      </c>
      <c r="C500" t="s">
        <v>1013</v>
      </c>
    </row>
    <row r="501" spans="1:3" x14ac:dyDescent="0.25">
      <c r="A501" s="3" t="s">
        <v>577</v>
      </c>
      <c r="B501" t="s">
        <v>16</v>
      </c>
      <c r="C501" t="s">
        <v>1013</v>
      </c>
    </row>
    <row r="502" spans="1:3" x14ac:dyDescent="0.25">
      <c r="A502" s="3" t="s">
        <v>578</v>
      </c>
      <c r="B502" t="s">
        <v>5</v>
      </c>
      <c r="C502" t="s">
        <v>1013</v>
      </c>
    </row>
    <row r="503" spans="1:3" x14ac:dyDescent="0.25">
      <c r="A503" s="3" t="s">
        <v>579</v>
      </c>
      <c r="B503" t="s">
        <v>14</v>
      </c>
      <c r="C503" t="s">
        <v>1013</v>
      </c>
    </row>
    <row r="504" spans="1:3" x14ac:dyDescent="0.25">
      <c r="A504" s="3" t="s">
        <v>580</v>
      </c>
      <c r="B504" t="s">
        <v>85</v>
      </c>
      <c r="C504" t="s">
        <v>1013</v>
      </c>
    </row>
    <row r="505" spans="1:3" x14ac:dyDescent="0.25">
      <c r="A505" s="3" t="s">
        <v>581</v>
      </c>
      <c r="B505" t="s">
        <v>15</v>
      </c>
      <c r="C505" t="s">
        <v>1013</v>
      </c>
    </row>
    <row r="506" spans="1:3" x14ac:dyDescent="0.25">
      <c r="A506" s="3" t="s">
        <v>582</v>
      </c>
      <c r="B506" t="s">
        <v>7</v>
      </c>
      <c r="C506" t="s">
        <v>1013</v>
      </c>
    </row>
    <row r="507" spans="1:3" x14ac:dyDescent="0.25">
      <c r="A507" s="3" t="s">
        <v>583</v>
      </c>
      <c r="B507" t="s">
        <v>12</v>
      </c>
      <c r="C507" t="s">
        <v>1013</v>
      </c>
    </row>
    <row r="508" spans="1:3" x14ac:dyDescent="0.25">
      <c r="A508" s="3" t="s">
        <v>584</v>
      </c>
      <c r="B508" t="s">
        <v>12</v>
      </c>
      <c r="C508" t="s">
        <v>1013</v>
      </c>
    </row>
    <row r="509" spans="1:3" x14ac:dyDescent="0.25">
      <c r="A509" s="3" t="s">
        <v>585</v>
      </c>
      <c r="B509" t="s">
        <v>33</v>
      </c>
      <c r="C509" t="s">
        <v>1013</v>
      </c>
    </row>
    <row r="510" spans="1:3" x14ac:dyDescent="0.25">
      <c r="A510" s="3" t="s">
        <v>586</v>
      </c>
      <c r="B510" t="s">
        <v>11</v>
      </c>
      <c r="C510" t="s">
        <v>1013</v>
      </c>
    </row>
    <row r="511" spans="1:3" x14ac:dyDescent="0.25">
      <c r="A511" s="3" t="s">
        <v>587</v>
      </c>
      <c r="B511" t="s">
        <v>87</v>
      </c>
      <c r="C511" t="s">
        <v>1013</v>
      </c>
    </row>
    <row r="512" spans="1:3" x14ac:dyDescent="0.25">
      <c r="A512" s="3" t="s">
        <v>588</v>
      </c>
      <c r="B512" t="s">
        <v>7</v>
      </c>
      <c r="C512" t="s">
        <v>1013</v>
      </c>
    </row>
    <row r="513" spans="1:3" x14ac:dyDescent="0.25">
      <c r="A513" s="3" t="s">
        <v>589</v>
      </c>
      <c r="B513" t="s">
        <v>7</v>
      </c>
      <c r="C513" t="s">
        <v>1013</v>
      </c>
    </row>
    <row r="514" spans="1:3" x14ac:dyDescent="0.25">
      <c r="A514" s="3" t="s">
        <v>590</v>
      </c>
      <c r="B514" t="s">
        <v>7</v>
      </c>
      <c r="C514" t="s">
        <v>1013</v>
      </c>
    </row>
    <row r="515" spans="1:3" x14ac:dyDescent="0.25">
      <c r="A515" s="3" t="s">
        <v>591</v>
      </c>
      <c r="B515" t="s">
        <v>5</v>
      </c>
      <c r="C515" t="s">
        <v>1013</v>
      </c>
    </row>
    <row r="516" spans="1:3" x14ac:dyDescent="0.25">
      <c r="A516" s="3" t="s">
        <v>592</v>
      </c>
      <c r="B516" t="s">
        <v>82</v>
      </c>
      <c r="C516" t="s">
        <v>1013</v>
      </c>
    </row>
    <row r="517" spans="1:3" x14ac:dyDescent="0.25">
      <c r="A517" s="3" t="s">
        <v>593</v>
      </c>
      <c r="B517" t="s">
        <v>7</v>
      </c>
      <c r="C517" t="s">
        <v>1013</v>
      </c>
    </row>
    <row r="518" spans="1:3" x14ac:dyDescent="0.25">
      <c r="A518" s="3" t="s">
        <v>594</v>
      </c>
      <c r="B518" t="s">
        <v>31</v>
      </c>
      <c r="C518" t="s">
        <v>1013</v>
      </c>
    </row>
    <row r="519" spans="1:3" x14ac:dyDescent="0.25">
      <c r="A519" s="3" t="s">
        <v>595</v>
      </c>
      <c r="B519" t="s">
        <v>7</v>
      </c>
      <c r="C519" t="s">
        <v>1013</v>
      </c>
    </row>
    <row r="520" spans="1:3" x14ac:dyDescent="0.25">
      <c r="A520" s="3" t="s">
        <v>596</v>
      </c>
      <c r="B520" t="s">
        <v>7</v>
      </c>
      <c r="C520" t="s">
        <v>1013</v>
      </c>
    </row>
    <row r="521" spans="1:3" x14ac:dyDescent="0.25">
      <c r="A521" s="3" t="s">
        <v>597</v>
      </c>
      <c r="B521" t="s">
        <v>5</v>
      </c>
      <c r="C521" t="s">
        <v>1013</v>
      </c>
    </row>
    <row r="522" spans="1:3" x14ac:dyDescent="0.25">
      <c r="A522" s="3" t="s">
        <v>598</v>
      </c>
      <c r="B522" t="s">
        <v>5</v>
      </c>
      <c r="C522" t="s">
        <v>1013</v>
      </c>
    </row>
    <row r="523" spans="1:3" x14ac:dyDescent="0.25">
      <c r="A523" s="3" t="s">
        <v>599</v>
      </c>
      <c r="B523" t="s">
        <v>11</v>
      </c>
      <c r="C523" t="s">
        <v>1013</v>
      </c>
    </row>
    <row r="524" spans="1:3" x14ac:dyDescent="0.25">
      <c r="A524" s="3" t="s">
        <v>600</v>
      </c>
      <c r="B524" t="s">
        <v>12</v>
      </c>
      <c r="C524" t="s">
        <v>1013</v>
      </c>
    </row>
    <row r="525" spans="1:3" x14ac:dyDescent="0.25">
      <c r="A525" s="3" t="s">
        <v>601</v>
      </c>
      <c r="B525" t="s">
        <v>5</v>
      </c>
      <c r="C525" t="s">
        <v>1013</v>
      </c>
    </row>
    <row r="526" spans="1:3" x14ac:dyDescent="0.25">
      <c r="A526" s="3" t="s">
        <v>602</v>
      </c>
      <c r="B526" t="s">
        <v>11</v>
      </c>
      <c r="C526" t="s">
        <v>1013</v>
      </c>
    </row>
    <row r="527" spans="1:3" x14ac:dyDescent="0.25">
      <c r="A527" s="3" t="s">
        <v>603</v>
      </c>
      <c r="B527" t="s">
        <v>100</v>
      </c>
      <c r="C527" t="s">
        <v>1013</v>
      </c>
    </row>
    <row r="528" spans="1:3" x14ac:dyDescent="0.25">
      <c r="A528" s="3" t="s">
        <v>604</v>
      </c>
      <c r="B528" t="s">
        <v>16</v>
      </c>
      <c r="C528" t="s">
        <v>1013</v>
      </c>
    </row>
    <row r="529" spans="1:3" x14ac:dyDescent="0.25">
      <c r="A529" s="3" t="s">
        <v>605</v>
      </c>
      <c r="B529" t="s">
        <v>5</v>
      </c>
      <c r="C529" t="s">
        <v>1013</v>
      </c>
    </row>
    <row r="530" spans="1:3" x14ac:dyDescent="0.25">
      <c r="A530" s="3" t="s">
        <v>606</v>
      </c>
      <c r="B530" t="s">
        <v>14</v>
      </c>
      <c r="C530" t="s">
        <v>1013</v>
      </c>
    </row>
    <row r="531" spans="1:3" x14ac:dyDescent="0.25">
      <c r="A531" s="3" t="s">
        <v>607</v>
      </c>
      <c r="B531" t="s">
        <v>33</v>
      </c>
      <c r="C531" t="s">
        <v>1013</v>
      </c>
    </row>
    <row r="532" spans="1:3" x14ac:dyDescent="0.25">
      <c r="A532" s="3" t="s">
        <v>608</v>
      </c>
      <c r="B532" t="s">
        <v>7</v>
      </c>
      <c r="C532" t="s">
        <v>1013</v>
      </c>
    </row>
    <row r="533" spans="1:3" x14ac:dyDescent="0.25">
      <c r="A533" s="3" t="s">
        <v>609</v>
      </c>
      <c r="B533" t="s">
        <v>5</v>
      </c>
      <c r="C533" t="s">
        <v>1013</v>
      </c>
    </row>
    <row r="534" spans="1:3" x14ac:dyDescent="0.25">
      <c r="A534" s="3" t="s">
        <v>610</v>
      </c>
      <c r="B534" t="s">
        <v>18</v>
      </c>
      <c r="C534" t="s">
        <v>1013</v>
      </c>
    </row>
    <row r="535" spans="1:3" x14ac:dyDescent="0.25">
      <c r="A535" s="3" t="s">
        <v>611</v>
      </c>
      <c r="B535" t="s">
        <v>7</v>
      </c>
      <c r="C535" t="s">
        <v>1013</v>
      </c>
    </row>
    <row r="536" spans="1:3" x14ac:dyDescent="0.25">
      <c r="A536" s="3" t="s">
        <v>612</v>
      </c>
      <c r="B536" t="s">
        <v>16</v>
      </c>
      <c r="C536" t="s">
        <v>1013</v>
      </c>
    </row>
    <row r="537" spans="1:3" x14ac:dyDescent="0.25">
      <c r="A537" s="3" t="s">
        <v>613</v>
      </c>
      <c r="B537" t="s">
        <v>5</v>
      </c>
      <c r="C537" t="s">
        <v>1013</v>
      </c>
    </row>
    <row r="538" spans="1:3" x14ac:dyDescent="0.25">
      <c r="A538" s="3" t="s">
        <v>614</v>
      </c>
      <c r="B538" t="s">
        <v>15</v>
      </c>
      <c r="C538" t="s">
        <v>1013</v>
      </c>
    </row>
    <row r="539" spans="1:3" x14ac:dyDescent="0.25">
      <c r="A539" s="3" t="s">
        <v>615</v>
      </c>
      <c r="B539" t="s">
        <v>8</v>
      </c>
      <c r="C539" t="s">
        <v>1013</v>
      </c>
    </row>
    <row r="540" spans="1:3" x14ac:dyDescent="0.25">
      <c r="A540" s="3" t="s">
        <v>616</v>
      </c>
      <c r="B540" t="s">
        <v>97</v>
      </c>
      <c r="C540" t="s">
        <v>1013</v>
      </c>
    </row>
    <row r="541" spans="1:3" x14ac:dyDescent="0.25">
      <c r="A541" s="3" t="s">
        <v>617</v>
      </c>
      <c r="B541" t="s">
        <v>12</v>
      </c>
      <c r="C541" t="s">
        <v>1013</v>
      </c>
    </row>
    <row r="542" spans="1:3" x14ac:dyDescent="0.25">
      <c r="A542" s="3" t="s">
        <v>618</v>
      </c>
      <c r="B542" t="s">
        <v>12</v>
      </c>
      <c r="C542" t="s">
        <v>1013</v>
      </c>
    </row>
    <row r="543" spans="1:3" x14ac:dyDescent="0.25">
      <c r="A543" s="3" t="s">
        <v>619</v>
      </c>
      <c r="B543" t="s">
        <v>12</v>
      </c>
      <c r="C543" t="s">
        <v>1013</v>
      </c>
    </row>
    <row r="544" spans="1:3" x14ac:dyDescent="0.25">
      <c r="A544" s="3" t="s">
        <v>620</v>
      </c>
      <c r="B544" t="s">
        <v>31</v>
      </c>
      <c r="C544" t="s">
        <v>1013</v>
      </c>
    </row>
    <row r="545" spans="1:3" x14ac:dyDescent="0.25">
      <c r="A545" s="3" t="s">
        <v>621</v>
      </c>
      <c r="B545" t="s">
        <v>70</v>
      </c>
      <c r="C545" t="s">
        <v>1013</v>
      </c>
    </row>
    <row r="546" spans="1:3" x14ac:dyDescent="0.25">
      <c r="A546" s="3" t="s">
        <v>622</v>
      </c>
      <c r="B546" t="s">
        <v>11</v>
      </c>
      <c r="C546" t="s">
        <v>1013</v>
      </c>
    </row>
    <row r="547" spans="1:3" x14ac:dyDescent="0.25">
      <c r="A547" s="3" t="s">
        <v>623</v>
      </c>
      <c r="B547" t="s">
        <v>28</v>
      </c>
      <c r="C547" t="s">
        <v>1013</v>
      </c>
    </row>
    <row r="548" spans="1:3" x14ac:dyDescent="0.25">
      <c r="A548" s="3" t="s">
        <v>624</v>
      </c>
      <c r="B548" t="s">
        <v>18</v>
      </c>
      <c r="C548" t="s">
        <v>1013</v>
      </c>
    </row>
    <row r="549" spans="1:3" x14ac:dyDescent="0.25">
      <c r="A549" s="3" t="s">
        <v>625</v>
      </c>
      <c r="B549" t="s">
        <v>14</v>
      </c>
      <c r="C549" t="s">
        <v>1013</v>
      </c>
    </row>
    <row r="550" spans="1:3" x14ac:dyDescent="0.25">
      <c r="A550" s="3" t="s">
        <v>626</v>
      </c>
      <c r="B550" t="s">
        <v>14</v>
      </c>
      <c r="C550" t="s">
        <v>1013</v>
      </c>
    </row>
    <row r="551" spans="1:3" x14ac:dyDescent="0.25">
      <c r="A551" s="3" t="s">
        <v>627</v>
      </c>
      <c r="B551" t="s">
        <v>5</v>
      </c>
      <c r="C551" t="s">
        <v>1013</v>
      </c>
    </row>
    <row r="552" spans="1:3" x14ac:dyDescent="0.25">
      <c r="A552" s="3" t="s">
        <v>628</v>
      </c>
      <c r="B552" t="s">
        <v>7</v>
      </c>
      <c r="C552" t="s">
        <v>1013</v>
      </c>
    </row>
    <row r="553" spans="1:3" x14ac:dyDescent="0.25">
      <c r="A553" s="3" t="s">
        <v>629</v>
      </c>
      <c r="B553" t="s">
        <v>28</v>
      </c>
      <c r="C553" t="s">
        <v>1013</v>
      </c>
    </row>
    <row r="554" spans="1:3" x14ac:dyDescent="0.25">
      <c r="A554" s="3" t="s">
        <v>630</v>
      </c>
      <c r="B554" t="s">
        <v>33</v>
      </c>
      <c r="C554" t="s">
        <v>1013</v>
      </c>
    </row>
    <row r="555" spans="1:3" x14ac:dyDescent="0.25">
      <c r="A555" s="3" t="s">
        <v>631</v>
      </c>
      <c r="B555" t="s">
        <v>31</v>
      </c>
      <c r="C555" t="s">
        <v>1013</v>
      </c>
    </row>
    <row r="556" spans="1:3" x14ac:dyDescent="0.25">
      <c r="A556" s="3" t="s">
        <v>632</v>
      </c>
      <c r="B556" t="s">
        <v>18</v>
      </c>
      <c r="C556" t="s">
        <v>1013</v>
      </c>
    </row>
    <row r="557" spans="1:3" x14ac:dyDescent="0.25">
      <c r="A557" s="3" t="s">
        <v>633</v>
      </c>
      <c r="B557" t="s">
        <v>31</v>
      </c>
      <c r="C557" t="s">
        <v>1013</v>
      </c>
    </row>
    <row r="558" spans="1:3" x14ac:dyDescent="0.25">
      <c r="A558" s="3" t="s">
        <v>634</v>
      </c>
      <c r="B558" t="s">
        <v>7</v>
      </c>
      <c r="C558" t="s">
        <v>1013</v>
      </c>
    </row>
    <row r="559" spans="1:3" x14ac:dyDescent="0.25">
      <c r="A559" s="3" t="s">
        <v>635</v>
      </c>
      <c r="B559" t="s">
        <v>7</v>
      </c>
      <c r="C559" t="s">
        <v>1013</v>
      </c>
    </row>
    <row r="560" spans="1:3" x14ac:dyDescent="0.25">
      <c r="A560" s="3" t="s">
        <v>636</v>
      </c>
      <c r="B560" t="s">
        <v>33</v>
      </c>
      <c r="C560" t="s">
        <v>1013</v>
      </c>
    </row>
    <row r="561" spans="1:3" x14ac:dyDescent="0.25">
      <c r="A561" s="3" t="s">
        <v>637</v>
      </c>
      <c r="B561" t="s">
        <v>15</v>
      </c>
      <c r="C561" t="s">
        <v>1013</v>
      </c>
    </row>
    <row r="562" spans="1:3" x14ac:dyDescent="0.25">
      <c r="A562" s="3" t="s">
        <v>638</v>
      </c>
      <c r="B562" t="s">
        <v>82</v>
      </c>
      <c r="C562" t="s">
        <v>1013</v>
      </c>
    </row>
    <row r="563" spans="1:3" x14ac:dyDescent="0.25">
      <c r="A563" s="3" t="s">
        <v>639</v>
      </c>
      <c r="B563" t="s">
        <v>91</v>
      </c>
      <c r="C563" t="s">
        <v>1013</v>
      </c>
    </row>
    <row r="564" spans="1:3" x14ac:dyDescent="0.25">
      <c r="A564" s="3" t="s">
        <v>640</v>
      </c>
      <c r="B564" t="s">
        <v>100</v>
      </c>
      <c r="C564" t="s">
        <v>1013</v>
      </c>
    </row>
    <row r="565" spans="1:3" x14ac:dyDescent="0.25">
      <c r="A565" s="3" t="s">
        <v>641</v>
      </c>
      <c r="B565" t="s">
        <v>39</v>
      </c>
      <c r="C565" t="s">
        <v>1013</v>
      </c>
    </row>
    <row r="566" spans="1:3" x14ac:dyDescent="0.25">
      <c r="A566" s="3" t="s">
        <v>642</v>
      </c>
      <c r="B566" t="s">
        <v>11</v>
      </c>
      <c r="C566" t="s">
        <v>1013</v>
      </c>
    </row>
    <row r="567" spans="1:3" x14ac:dyDescent="0.25">
      <c r="A567" s="3" t="s">
        <v>643</v>
      </c>
      <c r="B567" t="s">
        <v>31</v>
      </c>
      <c r="C567" t="s">
        <v>1013</v>
      </c>
    </row>
    <row r="568" spans="1:3" x14ac:dyDescent="0.25">
      <c r="A568" s="3" t="s">
        <v>644</v>
      </c>
      <c r="B568" t="s">
        <v>5</v>
      </c>
      <c r="C568" t="s">
        <v>1013</v>
      </c>
    </row>
    <row r="569" spans="1:3" x14ac:dyDescent="0.25">
      <c r="A569" s="3" t="s">
        <v>645</v>
      </c>
      <c r="B569" t="s">
        <v>18</v>
      </c>
      <c r="C569" t="s">
        <v>1013</v>
      </c>
    </row>
    <row r="570" spans="1:3" x14ac:dyDescent="0.25">
      <c r="A570" s="3" t="s">
        <v>646</v>
      </c>
      <c r="B570" t="s">
        <v>8</v>
      </c>
      <c r="C570" t="s">
        <v>1013</v>
      </c>
    </row>
    <row r="571" spans="1:3" x14ac:dyDescent="0.25">
      <c r="A571" s="3" t="s">
        <v>647</v>
      </c>
      <c r="B571" t="s">
        <v>102</v>
      </c>
      <c r="C571" t="s">
        <v>1013</v>
      </c>
    </row>
    <row r="572" spans="1:3" x14ac:dyDescent="0.25">
      <c r="A572" s="3" t="s">
        <v>648</v>
      </c>
      <c r="B572" t="s">
        <v>5</v>
      </c>
      <c r="C572" t="s">
        <v>1013</v>
      </c>
    </row>
    <row r="573" spans="1:3" x14ac:dyDescent="0.25">
      <c r="A573" s="3" t="s">
        <v>649</v>
      </c>
      <c r="B573" t="s">
        <v>28</v>
      </c>
      <c r="C573" t="s">
        <v>1013</v>
      </c>
    </row>
    <row r="574" spans="1:3" x14ac:dyDescent="0.25">
      <c r="A574" s="3" t="s">
        <v>650</v>
      </c>
      <c r="B574" t="s">
        <v>8</v>
      </c>
      <c r="C574" t="s">
        <v>1013</v>
      </c>
    </row>
    <row r="575" spans="1:3" x14ac:dyDescent="0.25">
      <c r="A575" s="3" t="s">
        <v>651</v>
      </c>
      <c r="B575" t="s">
        <v>7</v>
      </c>
      <c r="C575" t="s">
        <v>1013</v>
      </c>
    </row>
    <row r="576" spans="1:3" x14ac:dyDescent="0.25">
      <c r="A576" s="3" t="s">
        <v>652</v>
      </c>
      <c r="B576" t="s">
        <v>33</v>
      </c>
      <c r="C576" t="s">
        <v>1013</v>
      </c>
    </row>
    <row r="577" spans="1:3" x14ac:dyDescent="0.25">
      <c r="A577" s="3" t="s">
        <v>653</v>
      </c>
      <c r="B577" t="s">
        <v>11</v>
      </c>
      <c r="C577" t="s">
        <v>1013</v>
      </c>
    </row>
    <row r="578" spans="1:3" x14ac:dyDescent="0.25">
      <c r="A578" s="3" t="s">
        <v>654</v>
      </c>
      <c r="B578" t="s">
        <v>7</v>
      </c>
      <c r="C578" t="s">
        <v>1013</v>
      </c>
    </row>
    <row r="579" spans="1:3" x14ac:dyDescent="0.25">
      <c r="A579" s="3" t="s">
        <v>655</v>
      </c>
      <c r="B579" t="s">
        <v>82</v>
      </c>
      <c r="C579" t="s">
        <v>1013</v>
      </c>
    </row>
    <row r="580" spans="1:3" x14ac:dyDescent="0.25">
      <c r="A580" s="3" t="s">
        <v>656</v>
      </c>
      <c r="B580" t="s">
        <v>16</v>
      </c>
      <c r="C580" t="s">
        <v>1013</v>
      </c>
    </row>
    <row r="581" spans="1:3" x14ac:dyDescent="0.25">
      <c r="A581" s="3" t="s">
        <v>657</v>
      </c>
      <c r="B581" t="s">
        <v>12</v>
      </c>
      <c r="C581" t="s">
        <v>1013</v>
      </c>
    </row>
    <row r="582" spans="1:3" x14ac:dyDescent="0.25">
      <c r="A582" s="3" t="s">
        <v>658</v>
      </c>
      <c r="B582" t="s">
        <v>102</v>
      </c>
      <c r="C582" t="s">
        <v>1013</v>
      </c>
    </row>
    <row r="583" spans="1:3" x14ac:dyDescent="0.25">
      <c r="A583" s="3" t="s">
        <v>659</v>
      </c>
      <c r="B583" t="s">
        <v>39</v>
      </c>
      <c r="C583" t="s">
        <v>1013</v>
      </c>
    </row>
    <row r="584" spans="1:3" x14ac:dyDescent="0.25">
      <c r="A584" s="3" t="s">
        <v>660</v>
      </c>
      <c r="B584" t="s">
        <v>84</v>
      </c>
      <c r="C584" t="s">
        <v>1013</v>
      </c>
    </row>
    <row r="585" spans="1:3" x14ac:dyDescent="0.25">
      <c r="A585" s="3" t="s">
        <v>661</v>
      </c>
      <c r="B585" t="s">
        <v>18</v>
      </c>
      <c r="C585" t="s">
        <v>1013</v>
      </c>
    </row>
    <row r="586" spans="1:3" x14ac:dyDescent="0.25">
      <c r="A586" s="3" t="s">
        <v>662</v>
      </c>
      <c r="B586" t="s">
        <v>31</v>
      </c>
      <c r="C586" t="s">
        <v>1013</v>
      </c>
    </row>
    <row r="587" spans="1:3" x14ac:dyDescent="0.25">
      <c r="A587" s="3" t="s">
        <v>663</v>
      </c>
      <c r="B587" t="s">
        <v>8</v>
      </c>
      <c r="C587" t="s">
        <v>1013</v>
      </c>
    </row>
    <row r="588" spans="1:3" x14ac:dyDescent="0.25">
      <c r="A588" s="3" t="s">
        <v>664</v>
      </c>
      <c r="B588" t="s">
        <v>16</v>
      </c>
      <c r="C588" t="s">
        <v>1013</v>
      </c>
    </row>
    <row r="589" spans="1:3" x14ac:dyDescent="0.25">
      <c r="A589" s="3" t="s">
        <v>665</v>
      </c>
      <c r="B589" t="s">
        <v>86</v>
      </c>
      <c r="C589" t="s">
        <v>1013</v>
      </c>
    </row>
    <row r="590" spans="1:3" x14ac:dyDescent="0.25">
      <c r="A590" s="3" t="s">
        <v>666</v>
      </c>
      <c r="B590" t="s">
        <v>16</v>
      </c>
      <c r="C590" t="s">
        <v>1013</v>
      </c>
    </row>
    <row r="591" spans="1:3" x14ac:dyDescent="0.25">
      <c r="A591" s="3" t="s">
        <v>667</v>
      </c>
      <c r="B591" t="s">
        <v>7</v>
      </c>
      <c r="C591" t="s">
        <v>1013</v>
      </c>
    </row>
    <row r="592" spans="1:3" x14ac:dyDescent="0.25">
      <c r="A592" s="3" t="s">
        <v>668</v>
      </c>
      <c r="B592" t="s">
        <v>16</v>
      </c>
      <c r="C592" t="s">
        <v>1013</v>
      </c>
    </row>
    <row r="593" spans="1:3" x14ac:dyDescent="0.25">
      <c r="A593" s="3" t="s">
        <v>669</v>
      </c>
      <c r="B593" t="s">
        <v>97</v>
      </c>
      <c r="C593" t="s">
        <v>1013</v>
      </c>
    </row>
    <row r="594" spans="1:3" x14ac:dyDescent="0.25">
      <c r="A594" s="3" t="s">
        <v>670</v>
      </c>
      <c r="B594" t="s">
        <v>8</v>
      </c>
      <c r="C594" t="s">
        <v>1013</v>
      </c>
    </row>
    <row r="595" spans="1:3" x14ac:dyDescent="0.25">
      <c r="A595" s="3" t="s">
        <v>671</v>
      </c>
      <c r="B595" t="s">
        <v>15</v>
      </c>
      <c r="C595" t="s">
        <v>1013</v>
      </c>
    </row>
    <row r="596" spans="1:3" x14ac:dyDescent="0.25">
      <c r="A596" s="3" t="s">
        <v>672</v>
      </c>
      <c r="B596" t="s">
        <v>5</v>
      </c>
      <c r="C596" t="s">
        <v>1013</v>
      </c>
    </row>
    <row r="597" spans="1:3" x14ac:dyDescent="0.25">
      <c r="A597" s="3" t="s">
        <v>673</v>
      </c>
      <c r="B597" t="s">
        <v>12</v>
      </c>
      <c r="C597" t="s">
        <v>1013</v>
      </c>
    </row>
    <row r="598" spans="1:3" x14ac:dyDescent="0.25">
      <c r="A598" s="3" t="s">
        <v>674</v>
      </c>
      <c r="B598" t="s">
        <v>11</v>
      </c>
      <c r="C598" t="s">
        <v>1013</v>
      </c>
    </row>
    <row r="599" spans="1:3" x14ac:dyDescent="0.25">
      <c r="A599" s="3" t="s">
        <v>675</v>
      </c>
      <c r="B599" t="s">
        <v>39</v>
      </c>
      <c r="C599" t="s">
        <v>1013</v>
      </c>
    </row>
    <row r="600" spans="1:3" x14ac:dyDescent="0.25">
      <c r="A600" s="3" t="s">
        <v>676</v>
      </c>
      <c r="B600" t="s">
        <v>32</v>
      </c>
      <c r="C600" t="s">
        <v>1013</v>
      </c>
    </row>
    <row r="601" spans="1:3" x14ac:dyDescent="0.25">
      <c r="A601" s="3" t="s">
        <v>677</v>
      </c>
      <c r="B601" t="s">
        <v>11</v>
      </c>
      <c r="C601" t="s">
        <v>1013</v>
      </c>
    </row>
    <row r="602" spans="1:3" x14ac:dyDescent="0.25">
      <c r="A602" s="3" t="s">
        <v>678</v>
      </c>
      <c r="B602" t="s">
        <v>28</v>
      </c>
      <c r="C602" t="s">
        <v>1013</v>
      </c>
    </row>
    <row r="603" spans="1:3" x14ac:dyDescent="0.25">
      <c r="A603" s="3" t="s">
        <v>679</v>
      </c>
      <c r="B603" t="s">
        <v>102</v>
      </c>
      <c r="C603" t="s">
        <v>1013</v>
      </c>
    </row>
    <row r="604" spans="1:3" x14ac:dyDescent="0.25">
      <c r="A604" s="3" t="s">
        <v>680</v>
      </c>
      <c r="B604" t="s">
        <v>12</v>
      </c>
      <c r="C604" t="s">
        <v>1013</v>
      </c>
    </row>
    <row r="605" spans="1:3" x14ac:dyDescent="0.25">
      <c r="A605" s="3" t="s">
        <v>681</v>
      </c>
      <c r="B605" t="s">
        <v>102</v>
      </c>
      <c r="C605" t="s">
        <v>1013</v>
      </c>
    </row>
    <row r="606" spans="1:3" x14ac:dyDescent="0.25">
      <c r="A606" s="3" t="s">
        <v>682</v>
      </c>
      <c r="B606" t="s">
        <v>8</v>
      </c>
      <c r="C606" t="s">
        <v>1013</v>
      </c>
    </row>
    <row r="607" spans="1:3" x14ac:dyDescent="0.25">
      <c r="A607" s="3" t="s">
        <v>683</v>
      </c>
      <c r="B607" t="s">
        <v>12</v>
      </c>
      <c r="C607" t="s">
        <v>1013</v>
      </c>
    </row>
    <row r="608" spans="1:3" x14ac:dyDescent="0.25">
      <c r="A608" s="3" t="s">
        <v>684</v>
      </c>
      <c r="B608" t="s">
        <v>8</v>
      </c>
      <c r="C608" t="s">
        <v>1013</v>
      </c>
    </row>
    <row r="609" spans="1:3" x14ac:dyDescent="0.25">
      <c r="A609" s="3" t="s">
        <v>685</v>
      </c>
      <c r="B609" t="s">
        <v>5</v>
      </c>
      <c r="C609" t="s">
        <v>1013</v>
      </c>
    </row>
    <row r="610" spans="1:3" x14ac:dyDescent="0.25">
      <c r="A610" s="3" t="s">
        <v>686</v>
      </c>
      <c r="B610" t="s">
        <v>8</v>
      </c>
      <c r="C610" t="s">
        <v>1013</v>
      </c>
    </row>
    <row r="611" spans="1:3" x14ac:dyDescent="0.25">
      <c r="A611" s="3" t="s">
        <v>687</v>
      </c>
      <c r="B611" t="s">
        <v>31</v>
      </c>
      <c r="C611" t="s">
        <v>1013</v>
      </c>
    </row>
    <row r="612" spans="1:3" x14ac:dyDescent="0.25">
      <c r="A612" s="3" t="s">
        <v>688</v>
      </c>
      <c r="B612" t="s">
        <v>7</v>
      </c>
      <c r="C612" t="s">
        <v>1013</v>
      </c>
    </row>
    <row r="613" spans="1:3" x14ac:dyDescent="0.25">
      <c r="A613" s="3" t="s">
        <v>689</v>
      </c>
      <c r="B613" t="s">
        <v>12</v>
      </c>
      <c r="C613" t="s">
        <v>1013</v>
      </c>
    </row>
    <row r="614" spans="1:3" x14ac:dyDescent="0.25">
      <c r="A614" s="3" t="s">
        <v>690</v>
      </c>
      <c r="B614" t="s">
        <v>8</v>
      </c>
      <c r="C614" t="s">
        <v>1013</v>
      </c>
    </row>
    <row r="615" spans="1:3" x14ac:dyDescent="0.25">
      <c r="A615" s="3" t="s">
        <v>691</v>
      </c>
      <c r="B615" t="s">
        <v>16</v>
      </c>
      <c r="C615" t="s">
        <v>1013</v>
      </c>
    </row>
    <row r="616" spans="1:3" x14ac:dyDescent="0.25">
      <c r="A616" s="3" t="s">
        <v>692</v>
      </c>
      <c r="B616" t="s">
        <v>5</v>
      </c>
      <c r="C616" t="s">
        <v>1013</v>
      </c>
    </row>
    <row r="617" spans="1:3" x14ac:dyDescent="0.25">
      <c r="A617" s="3" t="s">
        <v>693</v>
      </c>
      <c r="B617" t="s">
        <v>100</v>
      </c>
      <c r="C617" t="s">
        <v>1013</v>
      </c>
    </row>
    <row r="618" spans="1:3" x14ac:dyDescent="0.25">
      <c r="A618" s="3" t="s">
        <v>694</v>
      </c>
      <c r="B618" t="s">
        <v>86</v>
      </c>
      <c r="C618" t="s">
        <v>1013</v>
      </c>
    </row>
    <row r="619" spans="1:3" x14ac:dyDescent="0.25">
      <c r="A619" s="3" t="s">
        <v>695</v>
      </c>
      <c r="B619" t="s">
        <v>12</v>
      </c>
      <c r="C619" t="s">
        <v>1013</v>
      </c>
    </row>
    <row r="620" spans="1:3" x14ac:dyDescent="0.25">
      <c r="A620" s="3" t="s">
        <v>696</v>
      </c>
      <c r="B620" t="s">
        <v>5</v>
      </c>
      <c r="C620" t="s">
        <v>1013</v>
      </c>
    </row>
    <row r="621" spans="1:3" x14ac:dyDescent="0.25">
      <c r="A621" s="3" t="s">
        <v>697</v>
      </c>
      <c r="B621" t="s">
        <v>87</v>
      </c>
      <c r="C621" t="s">
        <v>1013</v>
      </c>
    </row>
    <row r="622" spans="1:3" x14ac:dyDescent="0.25">
      <c r="A622" s="3" t="s">
        <v>698</v>
      </c>
      <c r="B622" t="s">
        <v>14</v>
      </c>
      <c r="C622" t="s">
        <v>1013</v>
      </c>
    </row>
    <row r="623" spans="1:3" x14ac:dyDescent="0.25">
      <c r="A623" s="3" t="s">
        <v>699</v>
      </c>
      <c r="B623" t="s">
        <v>5</v>
      </c>
      <c r="C623" t="s">
        <v>1013</v>
      </c>
    </row>
    <row r="624" spans="1:3" x14ac:dyDescent="0.25">
      <c r="A624" s="3" t="s">
        <v>700</v>
      </c>
      <c r="B624" t="s">
        <v>31</v>
      </c>
      <c r="C624" t="s">
        <v>1013</v>
      </c>
    </row>
    <row r="625" spans="1:3" x14ac:dyDescent="0.25">
      <c r="A625" s="3" t="s">
        <v>701</v>
      </c>
      <c r="B625" t="s">
        <v>12</v>
      </c>
      <c r="C625" t="s">
        <v>1013</v>
      </c>
    </row>
    <row r="626" spans="1:3" x14ac:dyDescent="0.25">
      <c r="A626" s="3" t="s">
        <v>702</v>
      </c>
      <c r="B626" t="s">
        <v>31</v>
      </c>
      <c r="C626" t="s">
        <v>1013</v>
      </c>
    </row>
    <row r="627" spans="1:3" x14ac:dyDescent="0.25">
      <c r="A627" s="3" t="s">
        <v>703</v>
      </c>
      <c r="B627" t="s">
        <v>12</v>
      </c>
      <c r="C627" t="s">
        <v>1013</v>
      </c>
    </row>
    <row r="628" spans="1:3" x14ac:dyDescent="0.25">
      <c r="A628" s="3" t="s">
        <v>704</v>
      </c>
      <c r="B628" t="s">
        <v>28</v>
      </c>
      <c r="C628" t="s">
        <v>1013</v>
      </c>
    </row>
    <row r="629" spans="1:3" x14ac:dyDescent="0.25">
      <c r="A629" s="3" t="s">
        <v>705</v>
      </c>
      <c r="B629" t="s">
        <v>12</v>
      </c>
      <c r="C629" t="s">
        <v>1013</v>
      </c>
    </row>
    <row r="630" spans="1:3" x14ac:dyDescent="0.25">
      <c r="A630" s="3" t="s">
        <v>706</v>
      </c>
      <c r="B630" t="s">
        <v>5</v>
      </c>
      <c r="C630" t="s">
        <v>1013</v>
      </c>
    </row>
    <row r="631" spans="1:3" x14ac:dyDescent="0.25">
      <c r="A631" s="3" t="s">
        <v>707</v>
      </c>
      <c r="B631" t="s">
        <v>8</v>
      </c>
      <c r="C631" t="s">
        <v>1013</v>
      </c>
    </row>
    <row r="632" spans="1:3" x14ac:dyDescent="0.25">
      <c r="A632" s="3" t="s">
        <v>708</v>
      </c>
      <c r="B632" t="s">
        <v>16</v>
      </c>
      <c r="C632" t="s">
        <v>1013</v>
      </c>
    </row>
    <row r="633" spans="1:3" x14ac:dyDescent="0.25">
      <c r="A633" s="3" t="s">
        <v>709</v>
      </c>
      <c r="B633" t="s">
        <v>5</v>
      </c>
      <c r="C633" t="s">
        <v>1013</v>
      </c>
    </row>
    <row r="634" spans="1:3" x14ac:dyDescent="0.25">
      <c r="A634" s="3" t="s">
        <v>710</v>
      </c>
      <c r="B634" t="s">
        <v>11</v>
      </c>
      <c r="C634" t="s">
        <v>1013</v>
      </c>
    </row>
    <row r="635" spans="1:3" x14ac:dyDescent="0.25">
      <c r="A635" s="3" t="s">
        <v>711</v>
      </c>
      <c r="B635" t="s">
        <v>7</v>
      </c>
      <c r="C635" t="s">
        <v>1013</v>
      </c>
    </row>
    <row r="636" spans="1:3" x14ac:dyDescent="0.25">
      <c r="A636" s="3" t="s">
        <v>712</v>
      </c>
      <c r="B636" t="s">
        <v>12</v>
      </c>
      <c r="C636" t="s">
        <v>1013</v>
      </c>
    </row>
    <row r="637" spans="1:3" x14ac:dyDescent="0.25">
      <c r="A637" s="3" t="s">
        <v>713</v>
      </c>
      <c r="B637" t="s">
        <v>16</v>
      </c>
      <c r="C637" t="s">
        <v>1013</v>
      </c>
    </row>
    <row r="638" spans="1:3" x14ac:dyDescent="0.25">
      <c r="A638" s="3" t="s">
        <v>714</v>
      </c>
      <c r="B638" t="s">
        <v>18</v>
      </c>
      <c r="C638" t="s">
        <v>1013</v>
      </c>
    </row>
    <row r="639" spans="1:3" x14ac:dyDescent="0.25">
      <c r="A639" s="3" t="s">
        <v>715</v>
      </c>
      <c r="B639" t="s">
        <v>28</v>
      </c>
      <c r="C639" t="s">
        <v>1013</v>
      </c>
    </row>
    <row r="640" spans="1:3" x14ac:dyDescent="0.25">
      <c r="A640" s="3" t="s">
        <v>716</v>
      </c>
      <c r="B640" t="s">
        <v>33</v>
      </c>
      <c r="C640" t="s">
        <v>1013</v>
      </c>
    </row>
    <row r="641" spans="1:3" x14ac:dyDescent="0.25">
      <c r="A641" s="3" t="s">
        <v>717</v>
      </c>
      <c r="B641" t="s">
        <v>11</v>
      </c>
      <c r="C641" t="s">
        <v>1013</v>
      </c>
    </row>
    <row r="642" spans="1:3" x14ac:dyDescent="0.25">
      <c r="A642" s="3" t="s">
        <v>718</v>
      </c>
      <c r="B642" t="s">
        <v>8</v>
      </c>
      <c r="C642" t="s">
        <v>1013</v>
      </c>
    </row>
    <row r="643" spans="1:3" x14ac:dyDescent="0.25">
      <c r="A643" s="3" t="s">
        <v>719</v>
      </c>
      <c r="B643" t="s">
        <v>28</v>
      </c>
      <c r="C643" t="s">
        <v>1013</v>
      </c>
    </row>
    <row r="644" spans="1:3" x14ac:dyDescent="0.25">
      <c r="A644" s="3" t="s">
        <v>720</v>
      </c>
      <c r="B644" t="s">
        <v>12</v>
      </c>
      <c r="C644" t="s">
        <v>1013</v>
      </c>
    </row>
    <row r="645" spans="1:3" x14ac:dyDescent="0.25">
      <c r="A645" s="3" t="s">
        <v>721</v>
      </c>
      <c r="B645" t="s">
        <v>39</v>
      </c>
      <c r="C645" t="s">
        <v>1013</v>
      </c>
    </row>
    <row r="646" spans="1:3" x14ac:dyDescent="0.25">
      <c r="A646" s="3" t="s">
        <v>722</v>
      </c>
      <c r="B646" t="s">
        <v>16</v>
      </c>
      <c r="C646" t="s">
        <v>1013</v>
      </c>
    </row>
    <row r="647" spans="1:3" x14ac:dyDescent="0.25">
      <c r="A647" s="3" t="s">
        <v>723</v>
      </c>
      <c r="B647" t="s">
        <v>102</v>
      </c>
      <c r="C647" t="s">
        <v>1013</v>
      </c>
    </row>
    <row r="648" spans="1:3" x14ac:dyDescent="0.25">
      <c r="A648" s="3" t="s">
        <v>724</v>
      </c>
      <c r="B648" t="s">
        <v>97</v>
      </c>
      <c r="C648" t="s">
        <v>1013</v>
      </c>
    </row>
    <row r="649" spans="1:3" x14ac:dyDescent="0.25">
      <c r="A649" s="3" t="s">
        <v>725</v>
      </c>
      <c r="B649" t="s">
        <v>102</v>
      </c>
      <c r="C649" t="s">
        <v>1013</v>
      </c>
    </row>
    <row r="650" spans="1:3" x14ac:dyDescent="0.25">
      <c r="A650" s="3" t="s">
        <v>726</v>
      </c>
      <c r="B650" t="s">
        <v>91</v>
      </c>
      <c r="C650" t="s">
        <v>1013</v>
      </c>
    </row>
    <row r="651" spans="1:3" x14ac:dyDescent="0.25">
      <c r="A651" s="3" t="s">
        <v>727</v>
      </c>
      <c r="B651" t="s">
        <v>7</v>
      </c>
      <c r="C651" t="s">
        <v>1013</v>
      </c>
    </row>
    <row r="652" spans="1:3" x14ac:dyDescent="0.25">
      <c r="A652" s="3" t="s">
        <v>728</v>
      </c>
      <c r="B652" t="s">
        <v>5</v>
      </c>
      <c r="C652" t="s">
        <v>1013</v>
      </c>
    </row>
    <row r="653" spans="1:3" x14ac:dyDescent="0.25">
      <c r="A653" s="3" t="s">
        <v>729</v>
      </c>
      <c r="B653" t="s">
        <v>15</v>
      </c>
      <c r="C653" t="s">
        <v>1013</v>
      </c>
    </row>
    <row r="654" spans="1:3" x14ac:dyDescent="0.25">
      <c r="A654" s="3" t="s">
        <v>730</v>
      </c>
      <c r="B654" t="s">
        <v>5</v>
      </c>
      <c r="C654" t="s">
        <v>1013</v>
      </c>
    </row>
    <row r="655" spans="1:3" x14ac:dyDescent="0.25">
      <c r="A655" s="3" t="s">
        <v>731</v>
      </c>
      <c r="B655" t="s">
        <v>70</v>
      </c>
      <c r="C655" t="s">
        <v>1013</v>
      </c>
    </row>
    <row r="656" spans="1:3" x14ac:dyDescent="0.25">
      <c r="A656" s="3" t="s">
        <v>732</v>
      </c>
      <c r="B656" t="s">
        <v>39</v>
      </c>
      <c r="C656" t="s">
        <v>1013</v>
      </c>
    </row>
    <row r="657" spans="1:3" x14ac:dyDescent="0.25">
      <c r="A657" s="3" t="s">
        <v>733</v>
      </c>
      <c r="B657" t="s">
        <v>11</v>
      </c>
      <c r="C657" t="s">
        <v>1013</v>
      </c>
    </row>
    <row r="658" spans="1:3" x14ac:dyDescent="0.25">
      <c r="A658" s="3" t="s">
        <v>734</v>
      </c>
      <c r="B658" t="s">
        <v>97</v>
      </c>
      <c r="C658" t="s">
        <v>1013</v>
      </c>
    </row>
    <row r="659" spans="1:3" x14ac:dyDescent="0.25">
      <c r="A659" s="3" t="s">
        <v>735</v>
      </c>
      <c r="B659" t="s">
        <v>70</v>
      </c>
      <c r="C659" t="s">
        <v>1013</v>
      </c>
    </row>
    <row r="660" spans="1:3" x14ac:dyDescent="0.25">
      <c r="A660" s="3" t="s">
        <v>736</v>
      </c>
      <c r="B660" t="s">
        <v>18</v>
      </c>
      <c r="C660" t="s">
        <v>1013</v>
      </c>
    </row>
    <row r="661" spans="1:3" x14ac:dyDescent="0.25">
      <c r="A661" s="3" t="s">
        <v>737</v>
      </c>
      <c r="B661" t="s">
        <v>16</v>
      </c>
      <c r="C661" t="s">
        <v>1013</v>
      </c>
    </row>
    <row r="662" spans="1:3" x14ac:dyDescent="0.25">
      <c r="A662" s="3" t="s">
        <v>738</v>
      </c>
      <c r="B662" t="s">
        <v>18</v>
      </c>
      <c r="C662" t="s">
        <v>1013</v>
      </c>
    </row>
    <row r="663" spans="1:3" x14ac:dyDescent="0.25">
      <c r="A663" s="3" t="s">
        <v>739</v>
      </c>
      <c r="B663" t="s">
        <v>7</v>
      </c>
      <c r="C663" t="s">
        <v>1013</v>
      </c>
    </row>
    <row r="664" spans="1:3" x14ac:dyDescent="0.25">
      <c r="A664" s="3" t="s">
        <v>740</v>
      </c>
      <c r="B664" t="s">
        <v>97</v>
      </c>
      <c r="C664" t="s">
        <v>1013</v>
      </c>
    </row>
    <row r="665" spans="1:3" x14ac:dyDescent="0.25">
      <c r="A665" s="3" t="s">
        <v>741</v>
      </c>
      <c r="B665" t="s">
        <v>18</v>
      </c>
      <c r="C665" t="s">
        <v>1013</v>
      </c>
    </row>
    <row r="666" spans="1:3" x14ac:dyDescent="0.25">
      <c r="A666" s="3" t="s">
        <v>742</v>
      </c>
      <c r="B666" t="s">
        <v>15</v>
      </c>
      <c r="C666" t="s">
        <v>1013</v>
      </c>
    </row>
    <row r="667" spans="1:3" x14ac:dyDescent="0.25">
      <c r="A667" s="3" t="s">
        <v>743</v>
      </c>
      <c r="B667" t="s">
        <v>8</v>
      </c>
      <c r="C667" t="s">
        <v>1013</v>
      </c>
    </row>
    <row r="668" spans="1:3" x14ac:dyDescent="0.25">
      <c r="A668" s="3" t="s">
        <v>744</v>
      </c>
      <c r="B668" t="s">
        <v>18</v>
      </c>
      <c r="C668" t="s">
        <v>1013</v>
      </c>
    </row>
    <row r="669" spans="1:3" x14ac:dyDescent="0.25">
      <c r="A669" s="3" t="s">
        <v>745</v>
      </c>
      <c r="B669" t="s">
        <v>12</v>
      </c>
      <c r="C669" t="s">
        <v>1013</v>
      </c>
    </row>
    <row r="670" spans="1:3" x14ac:dyDescent="0.25">
      <c r="A670" s="3" t="s">
        <v>746</v>
      </c>
      <c r="B670" t="s">
        <v>8</v>
      </c>
      <c r="C670" t="s">
        <v>1013</v>
      </c>
    </row>
    <row r="671" spans="1:3" x14ac:dyDescent="0.25">
      <c r="A671" s="3" t="s">
        <v>747</v>
      </c>
      <c r="B671" t="s">
        <v>18</v>
      </c>
      <c r="C671" t="s">
        <v>1013</v>
      </c>
    </row>
    <row r="672" spans="1:3" x14ac:dyDescent="0.25">
      <c r="A672" s="3" t="s">
        <v>748</v>
      </c>
      <c r="B672" t="s">
        <v>97</v>
      </c>
      <c r="C672" t="s">
        <v>1013</v>
      </c>
    </row>
    <row r="673" spans="1:3" x14ac:dyDescent="0.25">
      <c r="A673" s="3" t="s">
        <v>749</v>
      </c>
      <c r="B673" t="s">
        <v>8</v>
      </c>
      <c r="C673" t="s">
        <v>1013</v>
      </c>
    </row>
    <row r="674" spans="1:3" x14ac:dyDescent="0.25">
      <c r="A674" s="3" t="s">
        <v>750</v>
      </c>
      <c r="B674" t="s">
        <v>15</v>
      </c>
      <c r="C674" t="s">
        <v>1013</v>
      </c>
    </row>
    <row r="675" spans="1:3" x14ac:dyDescent="0.25">
      <c r="A675" s="3" t="s">
        <v>751</v>
      </c>
      <c r="B675" t="s">
        <v>15</v>
      </c>
      <c r="C675" t="s">
        <v>1013</v>
      </c>
    </row>
    <row r="676" spans="1:3" x14ac:dyDescent="0.25">
      <c r="A676" s="3" t="s">
        <v>752</v>
      </c>
      <c r="B676" t="s">
        <v>16</v>
      </c>
      <c r="C676" t="s">
        <v>1013</v>
      </c>
    </row>
    <row r="677" spans="1:3" x14ac:dyDescent="0.25">
      <c r="A677" s="3" t="s">
        <v>753</v>
      </c>
      <c r="B677" t="s">
        <v>18</v>
      </c>
      <c r="C677" t="s">
        <v>1013</v>
      </c>
    </row>
    <row r="678" spans="1:3" x14ac:dyDescent="0.25">
      <c r="A678" s="3" t="s">
        <v>754</v>
      </c>
      <c r="B678" t="s">
        <v>70</v>
      </c>
      <c r="C678" t="s">
        <v>1013</v>
      </c>
    </row>
    <row r="679" spans="1:3" x14ac:dyDescent="0.25">
      <c r="A679" s="3" t="s">
        <v>755</v>
      </c>
      <c r="B679" t="s">
        <v>18</v>
      </c>
      <c r="C679" t="s">
        <v>1013</v>
      </c>
    </row>
    <row r="680" spans="1:3" x14ac:dyDescent="0.25">
      <c r="A680" s="3" t="s">
        <v>756</v>
      </c>
      <c r="B680" t="s">
        <v>8</v>
      </c>
      <c r="C680" t="s">
        <v>1013</v>
      </c>
    </row>
    <row r="681" spans="1:3" x14ac:dyDescent="0.25">
      <c r="A681" s="3" t="s">
        <v>757</v>
      </c>
      <c r="B681" t="s">
        <v>33</v>
      </c>
      <c r="C681" t="s">
        <v>1013</v>
      </c>
    </row>
    <row r="682" spans="1:3" x14ac:dyDescent="0.25">
      <c r="A682" s="3" t="s">
        <v>758</v>
      </c>
      <c r="B682" t="s">
        <v>8</v>
      </c>
      <c r="C682" t="s">
        <v>1013</v>
      </c>
    </row>
    <row r="683" spans="1:3" x14ac:dyDescent="0.25">
      <c r="A683" s="3" t="s">
        <v>759</v>
      </c>
      <c r="B683" t="s">
        <v>16</v>
      </c>
      <c r="C683" t="s">
        <v>1013</v>
      </c>
    </row>
    <row r="684" spans="1:3" x14ac:dyDescent="0.25">
      <c r="A684" s="3" t="s">
        <v>760</v>
      </c>
      <c r="B684" t="s">
        <v>11</v>
      </c>
      <c r="C684" t="s">
        <v>1013</v>
      </c>
    </row>
    <row r="685" spans="1:3" x14ac:dyDescent="0.25">
      <c r="A685" s="3" t="s">
        <v>761</v>
      </c>
      <c r="B685" t="s">
        <v>18</v>
      </c>
      <c r="C685" t="s">
        <v>1013</v>
      </c>
    </row>
    <row r="686" spans="1:3" x14ac:dyDescent="0.25">
      <c r="A686" s="3" t="s">
        <v>762</v>
      </c>
      <c r="B686" t="s">
        <v>18</v>
      </c>
      <c r="C686" t="s">
        <v>1013</v>
      </c>
    </row>
    <row r="687" spans="1:3" x14ac:dyDescent="0.25">
      <c r="A687" s="3" t="s">
        <v>763</v>
      </c>
      <c r="B687" t="s">
        <v>15</v>
      </c>
      <c r="C687" t="s">
        <v>1013</v>
      </c>
    </row>
    <row r="688" spans="1:3" x14ac:dyDescent="0.25">
      <c r="A688" s="3" t="s">
        <v>764</v>
      </c>
      <c r="B688" t="s">
        <v>11</v>
      </c>
      <c r="C688" t="s">
        <v>1013</v>
      </c>
    </row>
    <row r="689" spans="1:3" x14ac:dyDescent="0.25">
      <c r="A689" s="3" t="s">
        <v>765</v>
      </c>
      <c r="B689" t="s">
        <v>28</v>
      </c>
      <c r="C689" t="s">
        <v>1013</v>
      </c>
    </row>
    <row r="690" spans="1:3" x14ac:dyDescent="0.25">
      <c r="A690" s="3" t="s">
        <v>766</v>
      </c>
      <c r="B690" t="s">
        <v>70</v>
      </c>
      <c r="C690" t="s">
        <v>1013</v>
      </c>
    </row>
    <row r="691" spans="1:3" x14ac:dyDescent="0.25">
      <c r="A691" s="3" t="s">
        <v>767</v>
      </c>
      <c r="B691" t="s">
        <v>100</v>
      </c>
      <c r="C691" t="s">
        <v>1013</v>
      </c>
    </row>
    <row r="692" spans="1:3" x14ac:dyDescent="0.25">
      <c r="A692" s="3" t="s">
        <v>768</v>
      </c>
      <c r="B692" t="s">
        <v>39</v>
      </c>
      <c r="C692" t="s">
        <v>1013</v>
      </c>
    </row>
    <row r="693" spans="1:3" x14ac:dyDescent="0.25">
      <c r="A693" s="3" t="s">
        <v>769</v>
      </c>
      <c r="B693" t="s">
        <v>16</v>
      </c>
      <c r="C693" t="s">
        <v>1013</v>
      </c>
    </row>
    <row r="694" spans="1:3" x14ac:dyDescent="0.25">
      <c r="A694" s="3" t="s">
        <v>770</v>
      </c>
      <c r="B694" t="s">
        <v>31</v>
      </c>
      <c r="C694" t="s">
        <v>1013</v>
      </c>
    </row>
    <row r="695" spans="1:3" x14ac:dyDescent="0.25">
      <c r="A695" s="3" t="s">
        <v>771</v>
      </c>
      <c r="B695" t="s">
        <v>15</v>
      </c>
      <c r="C695" t="s">
        <v>1013</v>
      </c>
    </row>
    <row r="696" spans="1:3" x14ac:dyDescent="0.25">
      <c r="A696" s="3" t="s">
        <v>772</v>
      </c>
      <c r="B696" t="s">
        <v>28</v>
      </c>
      <c r="C696" t="s">
        <v>1013</v>
      </c>
    </row>
    <row r="697" spans="1:3" x14ac:dyDescent="0.25">
      <c r="A697" s="3" t="s">
        <v>773</v>
      </c>
      <c r="B697" t="s">
        <v>16</v>
      </c>
      <c r="C697" t="s">
        <v>1013</v>
      </c>
    </row>
    <row r="698" spans="1:3" x14ac:dyDescent="0.25">
      <c r="A698" s="3" t="s">
        <v>774</v>
      </c>
      <c r="B698" t="s">
        <v>7</v>
      </c>
      <c r="C698" t="s">
        <v>1013</v>
      </c>
    </row>
    <row r="699" spans="1:3" x14ac:dyDescent="0.25">
      <c r="A699" s="3" t="s">
        <v>775</v>
      </c>
      <c r="B699" t="s">
        <v>7</v>
      </c>
      <c r="C699" t="s">
        <v>1013</v>
      </c>
    </row>
    <row r="700" spans="1:3" x14ac:dyDescent="0.25">
      <c r="A700" s="3" t="s">
        <v>776</v>
      </c>
      <c r="B700" t="s">
        <v>7</v>
      </c>
      <c r="C700" t="s">
        <v>1013</v>
      </c>
    </row>
    <row r="701" spans="1:3" x14ac:dyDescent="0.25">
      <c r="A701" s="3" t="s">
        <v>777</v>
      </c>
      <c r="B701" t="s">
        <v>7</v>
      </c>
      <c r="C701" t="s">
        <v>1013</v>
      </c>
    </row>
    <row r="702" spans="1:3" x14ac:dyDescent="0.25">
      <c r="A702" s="3" t="s">
        <v>778</v>
      </c>
      <c r="B702" t="s">
        <v>5</v>
      </c>
      <c r="C702" t="s">
        <v>1013</v>
      </c>
    </row>
    <row r="703" spans="1:3" x14ac:dyDescent="0.25">
      <c r="A703" s="3" t="s">
        <v>779</v>
      </c>
      <c r="B703" t="s">
        <v>5</v>
      </c>
      <c r="C703" t="s">
        <v>1013</v>
      </c>
    </row>
    <row r="704" spans="1:3" x14ac:dyDescent="0.25">
      <c r="A704" s="3" t="s">
        <v>780</v>
      </c>
      <c r="B704" t="s">
        <v>7</v>
      </c>
      <c r="C704" t="s">
        <v>1013</v>
      </c>
    </row>
    <row r="705" spans="1:3" x14ac:dyDescent="0.25">
      <c r="A705" s="3" t="s">
        <v>781</v>
      </c>
      <c r="B705" t="s">
        <v>5</v>
      </c>
      <c r="C705" t="s">
        <v>1013</v>
      </c>
    </row>
    <row r="706" spans="1:3" x14ac:dyDescent="0.25">
      <c r="A706" s="3" t="s">
        <v>782</v>
      </c>
      <c r="B706" t="s">
        <v>5</v>
      </c>
      <c r="C706" t="s">
        <v>1013</v>
      </c>
    </row>
    <row r="707" spans="1:3" x14ac:dyDescent="0.25">
      <c r="A707" s="3" t="s">
        <v>783</v>
      </c>
      <c r="B707" t="s">
        <v>7</v>
      </c>
      <c r="C707" t="s">
        <v>1013</v>
      </c>
    </row>
    <row r="708" spans="1:3" x14ac:dyDescent="0.25">
      <c r="A708" s="3" t="s">
        <v>784</v>
      </c>
      <c r="B708" t="s">
        <v>5</v>
      </c>
      <c r="C708" t="s">
        <v>1013</v>
      </c>
    </row>
    <row r="709" spans="1:3" x14ac:dyDescent="0.25">
      <c r="A709" s="3" t="s">
        <v>785</v>
      </c>
      <c r="B709" t="s">
        <v>12</v>
      </c>
      <c r="C709" t="s">
        <v>1013</v>
      </c>
    </row>
    <row r="710" spans="1:3" x14ac:dyDescent="0.25">
      <c r="A710" s="3" t="s">
        <v>786</v>
      </c>
      <c r="B710" t="s">
        <v>5</v>
      </c>
      <c r="C710" t="s">
        <v>1013</v>
      </c>
    </row>
    <row r="711" spans="1:3" x14ac:dyDescent="0.25">
      <c r="A711" s="3" t="s">
        <v>787</v>
      </c>
      <c r="B711" t="s">
        <v>8</v>
      </c>
      <c r="C711" t="s">
        <v>1013</v>
      </c>
    </row>
    <row r="712" spans="1:3" x14ac:dyDescent="0.25">
      <c r="A712" s="3" t="s">
        <v>788</v>
      </c>
      <c r="B712" t="s">
        <v>7</v>
      </c>
      <c r="C712" t="s">
        <v>1013</v>
      </c>
    </row>
    <row r="713" spans="1:3" x14ac:dyDescent="0.25">
      <c r="A713" s="3" t="s">
        <v>789</v>
      </c>
      <c r="B713" t="s">
        <v>12</v>
      </c>
      <c r="C713" t="s">
        <v>1013</v>
      </c>
    </row>
    <row r="714" spans="1:3" x14ac:dyDescent="0.25">
      <c r="A714" s="3" t="s">
        <v>790</v>
      </c>
      <c r="B714" t="s">
        <v>8</v>
      </c>
      <c r="C714" t="s">
        <v>1013</v>
      </c>
    </row>
    <row r="715" spans="1:3" x14ac:dyDescent="0.25">
      <c r="A715" s="3" t="s">
        <v>791</v>
      </c>
      <c r="B715" t="s">
        <v>7</v>
      </c>
      <c r="C715" t="s">
        <v>1013</v>
      </c>
    </row>
    <row r="716" spans="1:3" x14ac:dyDescent="0.25">
      <c r="A716" s="3" t="s">
        <v>792</v>
      </c>
      <c r="B716" t="s">
        <v>7</v>
      </c>
      <c r="C716" t="s">
        <v>1013</v>
      </c>
    </row>
    <row r="717" spans="1:3" x14ac:dyDescent="0.25">
      <c r="A717" s="3" t="s">
        <v>793</v>
      </c>
      <c r="B717" t="s">
        <v>5</v>
      </c>
      <c r="C717" t="s">
        <v>1013</v>
      </c>
    </row>
    <row r="718" spans="1:3" x14ac:dyDescent="0.25">
      <c r="A718" s="3" t="s">
        <v>794</v>
      </c>
      <c r="B718" t="s">
        <v>12</v>
      </c>
      <c r="C718" t="s">
        <v>1013</v>
      </c>
    </row>
    <row r="719" spans="1:3" x14ac:dyDescent="0.25">
      <c r="A719" s="3" t="s">
        <v>795</v>
      </c>
      <c r="B719" t="s">
        <v>5</v>
      </c>
      <c r="C719" t="s">
        <v>1013</v>
      </c>
    </row>
    <row r="720" spans="1:3" x14ac:dyDescent="0.25">
      <c r="A720" s="3" t="s">
        <v>796</v>
      </c>
      <c r="B720" t="s">
        <v>16</v>
      </c>
      <c r="C720" t="s">
        <v>1013</v>
      </c>
    </row>
    <row r="721" spans="1:3" x14ac:dyDescent="0.25">
      <c r="A721" s="3" t="s">
        <v>797</v>
      </c>
      <c r="B721" t="s">
        <v>12</v>
      </c>
      <c r="C721" t="s">
        <v>1013</v>
      </c>
    </row>
    <row r="722" spans="1:3" x14ac:dyDescent="0.25">
      <c r="A722" s="3" t="s">
        <v>798</v>
      </c>
      <c r="B722" t="s">
        <v>5</v>
      </c>
      <c r="C722" t="s">
        <v>1013</v>
      </c>
    </row>
    <row r="723" spans="1:3" x14ac:dyDescent="0.25">
      <c r="A723" s="3" t="s">
        <v>799</v>
      </c>
      <c r="B723" t="s">
        <v>16</v>
      </c>
      <c r="C723" t="s">
        <v>1013</v>
      </c>
    </row>
    <row r="724" spans="1:3" x14ac:dyDescent="0.25">
      <c r="A724" s="3" t="s">
        <v>800</v>
      </c>
      <c r="B724" t="s">
        <v>7</v>
      </c>
      <c r="C724" t="s">
        <v>1013</v>
      </c>
    </row>
    <row r="725" spans="1:3" x14ac:dyDescent="0.25">
      <c r="A725" s="3" t="s">
        <v>801</v>
      </c>
      <c r="B725" t="s">
        <v>12</v>
      </c>
      <c r="C725" t="s">
        <v>1013</v>
      </c>
    </row>
    <row r="726" spans="1:3" x14ac:dyDescent="0.25">
      <c r="A726" s="3" t="s">
        <v>802</v>
      </c>
      <c r="B726" t="s">
        <v>7</v>
      </c>
      <c r="C726" t="s">
        <v>1013</v>
      </c>
    </row>
    <row r="727" spans="1:3" x14ac:dyDescent="0.25">
      <c r="A727" s="3" t="s">
        <v>803</v>
      </c>
      <c r="B727" t="s">
        <v>5</v>
      </c>
      <c r="C727" t="s">
        <v>1013</v>
      </c>
    </row>
    <row r="728" spans="1:3" x14ac:dyDescent="0.25">
      <c r="A728" s="3" t="s">
        <v>804</v>
      </c>
      <c r="B728" t="s">
        <v>7</v>
      </c>
      <c r="C728" t="s">
        <v>1013</v>
      </c>
    </row>
    <row r="729" spans="1:3" x14ac:dyDescent="0.25">
      <c r="A729" s="3" t="s">
        <v>805</v>
      </c>
      <c r="B729" t="s">
        <v>16</v>
      </c>
      <c r="C729" t="s">
        <v>1013</v>
      </c>
    </row>
    <row r="730" spans="1:3" x14ac:dyDescent="0.25">
      <c r="A730" s="3" t="s">
        <v>806</v>
      </c>
      <c r="B730" t="s">
        <v>5</v>
      </c>
      <c r="C730" t="s">
        <v>1013</v>
      </c>
    </row>
    <row r="731" spans="1:3" x14ac:dyDescent="0.25">
      <c r="A731" s="3" t="s">
        <v>807</v>
      </c>
      <c r="B731" t="s">
        <v>16</v>
      </c>
      <c r="C731" t="s">
        <v>1013</v>
      </c>
    </row>
    <row r="732" spans="1:3" x14ac:dyDescent="0.25">
      <c r="A732" s="3" t="s">
        <v>808</v>
      </c>
      <c r="B732" t="s">
        <v>5</v>
      </c>
      <c r="C732" t="s">
        <v>1013</v>
      </c>
    </row>
    <row r="733" spans="1:3" x14ac:dyDescent="0.25">
      <c r="A733" s="3" t="s">
        <v>809</v>
      </c>
      <c r="B733" t="s">
        <v>7</v>
      </c>
      <c r="C733" t="s">
        <v>1013</v>
      </c>
    </row>
    <row r="734" spans="1:3" x14ac:dyDescent="0.25">
      <c r="A734" s="3" t="s">
        <v>810</v>
      </c>
      <c r="B734" t="s">
        <v>7</v>
      </c>
      <c r="C734" t="s">
        <v>1013</v>
      </c>
    </row>
    <row r="735" spans="1:3" x14ac:dyDescent="0.25">
      <c r="A735" s="3" t="s">
        <v>811</v>
      </c>
      <c r="B735" t="s">
        <v>5</v>
      </c>
      <c r="C735" t="s">
        <v>1013</v>
      </c>
    </row>
    <row r="736" spans="1:3" x14ac:dyDescent="0.25">
      <c r="A736" s="3" t="s">
        <v>812</v>
      </c>
      <c r="B736" t="s">
        <v>7</v>
      </c>
      <c r="C736" t="s">
        <v>1013</v>
      </c>
    </row>
    <row r="737" spans="1:3" x14ac:dyDescent="0.25">
      <c r="A737" s="3" t="s">
        <v>813</v>
      </c>
      <c r="B737" t="s">
        <v>7</v>
      </c>
      <c r="C737" t="s">
        <v>1013</v>
      </c>
    </row>
    <row r="738" spans="1:3" x14ac:dyDescent="0.25">
      <c r="A738" s="3" t="s">
        <v>814</v>
      </c>
      <c r="B738" t="s">
        <v>8</v>
      </c>
      <c r="C738" t="s">
        <v>1013</v>
      </c>
    </row>
    <row r="739" spans="1:3" x14ac:dyDescent="0.25">
      <c r="A739" s="3" t="s">
        <v>815</v>
      </c>
      <c r="B739" t="s">
        <v>16</v>
      </c>
      <c r="C739" t="s">
        <v>1013</v>
      </c>
    </row>
    <row r="740" spans="1:3" x14ac:dyDescent="0.25">
      <c r="A740" s="3" t="s">
        <v>816</v>
      </c>
      <c r="B740" t="s">
        <v>7</v>
      </c>
      <c r="C740" t="s">
        <v>1013</v>
      </c>
    </row>
    <row r="741" spans="1:3" x14ac:dyDescent="0.25">
      <c r="A741" s="3" t="s">
        <v>817</v>
      </c>
      <c r="B741" t="s">
        <v>5</v>
      </c>
      <c r="C741" t="s">
        <v>1013</v>
      </c>
    </row>
    <row r="742" spans="1:3" x14ac:dyDescent="0.25">
      <c r="A742" s="3" t="s">
        <v>818</v>
      </c>
      <c r="B742" t="s">
        <v>5</v>
      </c>
      <c r="C742" t="s">
        <v>1013</v>
      </c>
    </row>
    <row r="743" spans="1:3" x14ac:dyDescent="0.25">
      <c r="A743" s="3" t="s">
        <v>819</v>
      </c>
      <c r="B743" t="s">
        <v>33</v>
      </c>
      <c r="C743" t="s">
        <v>1013</v>
      </c>
    </row>
    <row r="744" spans="1:3" x14ac:dyDescent="0.25">
      <c r="A744" s="3" t="s">
        <v>820</v>
      </c>
      <c r="B744" t="s">
        <v>16</v>
      </c>
      <c r="C744" t="s">
        <v>1013</v>
      </c>
    </row>
    <row r="745" spans="1:3" x14ac:dyDescent="0.25">
      <c r="A745" s="3" t="s">
        <v>821</v>
      </c>
      <c r="B745" t="s">
        <v>100</v>
      </c>
      <c r="C745" t="s">
        <v>1013</v>
      </c>
    </row>
    <row r="746" spans="1:3" x14ac:dyDescent="0.25">
      <c r="A746" s="3" t="s">
        <v>822</v>
      </c>
      <c r="B746" t="s">
        <v>5</v>
      </c>
      <c r="C746" t="s">
        <v>1013</v>
      </c>
    </row>
    <row r="747" spans="1:3" x14ac:dyDescent="0.25">
      <c r="A747" s="3" t="s">
        <v>823</v>
      </c>
      <c r="B747" t="s">
        <v>33</v>
      </c>
      <c r="C747" t="s">
        <v>1013</v>
      </c>
    </row>
    <row r="748" spans="1:3" x14ac:dyDescent="0.25">
      <c r="A748" s="3" t="s">
        <v>824</v>
      </c>
      <c r="B748" t="s">
        <v>5</v>
      </c>
      <c r="C748" t="s">
        <v>1013</v>
      </c>
    </row>
    <row r="749" spans="1:3" x14ac:dyDescent="0.25">
      <c r="A749" s="3" t="s">
        <v>825</v>
      </c>
      <c r="B749" t="s">
        <v>5</v>
      </c>
      <c r="C749" t="s">
        <v>1013</v>
      </c>
    </row>
    <row r="750" spans="1:3" x14ac:dyDescent="0.25">
      <c r="A750" s="3" t="s">
        <v>826</v>
      </c>
      <c r="B750" t="s">
        <v>7</v>
      </c>
      <c r="C750" t="s">
        <v>1013</v>
      </c>
    </row>
    <row r="751" spans="1:3" x14ac:dyDescent="0.25">
      <c r="A751" s="3" t="s">
        <v>827</v>
      </c>
      <c r="B751" t="s">
        <v>7</v>
      </c>
      <c r="C751" t="s">
        <v>1013</v>
      </c>
    </row>
    <row r="752" spans="1:3" x14ac:dyDescent="0.25">
      <c r="A752" s="3" t="s">
        <v>828</v>
      </c>
      <c r="B752" t="s">
        <v>8</v>
      </c>
      <c r="C752" t="s">
        <v>1013</v>
      </c>
    </row>
    <row r="753" spans="1:3" x14ac:dyDescent="0.25">
      <c r="A753" s="3" t="s">
        <v>829</v>
      </c>
      <c r="B753" t="s">
        <v>5</v>
      </c>
      <c r="C753" t="s">
        <v>1013</v>
      </c>
    </row>
    <row r="754" spans="1:3" x14ac:dyDescent="0.25">
      <c r="A754" s="3" t="s">
        <v>830</v>
      </c>
      <c r="B754" t="s">
        <v>5</v>
      </c>
      <c r="C754" t="s">
        <v>1013</v>
      </c>
    </row>
    <row r="755" spans="1:3" x14ac:dyDescent="0.25">
      <c r="A755" s="3" t="s">
        <v>831</v>
      </c>
      <c r="B755" t="s">
        <v>28</v>
      </c>
      <c r="C755" t="s">
        <v>1013</v>
      </c>
    </row>
    <row r="756" spans="1:3" x14ac:dyDescent="0.25">
      <c r="A756" s="3" t="s">
        <v>832</v>
      </c>
      <c r="B756" t="s">
        <v>18</v>
      </c>
      <c r="C756" t="s">
        <v>1013</v>
      </c>
    </row>
    <row r="757" spans="1:3" x14ac:dyDescent="0.25">
      <c r="A757" s="3" t="s">
        <v>833</v>
      </c>
      <c r="B757" t="s">
        <v>12</v>
      </c>
      <c r="C757" t="s">
        <v>1013</v>
      </c>
    </row>
    <row r="758" spans="1:3" x14ac:dyDescent="0.25">
      <c r="A758" s="3" t="s">
        <v>834</v>
      </c>
      <c r="B758" t="s">
        <v>5</v>
      </c>
      <c r="C758" t="s">
        <v>1013</v>
      </c>
    </row>
    <row r="759" spans="1:3" x14ac:dyDescent="0.25">
      <c r="A759" s="3" t="s">
        <v>835</v>
      </c>
      <c r="B759" t="s">
        <v>168</v>
      </c>
      <c r="C759" t="s">
        <v>1013</v>
      </c>
    </row>
    <row r="760" spans="1:3" x14ac:dyDescent="0.25">
      <c r="A760" s="3" t="s">
        <v>836</v>
      </c>
      <c r="B760" t="s">
        <v>8</v>
      </c>
      <c r="C760" t="s">
        <v>1013</v>
      </c>
    </row>
    <row r="761" spans="1:3" x14ac:dyDescent="0.25">
      <c r="A761" s="3" t="s">
        <v>837</v>
      </c>
      <c r="B761" t="s">
        <v>16</v>
      </c>
      <c r="C761" t="s">
        <v>1013</v>
      </c>
    </row>
    <row r="762" spans="1:3" x14ac:dyDescent="0.25">
      <c r="A762" s="3" t="s">
        <v>838</v>
      </c>
      <c r="B762" t="s">
        <v>7</v>
      </c>
      <c r="C762" t="s">
        <v>1013</v>
      </c>
    </row>
    <row r="763" spans="1:3" x14ac:dyDescent="0.25">
      <c r="A763" s="3" t="s">
        <v>839</v>
      </c>
      <c r="B763" t="s">
        <v>5</v>
      </c>
      <c r="C763" t="s">
        <v>1013</v>
      </c>
    </row>
    <row r="764" spans="1:3" x14ac:dyDescent="0.25">
      <c r="A764" s="3" t="s">
        <v>840</v>
      </c>
      <c r="B764" t="s">
        <v>7</v>
      </c>
      <c r="C764" t="s">
        <v>1013</v>
      </c>
    </row>
    <row r="765" spans="1:3" x14ac:dyDescent="0.25">
      <c r="A765" s="3" t="s">
        <v>841</v>
      </c>
      <c r="B765" t="s">
        <v>7</v>
      </c>
      <c r="C765" t="s">
        <v>1013</v>
      </c>
    </row>
    <row r="766" spans="1:3" x14ac:dyDescent="0.25">
      <c r="A766" s="3" t="s">
        <v>842</v>
      </c>
      <c r="B766" t="s">
        <v>5</v>
      </c>
      <c r="C766" t="s">
        <v>1013</v>
      </c>
    </row>
    <row r="767" spans="1:3" x14ac:dyDescent="0.25">
      <c r="A767" s="3" t="s">
        <v>843</v>
      </c>
      <c r="B767" t="s">
        <v>70</v>
      </c>
      <c r="C767" t="s">
        <v>1013</v>
      </c>
    </row>
    <row r="768" spans="1:3" x14ac:dyDescent="0.25">
      <c r="A768" s="3" t="s">
        <v>844</v>
      </c>
      <c r="B768" t="s">
        <v>82</v>
      </c>
      <c r="C768" t="s">
        <v>1013</v>
      </c>
    </row>
    <row r="769" spans="1:3" x14ac:dyDescent="0.25">
      <c r="A769" s="3" t="s">
        <v>845</v>
      </c>
      <c r="B769" t="s">
        <v>70</v>
      </c>
      <c r="C769" t="s">
        <v>1013</v>
      </c>
    </row>
    <row r="770" spans="1:3" x14ac:dyDescent="0.25">
      <c r="A770" s="3" t="s">
        <v>846</v>
      </c>
      <c r="B770" t="s">
        <v>70</v>
      </c>
      <c r="C770" t="s">
        <v>1013</v>
      </c>
    </row>
    <row r="771" spans="1:3" x14ac:dyDescent="0.25">
      <c r="A771" s="3" t="s">
        <v>847</v>
      </c>
      <c r="B771" t="s">
        <v>18</v>
      </c>
      <c r="C771" t="s">
        <v>1013</v>
      </c>
    </row>
    <row r="772" spans="1:3" x14ac:dyDescent="0.25">
      <c r="A772" s="3" t="s">
        <v>848</v>
      </c>
      <c r="B772" t="s">
        <v>28</v>
      </c>
      <c r="C772" t="s">
        <v>1013</v>
      </c>
    </row>
    <row r="773" spans="1:3" x14ac:dyDescent="0.25">
      <c r="A773" s="3" t="s">
        <v>849</v>
      </c>
      <c r="B773" t="s">
        <v>16</v>
      </c>
      <c r="C773" t="s">
        <v>1013</v>
      </c>
    </row>
    <row r="774" spans="1:3" x14ac:dyDescent="0.25">
      <c r="A774" s="3" t="s">
        <v>850</v>
      </c>
      <c r="B774" t="s">
        <v>14</v>
      </c>
      <c r="C774" t="s">
        <v>1013</v>
      </c>
    </row>
    <row r="775" spans="1:3" x14ac:dyDescent="0.25">
      <c r="A775" s="3" t="s">
        <v>851</v>
      </c>
      <c r="B775" t="s">
        <v>5</v>
      </c>
      <c r="C775" t="s">
        <v>1013</v>
      </c>
    </row>
    <row r="776" spans="1:3" x14ac:dyDescent="0.25">
      <c r="A776" s="3" t="s">
        <v>852</v>
      </c>
      <c r="B776" t="s">
        <v>7</v>
      </c>
      <c r="C776" t="s">
        <v>1013</v>
      </c>
    </row>
    <row r="777" spans="1:3" x14ac:dyDescent="0.25">
      <c r="A777" s="3" t="s">
        <v>853</v>
      </c>
      <c r="B777" t="s">
        <v>70</v>
      </c>
      <c r="C777" t="s">
        <v>1013</v>
      </c>
    </row>
    <row r="778" spans="1:3" x14ac:dyDescent="0.25">
      <c r="A778" s="3" t="s">
        <v>854</v>
      </c>
      <c r="B778" t="s">
        <v>100</v>
      </c>
      <c r="C778" t="s">
        <v>1013</v>
      </c>
    </row>
    <row r="779" spans="1:3" x14ac:dyDescent="0.25">
      <c r="A779" s="3" t="s">
        <v>855</v>
      </c>
      <c r="B779" t="s">
        <v>5</v>
      </c>
      <c r="C779" t="s">
        <v>1013</v>
      </c>
    </row>
    <row r="780" spans="1:3" x14ac:dyDescent="0.25">
      <c r="A780" s="3" t="s">
        <v>856</v>
      </c>
      <c r="B780" t="s">
        <v>11</v>
      </c>
      <c r="C780" t="s">
        <v>1013</v>
      </c>
    </row>
    <row r="781" spans="1:3" x14ac:dyDescent="0.25">
      <c r="A781" s="3" t="s">
        <v>857</v>
      </c>
      <c r="B781" t="s">
        <v>5</v>
      </c>
      <c r="C781" t="s">
        <v>1013</v>
      </c>
    </row>
    <row r="782" spans="1:3" x14ac:dyDescent="0.25">
      <c r="A782" s="3" t="s">
        <v>858</v>
      </c>
      <c r="B782" t="s">
        <v>8</v>
      </c>
      <c r="C782" t="s">
        <v>1013</v>
      </c>
    </row>
    <row r="783" spans="1:3" x14ac:dyDescent="0.25">
      <c r="A783" s="3" t="s">
        <v>859</v>
      </c>
      <c r="B783" t="s">
        <v>7</v>
      </c>
      <c r="C783" t="s">
        <v>1013</v>
      </c>
    </row>
    <row r="784" spans="1:3" x14ac:dyDescent="0.25">
      <c r="A784" s="3" t="s">
        <v>860</v>
      </c>
      <c r="B784" t="s">
        <v>8</v>
      </c>
      <c r="C784" t="s">
        <v>1013</v>
      </c>
    </row>
    <row r="785" spans="1:3" x14ac:dyDescent="0.25">
      <c r="A785" s="3" t="s">
        <v>861</v>
      </c>
      <c r="B785" t="s">
        <v>7</v>
      </c>
      <c r="C785" t="s">
        <v>1013</v>
      </c>
    </row>
    <row r="786" spans="1:3" x14ac:dyDescent="0.25">
      <c r="A786" s="3" t="s">
        <v>862</v>
      </c>
      <c r="B786" t="s">
        <v>14</v>
      </c>
      <c r="C786" t="s">
        <v>1013</v>
      </c>
    </row>
    <row r="787" spans="1:3" x14ac:dyDescent="0.25">
      <c r="A787" s="3" t="s">
        <v>863</v>
      </c>
      <c r="B787" t="s">
        <v>7</v>
      </c>
      <c r="C787" t="s">
        <v>1013</v>
      </c>
    </row>
    <row r="788" spans="1:3" x14ac:dyDescent="0.25">
      <c r="A788" s="3" t="s">
        <v>864</v>
      </c>
      <c r="B788" t="s">
        <v>5</v>
      </c>
      <c r="C788" t="s">
        <v>1013</v>
      </c>
    </row>
    <row r="789" spans="1:3" x14ac:dyDescent="0.25">
      <c r="A789" s="3" t="s">
        <v>865</v>
      </c>
      <c r="B789" t="s">
        <v>5</v>
      </c>
      <c r="C789" t="s">
        <v>1013</v>
      </c>
    </row>
    <row r="790" spans="1:3" x14ac:dyDescent="0.25">
      <c r="A790" s="3" t="s">
        <v>866</v>
      </c>
      <c r="B790" t="s">
        <v>15</v>
      </c>
      <c r="C790" t="s">
        <v>1013</v>
      </c>
    </row>
    <row r="791" spans="1:3" x14ac:dyDescent="0.25">
      <c r="A791" s="3" t="s">
        <v>867</v>
      </c>
      <c r="B791" t="s">
        <v>100</v>
      </c>
      <c r="C791" t="s">
        <v>1013</v>
      </c>
    </row>
    <row r="792" spans="1:3" x14ac:dyDescent="0.25">
      <c r="A792" s="3" t="s">
        <v>868</v>
      </c>
      <c r="B792" t="s">
        <v>7</v>
      </c>
      <c r="C792" t="s">
        <v>1013</v>
      </c>
    </row>
    <row r="793" spans="1:3" x14ac:dyDescent="0.25">
      <c r="A793" s="3" t="s">
        <v>869</v>
      </c>
      <c r="B793" t="s">
        <v>82</v>
      </c>
      <c r="C793" t="s">
        <v>1013</v>
      </c>
    </row>
    <row r="794" spans="1:3" x14ac:dyDescent="0.25">
      <c r="A794" s="3" t="s">
        <v>870</v>
      </c>
      <c r="B794" t="s">
        <v>28</v>
      </c>
      <c r="C794" t="s">
        <v>1013</v>
      </c>
    </row>
    <row r="795" spans="1:3" x14ac:dyDescent="0.25">
      <c r="A795" s="3" t="s">
        <v>871</v>
      </c>
      <c r="B795" t="s">
        <v>87</v>
      </c>
      <c r="C795" t="s">
        <v>1013</v>
      </c>
    </row>
    <row r="796" spans="1:3" x14ac:dyDescent="0.25">
      <c r="A796" s="3" t="s">
        <v>872</v>
      </c>
      <c r="B796" t="s">
        <v>7</v>
      </c>
      <c r="C796" t="s">
        <v>1013</v>
      </c>
    </row>
    <row r="797" spans="1:3" x14ac:dyDescent="0.25">
      <c r="A797" s="3" t="s">
        <v>873</v>
      </c>
      <c r="B797" t="s">
        <v>5</v>
      </c>
      <c r="C797" t="s">
        <v>1013</v>
      </c>
    </row>
    <row r="798" spans="1:3" x14ac:dyDescent="0.25">
      <c r="A798" s="3" t="s">
        <v>874</v>
      </c>
      <c r="B798" t="s">
        <v>31</v>
      </c>
      <c r="C798" t="s">
        <v>1013</v>
      </c>
    </row>
    <row r="799" spans="1:3" x14ac:dyDescent="0.25">
      <c r="A799" s="3" t="s">
        <v>875</v>
      </c>
      <c r="B799" t="s">
        <v>8</v>
      </c>
      <c r="C799" t="s">
        <v>1013</v>
      </c>
    </row>
    <row r="800" spans="1:3" x14ac:dyDescent="0.25">
      <c r="A800" s="3" t="s">
        <v>876</v>
      </c>
      <c r="B800" t="s">
        <v>18</v>
      </c>
      <c r="C800" t="s">
        <v>1013</v>
      </c>
    </row>
    <row r="801" spans="1:3" x14ac:dyDescent="0.25">
      <c r="A801" s="3" t="s">
        <v>877</v>
      </c>
      <c r="B801" t="s">
        <v>8</v>
      </c>
      <c r="C801" t="s">
        <v>1013</v>
      </c>
    </row>
    <row r="802" spans="1:3" x14ac:dyDescent="0.25">
      <c r="A802" s="3" t="s">
        <v>878</v>
      </c>
      <c r="B802" t="s">
        <v>5</v>
      </c>
      <c r="C802" t="s">
        <v>1013</v>
      </c>
    </row>
    <row r="803" spans="1:3" x14ac:dyDescent="0.25">
      <c r="A803" s="3" t="s">
        <v>879</v>
      </c>
      <c r="B803" t="s">
        <v>86</v>
      </c>
      <c r="C803" t="s">
        <v>1013</v>
      </c>
    </row>
    <row r="804" spans="1:3" x14ac:dyDescent="0.25">
      <c r="A804" s="3" t="s">
        <v>880</v>
      </c>
      <c r="B804" t="s">
        <v>11</v>
      </c>
      <c r="C804" t="s">
        <v>1013</v>
      </c>
    </row>
    <row r="805" spans="1:3" x14ac:dyDescent="0.25">
      <c r="A805" s="3" t="s">
        <v>881</v>
      </c>
      <c r="B805" t="s">
        <v>8</v>
      </c>
      <c r="C805" t="s">
        <v>1013</v>
      </c>
    </row>
    <row r="806" spans="1:3" x14ac:dyDescent="0.25">
      <c r="A806" s="3" t="s">
        <v>882</v>
      </c>
      <c r="B806" t="s">
        <v>33</v>
      </c>
      <c r="C806" t="s">
        <v>1013</v>
      </c>
    </row>
    <row r="807" spans="1:3" x14ac:dyDescent="0.25">
      <c r="A807" s="3" t="s">
        <v>883</v>
      </c>
      <c r="B807" t="s">
        <v>12</v>
      </c>
      <c r="C807" t="s">
        <v>1013</v>
      </c>
    </row>
    <row r="808" spans="1:3" x14ac:dyDescent="0.25">
      <c r="A808" s="3" t="s">
        <v>884</v>
      </c>
      <c r="B808" t="s">
        <v>7</v>
      </c>
      <c r="C808" t="s">
        <v>1013</v>
      </c>
    </row>
    <row r="809" spans="1:3" x14ac:dyDescent="0.25">
      <c r="A809" s="3" t="s">
        <v>885</v>
      </c>
      <c r="B809" t="s">
        <v>7</v>
      </c>
      <c r="C809" t="s">
        <v>1013</v>
      </c>
    </row>
    <row r="810" spans="1:3" x14ac:dyDescent="0.25">
      <c r="A810" s="3" t="s">
        <v>886</v>
      </c>
      <c r="B810" t="s">
        <v>7</v>
      </c>
      <c r="C810" t="s">
        <v>1013</v>
      </c>
    </row>
    <row r="811" spans="1:3" x14ac:dyDescent="0.25">
      <c r="A811" s="3" t="s">
        <v>887</v>
      </c>
      <c r="B811" t="s">
        <v>91</v>
      </c>
      <c r="C811" t="s">
        <v>1013</v>
      </c>
    </row>
    <row r="812" spans="1:3" x14ac:dyDescent="0.25">
      <c r="A812" s="3" t="s">
        <v>888</v>
      </c>
      <c r="B812" t="s">
        <v>18</v>
      </c>
      <c r="C812" t="s">
        <v>1013</v>
      </c>
    </row>
    <row r="813" spans="1:3" x14ac:dyDescent="0.25">
      <c r="A813" s="3" t="s">
        <v>889</v>
      </c>
      <c r="B813" t="s">
        <v>7</v>
      </c>
      <c r="C813" t="s">
        <v>1013</v>
      </c>
    </row>
    <row r="814" spans="1:3" x14ac:dyDescent="0.25">
      <c r="A814" s="3" t="s">
        <v>890</v>
      </c>
      <c r="B814" t="s">
        <v>7</v>
      </c>
      <c r="C814" t="s">
        <v>1013</v>
      </c>
    </row>
    <row r="815" spans="1:3" x14ac:dyDescent="0.25">
      <c r="A815" s="3" t="s">
        <v>891</v>
      </c>
      <c r="B815" t="s">
        <v>87</v>
      </c>
      <c r="C815" t="s">
        <v>1013</v>
      </c>
    </row>
    <row r="816" spans="1:3" x14ac:dyDescent="0.25">
      <c r="A816" s="3" t="s">
        <v>892</v>
      </c>
      <c r="B816" t="s">
        <v>12</v>
      </c>
      <c r="C816" t="s">
        <v>1013</v>
      </c>
    </row>
    <row r="817" spans="1:3" x14ac:dyDescent="0.25">
      <c r="A817" s="3" t="s">
        <v>893</v>
      </c>
      <c r="B817" t="s">
        <v>31</v>
      </c>
      <c r="C817" t="s">
        <v>1013</v>
      </c>
    </row>
    <row r="818" spans="1:3" x14ac:dyDescent="0.25">
      <c r="A818" s="3" t="s">
        <v>894</v>
      </c>
      <c r="B818" t="s">
        <v>5</v>
      </c>
      <c r="C818" t="s">
        <v>1013</v>
      </c>
    </row>
    <row r="819" spans="1:3" x14ac:dyDescent="0.25">
      <c r="A819" s="3" t="s">
        <v>895</v>
      </c>
      <c r="B819" t="s">
        <v>28</v>
      </c>
      <c r="C819" t="s">
        <v>1013</v>
      </c>
    </row>
    <row r="820" spans="1:3" x14ac:dyDescent="0.25">
      <c r="A820" s="3" t="s">
        <v>896</v>
      </c>
      <c r="B820" t="s">
        <v>5</v>
      </c>
      <c r="C820" t="s">
        <v>1013</v>
      </c>
    </row>
    <row r="821" spans="1:3" x14ac:dyDescent="0.25">
      <c r="A821" s="3" t="s">
        <v>897</v>
      </c>
      <c r="B821" t="s">
        <v>7</v>
      </c>
      <c r="C821" t="s">
        <v>1013</v>
      </c>
    </row>
    <row r="822" spans="1:3" x14ac:dyDescent="0.25">
      <c r="A822" s="3" t="s">
        <v>898</v>
      </c>
      <c r="B822" t="s">
        <v>7</v>
      </c>
      <c r="C822" t="s">
        <v>1013</v>
      </c>
    </row>
    <row r="823" spans="1:3" x14ac:dyDescent="0.25">
      <c r="A823" s="3" t="s">
        <v>899</v>
      </c>
      <c r="B823" t="s">
        <v>7</v>
      </c>
      <c r="C823" t="s">
        <v>1013</v>
      </c>
    </row>
    <row r="824" spans="1:3" x14ac:dyDescent="0.25">
      <c r="A824" s="3" t="s">
        <v>900</v>
      </c>
      <c r="B824" t="s">
        <v>5</v>
      </c>
      <c r="C824" t="s">
        <v>1013</v>
      </c>
    </row>
    <row r="825" spans="1:3" x14ac:dyDescent="0.25">
      <c r="A825" s="3" t="s">
        <v>901</v>
      </c>
      <c r="B825" t="s">
        <v>18</v>
      </c>
      <c r="C825" t="s">
        <v>1013</v>
      </c>
    </row>
    <row r="826" spans="1:3" x14ac:dyDescent="0.25">
      <c r="A826" s="3" t="s">
        <v>902</v>
      </c>
      <c r="B826" t="s">
        <v>7</v>
      </c>
      <c r="C826" t="s">
        <v>1013</v>
      </c>
    </row>
    <row r="827" spans="1:3" x14ac:dyDescent="0.25">
      <c r="A827" s="3" t="s">
        <v>903</v>
      </c>
      <c r="B827" t="s">
        <v>31</v>
      </c>
      <c r="C827" t="s">
        <v>1013</v>
      </c>
    </row>
    <row r="828" spans="1:3" x14ac:dyDescent="0.25">
      <c r="A828" s="3" t="s">
        <v>904</v>
      </c>
      <c r="B828" t="s">
        <v>16</v>
      </c>
      <c r="C828" t="s">
        <v>1013</v>
      </c>
    </row>
    <row r="829" spans="1:3" x14ac:dyDescent="0.25">
      <c r="A829" s="3" t="s">
        <v>905</v>
      </c>
      <c r="B829" t="s">
        <v>15</v>
      </c>
      <c r="C829" t="s">
        <v>1013</v>
      </c>
    </row>
    <row r="830" spans="1:3" x14ac:dyDescent="0.25">
      <c r="A830" s="3" t="s">
        <v>906</v>
      </c>
      <c r="B830" t="s">
        <v>5</v>
      </c>
      <c r="C830" t="s">
        <v>1013</v>
      </c>
    </row>
    <row r="831" spans="1:3" x14ac:dyDescent="0.25">
      <c r="A831" s="3" t="s">
        <v>907</v>
      </c>
      <c r="B831" t="s">
        <v>5</v>
      </c>
      <c r="C831" t="s">
        <v>1013</v>
      </c>
    </row>
    <row r="832" spans="1:3" x14ac:dyDescent="0.25">
      <c r="A832" s="3" t="s">
        <v>908</v>
      </c>
      <c r="B832" t="s">
        <v>28</v>
      </c>
      <c r="C832" t="s">
        <v>1013</v>
      </c>
    </row>
    <row r="833" spans="1:3" x14ac:dyDescent="0.25">
      <c r="A833" s="3" t="s">
        <v>909</v>
      </c>
      <c r="B833" t="s">
        <v>7</v>
      </c>
      <c r="C833" t="s">
        <v>1013</v>
      </c>
    </row>
    <row r="834" spans="1:3" x14ac:dyDescent="0.25">
      <c r="A834" s="3" t="s">
        <v>910</v>
      </c>
      <c r="B834" t="s">
        <v>7</v>
      </c>
      <c r="C834" t="s">
        <v>1013</v>
      </c>
    </row>
    <row r="835" spans="1:3" x14ac:dyDescent="0.25">
      <c r="A835" s="3" t="s">
        <v>911</v>
      </c>
      <c r="B835" t="s">
        <v>7</v>
      </c>
      <c r="C835" t="s">
        <v>1013</v>
      </c>
    </row>
    <row r="836" spans="1:3" x14ac:dyDescent="0.25">
      <c r="A836" s="3" t="s">
        <v>912</v>
      </c>
      <c r="B836" t="s">
        <v>12</v>
      </c>
      <c r="C836" t="s">
        <v>1013</v>
      </c>
    </row>
    <row r="837" spans="1:3" x14ac:dyDescent="0.25">
      <c r="A837" s="3" t="s">
        <v>913</v>
      </c>
      <c r="B837" t="s">
        <v>70</v>
      </c>
      <c r="C837" t="s">
        <v>1013</v>
      </c>
    </row>
    <row r="838" spans="1:3" x14ac:dyDescent="0.25">
      <c r="A838" s="3" t="s">
        <v>914</v>
      </c>
      <c r="B838" t="s">
        <v>31</v>
      </c>
      <c r="C838" t="s">
        <v>1013</v>
      </c>
    </row>
    <row r="839" spans="1:3" x14ac:dyDescent="0.25">
      <c r="A839" s="3" t="s">
        <v>915</v>
      </c>
      <c r="B839" t="s">
        <v>15</v>
      </c>
      <c r="C839" t="s">
        <v>1013</v>
      </c>
    </row>
    <row r="840" spans="1:3" x14ac:dyDescent="0.25">
      <c r="A840" s="3" t="s">
        <v>916</v>
      </c>
      <c r="B840" t="s">
        <v>12</v>
      </c>
      <c r="C840" t="s">
        <v>1013</v>
      </c>
    </row>
    <row r="841" spans="1:3" x14ac:dyDescent="0.25">
      <c r="A841" s="3" t="s">
        <v>917</v>
      </c>
      <c r="B841" t="s">
        <v>5</v>
      </c>
      <c r="C841" t="s">
        <v>1013</v>
      </c>
    </row>
    <row r="842" spans="1:3" x14ac:dyDescent="0.25">
      <c r="A842" s="3" t="s">
        <v>918</v>
      </c>
      <c r="B842" t="s">
        <v>70</v>
      </c>
      <c r="C842" t="s">
        <v>1013</v>
      </c>
    </row>
    <row r="843" spans="1:3" x14ac:dyDescent="0.25">
      <c r="A843" s="3" t="s">
        <v>919</v>
      </c>
      <c r="B843" t="s">
        <v>8</v>
      </c>
      <c r="C843" t="s">
        <v>1013</v>
      </c>
    </row>
    <row r="844" spans="1:3" x14ac:dyDescent="0.25">
      <c r="A844" s="3" t="s">
        <v>920</v>
      </c>
      <c r="B844" t="s">
        <v>18</v>
      </c>
      <c r="C844" t="s">
        <v>1013</v>
      </c>
    </row>
    <row r="845" spans="1:3" x14ac:dyDescent="0.25">
      <c r="A845" s="3" t="s">
        <v>921</v>
      </c>
      <c r="B845" t="s">
        <v>16</v>
      </c>
      <c r="C845" t="s">
        <v>1013</v>
      </c>
    </row>
    <row r="846" spans="1:3" x14ac:dyDescent="0.25">
      <c r="A846" s="3" t="s">
        <v>922</v>
      </c>
      <c r="B846" t="s">
        <v>16</v>
      </c>
      <c r="C846" t="s">
        <v>1013</v>
      </c>
    </row>
    <row r="847" spans="1:3" x14ac:dyDescent="0.25">
      <c r="A847" s="3" t="s">
        <v>923</v>
      </c>
      <c r="B847" t="s">
        <v>12</v>
      </c>
      <c r="C847" t="s">
        <v>1013</v>
      </c>
    </row>
    <row r="848" spans="1:3" x14ac:dyDescent="0.25">
      <c r="A848" s="3" t="s">
        <v>924</v>
      </c>
      <c r="B848" t="s">
        <v>5</v>
      </c>
      <c r="C848" t="s">
        <v>1013</v>
      </c>
    </row>
    <row r="849" spans="1:3" x14ac:dyDescent="0.25">
      <c r="A849" s="3" t="s">
        <v>925</v>
      </c>
      <c r="B849" t="s">
        <v>12</v>
      </c>
      <c r="C849" t="s">
        <v>1013</v>
      </c>
    </row>
    <row r="850" spans="1:3" x14ac:dyDescent="0.25">
      <c r="A850" s="3" t="s">
        <v>926</v>
      </c>
      <c r="B850" t="s">
        <v>33</v>
      </c>
      <c r="C850" t="s">
        <v>1013</v>
      </c>
    </row>
    <row r="851" spans="1:3" x14ac:dyDescent="0.25">
      <c r="A851" s="3" t="s">
        <v>927</v>
      </c>
      <c r="B851" t="s">
        <v>70</v>
      </c>
      <c r="C851" t="s">
        <v>1013</v>
      </c>
    </row>
    <row r="852" spans="1:3" x14ac:dyDescent="0.25">
      <c r="A852" s="3" t="s">
        <v>928</v>
      </c>
      <c r="B852" t="s">
        <v>7</v>
      </c>
      <c r="C852" t="s">
        <v>1013</v>
      </c>
    </row>
    <row r="853" spans="1:3" x14ac:dyDescent="0.25">
      <c r="A853" s="3" t="s">
        <v>929</v>
      </c>
      <c r="B853" t="s">
        <v>100</v>
      </c>
      <c r="C853" t="s">
        <v>1013</v>
      </c>
    </row>
    <row r="854" spans="1:3" x14ac:dyDescent="0.25">
      <c r="A854" s="3" t="s">
        <v>930</v>
      </c>
      <c r="B854" t="s">
        <v>5</v>
      </c>
      <c r="C854" t="s">
        <v>1013</v>
      </c>
    </row>
    <row r="855" spans="1:3" x14ac:dyDescent="0.25">
      <c r="A855" s="3" t="s">
        <v>931</v>
      </c>
      <c r="B855" t="s">
        <v>8</v>
      </c>
      <c r="C855" t="s">
        <v>1013</v>
      </c>
    </row>
    <row r="856" spans="1:3" x14ac:dyDescent="0.25">
      <c r="A856" s="3" t="s">
        <v>932</v>
      </c>
      <c r="B856" t="s">
        <v>16</v>
      </c>
      <c r="C856" t="s">
        <v>1013</v>
      </c>
    </row>
    <row r="857" spans="1:3" x14ac:dyDescent="0.25">
      <c r="A857" s="3" t="s">
        <v>933</v>
      </c>
      <c r="B857" t="s">
        <v>86</v>
      </c>
      <c r="C857" t="s">
        <v>1013</v>
      </c>
    </row>
    <row r="858" spans="1:3" x14ac:dyDescent="0.25">
      <c r="A858" s="3" t="s">
        <v>934</v>
      </c>
      <c r="B858" t="s">
        <v>5</v>
      </c>
      <c r="C858" t="s">
        <v>1013</v>
      </c>
    </row>
    <row r="859" spans="1:3" x14ac:dyDescent="0.25">
      <c r="A859" s="3" t="s">
        <v>935</v>
      </c>
      <c r="B859" t="s">
        <v>5</v>
      </c>
      <c r="C859" t="s">
        <v>1010</v>
      </c>
    </row>
    <row r="860" spans="1:3" x14ac:dyDescent="0.25">
      <c r="A860" s="3" t="s">
        <v>936</v>
      </c>
      <c r="B860" t="s">
        <v>11</v>
      </c>
      <c r="C860" t="s">
        <v>1013</v>
      </c>
    </row>
    <row r="861" spans="1:3" x14ac:dyDescent="0.25">
      <c r="A861" s="3" t="s">
        <v>937</v>
      </c>
      <c r="B861" t="s">
        <v>18</v>
      </c>
      <c r="C861" t="s">
        <v>1013</v>
      </c>
    </row>
    <row r="862" spans="1:3" x14ac:dyDescent="0.25">
      <c r="A862" s="3" t="s">
        <v>938</v>
      </c>
      <c r="B862" t="s">
        <v>15</v>
      </c>
      <c r="C862" t="s">
        <v>1013</v>
      </c>
    </row>
    <row r="863" spans="1:3" x14ac:dyDescent="0.25">
      <c r="A863" s="3" t="s">
        <v>939</v>
      </c>
      <c r="B863" t="s">
        <v>70</v>
      </c>
      <c r="C863" t="s">
        <v>1013</v>
      </c>
    </row>
    <row r="864" spans="1:3" x14ac:dyDescent="0.25">
      <c r="A864" s="3" t="s">
        <v>940</v>
      </c>
      <c r="B864" t="s">
        <v>15</v>
      </c>
      <c r="C864" t="s">
        <v>1013</v>
      </c>
    </row>
    <row r="865" spans="1:3" x14ac:dyDescent="0.25">
      <c r="A865" s="3" t="s">
        <v>941</v>
      </c>
      <c r="B865" t="s">
        <v>15</v>
      </c>
      <c r="C865" t="s">
        <v>1013</v>
      </c>
    </row>
    <row r="866" spans="1:3" x14ac:dyDescent="0.25">
      <c r="A866" s="3" t="s">
        <v>942</v>
      </c>
      <c r="B866" t="s">
        <v>16</v>
      </c>
      <c r="C866" t="s">
        <v>1013</v>
      </c>
    </row>
    <row r="867" spans="1:3" x14ac:dyDescent="0.25">
      <c r="A867" s="3" t="s">
        <v>943</v>
      </c>
      <c r="B867" t="s">
        <v>16</v>
      </c>
      <c r="C867" t="s">
        <v>1013</v>
      </c>
    </row>
    <row r="868" spans="1:3" x14ac:dyDescent="0.25">
      <c r="A868" s="3" t="s">
        <v>944</v>
      </c>
      <c r="B868" t="s">
        <v>97</v>
      </c>
      <c r="C868" t="s">
        <v>1013</v>
      </c>
    </row>
    <row r="869" spans="1:3" x14ac:dyDescent="0.25">
      <c r="A869" s="3" t="s">
        <v>945</v>
      </c>
      <c r="B869" t="s">
        <v>5</v>
      </c>
      <c r="C869" t="s">
        <v>1013</v>
      </c>
    </row>
    <row r="870" spans="1:3" x14ac:dyDescent="0.25">
      <c r="A870" s="3" t="s">
        <v>946</v>
      </c>
      <c r="B870" t="s">
        <v>91</v>
      </c>
      <c r="C870" t="s">
        <v>1013</v>
      </c>
    </row>
    <row r="871" spans="1:3" x14ac:dyDescent="0.25">
      <c r="A871" s="3" t="s">
        <v>947</v>
      </c>
      <c r="B871" t="s">
        <v>102</v>
      </c>
      <c r="C871" t="s">
        <v>1013</v>
      </c>
    </row>
    <row r="872" spans="1:3" x14ac:dyDescent="0.25">
      <c r="A872" s="3" t="s">
        <v>948</v>
      </c>
      <c r="B872" t="s">
        <v>5</v>
      </c>
      <c r="C872" t="s">
        <v>1013</v>
      </c>
    </row>
    <row r="873" spans="1:3" x14ac:dyDescent="0.25">
      <c r="A873" s="3" t="s">
        <v>949</v>
      </c>
      <c r="B873" t="s">
        <v>102</v>
      </c>
      <c r="C873" t="s">
        <v>1013</v>
      </c>
    </row>
    <row r="874" spans="1:3" x14ac:dyDescent="0.25">
      <c r="A874" s="3" t="s">
        <v>950</v>
      </c>
      <c r="B874" t="s">
        <v>31</v>
      </c>
      <c r="C874" t="s">
        <v>1013</v>
      </c>
    </row>
    <row r="875" spans="1:3" x14ac:dyDescent="0.25">
      <c r="A875" s="3" t="s">
        <v>951</v>
      </c>
      <c r="B875" t="s">
        <v>11</v>
      </c>
      <c r="C875" t="s">
        <v>1013</v>
      </c>
    </row>
    <row r="876" spans="1:3" x14ac:dyDescent="0.25">
      <c r="A876" s="3" t="s">
        <v>952</v>
      </c>
      <c r="B876" t="s">
        <v>16</v>
      </c>
      <c r="C876" t="s">
        <v>1013</v>
      </c>
    </row>
    <row r="877" spans="1:3" x14ac:dyDescent="0.25">
      <c r="A877" s="3" t="s">
        <v>953</v>
      </c>
      <c r="B877" t="s">
        <v>5</v>
      </c>
      <c r="C877" t="s">
        <v>1013</v>
      </c>
    </row>
    <row r="878" spans="1:3" x14ac:dyDescent="0.25">
      <c r="A878" s="3" t="s">
        <v>954</v>
      </c>
      <c r="B878" t="s">
        <v>102</v>
      </c>
      <c r="C878" t="s">
        <v>1013</v>
      </c>
    </row>
    <row r="879" spans="1:3" x14ac:dyDescent="0.25">
      <c r="A879" s="3" t="s">
        <v>955</v>
      </c>
      <c r="B879" t="s">
        <v>70</v>
      </c>
      <c r="C879" t="s">
        <v>1013</v>
      </c>
    </row>
    <row r="880" spans="1:3" x14ac:dyDescent="0.25">
      <c r="A880" s="3" t="s">
        <v>956</v>
      </c>
      <c r="B880" t="s">
        <v>8</v>
      </c>
      <c r="C880" t="s">
        <v>1013</v>
      </c>
    </row>
    <row r="881" spans="1:3" x14ac:dyDescent="0.25">
      <c r="A881" s="3" t="s">
        <v>957</v>
      </c>
      <c r="B881" t="s">
        <v>7</v>
      </c>
      <c r="C881" t="s">
        <v>1013</v>
      </c>
    </row>
    <row r="882" spans="1:3" x14ac:dyDescent="0.25">
      <c r="A882" s="3" t="s">
        <v>958</v>
      </c>
      <c r="B882" t="s">
        <v>70</v>
      </c>
      <c r="C882" t="s">
        <v>1013</v>
      </c>
    </row>
    <row r="883" spans="1:3" x14ac:dyDescent="0.25">
      <c r="A883" s="3" t="s">
        <v>959</v>
      </c>
      <c r="B883" t="s">
        <v>16</v>
      </c>
      <c r="C883" t="s">
        <v>1013</v>
      </c>
    </row>
    <row r="884" spans="1:3" x14ac:dyDescent="0.25">
      <c r="A884" s="3" t="s">
        <v>960</v>
      </c>
      <c r="B884" t="s">
        <v>7</v>
      </c>
      <c r="C884" t="s">
        <v>1013</v>
      </c>
    </row>
    <row r="885" spans="1:3" x14ac:dyDescent="0.25">
      <c r="A885" s="3" t="s">
        <v>961</v>
      </c>
      <c r="B885" t="s">
        <v>33</v>
      </c>
      <c r="C885" t="s">
        <v>1013</v>
      </c>
    </row>
    <row r="886" spans="1:3" x14ac:dyDescent="0.25">
      <c r="A886" s="3" t="s">
        <v>962</v>
      </c>
      <c r="B886" t="s">
        <v>7</v>
      </c>
      <c r="C886" t="s">
        <v>1013</v>
      </c>
    </row>
    <row r="887" spans="1:3" x14ac:dyDescent="0.25">
      <c r="A887" s="3" t="s">
        <v>963</v>
      </c>
      <c r="B887" t="s">
        <v>7</v>
      </c>
      <c r="C887" t="s">
        <v>1013</v>
      </c>
    </row>
    <row r="888" spans="1:3" x14ac:dyDescent="0.25">
      <c r="A888" s="3" t="s">
        <v>964</v>
      </c>
      <c r="B888" t="s">
        <v>14</v>
      </c>
      <c r="C888" t="s">
        <v>1013</v>
      </c>
    </row>
    <row r="889" spans="1:3" x14ac:dyDescent="0.25">
      <c r="A889" s="3" t="s">
        <v>965</v>
      </c>
      <c r="B889" t="s">
        <v>7</v>
      </c>
      <c r="C889" t="s">
        <v>1013</v>
      </c>
    </row>
    <row r="890" spans="1:3" x14ac:dyDescent="0.25">
      <c r="A890" s="3" t="s">
        <v>966</v>
      </c>
      <c r="B890" t="s">
        <v>8</v>
      </c>
      <c r="C890" t="s">
        <v>1013</v>
      </c>
    </row>
    <row r="891" spans="1:3" x14ac:dyDescent="0.25">
      <c r="A891" s="3" t="s">
        <v>967</v>
      </c>
      <c r="B891" t="s">
        <v>7</v>
      </c>
      <c r="C891" t="s">
        <v>1013</v>
      </c>
    </row>
    <row r="892" spans="1:3" x14ac:dyDescent="0.25">
      <c r="A892" s="3" t="s">
        <v>968</v>
      </c>
      <c r="B892" t="s">
        <v>14</v>
      </c>
      <c r="C892" t="s">
        <v>1013</v>
      </c>
    </row>
    <row r="893" spans="1:3" x14ac:dyDescent="0.25">
      <c r="A893" s="3" t="s">
        <v>969</v>
      </c>
      <c r="B893" t="s">
        <v>7</v>
      </c>
      <c r="C893" t="s">
        <v>1013</v>
      </c>
    </row>
    <row r="894" spans="1:3" x14ac:dyDescent="0.25">
      <c r="A894" s="3" t="s">
        <v>970</v>
      </c>
      <c r="B894" t="s">
        <v>15</v>
      </c>
      <c r="C894" t="s">
        <v>1013</v>
      </c>
    </row>
    <row r="895" spans="1:3" x14ac:dyDescent="0.25">
      <c r="A895" s="3" t="s">
        <v>971</v>
      </c>
      <c r="B895" t="s">
        <v>15</v>
      </c>
      <c r="C895" t="s">
        <v>1013</v>
      </c>
    </row>
    <row r="896" spans="1:3" x14ac:dyDescent="0.25">
      <c r="A896" s="3" t="s">
        <v>972</v>
      </c>
      <c r="B896" t="s">
        <v>7</v>
      </c>
      <c r="C896" t="s">
        <v>1013</v>
      </c>
    </row>
    <row r="897" spans="1:3" x14ac:dyDescent="0.25">
      <c r="A897" s="3" t="s">
        <v>973</v>
      </c>
      <c r="B897" t="s">
        <v>18</v>
      </c>
      <c r="C897" t="s">
        <v>1013</v>
      </c>
    </row>
    <row r="898" spans="1:3" x14ac:dyDescent="0.25">
      <c r="A898" s="3" t="s">
        <v>974</v>
      </c>
      <c r="B898" t="s">
        <v>86</v>
      </c>
      <c r="C898" t="s">
        <v>1013</v>
      </c>
    </row>
    <row r="899" spans="1:3" x14ac:dyDescent="0.25">
      <c r="A899" s="3" t="s">
        <v>975</v>
      </c>
      <c r="B899" t="s">
        <v>11</v>
      </c>
      <c r="C899" t="s">
        <v>1013</v>
      </c>
    </row>
    <row r="900" spans="1:3" x14ac:dyDescent="0.25">
      <c r="A900" s="3" t="s">
        <v>976</v>
      </c>
      <c r="B900" t="s">
        <v>15</v>
      </c>
      <c r="C900" t="s">
        <v>1013</v>
      </c>
    </row>
    <row r="901" spans="1:3" x14ac:dyDescent="0.25">
      <c r="A901" s="3" t="s">
        <v>977</v>
      </c>
      <c r="B901" t="s">
        <v>7</v>
      </c>
      <c r="C901" t="s">
        <v>1013</v>
      </c>
    </row>
    <row r="902" spans="1:3" x14ac:dyDescent="0.25">
      <c r="A902" s="3" t="s">
        <v>978</v>
      </c>
      <c r="B902" t="s">
        <v>82</v>
      </c>
      <c r="C902" t="s">
        <v>1013</v>
      </c>
    </row>
    <row r="903" spans="1:3" x14ac:dyDescent="0.25">
      <c r="A903" s="3" t="s">
        <v>979</v>
      </c>
      <c r="B903" t="s">
        <v>70</v>
      </c>
      <c r="C903" t="s">
        <v>1013</v>
      </c>
    </row>
    <row r="904" spans="1:3" x14ac:dyDescent="0.25">
      <c r="A904" s="3" t="s">
        <v>980</v>
      </c>
      <c r="B904" t="s">
        <v>16</v>
      </c>
      <c r="C904" t="s">
        <v>1013</v>
      </c>
    </row>
    <row r="905" spans="1:3" x14ac:dyDescent="0.25">
      <c r="A905" s="3" t="s">
        <v>981</v>
      </c>
      <c r="B905" t="s">
        <v>97</v>
      </c>
      <c r="C905" t="s">
        <v>1013</v>
      </c>
    </row>
    <row r="906" spans="1:3" x14ac:dyDescent="0.25">
      <c r="A906" s="3" t="s">
        <v>982</v>
      </c>
      <c r="B906" t="s">
        <v>8</v>
      </c>
      <c r="C906" t="s">
        <v>1013</v>
      </c>
    </row>
    <row r="907" spans="1:3" x14ac:dyDescent="0.25">
      <c r="A907" s="3" t="s">
        <v>983</v>
      </c>
      <c r="B907" t="s">
        <v>100</v>
      </c>
      <c r="C907" t="s">
        <v>1013</v>
      </c>
    </row>
    <row r="908" spans="1:3" x14ac:dyDescent="0.25">
      <c r="A908" s="3" t="s">
        <v>984</v>
      </c>
      <c r="B908" t="s">
        <v>102</v>
      </c>
      <c r="C908" t="s">
        <v>1013</v>
      </c>
    </row>
    <row r="909" spans="1:3" x14ac:dyDescent="0.25">
      <c r="A909" s="3" t="s">
        <v>985</v>
      </c>
      <c r="B909" t="s">
        <v>97</v>
      </c>
      <c r="C909" t="s">
        <v>1013</v>
      </c>
    </row>
    <row r="910" spans="1:3" x14ac:dyDescent="0.25">
      <c r="A910" s="3" t="s">
        <v>986</v>
      </c>
      <c r="B910" t="s">
        <v>18</v>
      </c>
      <c r="C910" t="s">
        <v>1013</v>
      </c>
    </row>
    <row r="911" spans="1:3" x14ac:dyDescent="0.25">
      <c r="A911" s="3" t="s">
        <v>987</v>
      </c>
      <c r="B911" t="s">
        <v>18</v>
      </c>
      <c r="C911" t="s">
        <v>1013</v>
      </c>
    </row>
    <row r="912" spans="1:3" x14ac:dyDescent="0.25">
      <c r="A912" s="3" t="s">
        <v>988</v>
      </c>
      <c r="B912" t="s">
        <v>12</v>
      </c>
      <c r="C912" t="s">
        <v>1013</v>
      </c>
    </row>
    <row r="913" spans="1:3" x14ac:dyDescent="0.25">
      <c r="A913" s="3" t="s">
        <v>989</v>
      </c>
      <c r="B913" t="s">
        <v>5</v>
      </c>
      <c r="C913" t="s">
        <v>1013</v>
      </c>
    </row>
    <row r="914" spans="1:3" x14ac:dyDescent="0.25">
      <c r="A914" s="3" t="s">
        <v>990</v>
      </c>
      <c r="B914" t="s">
        <v>7</v>
      </c>
      <c r="C914" t="s">
        <v>1013</v>
      </c>
    </row>
    <row r="915" spans="1:3" x14ac:dyDescent="0.25">
      <c r="A915" s="3" t="s">
        <v>991</v>
      </c>
      <c r="B915" t="s">
        <v>28</v>
      </c>
      <c r="C915" t="s">
        <v>1013</v>
      </c>
    </row>
    <row r="916" spans="1:3" x14ac:dyDescent="0.25">
      <c r="A916" s="3" t="s">
        <v>992</v>
      </c>
      <c r="B916" t="s">
        <v>87</v>
      </c>
      <c r="C916" t="s">
        <v>1013</v>
      </c>
    </row>
    <row r="917" spans="1:3" x14ac:dyDescent="0.25">
      <c r="A917" s="3" t="s">
        <v>993</v>
      </c>
      <c r="B917" t="s">
        <v>86</v>
      </c>
      <c r="C917" t="s">
        <v>1013</v>
      </c>
    </row>
    <row r="918" spans="1:3" x14ac:dyDescent="0.25">
      <c r="A918" s="3" t="s">
        <v>994</v>
      </c>
      <c r="B918" t="s">
        <v>11</v>
      </c>
      <c r="C918" t="s">
        <v>1013</v>
      </c>
    </row>
    <row r="919" spans="1:3" x14ac:dyDescent="0.25">
      <c r="A919" s="3" t="s">
        <v>995</v>
      </c>
      <c r="B919" t="s">
        <v>7</v>
      </c>
      <c r="C919" t="s">
        <v>1013</v>
      </c>
    </row>
    <row r="920" spans="1:3" x14ac:dyDescent="0.25">
      <c r="A920" s="3" t="s">
        <v>996</v>
      </c>
      <c r="B920" t="s">
        <v>7</v>
      </c>
      <c r="C920" t="s">
        <v>1013</v>
      </c>
    </row>
    <row r="921" spans="1:3" x14ac:dyDescent="0.25">
      <c r="A921" s="3" t="s">
        <v>997</v>
      </c>
      <c r="B921" t="s">
        <v>7</v>
      </c>
      <c r="C921" t="s">
        <v>1013</v>
      </c>
    </row>
    <row r="922" spans="1:3" x14ac:dyDescent="0.25">
      <c r="A922" s="3" t="s">
        <v>998</v>
      </c>
      <c r="B922" t="s">
        <v>7</v>
      </c>
      <c r="C922" t="s">
        <v>1013</v>
      </c>
    </row>
    <row r="923" spans="1:3" x14ac:dyDescent="0.25">
      <c r="A923" s="3" t="s">
        <v>999</v>
      </c>
      <c r="B923" t="s">
        <v>15</v>
      </c>
      <c r="C923" t="s">
        <v>1013</v>
      </c>
    </row>
    <row r="924" spans="1:3" x14ac:dyDescent="0.25">
      <c r="A924" s="3" t="s">
        <v>1000</v>
      </c>
      <c r="B924" t="s">
        <v>7</v>
      </c>
      <c r="C924" t="s">
        <v>1013</v>
      </c>
    </row>
    <row r="925" spans="1:3" x14ac:dyDescent="0.25">
      <c r="A925" s="3" t="s">
        <v>1001</v>
      </c>
      <c r="B925" t="s">
        <v>7</v>
      </c>
      <c r="C925" t="s">
        <v>1013</v>
      </c>
    </row>
    <row r="926" spans="1:3" x14ac:dyDescent="0.25">
      <c r="A926" s="3" t="s">
        <v>1002</v>
      </c>
      <c r="B926" t="s">
        <v>28</v>
      </c>
      <c r="C926" t="s">
        <v>1013</v>
      </c>
    </row>
    <row r="927" spans="1:3" x14ac:dyDescent="0.25">
      <c r="A927" s="3" t="s">
        <v>1003</v>
      </c>
      <c r="B927" t="s">
        <v>18</v>
      </c>
      <c r="C927" t="s">
        <v>1013</v>
      </c>
    </row>
    <row r="928" spans="1:3" x14ac:dyDescent="0.25">
      <c r="A928" s="3" t="s">
        <v>1004</v>
      </c>
      <c r="B928" t="s">
        <v>16</v>
      </c>
      <c r="C928" t="s">
        <v>1013</v>
      </c>
    </row>
    <row r="929" spans="1:3" x14ac:dyDescent="0.25">
      <c r="A929" s="3" t="s">
        <v>1005</v>
      </c>
      <c r="B929" t="s">
        <v>7</v>
      </c>
      <c r="C929" t="s">
        <v>1013</v>
      </c>
    </row>
    <row r="930" spans="1:3" x14ac:dyDescent="0.25">
      <c r="A930" s="3" t="s">
        <v>1006</v>
      </c>
      <c r="B930" t="s">
        <v>5</v>
      </c>
      <c r="C930" t="s">
        <v>1013</v>
      </c>
    </row>
    <row r="931" spans="1:3" x14ac:dyDescent="0.25">
      <c r="A931" s="3" t="s">
        <v>1007</v>
      </c>
      <c r="B931" t="s">
        <v>12</v>
      </c>
      <c r="C931" t="s">
        <v>1013</v>
      </c>
    </row>
    <row r="932" spans="1:3" x14ac:dyDescent="0.25">
      <c r="A932" s="3" t="s">
        <v>1008</v>
      </c>
      <c r="B932" t="s">
        <v>8</v>
      </c>
      <c r="C932" t="s">
        <v>1013</v>
      </c>
    </row>
    <row r="933" spans="1:3" x14ac:dyDescent="0.25">
      <c r="A933" s="3" t="s">
        <v>1009</v>
      </c>
      <c r="B933" t="s">
        <v>11</v>
      </c>
      <c r="C933" t="s">
        <v>1013</v>
      </c>
    </row>
    <row r="934" spans="1:3" x14ac:dyDescent="0.25">
      <c r="A934" s="3" t="s">
        <v>116</v>
      </c>
      <c r="B934" t="s">
        <v>84</v>
      </c>
      <c r="C934" t="s">
        <v>1013</v>
      </c>
    </row>
    <row r="935" spans="1:3" x14ac:dyDescent="0.25">
      <c r="A935" s="3" t="s">
        <v>117</v>
      </c>
      <c r="B935" t="s">
        <v>25</v>
      </c>
      <c r="C935" t="s">
        <v>1013</v>
      </c>
    </row>
    <row r="936" spans="1:3" x14ac:dyDescent="0.25">
      <c r="A936" s="3" t="s">
        <v>119</v>
      </c>
      <c r="B936" t="s">
        <v>32</v>
      </c>
      <c r="C936" t="s">
        <v>1013</v>
      </c>
    </row>
    <row r="937" spans="1:3" x14ac:dyDescent="0.25">
      <c r="A937" s="3" t="s">
        <v>120</v>
      </c>
      <c r="B937" t="s">
        <v>14</v>
      </c>
      <c r="C937" t="s">
        <v>1013</v>
      </c>
    </row>
    <row r="938" spans="1:3" x14ac:dyDescent="0.25">
      <c r="A938" s="3" t="s">
        <v>122</v>
      </c>
      <c r="B938" t="s">
        <v>112</v>
      </c>
      <c r="C938" t="s">
        <v>1013</v>
      </c>
    </row>
    <row r="939" spans="1:3" x14ac:dyDescent="0.25">
      <c r="A939" s="3" t="s">
        <v>123</v>
      </c>
      <c r="B939" t="s">
        <v>100</v>
      </c>
      <c r="C939" t="s">
        <v>1013</v>
      </c>
    </row>
    <row r="940" spans="1:3" x14ac:dyDescent="0.25">
      <c r="A940" s="3" t="s">
        <v>131</v>
      </c>
      <c r="B940" t="s">
        <v>84</v>
      </c>
      <c r="C940" t="s">
        <v>1013</v>
      </c>
    </row>
    <row r="941" spans="1:3" x14ac:dyDescent="0.25">
      <c r="A941" s="3" t="s">
        <v>133</v>
      </c>
      <c r="B941" t="s">
        <v>97</v>
      </c>
      <c r="C941" t="s">
        <v>1013</v>
      </c>
    </row>
    <row r="942" spans="1:3" x14ac:dyDescent="0.25">
      <c r="A942" s="3" t="s">
        <v>134</v>
      </c>
      <c r="B942" t="s">
        <v>14</v>
      </c>
      <c r="C942" t="s">
        <v>1013</v>
      </c>
    </row>
    <row r="943" spans="1:3" x14ac:dyDescent="0.25">
      <c r="A943" s="3" t="s">
        <v>135</v>
      </c>
      <c r="B943" t="s">
        <v>136</v>
      </c>
      <c r="C943" t="s">
        <v>1013</v>
      </c>
    </row>
    <row r="944" spans="1:3" x14ac:dyDescent="0.25">
      <c r="A944" s="3" t="s">
        <v>137</v>
      </c>
      <c r="B944" t="s">
        <v>25</v>
      </c>
      <c r="C944" t="s">
        <v>1013</v>
      </c>
    </row>
    <row r="945" spans="1:3" x14ac:dyDescent="0.25">
      <c r="A945" s="3" t="s">
        <v>138</v>
      </c>
      <c r="B945" t="s">
        <v>12</v>
      </c>
      <c r="C945" t="s">
        <v>1013</v>
      </c>
    </row>
    <row r="946" spans="1:3" x14ac:dyDescent="0.25">
      <c r="A946" s="3" t="s">
        <v>140</v>
      </c>
      <c r="B946" t="s">
        <v>85</v>
      </c>
      <c r="C946" t="s">
        <v>1013</v>
      </c>
    </row>
    <row r="947" spans="1:3" x14ac:dyDescent="0.25">
      <c r="A947" s="3" t="s">
        <v>141</v>
      </c>
      <c r="B947" t="s">
        <v>32</v>
      </c>
      <c r="C947" t="s">
        <v>1013</v>
      </c>
    </row>
    <row r="948" spans="1:3" x14ac:dyDescent="0.25">
      <c r="A948" s="3" t="s">
        <v>142</v>
      </c>
      <c r="B948" t="s">
        <v>8</v>
      </c>
      <c r="C948" t="s">
        <v>1013</v>
      </c>
    </row>
    <row r="949" spans="1:3" x14ac:dyDescent="0.25">
      <c r="A949" s="3" t="s">
        <v>147</v>
      </c>
      <c r="B949" t="s">
        <v>33</v>
      </c>
      <c r="C949" t="s">
        <v>1013</v>
      </c>
    </row>
    <row r="950" spans="1:3" x14ac:dyDescent="0.25">
      <c r="A950" s="3" t="s">
        <v>148</v>
      </c>
      <c r="B950" t="s">
        <v>102</v>
      </c>
      <c r="C950" t="s">
        <v>1013</v>
      </c>
    </row>
    <row r="951" spans="1:3" x14ac:dyDescent="0.25">
      <c r="A951" s="3" t="s">
        <v>149</v>
      </c>
      <c r="B951" t="s">
        <v>112</v>
      </c>
      <c r="C951" t="s">
        <v>1013</v>
      </c>
    </row>
    <row r="952" spans="1:3" x14ac:dyDescent="0.25">
      <c r="A952" s="3" t="s">
        <v>150</v>
      </c>
      <c r="B952" t="s">
        <v>129</v>
      </c>
      <c r="C952" t="s">
        <v>1013</v>
      </c>
    </row>
    <row r="953" spans="1:3" x14ac:dyDescent="0.25">
      <c r="A953" s="3" t="s">
        <v>139</v>
      </c>
      <c r="B953" t="s">
        <v>7</v>
      </c>
      <c r="C953" t="s">
        <v>1013</v>
      </c>
    </row>
    <row r="954" spans="1:3" x14ac:dyDescent="0.25">
      <c r="A954" s="3" t="s">
        <v>20</v>
      </c>
      <c r="B954" t="s">
        <v>12</v>
      </c>
      <c r="C954" t="s">
        <v>1013</v>
      </c>
    </row>
    <row r="955" spans="1:3" x14ac:dyDescent="0.25">
      <c r="A955" s="3" t="s">
        <v>37</v>
      </c>
      <c r="B955" t="s">
        <v>11</v>
      </c>
      <c r="C955" t="s">
        <v>1013</v>
      </c>
    </row>
    <row r="956" spans="1:3" x14ac:dyDescent="0.25">
      <c r="A956" s="3" t="s">
        <v>38</v>
      </c>
      <c r="B956" t="s">
        <v>16</v>
      </c>
      <c r="C956" t="s">
        <v>1013</v>
      </c>
    </row>
    <row r="957" spans="1:3" x14ac:dyDescent="0.25">
      <c r="A957" s="3" t="s">
        <v>13</v>
      </c>
      <c r="B957" t="s">
        <v>5</v>
      </c>
      <c r="C957" t="s">
        <v>1013</v>
      </c>
    </row>
    <row r="958" spans="1:3" x14ac:dyDescent="0.25">
      <c r="A958" s="3" t="s">
        <v>51</v>
      </c>
      <c r="B958" t="s">
        <v>15</v>
      </c>
      <c r="C958" t="s">
        <v>1013</v>
      </c>
    </row>
    <row r="959" spans="1:3" x14ac:dyDescent="0.25">
      <c r="A959" s="3" t="s">
        <v>52</v>
      </c>
      <c r="B959" t="s">
        <v>5</v>
      </c>
      <c r="C959" t="s">
        <v>1013</v>
      </c>
    </row>
    <row r="960" spans="1:3" x14ac:dyDescent="0.25">
      <c r="A960" s="3" t="s">
        <v>56</v>
      </c>
      <c r="B960" t="s">
        <v>18</v>
      </c>
      <c r="C960" t="s">
        <v>1013</v>
      </c>
    </row>
    <row r="961" spans="1:5" x14ac:dyDescent="0.25">
      <c r="A961" s="3" t="s">
        <v>58</v>
      </c>
      <c r="B961" t="s">
        <v>8</v>
      </c>
      <c r="C961" t="s">
        <v>1013</v>
      </c>
    </row>
    <row r="962" spans="1:5" x14ac:dyDescent="0.25">
      <c r="A962" s="3" t="s">
        <v>59</v>
      </c>
      <c r="B962" t="s">
        <v>5</v>
      </c>
      <c r="C962" t="s">
        <v>1013</v>
      </c>
    </row>
    <row r="963" spans="1:5" x14ac:dyDescent="0.25">
      <c r="A963" s="3" t="s">
        <v>62</v>
      </c>
      <c r="B963" t="s">
        <v>12</v>
      </c>
      <c r="C963" t="s">
        <v>1013</v>
      </c>
    </row>
    <row r="964" spans="1:5" x14ac:dyDescent="0.25">
      <c r="A964" s="3" t="s">
        <v>71</v>
      </c>
      <c r="B964" t="s">
        <v>12</v>
      </c>
      <c r="C964" t="s">
        <v>1013</v>
      </c>
    </row>
    <row r="965" spans="1:5" x14ac:dyDescent="0.25">
      <c r="A965" s="3" t="s">
        <v>74</v>
      </c>
      <c r="B965" t="s">
        <v>11</v>
      </c>
      <c r="C965" t="s">
        <v>1013</v>
      </c>
    </row>
    <row r="966" spans="1:5" x14ac:dyDescent="0.25">
      <c r="A966" s="3" t="s">
        <v>75</v>
      </c>
      <c r="B966" t="s">
        <v>16</v>
      </c>
      <c r="C966" t="s">
        <v>1013</v>
      </c>
    </row>
    <row r="967" spans="1:5" x14ac:dyDescent="0.25">
      <c r="A967" s="3" t="s">
        <v>76</v>
      </c>
      <c r="B967" t="s">
        <v>12</v>
      </c>
      <c r="C967" t="s">
        <v>1013</v>
      </c>
    </row>
    <row r="968" spans="1:5" x14ac:dyDescent="0.25">
      <c r="A968" s="3" t="s">
        <v>77</v>
      </c>
      <c r="B968" t="s">
        <v>11</v>
      </c>
      <c r="C968" t="s">
        <v>1013</v>
      </c>
    </row>
    <row r="969" spans="1:5" x14ac:dyDescent="0.25">
      <c r="A969" s="3" t="s">
        <v>50</v>
      </c>
      <c r="B969" t="s">
        <v>5</v>
      </c>
      <c r="C969" t="s">
        <v>1013</v>
      </c>
    </row>
    <row r="970" spans="1:5" x14ac:dyDescent="0.25">
      <c r="A970" s="3" t="s">
        <v>92</v>
      </c>
      <c r="B970" t="s">
        <v>8</v>
      </c>
      <c r="C970" t="s">
        <v>1013</v>
      </c>
    </row>
    <row r="971" spans="1:5" x14ac:dyDescent="0.25">
      <c r="A971" s="3" t="s">
        <v>93</v>
      </c>
      <c r="B971" t="s">
        <v>16</v>
      </c>
      <c r="C971" t="s">
        <v>1013</v>
      </c>
    </row>
    <row r="972" spans="1:5" x14ac:dyDescent="0.25">
      <c r="A972" s="3" t="s">
        <v>94</v>
      </c>
      <c r="B972" s="7" t="s">
        <v>12</v>
      </c>
      <c r="C972" t="s">
        <v>1013</v>
      </c>
      <c r="D972" s="3"/>
      <c r="E972" s="7"/>
    </row>
    <row r="973" spans="1:5" x14ac:dyDescent="0.25">
      <c r="A973" s="3" t="s">
        <v>96</v>
      </c>
      <c r="B973" t="s">
        <v>39</v>
      </c>
      <c r="C973" t="s">
        <v>1013</v>
      </c>
    </row>
    <row r="974" spans="1:5" x14ac:dyDescent="0.25">
      <c r="A974" s="3" t="s">
        <v>99</v>
      </c>
      <c r="B974" t="s">
        <v>7</v>
      </c>
      <c r="C974" t="s">
        <v>1013</v>
      </c>
    </row>
    <row r="975" spans="1:5" x14ac:dyDescent="0.25">
      <c r="A975" s="3" t="s">
        <v>101</v>
      </c>
      <c r="B975" t="s">
        <v>11</v>
      </c>
      <c r="C975" t="s">
        <v>1013</v>
      </c>
    </row>
    <row r="976" spans="1:5" x14ac:dyDescent="0.25">
      <c r="A976" s="3" t="s">
        <v>103</v>
      </c>
      <c r="B976" t="s">
        <v>12</v>
      </c>
      <c r="C976" t="s">
        <v>1013</v>
      </c>
    </row>
    <row r="977" spans="1:3" x14ac:dyDescent="0.25">
      <c r="A977" s="3" t="s">
        <v>104</v>
      </c>
      <c r="B977" t="s">
        <v>11</v>
      </c>
      <c r="C977" t="s">
        <v>1013</v>
      </c>
    </row>
    <row r="978" spans="1:3" x14ac:dyDescent="0.25">
      <c r="A978" s="3" t="s">
        <v>106</v>
      </c>
      <c r="B978" t="s">
        <v>16</v>
      </c>
      <c r="C978" t="s">
        <v>1013</v>
      </c>
    </row>
    <row r="979" spans="1:3" x14ac:dyDescent="0.25">
      <c r="A979" s="3" t="s">
        <v>108</v>
      </c>
      <c r="B979" t="s">
        <v>28</v>
      </c>
      <c r="C979" t="s">
        <v>1013</v>
      </c>
    </row>
    <row r="980" spans="1:3" x14ac:dyDescent="0.25">
      <c r="A980" s="3" t="s">
        <v>110</v>
      </c>
      <c r="B980" t="s">
        <v>16</v>
      </c>
      <c r="C980" t="s">
        <v>1013</v>
      </c>
    </row>
    <row r="981" spans="1:3" x14ac:dyDescent="0.25">
      <c r="A981" s="3" t="s">
        <v>113</v>
      </c>
      <c r="B981" t="s">
        <v>18</v>
      </c>
      <c r="C981" t="s">
        <v>1013</v>
      </c>
    </row>
    <row r="982" spans="1:3" x14ac:dyDescent="0.25">
      <c r="A982" s="3" t="s">
        <v>114</v>
      </c>
      <c r="B982" t="s">
        <v>12</v>
      </c>
      <c r="C982" t="s">
        <v>1013</v>
      </c>
    </row>
    <row r="983" spans="1:3" x14ac:dyDescent="0.25">
      <c r="A983" s="3" t="s">
        <v>24</v>
      </c>
      <c r="B983" t="s">
        <v>5</v>
      </c>
      <c r="C983" t="s">
        <v>1010</v>
      </c>
    </row>
    <row r="984" spans="1:3" x14ac:dyDescent="0.25">
      <c r="A984" s="3" t="s">
        <v>128</v>
      </c>
      <c r="B984" t="s">
        <v>136</v>
      </c>
      <c r="C984" t="s">
        <v>1013</v>
      </c>
    </row>
    <row r="985" spans="1:3" x14ac:dyDescent="0.25">
      <c r="A985" s="3" t="s">
        <v>151</v>
      </c>
      <c r="B985" t="s">
        <v>86</v>
      </c>
      <c r="C985" t="s">
        <v>1013</v>
      </c>
    </row>
    <row r="986" spans="1:3" x14ac:dyDescent="0.25">
      <c r="A986" s="3" t="s">
        <v>154</v>
      </c>
      <c r="B986" t="s">
        <v>39</v>
      </c>
      <c r="C986" t="s">
        <v>1013</v>
      </c>
    </row>
    <row r="987" spans="1:3" x14ac:dyDescent="0.25">
      <c r="A987" s="3" t="s">
        <v>155</v>
      </c>
      <c r="B987" t="s">
        <v>136</v>
      </c>
      <c r="C987" t="s">
        <v>1013</v>
      </c>
    </row>
    <row r="988" spans="1:3" x14ac:dyDescent="0.25">
      <c r="A988" s="3" t="s">
        <v>156</v>
      </c>
      <c r="B988" t="s">
        <v>112</v>
      </c>
      <c r="C988" t="s">
        <v>1013</v>
      </c>
    </row>
    <row r="989" spans="1:3" x14ac:dyDescent="0.25">
      <c r="A989" s="6" t="s">
        <v>10</v>
      </c>
      <c r="B989" t="s">
        <v>5</v>
      </c>
      <c r="C989" s="4" t="s">
        <v>1018</v>
      </c>
    </row>
    <row r="990" spans="1:3" x14ac:dyDescent="0.25">
      <c r="A990" s="5" t="s">
        <v>17</v>
      </c>
      <c r="B990" t="s">
        <v>24</v>
      </c>
      <c r="C990" s="4" t="s">
        <v>1018</v>
      </c>
    </row>
    <row r="991" spans="1:3" x14ac:dyDescent="0.25">
      <c r="A991" s="6" t="s">
        <v>23</v>
      </c>
      <c r="B991" t="s">
        <v>5</v>
      </c>
      <c r="C991" s="4" t="s">
        <v>1018</v>
      </c>
    </row>
    <row r="992" spans="1:3" x14ac:dyDescent="0.25">
      <c r="A992" s="5" t="s">
        <v>35</v>
      </c>
      <c r="B992" t="s">
        <v>24</v>
      </c>
      <c r="C992" s="4" t="s">
        <v>1018</v>
      </c>
    </row>
    <row r="993" spans="1:3" x14ac:dyDescent="0.25">
      <c r="A993" s="5" t="s">
        <v>41</v>
      </c>
      <c r="B993" t="s">
        <v>24</v>
      </c>
      <c r="C993" s="4" t="s">
        <v>1018</v>
      </c>
    </row>
    <row r="994" spans="1:3" x14ac:dyDescent="0.25">
      <c r="A994" s="6" t="s">
        <v>46</v>
      </c>
      <c r="B994" t="s">
        <v>7</v>
      </c>
      <c r="C994" s="4" t="s">
        <v>1018</v>
      </c>
    </row>
    <row r="995" spans="1:3" x14ac:dyDescent="0.25">
      <c r="A995" s="5" t="s">
        <v>48</v>
      </c>
      <c r="B995" t="s">
        <v>24</v>
      </c>
      <c r="C995" s="4" t="s">
        <v>1018</v>
      </c>
    </row>
    <row r="996" spans="1:3" x14ac:dyDescent="0.25">
      <c r="A996" s="5" t="s">
        <v>53</v>
      </c>
      <c r="B996" t="s">
        <v>24</v>
      </c>
      <c r="C996" s="4" t="s">
        <v>1018</v>
      </c>
    </row>
    <row r="997" spans="1:3" ht="25.5" x14ac:dyDescent="0.25">
      <c r="A997" s="6" t="s">
        <v>60</v>
      </c>
      <c r="B997" t="s">
        <v>24</v>
      </c>
      <c r="C997" s="4" t="s">
        <v>1018</v>
      </c>
    </row>
    <row r="998" spans="1:3" x14ac:dyDescent="0.25">
      <c r="A998" s="5" t="s">
        <v>64</v>
      </c>
      <c r="B998" t="s">
        <v>5</v>
      </c>
      <c r="C998" s="4" t="s">
        <v>1018</v>
      </c>
    </row>
    <row r="999" spans="1:3" x14ac:dyDescent="0.25">
      <c r="A999" s="5" t="s">
        <v>72</v>
      </c>
      <c r="B999" t="s">
        <v>24</v>
      </c>
      <c r="C999" s="4" t="s">
        <v>1018</v>
      </c>
    </row>
    <row r="1000" spans="1:3" x14ac:dyDescent="0.25">
      <c r="A1000" s="5" t="s">
        <v>78</v>
      </c>
      <c r="B1000" t="s">
        <v>24</v>
      </c>
      <c r="C1000" s="4" t="s">
        <v>1018</v>
      </c>
    </row>
    <row r="1001" spans="1:3" x14ac:dyDescent="0.25">
      <c r="A1001" s="5" t="s">
        <v>83</v>
      </c>
      <c r="B1001" t="s">
        <v>24</v>
      </c>
      <c r="C1001" s="4" t="s">
        <v>1018</v>
      </c>
    </row>
    <row r="1002" spans="1:3" x14ac:dyDescent="0.25">
      <c r="A1002" s="5" t="s">
        <v>90</v>
      </c>
      <c r="B1002" t="s">
        <v>24</v>
      </c>
      <c r="C1002" s="4" t="s">
        <v>1018</v>
      </c>
    </row>
    <row r="1003" spans="1:3" x14ac:dyDescent="0.25">
      <c r="A1003" s="6" t="s">
        <v>109</v>
      </c>
      <c r="B1003" t="s">
        <v>24</v>
      </c>
      <c r="C1003" s="4" t="s">
        <v>1018</v>
      </c>
    </row>
    <row r="1004" spans="1:3" x14ac:dyDescent="0.25">
      <c r="A1004" s="5" t="s">
        <v>111</v>
      </c>
      <c r="B1004" t="s">
        <v>24</v>
      </c>
      <c r="C1004" s="4" t="s">
        <v>1018</v>
      </c>
    </row>
    <row r="1005" spans="1:3" x14ac:dyDescent="0.25">
      <c r="A1005" s="8" t="s">
        <v>1027</v>
      </c>
      <c r="B1005" s="7" t="s">
        <v>85</v>
      </c>
      <c r="C1005" s="7" t="s">
        <v>1013</v>
      </c>
    </row>
    <row r="1006" spans="1:3" x14ac:dyDescent="0.25">
      <c r="A1006" s="8" t="s">
        <v>1028</v>
      </c>
      <c r="B1006" s="7" t="s">
        <v>32</v>
      </c>
      <c r="C1006" s="7" t="s">
        <v>1013</v>
      </c>
    </row>
    <row r="1007" spans="1:3" x14ac:dyDescent="0.25">
      <c r="A1007" s="8" t="s">
        <v>1029</v>
      </c>
      <c r="B1007" s="7" t="s">
        <v>163</v>
      </c>
      <c r="C1007" s="7" t="s">
        <v>1013</v>
      </c>
    </row>
    <row r="1008" spans="1:3" x14ac:dyDescent="0.25">
      <c r="A1008" s="8" t="s">
        <v>1030</v>
      </c>
      <c r="B1008" s="7" t="s">
        <v>70</v>
      </c>
      <c r="C1008" s="7" t="s">
        <v>1013</v>
      </c>
    </row>
    <row r="1009" spans="1:3" x14ac:dyDescent="0.25">
      <c r="A1009" s="11" t="s">
        <v>1032</v>
      </c>
      <c r="B1009" t="s">
        <v>158</v>
      </c>
      <c r="C1009" s="10" t="s">
        <v>1013</v>
      </c>
    </row>
    <row r="1010" spans="1:3" x14ac:dyDescent="0.25">
      <c r="A1010" s="11" t="s">
        <v>1033</v>
      </c>
      <c r="B1010" t="s">
        <v>97</v>
      </c>
      <c r="C1010" s="10" t="s">
        <v>1013</v>
      </c>
    </row>
    <row r="1011" spans="1:3" x14ac:dyDescent="0.25">
      <c r="A1011" t="s">
        <v>1034</v>
      </c>
      <c r="B1011" t="s">
        <v>11</v>
      </c>
      <c r="C1011" s="12" t="s">
        <v>1013</v>
      </c>
    </row>
    <row r="1012" spans="1:3" x14ac:dyDescent="0.25">
      <c r="A1012" t="s">
        <v>1035</v>
      </c>
      <c r="B1012" t="s">
        <v>85</v>
      </c>
      <c r="C1012" s="12" t="s">
        <v>1013</v>
      </c>
    </row>
    <row r="1013" spans="1:3" x14ac:dyDescent="0.25">
      <c r="A1013" t="s">
        <v>1036</v>
      </c>
      <c r="B1013" t="s">
        <v>32</v>
      </c>
      <c r="C1013" s="12" t="s">
        <v>1013</v>
      </c>
    </row>
    <row r="1014" spans="1:3" x14ac:dyDescent="0.25">
      <c r="A1014" t="s">
        <v>1037</v>
      </c>
      <c r="B1014" t="s">
        <v>91</v>
      </c>
      <c r="C1014" s="12" t="s">
        <v>1013</v>
      </c>
    </row>
    <row r="1015" spans="1:3" x14ac:dyDescent="0.25">
      <c r="A1015" s="14" t="s">
        <v>1041</v>
      </c>
      <c r="B1015" s="13" t="s">
        <v>82</v>
      </c>
      <c r="C1015" s="13" t="s">
        <v>1013</v>
      </c>
    </row>
    <row r="1016" spans="1:3" x14ac:dyDescent="0.25">
      <c r="A1016" s="14" t="s">
        <v>1042</v>
      </c>
      <c r="B1016" s="13" t="s">
        <v>126</v>
      </c>
      <c r="C1016" s="13" t="s">
        <v>1013</v>
      </c>
    </row>
    <row r="1017" spans="1:3" x14ac:dyDescent="0.25">
      <c r="A1017" s="14" t="s">
        <v>1043</v>
      </c>
      <c r="B1017" s="13" t="s">
        <v>86</v>
      </c>
      <c r="C1017" s="13" t="s">
        <v>1013</v>
      </c>
    </row>
    <row r="1018" spans="1:3" x14ac:dyDescent="0.25">
      <c r="A1018" t="s">
        <v>1044</v>
      </c>
      <c r="B1018" t="s">
        <v>7</v>
      </c>
      <c r="C1018" t="s">
        <v>1013</v>
      </c>
    </row>
    <row r="1019" spans="1:3" x14ac:dyDescent="0.25">
      <c r="A1019" t="s">
        <v>1047</v>
      </c>
      <c r="B1019" t="s">
        <v>5</v>
      </c>
      <c r="C1019" s="13" t="s">
        <v>1013</v>
      </c>
    </row>
    <row r="1020" spans="1:3" x14ac:dyDescent="0.25">
      <c r="A1020" t="s">
        <v>1050</v>
      </c>
      <c r="B1020" t="s">
        <v>8</v>
      </c>
      <c r="C1020" s="13" t="s">
        <v>1013</v>
      </c>
    </row>
    <row r="1021" spans="1:3" x14ac:dyDescent="0.25">
      <c r="A1021" t="s">
        <v>1048</v>
      </c>
      <c r="B1021" t="s">
        <v>5</v>
      </c>
      <c r="C1021" s="13" t="s">
        <v>1013</v>
      </c>
    </row>
    <row r="1022" spans="1:3" x14ac:dyDescent="0.25">
      <c r="A1022" t="s">
        <v>1051</v>
      </c>
      <c r="B1022" t="s">
        <v>8</v>
      </c>
      <c r="C1022" s="13" t="s">
        <v>1013</v>
      </c>
    </row>
    <row r="1023" spans="1:3" x14ac:dyDescent="0.25">
      <c r="A1023" t="s">
        <v>1049</v>
      </c>
      <c r="B1023" t="s">
        <v>8</v>
      </c>
      <c r="C1023" s="13" t="s">
        <v>1013</v>
      </c>
    </row>
    <row r="1024" spans="1:3" x14ac:dyDescent="0.25">
      <c r="A1024" s="13" t="s">
        <v>1052</v>
      </c>
      <c r="B1024" s="13" t="s">
        <v>7</v>
      </c>
      <c r="C1024" s="13" t="s">
        <v>1013</v>
      </c>
    </row>
    <row r="1025" spans="1:3" x14ac:dyDescent="0.25">
      <c r="A1025" s="13" t="s">
        <v>1053</v>
      </c>
      <c r="B1025" s="13" t="s">
        <v>136</v>
      </c>
      <c r="C1025" s="13" t="s">
        <v>1013</v>
      </c>
    </row>
    <row r="1026" spans="1:3" x14ac:dyDescent="0.25">
      <c r="A1026" s="13" t="s">
        <v>1054</v>
      </c>
      <c r="B1026" s="13" t="s">
        <v>5</v>
      </c>
      <c r="C1026" s="13" t="s">
        <v>1013</v>
      </c>
    </row>
    <row r="1027" spans="1:3" x14ac:dyDescent="0.25">
      <c r="A1027" s="13" t="s">
        <v>1055</v>
      </c>
      <c r="B1027" s="13" t="s">
        <v>8</v>
      </c>
      <c r="C1027" s="13" t="s">
        <v>1013</v>
      </c>
    </row>
    <row r="1028" spans="1:3" x14ac:dyDescent="0.25">
      <c r="A1028" s="13" t="s">
        <v>1056</v>
      </c>
      <c r="B1028" s="13" t="s">
        <v>8</v>
      </c>
      <c r="C1028" s="13" t="s">
        <v>1013</v>
      </c>
    </row>
    <row r="1029" spans="1:3" x14ac:dyDescent="0.25">
      <c r="A1029" s="13" t="s">
        <v>1057</v>
      </c>
      <c r="B1029" s="13" t="s">
        <v>5</v>
      </c>
      <c r="C1029" s="13" t="s">
        <v>1013</v>
      </c>
    </row>
    <row r="1030" spans="1:3" x14ac:dyDescent="0.25">
      <c r="A1030" s="13" t="s">
        <v>1058</v>
      </c>
      <c r="B1030" s="13" t="s">
        <v>7</v>
      </c>
      <c r="C1030" s="13" t="s">
        <v>1013</v>
      </c>
    </row>
    <row r="1031" spans="1:3" x14ac:dyDescent="0.25">
      <c r="A1031" s="13" t="s">
        <v>1059</v>
      </c>
      <c r="B1031" s="13" t="s">
        <v>5</v>
      </c>
      <c r="C1031" s="13" t="s">
        <v>1013</v>
      </c>
    </row>
    <row r="1032" spans="1:3" x14ac:dyDescent="0.25">
      <c r="A1032" s="13" t="s">
        <v>1060</v>
      </c>
      <c r="B1032" s="13" t="s">
        <v>8</v>
      </c>
      <c r="C1032" s="13" t="s">
        <v>1013</v>
      </c>
    </row>
    <row r="1033" spans="1:3" x14ac:dyDescent="0.25">
      <c r="A1033" s="13" t="s">
        <v>1061</v>
      </c>
      <c r="B1033" s="13" t="s">
        <v>11</v>
      </c>
      <c r="C1033" s="13" t="s">
        <v>1013</v>
      </c>
    </row>
    <row r="1034" spans="1:3" x14ac:dyDescent="0.25">
      <c r="A1034" s="13" t="s">
        <v>1062</v>
      </c>
      <c r="B1034" s="13" t="s">
        <v>5</v>
      </c>
      <c r="C1034" s="13" t="s">
        <v>1013</v>
      </c>
    </row>
    <row r="1035" spans="1:3" x14ac:dyDescent="0.25">
      <c r="A1035" s="13" t="s">
        <v>1063</v>
      </c>
      <c r="B1035" s="13" t="s">
        <v>12</v>
      </c>
      <c r="C1035" s="13" t="s">
        <v>1013</v>
      </c>
    </row>
    <row r="1036" spans="1:3" x14ac:dyDescent="0.25">
      <c r="A1036" s="13" t="s">
        <v>1064</v>
      </c>
      <c r="B1036" s="13" t="s">
        <v>15</v>
      </c>
      <c r="C1036" s="13" t="s">
        <v>1013</v>
      </c>
    </row>
    <row r="1037" spans="1:3" x14ac:dyDescent="0.25">
      <c r="A1037" s="13" t="s">
        <v>1065</v>
      </c>
      <c r="B1037" s="13" t="s">
        <v>136</v>
      </c>
      <c r="C1037" s="13" t="s">
        <v>1013</v>
      </c>
    </row>
    <row r="1038" spans="1:3" x14ac:dyDescent="0.25">
      <c r="A1038" s="13" t="s">
        <v>1066</v>
      </c>
      <c r="B1038" s="13" t="s">
        <v>5</v>
      </c>
      <c r="C1038" s="13" t="s">
        <v>1013</v>
      </c>
    </row>
    <row r="1039" spans="1:3" x14ac:dyDescent="0.25">
      <c r="A1039" s="13" t="s">
        <v>1067</v>
      </c>
      <c r="B1039" s="13" t="s">
        <v>39</v>
      </c>
      <c r="C1039" s="13" t="s">
        <v>1013</v>
      </c>
    </row>
    <row r="1040" spans="1:3" x14ac:dyDescent="0.25">
      <c r="A1040" s="13" t="s">
        <v>1068</v>
      </c>
      <c r="B1040" s="13" t="s">
        <v>7</v>
      </c>
      <c r="C1040" s="13" t="s">
        <v>1013</v>
      </c>
    </row>
    <row r="1041" spans="1:3" x14ac:dyDescent="0.25">
      <c r="A1041" s="13" t="s">
        <v>1069</v>
      </c>
      <c r="B1041" s="13" t="s">
        <v>7</v>
      </c>
      <c r="C1041" s="13" t="s">
        <v>1013</v>
      </c>
    </row>
    <row r="1042" spans="1:3" x14ac:dyDescent="0.25">
      <c r="A1042" s="13" t="s">
        <v>1070</v>
      </c>
      <c r="B1042" s="13" t="s">
        <v>16</v>
      </c>
      <c r="C1042" s="13" t="s">
        <v>1013</v>
      </c>
    </row>
    <row r="1043" spans="1:3" x14ac:dyDescent="0.25">
      <c r="A1043" s="13" t="s">
        <v>1071</v>
      </c>
      <c r="B1043" s="13" t="s">
        <v>5</v>
      </c>
      <c r="C1043" s="13" t="s">
        <v>1013</v>
      </c>
    </row>
    <row r="1044" spans="1:3" x14ac:dyDescent="0.25">
      <c r="A1044" s="13" t="s">
        <v>1072</v>
      </c>
      <c r="B1044" s="13" t="s">
        <v>136</v>
      </c>
      <c r="C1044" s="13" t="s">
        <v>1013</v>
      </c>
    </row>
    <row r="1045" spans="1:3" x14ac:dyDescent="0.25">
      <c r="A1045" s="13" t="s">
        <v>1073</v>
      </c>
      <c r="B1045" s="13" t="s">
        <v>84</v>
      </c>
      <c r="C1045" s="13" t="s">
        <v>1013</v>
      </c>
    </row>
    <row r="1046" spans="1:3" x14ac:dyDescent="0.25">
      <c r="A1046" s="13" t="s">
        <v>1074</v>
      </c>
      <c r="B1046" s="13" t="s">
        <v>7</v>
      </c>
      <c r="C1046" s="13" t="s">
        <v>1013</v>
      </c>
    </row>
    <row r="1047" spans="1:3" x14ac:dyDescent="0.25">
      <c r="A1047" s="13" t="s">
        <v>1075</v>
      </c>
      <c r="B1047" s="13" t="s">
        <v>16</v>
      </c>
      <c r="C1047" s="13" t="s">
        <v>1013</v>
      </c>
    </row>
    <row r="1048" spans="1:3" x14ac:dyDescent="0.25">
      <c r="A1048" s="13" t="s">
        <v>1076</v>
      </c>
      <c r="B1048" s="13" t="s">
        <v>159</v>
      </c>
      <c r="C1048" s="13" t="s">
        <v>1013</v>
      </c>
    </row>
    <row r="1049" spans="1:3" x14ac:dyDescent="0.25">
      <c r="A1049" s="13" t="s">
        <v>1077</v>
      </c>
      <c r="B1049" s="13" t="s">
        <v>12</v>
      </c>
      <c r="C1049" s="13" t="s">
        <v>1013</v>
      </c>
    </row>
    <row r="1050" spans="1:3" x14ac:dyDescent="0.25">
      <c r="A1050" s="13" t="s">
        <v>1078</v>
      </c>
      <c r="B1050" s="13" t="s">
        <v>39</v>
      </c>
      <c r="C1050" s="13" t="s">
        <v>1013</v>
      </c>
    </row>
    <row r="1051" spans="1:3" x14ac:dyDescent="0.25">
      <c r="A1051" s="13" t="s">
        <v>1079</v>
      </c>
      <c r="B1051" s="13" t="s">
        <v>32</v>
      </c>
      <c r="C1051" s="13" t="s">
        <v>1013</v>
      </c>
    </row>
    <row r="1052" spans="1:3" x14ac:dyDescent="0.25">
      <c r="A1052" s="13" t="s">
        <v>1080</v>
      </c>
      <c r="B1052" s="13" t="s">
        <v>16</v>
      </c>
      <c r="C1052" s="13" t="s">
        <v>1013</v>
      </c>
    </row>
    <row r="1053" spans="1:3" x14ac:dyDescent="0.25">
      <c r="A1053" s="13" t="s">
        <v>1081</v>
      </c>
      <c r="B1053" s="13" t="s">
        <v>24</v>
      </c>
      <c r="C1053" s="13" t="s">
        <v>1013</v>
      </c>
    </row>
    <row r="1054" spans="1:3" x14ac:dyDescent="0.25">
      <c r="A1054" s="13" t="s">
        <v>1082</v>
      </c>
      <c r="B1054" s="13" t="s">
        <v>24</v>
      </c>
      <c r="C1054" s="13" t="s">
        <v>1013</v>
      </c>
    </row>
    <row r="1055" spans="1:3" x14ac:dyDescent="0.25">
      <c r="A1055" s="13" t="s">
        <v>1083</v>
      </c>
      <c r="B1055" s="13" t="s">
        <v>5</v>
      </c>
      <c r="C1055" s="13" t="s">
        <v>1013</v>
      </c>
    </row>
    <row r="1056" spans="1:3" x14ac:dyDescent="0.25">
      <c r="A1056" s="13" t="s">
        <v>1084</v>
      </c>
      <c r="B1056" s="13" t="s">
        <v>5</v>
      </c>
      <c r="C1056" s="13" t="s">
        <v>1013</v>
      </c>
    </row>
    <row r="1057" spans="1:3" x14ac:dyDescent="0.25">
      <c r="A1057" s="13" t="s">
        <v>1085</v>
      </c>
      <c r="B1057" s="13" t="s">
        <v>8</v>
      </c>
      <c r="C1057" s="13" t="s">
        <v>1013</v>
      </c>
    </row>
    <row r="1058" spans="1:3" x14ac:dyDescent="0.25">
      <c r="A1058" s="13" t="s">
        <v>1086</v>
      </c>
      <c r="B1058" s="13" t="s">
        <v>5</v>
      </c>
      <c r="C1058" s="13" t="s">
        <v>1013</v>
      </c>
    </row>
    <row r="1059" spans="1:3" x14ac:dyDescent="0.25">
      <c r="A1059" s="13" t="s">
        <v>1087</v>
      </c>
      <c r="B1059" s="13" t="s">
        <v>24</v>
      </c>
      <c r="C1059" s="13" t="s">
        <v>1013</v>
      </c>
    </row>
    <row r="1060" spans="1:3" x14ac:dyDescent="0.25">
      <c r="A1060" s="13" t="s">
        <v>1088</v>
      </c>
      <c r="B1060" s="13" t="s">
        <v>24</v>
      </c>
      <c r="C1060" s="13" t="s">
        <v>1013</v>
      </c>
    </row>
    <row r="1061" spans="1:3" x14ac:dyDescent="0.25">
      <c r="A1061" s="13" t="s">
        <v>1089</v>
      </c>
      <c r="B1061" s="13" t="s">
        <v>159</v>
      </c>
      <c r="C1061" s="13" t="s">
        <v>1013</v>
      </c>
    </row>
    <row r="1062" spans="1:3" x14ac:dyDescent="0.25">
      <c r="A1062" s="13" t="s">
        <v>1090</v>
      </c>
      <c r="B1062" s="13" t="s">
        <v>5</v>
      </c>
      <c r="C1062" s="13" t="s">
        <v>1013</v>
      </c>
    </row>
    <row r="1063" spans="1:3" x14ac:dyDescent="0.25">
      <c r="A1063" s="13" t="s">
        <v>1091</v>
      </c>
      <c r="B1063" s="13" t="s">
        <v>8</v>
      </c>
      <c r="C1063" s="13" t="s">
        <v>1013</v>
      </c>
    </row>
    <row r="1064" spans="1:3" x14ac:dyDescent="0.25">
      <c r="A1064" s="13" t="s">
        <v>1092</v>
      </c>
      <c r="B1064" s="13" t="s">
        <v>5</v>
      </c>
      <c r="C1064" s="13" t="s">
        <v>1013</v>
      </c>
    </row>
    <row r="1065" spans="1:3" x14ac:dyDescent="0.25">
      <c r="A1065" s="13" t="s">
        <v>1093</v>
      </c>
      <c r="B1065" s="13" t="s">
        <v>7</v>
      </c>
      <c r="C1065" s="13" t="s">
        <v>1013</v>
      </c>
    </row>
    <row r="1066" spans="1:3" x14ac:dyDescent="0.25">
      <c r="A1066" s="13" t="s">
        <v>1094</v>
      </c>
      <c r="B1066" s="13" t="s">
        <v>7</v>
      </c>
      <c r="C1066" s="13" t="s">
        <v>1013</v>
      </c>
    </row>
    <row r="1067" spans="1:3" x14ac:dyDescent="0.25">
      <c r="A1067" s="13" t="s">
        <v>1095</v>
      </c>
      <c r="B1067" s="13" t="s">
        <v>5</v>
      </c>
      <c r="C1067" s="13" t="s">
        <v>1013</v>
      </c>
    </row>
    <row r="1068" spans="1:3" x14ac:dyDescent="0.25">
      <c r="A1068" s="13" t="s">
        <v>1096</v>
      </c>
      <c r="B1068" s="13" t="s">
        <v>5</v>
      </c>
      <c r="C1068" s="13" t="s">
        <v>1013</v>
      </c>
    </row>
    <row r="1069" spans="1:3" x14ac:dyDescent="0.25">
      <c r="A1069" s="13" t="s">
        <v>1097</v>
      </c>
      <c r="B1069" s="13" t="s">
        <v>160</v>
      </c>
      <c r="C1069" s="13" t="s">
        <v>1013</v>
      </c>
    </row>
    <row r="1070" spans="1:3" x14ac:dyDescent="0.25">
      <c r="A1070" s="13" t="s">
        <v>1098</v>
      </c>
      <c r="B1070" s="13" t="s">
        <v>5</v>
      </c>
      <c r="C1070" s="13" t="s">
        <v>1013</v>
      </c>
    </row>
    <row r="1071" spans="1:3" x14ac:dyDescent="0.25">
      <c r="A1071" s="13" t="s">
        <v>1099</v>
      </c>
      <c r="B1071" s="13" t="s">
        <v>25</v>
      </c>
      <c r="C1071" s="13" t="s">
        <v>1013</v>
      </c>
    </row>
    <row r="1072" spans="1:3" x14ac:dyDescent="0.25">
      <c r="A1072" s="13" t="s">
        <v>1100</v>
      </c>
      <c r="B1072" s="13" t="s">
        <v>7</v>
      </c>
      <c r="C1072" s="13" t="s">
        <v>1013</v>
      </c>
    </row>
    <row r="1073" spans="1:3" x14ac:dyDescent="0.25">
      <c r="A1073" s="13" t="s">
        <v>1101</v>
      </c>
      <c r="B1073" s="13" t="s">
        <v>7</v>
      </c>
      <c r="C1073" s="13" t="s">
        <v>1013</v>
      </c>
    </row>
    <row r="1074" spans="1:3" x14ac:dyDescent="0.25">
      <c r="A1074" s="13" t="s">
        <v>1102</v>
      </c>
      <c r="B1074" s="13" t="s">
        <v>12</v>
      </c>
      <c r="C1074" s="13" t="s">
        <v>1013</v>
      </c>
    </row>
    <row r="1075" spans="1:3" x14ac:dyDescent="0.25">
      <c r="A1075" s="13" t="s">
        <v>1103</v>
      </c>
      <c r="B1075" s="13" t="s">
        <v>5</v>
      </c>
      <c r="C1075" s="13" t="s">
        <v>1013</v>
      </c>
    </row>
    <row r="1076" spans="1:3" x14ac:dyDescent="0.25">
      <c r="A1076" s="13" t="s">
        <v>1104</v>
      </c>
      <c r="B1076" s="13" t="s">
        <v>12</v>
      </c>
      <c r="C1076" s="13" t="s">
        <v>1013</v>
      </c>
    </row>
    <row r="1077" spans="1:3" x14ac:dyDescent="0.25">
      <c r="A1077" s="13" t="s">
        <v>1105</v>
      </c>
      <c r="B1077" s="13" t="s">
        <v>5</v>
      </c>
      <c r="C1077" s="13" t="s">
        <v>1013</v>
      </c>
    </row>
    <row r="1078" spans="1:3" x14ac:dyDescent="0.25">
      <c r="A1078" s="13" t="s">
        <v>1106</v>
      </c>
      <c r="B1078" s="13" t="s">
        <v>87</v>
      </c>
      <c r="C1078" s="13" t="s">
        <v>1013</v>
      </c>
    </row>
    <row r="1079" spans="1:3" x14ac:dyDescent="0.25">
      <c r="A1079" s="13" t="s">
        <v>1107</v>
      </c>
      <c r="B1079" s="13" t="s">
        <v>7</v>
      </c>
      <c r="C1079" s="13" t="s">
        <v>1013</v>
      </c>
    </row>
    <row r="1080" spans="1:3" x14ac:dyDescent="0.25">
      <c r="A1080" s="13" t="s">
        <v>1108</v>
      </c>
      <c r="B1080" s="13" t="s">
        <v>70</v>
      </c>
      <c r="C1080" s="13" t="s">
        <v>1013</v>
      </c>
    </row>
    <row r="1081" spans="1:3" x14ac:dyDescent="0.25">
      <c r="A1081" s="13" t="s">
        <v>1109</v>
      </c>
      <c r="B1081" s="13" t="s">
        <v>5</v>
      </c>
      <c r="C1081" s="13" t="s">
        <v>1013</v>
      </c>
    </row>
    <row r="1082" spans="1:3" x14ac:dyDescent="0.25">
      <c r="A1082" s="13" t="s">
        <v>1110</v>
      </c>
      <c r="B1082" s="13" t="s">
        <v>8</v>
      </c>
      <c r="C1082" s="13" t="s">
        <v>1011</v>
      </c>
    </row>
    <row r="1083" spans="1:3" x14ac:dyDescent="0.25">
      <c r="A1083" s="13" t="s">
        <v>1111</v>
      </c>
      <c r="B1083" s="13" t="s">
        <v>5</v>
      </c>
      <c r="C1083" s="13" t="s">
        <v>1011</v>
      </c>
    </row>
    <row r="1084" spans="1:3" x14ac:dyDescent="0.25">
      <c r="A1084" s="13" t="s">
        <v>1112</v>
      </c>
      <c r="B1084" s="13" t="s">
        <v>8</v>
      </c>
      <c r="C1084" s="13" t="s">
        <v>1011</v>
      </c>
    </row>
    <row r="1085" spans="1:3" x14ac:dyDescent="0.25">
      <c r="A1085" s="13" t="s">
        <v>1113</v>
      </c>
      <c r="B1085" s="13" t="s">
        <v>5</v>
      </c>
      <c r="C1085" s="13" t="s">
        <v>1011</v>
      </c>
    </row>
    <row r="1086" spans="1:3" x14ac:dyDescent="0.25">
      <c r="A1086" s="13" t="s">
        <v>1114</v>
      </c>
      <c r="B1086" s="13" t="s">
        <v>8</v>
      </c>
      <c r="C1086" s="13" t="s">
        <v>1011</v>
      </c>
    </row>
    <row r="1087" spans="1:3" x14ac:dyDescent="0.25">
      <c r="A1087" s="13" t="s">
        <v>1115</v>
      </c>
      <c r="B1087" s="13" t="s">
        <v>7</v>
      </c>
      <c r="C1087" s="13" t="s">
        <v>1011</v>
      </c>
    </row>
    <row r="1088" spans="1:3" x14ac:dyDescent="0.25">
      <c r="A1088" s="13" t="s">
        <v>1116</v>
      </c>
      <c r="B1088" s="13" t="s">
        <v>7</v>
      </c>
      <c r="C1088" s="13" t="s">
        <v>1011</v>
      </c>
    </row>
    <row r="1089" spans="1:3" x14ac:dyDescent="0.25">
      <c r="A1089" s="13" t="s">
        <v>1117</v>
      </c>
      <c r="B1089" s="13" t="s">
        <v>8</v>
      </c>
      <c r="C1089" s="13" t="s">
        <v>1011</v>
      </c>
    </row>
    <row r="1090" spans="1:3" x14ac:dyDescent="0.25">
      <c r="A1090" s="13" t="s">
        <v>1118</v>
      </c>
      <c r="B1090" s="13" t="s">
        <v>5</v>
      </c>
      <c r="C1090" s="13" t="s">
        <v>1011</v>
      </c>
    </row>
    <row r="1091" spans="1:3" x14ac:dyDescent="0.25">
      <c r="A1091" s="13" t="s">
        <v>1119</v>
      </c>
      <c r="B1091" s="13" t="s">
        <v>7</v>
      </c>
      <c r="C1091" s="13" t="s">
        <v>1011</v>
      </c>
    </row>
    <row r="1092" spans="1:3" x14ac:dyDescent="0.25">
      <c r="A1092" s="13" t="s">
        <v>1120</v>
      </c>
      <c r="B1092" s="13" t="s">
        <v>5</v>
      </c>
      <c r="C1092" s="13" t="s">
        <v>1011</v>
      </c>
    </row>
    <row r="1093" spans="1:3" x14ac:dyDescent="0.25">
      <c r="A1093" s="13" t="s">
        <v>1121</v>
      </c>
      <c r="B1093" s="13" t="s">
        <v>7</v>
      </c>
      <c r="C1093" s="13" t="s">
        <v>1011</v>
      </c>
    </row>
    <row r="1094" spans="1:3" x14ac:dyDescent="0.25">
      <c r="A1094" s="13" t="s">
        <v>1122</v>
      </c>
      <c r="B1094" s="13" t="s">
        <v>5</v>
      </c>
      <c r="C1094" s="13" t="s">
        <v>1011</v>
      </c>
    </row>
    <row r="1095" spans="1:3" x14ac:dyDescent="0.25">
      <c r="A1095" s="13" t="s">
        <v>1123</v>
      </c>
      <c r="B1095" s="13" t="s">
        <v>7</v>
      </c>
      <c r="C1095" s="13" t="s">
        <v>1011</v>
      </c>
    </row>
    <row r="1096" spans="1:3" x14ac:dyDescent="0.25">
      <c r="A1096" s="13" t="s">
        <v>1124</v>
      </c>
      <c r="B1096" s="13" t="s">
        <v>7</v>
      </c>
      <c r="C1096" s="13" t="s">
        <v>1011</v>
      </c>
    </row>
    <row r="1097" spans="1:3" x14ac:dyDescent="0.25">
      <c r="A1097" s="13" t="s">
        <v>1125</v>
      </c>
      <c r="B1097" s="13" t="s">
        <v>8</v>
      </c>
      <c r="C1097" s="13" t="s">
        <v>1011</v>
      </c>
    </row>
    <row r="1098" spans="1:3" x14ac:dyDescent="0.25">
      <c r="A1098" s="13" t="s">
        <v>1126</v>
      </c>
      <c r="B1098" s="13" t="s">
        <v>5</v>
      </c>
      <c r="C1098" s="13" t="s">
        <v>1011</v>
      </c>
    </row>
    <row r="1099" spans="1:3" x14ac:dyDescent="0.25">
      <c r="A1099" s="13" t="s">
        <v>1127</v>
      </c>
      <c r="B1099" s="13" t="s">
        <v>5</v>
      </c>
      <c r="C1099" s="13" t="s">
        <v>1011</v>
      </c>
    </row>
    <row r="1100" spans="1:3" x14ac:dyDescent="0.25">
      <c r="A1100" s="13" t="s">
        <v>1128</v>
      </c>
      <c r="B1100" s="13" t="s">
        <v>12</v>
      </c>
      <c r="C1100" s="13" t="s">
        <v>1011</v>
      </c>
    </row>
    <row r="1101" spans="1:3" x14ac:dyDescent="0.25">
      <c r="A1101" s="13" t="s">
        <v>1129</v>
      </c>
      <c r="B1101" s="13" t="s">
        <v>12</v>
      </c>
      <c r="C1101" s="13" t="s">
        <v>1011</v>
      </c>
    </row>
    <row r="1102" spans="1:3" x14ac:dyDescent="0.25">
      <c r="A1102" s="13" t="s">
        <v>1130</v>
      </c>
      <c r="B1102" s="13" t="s">
        <v>8</v>
      </c>
      <c r="C1102" s="13" t="s">
        <v>1011</v>
      </c>
    </row>
    <row r="1103" spans="1:3" x14ac:dyDescent="0.25">
      <c r="A1103" s="13" t="s">
        <v>1131</v>
      </c>
      <c r="B1103" s="13" t="s">
        <v>7</v>
      </c>
      <c r="C1103" s="13" t="s">
        <v>1011</v>
      </c>
    </row>
    <row r="1104" spans="1:3" x14ac:dyDescent="0.25">
      <c r="A1104" s="13" t="s">
        <v>1132</v>
      </c>
      <c r="B1104" s="13" t="s">
        <v>5</v>
      </c>
      <c r="C1104" s="13" t="s">
        <v>1011</v>
      </c>
    </row>
    <row r="1105" spans="1:3" x14ac:dyDescent="0.25">
      <c r="A1105" s="13" t="s">
        <v>1133</v>
      </c>
      <c r="B1105" s="13" t="s">
        <v>5</v>
      </c>
      <c r="C1105" s="13" t="s">
        <v>1011</v>
      </c>
    </row>
    <row r="1106" spans="1:3" x14ac:dyDescent="0.25">
      <c r="A1106" s="13" t="s">
        <v>1134</v>
      </c>
      <c r="B1106" s="13" t="s">
        <v>5</v>
      </c>
      <c r="C1106" s="13" t="s">
        <v>1011</v>
      </c>
    </row>
    <row r="1107" spans="1:3" x14ac:dyDescent="0.25">
      <c r="A1107" s="13" t="s">
        <v>1135</v>
      </c>
      <c r="B1107" s="13" t="s">
        <v>5</v>
      </c>
      <c r="C1107" s="13" t="s">
        <v>1013</v>
      </c>
    </row>
    <row r="1108" spans="1:3" x14ac:dyDescent="0.25">
      <c r="A1108" s="13" t="s">
        <v>1136</v>
      </c>
      <c r="B1108" s="13" t="s">
        <v>5</v>
      </c>
      <c r="C1108" s="13" t="s">
        <v>1013</v>
      </c>
    </row>
    <row r="1109" spans="1:3" x14ac:dyDescent="0.25">
      <c r="A1109" s="13" t="s">
        <v>1137</v>
      </c>
      <c r="B1109" s="13" t="s">
        <v>8</v>
      </c>
      <c r="C1109" s="13" t="s">
        <v>1013</v>
      </c>
    </row>
    <row r="1110" spans="1:3" x14ac:dyDescent="0.25">
      <c r="A1110" s="13" t="s">
        <v>1138</v>
      </c>
      <c r="B1110" s="13" t="s">
        <v>5</v>
      </c>
      <c r="C1110" s="13" t="s">
        <v>1013</v>
      </c>
    </row>
    <row r="1111" spans="1:3" x14ac:dyDescent="0.25">
      <c r="A1111" s="13" t="s">
        <v>1139</v>
      </c>
      <c r="B1111" s="13" t="s">
        <v>5</v>
      </c>
      <c r="C1111" s="13" t="s">
        <v>1013</v>
      </c>
    </row>
    <row r="1112" spans="1:3" x14ac:dyDescent="0.25">
      <c r="A1112" s="13" t="s">
        <v>1140</v>
      </c>
      <c r="B1112" s="13" t="s">
        <v>5</v>
      </c>
      <c r="C1112" s="13" t="s">
        <v>1013</v>
      </c>
    </row>
    <row r="1113" spans="1:3" x14ac:dyDescent="0.25">
      <c r="A1113" s="13" t="s">
        <v>1141</v>
      </c>
      <c r="B1113" s="13" t="s">
        <v>16</v>
      </c>
      <c r="C1113" s="13" t="s">
        <v>1013</v>
      </c>
    </row>
    <row r="1114" spans="1:3" x14ac:dyDescent="0.25">
      <c r="A1114" s="13" t="s">
        <v>1142</v>
      </c>
      <c r="B1114" s="13" t="s">
        <v>8</v>
      </c>
      <c r="C1114" s="13" t="s">
        <v>1013</v>
      </c>
    </row>
    <row r="1115" spans="1:3" x14ac:dyDescent="0.25">
      <c r="A1115" s="13" t="s">
        <v>1143</v>
      </c>
      <c r="B1115" s="13" t="s">
        <v>5</v>
      </c>
      <c r="C1115" s="13" t="s">
        <v>1013</v>
      </c>
    </row>
    <row r="1116" spans="1:3" x14ac:dyDescent="0.25">
      <c r="A1116" s="13" t="s">
        <v>1144</v>
      </c>
      <c r="B1116" s="13" t="s">
        <v>7</v>
      </c>
      <c r="C1116" s="13" t="s">
        <v>1013</v>
      </c>
    </row>
    <row r="1117" spans="1:3" x14ac:dyDescent="0.25">
      <c r="A1117" s="13" t="s">
        <v>1145</v>
      </c>
      <c r="B1117" s="13" t="s">
        <v>5</v>
      </c>
      <c r="C1117" s="13" t="s">
        <v>1013</v>
      </c>
    </row>
    <row r="1118" spans="1:3" x14ac:dyDescent="0.25">
      <c r="A1118" s="13" t="s">
        <v>1146</v>
      </c>
      <c r="B1118" s="13" t="s">
        <v>8</v>
      </c>
      <c r="C1118" s="13" t="s">
        <v>1013</v>
      </c>
    </row>
    <row r="1119" spans="1:3" x14ac:dyDescent="0.25">
      <c r="A1119" s="13" t="s">
        <v>1147</v>
      </c>
      <c r="B1119" s="13" t="s">
        <v>5</v>
      </c>
      <c r="C1119" s="13" t="s">
        <v>1013</v>
      </c>
    </row>
    <row r="1120" spans="1:3" x14ac:dyDescent="0.25">
      <c r="A1120" s="13" t="s">
        <v>1148</v>
      </c>
      <c r="B1120" s="13" t="s">
        <v>5</v>
      </c>
      <c r="C1120" s="13" t="s">
        <v>1013</v>
      </c>
    </row>
    <row r="1121" spans="1:3" x14ac:dyDescent="0.25">
      <c r="A1121" s="13" t="s">
        <v>1149</v>
      </c>
      <c r="B1121" s="13" t="s">
        <v>8</v>
      </c>
      <c r="C1121" s="13" t="s">
        <v>1013</v>
      </c>
    </row>
    <row r="1122" spans="1:3" x14ac:dyDescent="0.25">
      <c r="A1122" s="13" t="s">
        <v>1150</v>
      </c>
      <c r="B1122" s="13" t="s">
        <v>5</v>
      </c>
      <c r="C1122" s="13" t="s">
        <v>1013</v>
      </c>
    </row>
    <row r="1123" spans="1:3" x14ac:dyDescent="0.25">
      <c r="A1123" s="13" t="s">
        <v>1151</v>
      </c>
      <c r="B1123" s="13" t="s">
        <v>12</v>
      </c>
      <c r="C1123" s="13" t="s">
        <v>1013</v>
      </c>
    </row>
    <row r="1124" spans="1:3" x14ac:dyDescent="0.25">
      <c r="A1124" s="13" t="s">
        <v>1152</v>
      </c>
      <c r="B1124" s="13" t="s">
        <v>8</v>
      </c>
      <c r="C1124" s="13" t="s">
        <v>1013</v>
      </c>
    </row>
    <row r="1125" spans="1:3" x14ac:dyDescent="0.25">
      <c r="A1125" s="13" t="s">
        <v>1153</v>
      </c>
      <c r="B1125" s="13" t="s">
        <v>7</v>
      </c>
      <c r="C1125" s="13" t="s">
        <v>1013</v>
      </c>
    </row>
    <row r="1126" spans="1:3" x14ac:dyDescent="0.25">
      <c r="A1126" s="13" t="s">
        <v>1154</v>
      </c>
      <c r="B1126" s="13" t="s">
        <v>5</v>
      </c>
      <c r="C1126" s="13" t="s">
        <v>1013</v>
      </c>
    </row>
    <row r="1127" spans="1:3" x14ac:dyDescent="0.25">
      <c r="A1127" s="13" t="s">
        <v>1155</v>
      </c>
      <c r="B1127" s="13" t="s">
        <v>15</v>
      </c>
      <c r="C1127" s="13" t="s">
        <v>1013</v>
      </c>
    </row>
    <row r="1128" spans="1:3" x14ac:dyDescent="0.25">
      <c r="A1128" s="13" t="s">
        <v>1156</v>
      </c>
      <c r="B1128" s="13" t="s">
        <v>87</v>
      </c>
      <c r="C1128" s="13" t="s">
        <v>1013</v>
      </c>
    </row>
    <row r="1129" spans="1:3" x14ac:dyDescent="0.25">
      <c r="A1129" s="13" t="s">
        <v>1157</v>
      </c>
      <c r="B1129" s="13" t="s">
        <v>7</v>
      </c>
      <c r="C1129" s="13" t="s">
        <v>1013</v>
      </c>
    </row>
    <row r="1130" spans="1:3" x14ac:dyDescent="0.25">
      <c r="A1130" s="13" t="s">
        <v>1158</v>
      </c>
      <c r="B1130" s="13" t="s">
        <v>7</v>
      </c>
      <c r="C1130" s="13" t="s">
        <v>1013</v>
      </c>
    </row>
    <row r="1131" spans="1:3" x14ac:dyDescent="0.25">
      <c r="A1131" s="13" t="s">
        <v>1159</v>
      </c>
      <c r="B1131" s="13" t="s">
        <v>5</v>
      </c>
      <c r="C1131" s="13" t="s">
        <v>1013</v>
      </c>
    </row>
    <row r="1132" spans="1:3" x14ac:dyDescent="0.25">
      <c r="A1132" s="13" t="s">
        <v>1160</v>
      </c>
      <c r="B1132" s="13" t="s">
        <v>7</v>
      </c>
      <c r="C1132" s="13" t="s">
        <v>1013</v>
      </c>
    </row>
    <row r="1133" spans="1:3" x14ac:dyDescent="0.25">
      <c r="A1133" s="13" t="s">
        <v>1161</v>
      </c>
      <c r="B1133" s="13" t="s">
        <v>14</v>
      </c>
      <c r="C1133" s="13" t="s">
        <v>1013</v>
      </c>
    </row>
    <row r="1134" spans="1:3" x14ac:dyDescent="0.25">
      <c r="A1134" s="13" t="s">
        <v>1162</v>
      </c>
      <c r="B1134" s="13" t="s">
        <v>7</v>
      </c>
      <c r="C1134" s="13" t="s">
        <v>1013</v>
      </c>
    </row>
    <row r="1135" spans="1:3" x14ac:dyDescent="0.25">
      <c r="A1135" s="13" t="s">
        <v>1163</v>
      </c>
      <c r="B1135" s="13" t="s">
        <v>33</v>
      </c>
      <c r="C1135" s="13" t="s">
        <v>1013</v>
      </c>
    </row>
    <row r="1136" spans="1:3" x14ac:dyDescent="0.25">
      <c r="A1136" s="13" t="s">
        <v>1164</v>
      </c>
      <c r="B1136" s="13" t="s">
        <v>7</v>
      </c>
      <c r="C1136" s="13" t="s">
        <v>1013</v>
      </c>
    </row>
    <row r="1137" spans="1:3" x14ac:dyDescent="0.25">
      <c r="A1137" s="13" t="s">
        <v>1165</v>
      </c>
      <c r="B1137" s="13" t="s">
        <v>5</v>
      </c>
      <c r="C1137" s="13" t="s">
        <v>1013</v>
      </c>
    </row>
    <row r="1138" spans="1:3" x14ac:dyDescent="0.25">
      <c r="A1138" s="13" t="s">
        <v>1166</v>
      </c>
      <c r="B1138" s="13" t="s">
        <v>5</v>
      </c>
      <c r="C1138" s="13" t="s">
        <v>1013</v>
      </c>
    </row>
    <row r="1139" spans="1:3" x14ac:dyDescent="0.25">
      <c r="A1139" t="s">
        <v>1167</v>
      </c>
      <c r="B1139" t="s">
        <v>136</v>
      </c>
      <c r="C1139" t="s">
        <v>1013</v>
      </c>
    </row>
    <row r="1140" spans="1:3" x14ac:dyDescent="0.25">
      <c r="A1140" t="s">
        <v>162</v>
      </c>
      <c r="B1140" t="s">
        <v>162</v>
      </c>
      <c r="C1140" t="s">
        <v>1013</v>
      </c>
    </row>
    <row r="1141" spans="1:3" x14ac:dyDescent="0.25">
      <c r="A1141" t="s">
        <v>1168</v>
      </c>
      <c r="B1141" t="s">
        <v>136</v>
      </c>
      <c r="C1141" t="s">
        <v>1013</v>
      </c>
    </row>
    <row r="1142" spans="1:3" x14ac:dyDescent="0.25">
      <c r="A1142" t="s">
        <v>1169</v>
      </c>
      <c r="B1142" t="s">
        <v>7</v>
      </c>
      <c r="C1142" t="s">
        <v>1013</v>
      </c>
    </row>
    <row r="1143" spans="1:3" x14ac:dyDescent="0.25">
      <c r="A1143" t="s">
        <v>1170</v>
      </c>
      <c r="B1143" t="s">
        <v>159</v>
      </c>
      <c r="C1143" t="s">
        <v>1013</v>
      </c>
    </row>
    <row r="1144" spans="1:3" x14ac:dyDescent="0.25">
      <c r="A1144" t="s">
        <v>1171</v>
      </c>
      <c r="B1144" t="s">
        <v>5</v>
      </c>
      <c r="C1144" t="s">
        <v>1013</v>
      </c>
    </row>
    <row r="1145" spans="1:3" x14ac:dyDescent="0.25">
      <c r="A1145" t="s">
        <v>1172</v>
      </c>
      <c r="B1145" t="s">
        <v>158</v>
      </c>
      <c r="C1145" t="s">
        <v>1013</v>
      </c>
    </row>
    <row r="1146" spans="1:3" x14ac:dyDescent="0.25">
      <c r="A1146" t="s">
        <v>1173</v>
      </c>
      <c r="B1146" t="s">
        <v>5</v>
      </c>
      <c r="C1146" t="s">
        <v>1013</v>
      </c>
    </row>
    <row r="1147" spans="1:3" x14ac:dyDescent="0.25">
      <c r="A1147" t="s">
        <v>1174</v>
      </c>
      <c r="B1147" t="s">
        <v>12</v>
      </c>
      <c r="C1147" t="s">
        <v>1013</v>
      </c>
    </row>
    <row r="1148" spans="1:3" x14ac:dyDescent="0.25">
      <c r="A1148" t="s">
        <v>1175</v>
      </c>
      <c r="B1148" t="s">
        <v>5</v>
      </c>
      <c r="C1148" t="s">
        <v>1013</v>
      </c>
    </row>
    <row r="1149" spans="1:3" x14ac:dyDescent="0.25">
      <c r="A1149" t="s">
        <v>1176</v>
      </c>
      <c r="B1149" t="s">
        <v>5</v>
      </c>
      <c r="C1149" t="s">
        <v>1013</v>
      </c>
    </row>
    <row r="1150" spans="1:3" x14ac:dyDescent="0.25">
      <c r="A1150" t="s">
        <v>1177</v>
      </c>
      <c r="B1150" t="s">
        <v>5</v>
      </c>
      <c r="C1150" t="s">
        <v>1013</v>
      </c>
    </row>
    <row r="1151" spans="1:3" x14ac:dyDescent="0.25">
      <c r="A1151" t="s">
        <v>1178</v>
      </c>
      <c r="B1151" t="s">
        <v>8</v>
      </c>
      <c r="C1151" t="s">
        <v>1013</v>
      </c>
    </row>
    <row r="1152" spans="1:3" x14ac:dyDescent="0.25">
      <c r="A1152" t="s">
        <v>1179</v>
      </c>
      <c r="B1152" t="s">
        <v>5</v>
      </c>
      <c r="C1152" t="s">
        <v>1013</v>
      </c>
    </row>
    <row r="1153" spans="1:3" x14ac:dyDescent="0.25">
      <c r="A1153" t="s">
        <v>1180</v>
      </c>
      <c r="B1153" t="s">
        <v>12</v>
      </c>
      <c r="C1153" t="s">
        <v>1013</v>
      </c>
    </row>
    <row r="1154" spans="1:3" x14ac:dyDescent="0.25">
      <c r="A1154" t="s">
        <v>1714</v>
      </c>
      <c r="B1154" t="s">
        <v>5</v>
      </c>
      <c r="C1154" t="s">
        <v>1013</v>
      </c>
    </row>
    <row r="1155" spans="1:3" x14ac:dyDescent="0.25">
      <c r="A1155" t="s">
        <v>1388</v>
      </c>
      <c r="B1155" t="s">
        <v>5</v>
      </c>
      <c r="C1155" t="s">
        <v>1013</v>
      </c>
    </row>
    <row r="1156" spans="1:3" x14ac:dyDescent="0.25">
      <c r="A1156" t="s">
        <v>1553</v>
      </c>
      <c r="B1156" t="s">
        <v>5</v>
      </c>
      <c r="C1156" t="s">
        <v>1013</v>
      </c>
    </row>
    <row r="1157" spans="1:3" x14ac:dyDescent="0.25">
      <c r="A1157" t="s">
        <v>1673</v>
      </c>
      <c r="B1157" t="s">
        <v>5</v>
      </c>
      <c r="C1157" t="s">
        <v>1013</v>
      </c>
    </row>
    <row r="1158" spans="1:3" x14ac:dyDescent="0.25">
      <c r="A1158" t="s">
        <v>1557</v>
      </c>
      <c r="B1158" t="s">
        <v>5</v>
      </c>
      <c r="C1158" t="s">
        <v>1013</v>
      </c>
    </row>
    <row r="1159" spans="1:3" x14ac:dyDescent="0.25">
      <c r="A1159" t="s">
        <v>1804</v>
      </c>
      <c r="B1159" t="s">
        <v>7</v>
      </c>
      <c r="C1159" t="s">
        <v>1013</v>
      </c>
    </row>
    <row r="1160" spans="1:3" x14ac:dyDescent="0.25">
      <c r="A1160" t="s">
        <v>1546</v>
      </c>
      <c r="B1160" t="s">
        <v>7</v>
      </c>
      <c r="C1160" t="s">
        <v>1013</v>
      </c>
    </row>
    <row r="1161" spans="1:3" x14ac:dyDescent="0.25">
      <c r="A1161" t="s">
        <v>1193</v>
      </c>
      <c r="B1161" t="s">
        <v>5</v>
      </c>
      <c r="C1161" t="s">
        <v>1013</v>
      </c>
    </row>
    <row r="1162" spans="1:3" x14ac:dyDescent="0.25">
      <c r="A1162" t="s">
        <v>1791</v>
      </c>
      <c r="B1162" t="s">
        <v>8</v>
      </c>
      <c r="C1162" t="s">
        <v>1013</v>
      </c>
    </row>
    <row r="1163" spans="1:3" x14ac:dyDescent="0.25">
      <c r="A1163"/>
    </row>
    <row r="1164" spans="1:3" x14ac:dyDescent="0.25">
      <c r="A1164"/>
    </row>
    <row r="1165" spans="1:3" x14ac:dyDescent="0.25">
      <c r="A1165"/>
    </row>
    <row r="1166" spans="1:3" x14ac:dyDescent="0.25">
      <c r="A1166"/>
    </row>
    <row r="1167" spans="1:3" x14ac:dyDescent="0.25">
      <c r="A1167"/>
    </row>
    <row r="1168" spans="1:3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Опр этажности</vt:lpstr>
      <vt:lpstr>Лист1</vt:lpstr>
      <vt:lpstr>Справочник соответствий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Шмелев Константин Валерьевич</cp:lastModifiedBy>
  <dcterms:created xsi:type="dcterms:W3CDTF">2019-12-13T04:42:31Z</dcterms:created>
  <dcterms:modified xsi:type="dcterms:W3CDTF">2021-10-01T09:22:54Z</dcterms:modified>
</cp:coreProperties>
</file>